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09b219dbaa4fd0f/"/>
    </mc:Choice>
  </mc:AlternateContent>
  <xr:revisionPtr revIDLastSave="6194" documentId="14_{C03FE90B-A364-4EDD-B7BD-C8F437BDC36F}" xr6:coauthVersionLast="47" xr6:coauthVersionMax="47" xr10:uidLastSave="{34331EA6-8567-4C25-A962-23CE66B46582}"/>
  <bookViews>
    <workbookView xWindow="-120" yWindow="-120" windowWidth="29040" windowHeight="15720" firstSheet="4" activeTab="5" xr2:uid="{00000000-000D-0000-FFFF-FFFF00000000}"/>
  </bookViews>
  <sheets>
    <sheet name="Plan1" sheetId="1" state="hidden" r:id="rId1"/>
    <sheet name="2023" sheetId="5" state="hidden" r:id="rId2"/>
    <sheet name="2024" sheetId="4" state="hidden" r:id="rId3"/>
    <sheet name="2025" sheetId="3" state="hidden" r:id="rId4"/>
    <sheet name="HIPERQUERATOSE 26" sheetId="6" r:id="rId5"/>
    <sheet name="2026" sheetId="2" r:id="rId6"/>
    <sheet name="Planilha1" sheetId="7" r:id="rId7"/>
    <sheet name="SECAGEM" sheetId="8" r:id="rId8"/>
    <sheet name="DOENÇAS GERAL" sheetId="9" r:id="rId9"/>
  </sheets>
  <definedNames>
    <definedName name="_xlnm._FilterDatabase" localSheetId="5" hidden="1">'2026'!$A$1:$B$739</definedName>
    <definedName name="_xlnm._FilterDatabase" localSheetId="4" hidden="1">'HIPERQUERATOSE 26'!$A$2:$G$2</definedName>
    <definedName name="_xlnm._FilterDatabase" localSheetId="6" hidden="1">Planilha1!$A$2:$A$115</definedName>
    <definedName name="_xlnm._FilterDatabase" localSheetId="7" hidden="1">SECAGEM!$A$1:$L$1331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0" i="2" l="1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J326" i="8"/>
  <c r="L326" i="8" s="1"/>
  <c r="J731" i="8"/>
  <c r="L731" i="8" s="1"/>
  <c r="J56" i="8"/>
  <c r="L56" i="8" s="1"/>
  <c r="J146" i="8"/>
  <c r="L146" i="8" s="1"/>
  <c r="J108" i="8"/>
  <c r="L108" i="8" s="1"/>
  <c r="J53" i="8"/>
  <c r="L53" i="8" s="1"/>
  <c r="J55" i="8"/>
  <c r="L55" i="8" s="1"/>
  <c r="J237" i="8"/>
  <c r="L237" i="8" s="1"/>
  <c r="J919" i="8"/>
  <c r="L919" i="8" s="1"/>
  <c r="J79" i="8"/>
  <c r="L79" i="8" s="1"/>
  <c r="J86" i="8"/>
  <c r="L86" i="8" s="1"/>
  <c r="J19" i="8"/>
  <c r="L19" i="8" s="1"/>
  <c r="J106" i="8"/>
  <c r="L106" i="8" s="1"/>
  <c r="J276" i="8"/>
  <c r="L276" i="8" s="1"/>
  <c r="J411" i="8"/>
  <c r="L411" i="8" s="1"/>
  <c r="J128" i="8"/>
  <c r="L128" i="8" s="1"/>
  <c r="J376" i="8"/>
  <c r="L376" i="8" s="1"/>
  <c r="J588" i="8"/>
  <c r="L588" i="8" s="1"/>
  <c r="J577" i="8"/>
  <c r="L577" i="8" s="1"/>
  <c r="J636" i="8"/>
  <c r="L636" i="8" s="1"/>
  <c r="J665" i="8"/>
  <c r="L665" i="8" s="1"/>
  <c r="J1237" i="8"/>
  <c r="L1237" i="8" s="1"/>
  <c r="J1072" i="8"/>
  <c r="L1072" i="8" s="1"/>
  <c r="J917" i="8"/>
  <c r="L917" i="8" s="1"/>
  <c r="J933" i="8"/>
  <c r="L933" i="8" s="1"/>
  <c r="J374" i="8"/>
  <c r="L374" i="8" s="1"/>
  <c r="J21" i="8"/>
  <c r="L21" i="8" s="1"/>
  <c r="J610" i="8"/>
  <c r="L610" i="8" s="1"/>
  <c r="J478" i="8"/>
  <c r="L478" i="8" s="1"/>
  <c r="J406" i="8"/>
  <c r="L406" i="8" s="1"/>
  <c r="J43" i="8"/>
  <c r="L43" i="8" s="1"/>
  <c r="J516" i="8"/>
  <c r="L516" i="8" s="1"/>
  <c r="J840" i="8"/>
  <c r="L840" i="8" s="1"/>
  <c r="J284" i="8"/>
  <c r="L284" i="8" s="1"/>
  <c r="J533" i="8"/>
  <c r="L533" i="8" s="1"/>
  <c r="J479" i="8"/>
  <c r="L479" i="8" s="1"/>
  <c r="J790" i="8"/>
  <c r="L790" i="8" s="1"/>
  <c r="J390" i="8"/>
  <c r="L390" i="8" s="1"/>
  <c r="J552" i="8"/>
  <c r="L552" i="8" s="1"/>
  <c r="J1118" i="8"/>
  <c r="L1118" i="8" s="1"/>
  <c r="J384" i="8"/>
  <c r="L384" i="8" s="1"/>
  <c r="J1107" i="8"/>
  <c r="L1107" i="8" s="1"/>
  <c r="J1026" i="8"/>
  <c r="L1026" i="8" s="1"/>
  <c r="J397" i="8"/>
  <c r="L397" i="8" s="1"/>
  <c r="J382" i="8"/>
  <c r="L382" i="8" s="1"/>
  <c r="J1260" i="8"/>
  <c r="L1260" i="8" s="1"/>
  <c r="J441" i="8"/>
  <c r="L441" i="8" s="1"/>
  <c r="J350" i="8"/>
  <c r="L350" i="8" s="1"/>
  <c r="J586" i="8"/>
  <c r="L586" i="8" s="1"/>
  <c r="J1157" i="8"/>
  <c r="L1157" i="8" s="1"/>
  <c r="J123" i="8"/>
  <c r="L123" i="8" s="1"/>
  <c r="J1059" i="8"/>
  <c r="L1059" i="8" s="1"/>
  <c r="J73" i="8"/>
  <c r="L73" i="8" s="1"/>
  <c r="J14" i="8"/>
  <c r="L14" i="8" s="1"/>
  <c r="J277" i="8"/>
  <c r="L277" i="8" s="1"/>
  <c r="J337" i="8"/>
  <c r="L337" i="8" s="1"/>
  <c r="J440" i="8"/>
  <c r="L440" i="8" s="1"/>
  <c r="J869" i="8"/>
  <c r="L869" i="8" s="1"/>
  <c r="J531" i="8"/>
  <c r="L531" i="8" s="1"/>
  <c r="J1128" i="8"/>
  <c r="L1128" i="8" s="1"/>
  <c r="J379" i="8"/>
  <c r="L379" i="8" s="1"/>
  <c r="J965" i="8"/>
  <c r="L965" i="8" s="1"/>
  <c r="J598" i="8"/>
  <c r="L598" i="8" s="1"/>
  <c r="J601" i="8"/>
  <c r="L601" i="8" s="1"/>
  <c r="J314" i="8"/>
  <c r="L314" i="8" s="1"/>
  <c r="J99" i="8"/>
  <c r="L99" i="8" s="1"/>
  <c r="J1099" i="8"/>
  <c r="L1099" i="8" s="1"/>
  <c r="J752" i="8"/>
  <c r="L752" i="8" s="1"/>
  <c r="J1152" i="8"/>
  <c r="L1152" i="8" s="1"/>
  <c r="J783" i="8"/>
  <c r="L783" i="8" s="1"/>
  <c r="J825" i="8"/>
  <c r="L825" i="8" s="1"/>
  <c r="J1265" i="8"/>
  <c r="L1265" i="8" s="1"/>
  <c r="J757" i="8"/>
  <c r="L757" i="8" s="1"/>
  <c r="J35" i="8"/>
  <c r="L35" i="8" s="1"/>
  <c r="J286" i="8"/>
  <c r="L286" i="8" s="1"/>
  <c r="J242" i="8"/>
  <c r="L242" i="8" s="1"/>
  <c r="J561" i="8"/>
  <c r="L561" i="8" s="1"/>
  <c r="J471" i="8"/>
  <c r="L471" i="8" s="1"/>
  <c r="J419" i="8"/>
  <c r="L419" i="8" s="1"/>
  <c r="J686" i="8"/>
  <c r="L686" i="8" s="1"/>
  <c r="J72" i="8"/>
  <c r="L72" i="8" s="1"/>
  <c r="J927" i="8"/>
  <c r="L927" i="8" s="1"/>
  <c r="J327" i="8"/>
  <c r="L327" i="8" s="1"/>
  <c r="J45" i="8"/>
  <c r="L45" i="8" s="1"/>
  <c r="J786" i="8"/>
  <c r="L786" i="8" s="1"/>
  <c r="J126" i="8"/>
  <c r="L126" i="8" s="1"/>
  <c r="J513" i="8"/>
  <c r="L513" i="8" s="1"/>
  <c r="J1207" i="8"/>
  <c r="L1207" i="8" s="1"/>
  <c r="J423" i="8"/>
  <c r="L423" i="8" s="1"/>
  <c r="J852" i="8"/>
  <c r="L852" i="8" s="1"/>
  <c r="J343" i="8"/>
  <c r="L343" i="8" s="1"/>
  <c r="J375" i="8"/>
  <c r="L375" i="8" s="1"/>
  <c r="J526" i="8"/>
  <c r="L526" i="8" s="1"/>
  <c r="J581" i="8"/>
  <c r="L581" i="8" s="1"/>
  <c r="J477" i="8"/>
  <c r="L477" i="8" s="1"/>
  <c r="J89" i="8"/>
  <c r="L89" i="8" s="1"/>
  <c r="J641" i="8"/>
  <c r="L641" i="8" s="1"/>
  <c r="J1147" i="8"/>
  <c r="L1147" i="8" s="1"/>
  <c r="J507" i="8"/>
  <c r="L507" i="8" s="1"/>
  <c r="J408" i="8"/>
  <c r="L408" i="8" s="1"/>
  <c r="J101" i="8"/>
  <c r="L101" i="8" s="1"/>
  <c r="J371" i="8"/>
  <c r="L371" i="8" s="1"/>
  <c r="J816" i="8"/>
  <c r="L816" i="8" s="1"/>
  <c r="J702" i="8"/>
  <c r="L702" i="8" s="1"/>
  <c r="J361" i="8"/>
  <c r="L361" i="8" s="1"/>
  <c r="J1201" i="8"/>
  <c r="L1201" i="8" s="1"/>
  <c r="J766" i="8"/>
  <c r="L766" i="8" s="1"/>
  <c r="J177" i="8"/>
  <c r="L177" i="8" s="1"/>
  <c r="J738" i="8"/>
  <c r="L738" i="8" s="1"/>
  <c r="J236" i="8"/>
  <c r="L236" i="8" s="1"/>
  <c r="J280" i="8"/>
  <c r="L280" i="8" s="1"/>
  <c r="J548" i="8"/>
  <c r="L548" i="8" s="1"/>
  <c r="J580" i="8"/>
  <c r="L580" i="8" s="1"/>
  <c r="J923" i="8"/>
  <c r="L923" i="8" s="1"/>
  <c r="J1015" i="8"/>
  <c r="L1015" i="8" s="1"/>
  <c r="J683" i="8"/>
  <c r="L683" i="8" s="1"/>
  <c r="J412" i="8"/>
  <c r="L412" i="8" s="1"/>
  <c r="J947" i="8"/>
  <c r="L947" i="8" s="1"/>
  <c r="J796" i="8"/>
  <c r="L796" i="8" s="1"/>
  <c r="J543" i="8"/>
  <c r="L543" i="8" s="1"/>
  <c r="J1040" i="8"/>
  <c r="L1040" i="8" s="1"/>
  <c r="J1048" i="8"/>
  <c r="L1048" i="8" s="1"/>
  <c r="J203" i="8"/>
  <c r="L203" i="8" s="1"/>
  <c r="J771" i="8"/>
  <c r="L771" i="8" s="1"/>
  <c r="J426" i="8"/>
  <c r="L426" i="8" s="1"/>
  <c r="J331" i="8"/>
  <c r="L331" i="8" s="1"/>
  <c r="J609" i="8"/>
  <c r="L609" i="8" s="1"/>
  <c r="J180" i="8"/>
  <c r="L180" i="8" s="1"/>
  <c r="J10" i="8"/>
  <c r="L10" i="8" s="1"/>
  <c r="J256" i="8"/>
  <c r="L256" i="8" s="1"/>
  <c r="J881" i="8"/>
  <c r="L881" i="8" s="1"/>
  <c r="J243" i="8"/>
  <c r="L243" i="8" s="1"/>
  <c r="J353" i="8"/>
  <c r="L353" i="8" s="1"/>
  <c r="J876" i="8"/>
  <c r="L876" i="8" s="1"/>
  <c r="J734" i="8"/>
  <c r="L734" i="8" s="1"/>
  <c r="J657" i="8"/>
  <c r="L657" i="8" s="1"/>
  <c r="J356" i="8"/>
  <c r="L356" i="8" s="1"/>
  <c r="J1091" i="8"/>
  <c r="L1091" i="8" s="1"/>
  <c r="J910" i="8"/>
  <c r="L910" i="8" s="1"/>
  <c r="J450" i="8"/>
  <c r="L450" i="8" s="1"/>
  <c r="J294" i="8"/>
  <c r="L294" i="8" s="1"/>
  <c r="J228" i="8"/>
  <c r="L228" i="8" s="1"/>
  <c r="J251" i="8"/>
  <c r="L251" i="8" s="1"/>
  <c r="J893" i="8"/>
  <c r="L893" i="8" s="1"/>
  <c r="J1089" i="8"/>
  <c r="L1089" i="8" s="1"/>
  <c r="J388" i="8"/>
  <c r="L388" i="8" s="1"/>
  <c r="J874" i="8"/>
  <c r="L874" i="8" s="1"/>
  <c r="J1111" i="8"/>
  <c r="L1111" i="8" s="1"/>
  <c r="J534" i="8"/>
  <c r="L534" i="8" s="1"/>
  <c r="J800" i="8"/>
  <c r="L800" i="8" s="1"/>
  <c r="J301" i="8"/>
  <c r="L301" i="8" s="1"/>
  <c r="J49" i="8"/>
  <c r="L49" i="8" s="1"/>
  <c r="J394" i="8"/>
  <c r="L394" i="8" s="1"/>
  <c r="J7" i="8"/>
  <c r="L7" i="8" s="1"/>
  <c r="J889" i="8"/>
  <c r="L889" i="8" s="1"/>
  <c r="J805" i="8"/>
  <c r="L805" i="8" s="1"/>
  <c r="J812" i="8"/>
  <c r="L812" i="8" s="1"/>
  <c r="J1019" i="8"/>
  <c r="L1019" i="8" s="1"/>
  <c r="J328" i="8"/>
  <c r="L328" i="8" s="1"/>
  <c r="J260" i="8"/>
  <c r="L260" i="8" s="1"/>
  <c r="J460" i="8"/>
  <c r="L460" i="8" s="1"/>
  <c r="J305" i="8"/>
  <c r="L305" i="8" s="1"/>
  <c r="J939" i="8"/>
  <c r="L939" i="8" s="1"/>
  <c r="J272" i="8"/>
  <c r="L272" i="8" s="1"/>
  <c r="J434" i="8"/>
  <c r="L434" i="8" s="1"/>
  <c r="J556" i="8"/>
  <c r="L556" i="8" s="1"/>
  <c r="J318" i="8"/>
  <c r="L318" i="8" s="1"/>
  <c r="J720" i="8"/>
  <c r="L720" i="8" s="1"/>
  <c r="J938" i="8"/>
  <c r="L938" i="8" s="1"/>
  <c r="J1186" i="8"/>
  <c r="L1186" i="8" s="1"/>
  <c r="J956" i="8"/>
  <c r="L956" i="8" s="1"/>
  <c r="J232" i="8"/>
  <c r="L232" i="8" s="1"/>
  <c r="J645" i="8"/>
  <c r="L645" i="8" s="1"/>
  <c r="J784" i="8"/>
  <c r="L784" i="8" s="1"/>
  <c r="J1231" i="8"/>
  <c r="L1231" i="8" s="1"/>
  <c r="J367" i="8"/>
  <c r="L367" i="8" s="1"/>
  <c r="J1310" i="8"/>
  <c r="L1310" i="8" s="1"/>
  <c r="J777" i="8"/>
  <c r="L777" i="8" s="1"/>
  <c r="J172" i="8"/>
  <c r="L172" i="8" s="1"/>
  <c r="J1132" i="8"/>
  <c r="L1132" i="8" s="1"/>
  <c r="J865" i="8"/>
  <c r="L865" i="8" s="1"/>
  <c r="J725" i="8"/>
  <c r="L725" i="8" s="1"/>
  <c r="J1008" i="8"/>
  <c r="L1008" i="8" s="1"/>
  <c r="J88" i="8"/>
  <c r="L88" i="8" s="1"/>
  <c r="J167" i="8"/>
  <c r="L167" i="8" s="1"/>
  <c r="J417" i="8"/>
  <c r="L417" i="8" s="1"/>
  <c r="J273" i="8"/>
  <c r="L273" i="8" s="1"/>
  <c r="J797" i="8"/>
  <c r="L797" i="8" s="1"/>
  <c r="J550" i="8"/>
  <c r="L550" i="8" s="1"/>
  <c r="J898" i="8"/>
  <c r="L898" i="8" s="1"/>
  <c r="J875" i="8"/>
  <c r="L875" i="8" s="1"/>
  <c r="J344" i="8"/>
  <c r="L344" i="8" s="1"/>
  <c r="J953" i="8"/>
  <c r="L953" i="8" s="1"/>
  <c r="J773" i="8"/>
  <c r="L773" i="8" s="1"/>
  <c r="J856" i="8"/>
  <c r="L856" i="8" s="1"/>
  <c r="J103" i="8"/>
  <c r="L103" i="8" s="1"/>
  <c r="J165" i="8"/>
  <c r="L165" i="8" s="1"/>
  <c r="J643" i="8"/>
  <c r="L643" i="8" s="1"/>
  <c r="J266" i="8"/>
  <c r="L266" i="8" s="1"/>
  <c r="J69" i="8"/>
  <c r="L69" i="8" s="1"/>
  <c r="J644" i="8"/>
  <c r="L644" i="8" s="1"/>
  <c r="J854" i="8"/>
  <c r="L854" i="8" s="1"/>
  <c r="J110" i="8"/>
  <c r="L110" i="8" s="1"/>
  <c r="J1236" i="8"/>
  <c r="L1236" i="8" s="1"/>
  <c r="J261" i="8"/>
  <c r="L261" i="8" s="1"/>
  <c r="J849" i="8"/>
  <c r="L849" i="8" s="1"/>
  <c r="J185" i="8"/>
  <c r="L185" i="8" s="1"/>
  <c r="J1193" i="8"/>
  <c r="L1193" i="8" s="1"/>
  <c r="J270" i="8"/>
  <c r="L270" i="8" s="1"/>
  <c r="J878" i="8"/>
  <c r="L878" i="8" s="1"/>
  <c r="J715" i="8"/>
  <c r="L715" i="8" s="1"/>
  <c r="J1319" i="8"/>
  <c r="L1319" i="8" s="1"/>
  <c r="J1049" i="8"/>
  <c r="L1049" i="8" s="1"/>
  <c r="J1277" i="8"/>
  <c r="L1277" i="8" s="1"/>
  <c r="J764" i="8"/>
  <c r="L764" i="8" s="1"/>
  <c r="J415" i="8"/>
  <c r="L415" i="8" s="1"/>
  <c r="J201" i="8"/>
  <c r="L201" i="8" s="1"/>
  <c r="J975" i="8"/>
  <c r="L975" i="8" s="1"/>
  <c r="J867" i="8"/>
  <c r="L867" i="8" s="1"/>
  <c r="J1100" i="8"/>
  <c r="L1100" i="8" s="1"/>
  <c r="J338" i="8"/>
  <c r="L338" i="8" s="1"/>
  <c r="J599" i="8"/>
  <c r="L599" i="8" s="1"/>
  <c r="J271" i="8"/>
  <c r="L271" i="8" s="1"/>
  <c r="J1034" i="8"/>
  <c r="L1034" i="8" s="1"/>
  <c r="J386" i="8"/>
  <c r="L386" i="8" s="1"/>
  <c r="J1183" i="8"/>
  <c r="L1183" i="8" s="1"/>
  <c r="J1126" i="8"/>
  <c r="L1126" i="8" s="1"/>
  <c r="J268" i="8"/>
  <c r="L268" i="8" s="1"/>
  <c r="J1121" i="8"/>
  <c r="L1121" i="8" s="1"/>
  <c r="J1167" i="8"/>
  <c r="L1167" i="8" s="1"/>
  <c r="J250" i="8"/>
  <c r="L250" i="8" s="1"/>
  <c r="J1046" i="8"/>
  <c r="L1046" i="8" s="1"/>
  <c r="J966" i="8"/>
  <c r="L966" i="8" s="1"/>
  <c r="J168" i="8"/>
  <c r="L168" i="8" s="1"/>
  <c r="J885" i="8"/>
  <c r="L885" i="8" s="1"/>
  <c r="J541" i="8"/>
  <c r="L541" i="8" s="1"/>
  <c r="J1002" i="8"/>
  <c r="L1002" i="8" s="1"/>
  <c r="J98" i="8"/>
  <c r="L98" i="8" s="1"/>
  <c r="J672" i="8"/>
  <c r="L672" i="8" s="1"/>
  <c r="J770" i="8"/>
  <c r="L770" i="8" s="1"/>
  <c r="J120" i="8"/>
  <c r="L120" i="8" s="1"/>
  <c r="J760" i="8"/>
  <c r="L760" i="8" s="1"/>
  <c r="J998" i="8"/>
  <c r="L998" i="8" s="1"/>
  <c r="J1196" i="8"/>
  <c r="L1196" i="8" s="1"/>
  <c r="J78" i="8"/>
  <c r="L78" i="8" s="1"/>
  <c r="J223" i="8"/>
  <c r="L223" i="8" s="1"/>
  <c r="J91" i="8"/>
  <c r="L91" i="8" s="1"/>
  <c r="J453" i="8"/>
  <c r="L453" i="8" s="1"/>
  <c r="J678" i="8"/>
  <c r="L678" i="8" s="1"/>
  <c r="J265" i="8"/>
  <c r="L265" i="8" s="1"/>
  <c r="J1101" i="8"/>
  <c r="L1101" i="8" s="1"/>
  <c r="J111" i="8"/>
  <c r="L111" i="8" s="1"/>
  <c r="J986" i="8"/>
  <c r="L986" i="8" s="1"/>
  <c r="J941" i="8"/>
  <c r="L941" i="8" s="1"/>
  <c r="J504" i="8"/>
  <c r="L504" i="8" s="1"/>
  <c r="J858" i="8"/>
  <c r="L858" i="8" s="1"/>
  <c r="J992" i="8"/>
  <c r="L992" i="8" s="1"/>
  <c r="J181" i="8"/>
  <c r="L181" i="8" s="1"/>
  <c r="J153" i="8"/>
  <c r="L153" i="8" s="1"/>
  <c r="J1074" i="8"/>
  <c r="L1074" i="8" s="1"/>
  <c r="J843" i="8"/>
  <c r="L843" i="8" s="1"/>
  <c r="J546" i="8"/>
  <c r="L546" i="8" s="1"/>
  <c r="J461" i="8"/>
  <c r="L461" i="8" s="1"/>
  <c r="J33" i="8"/>
  <c r="L33" i="8" s="1"/>
  <c r="J700" i="8"/>
  <c r="L700" i="8" s="1"/>
  <c r="J499" i="8"/>
  <c r="L499" i="8" s="1"/>
  <c r="J714" i="8"/>
  <c r="L714" i="8" s="1"/>
  <c r="J718" i="8"/>
  <c r="L718" i="8" s="1"/>
  <c r="J1125" i="8"/>
  <c r="L1125" i="8" s="1"/>
  <c r="J723" i="8"/>
  <c r="L723" i="8" s="1"/>
  <c r="J139" i="8"/>
  <c r="L139" i="8" s="1"/>
  <c r="J1116" i="8"/>
  <c r="L1116" i="8" s="1"/>
  <c r="J908" i="8"/>
  <c r="L908" i="8" s="1"/>
  <c r="J50" i="8"/>
  <c r="L50" i="8" s="1"/>
  <c r="J687" i="8"/>
  <c r="L687" i="8" s="1"/>
  <c r="J1079" i="8"/>
  <c r="L1079" i="8" s="1"/>
  <c r="J973" i="8"/>
  <c r="L973" i="8" s="1"/>
  <c r="J1068" i="8"/>
  <c r="L1068" i="8" s="1"/>
  <c r="J1168" i="8"/>
  <c r="L1168" i="8" s="1"/>
  <c r="J1081" i="8"/>
  <c r="L1081" i="8" s="1"/>
  <c r="J637" i="8"/>
  <c r="L637" i="8" s="1"/>
  <c r="J569" i="8"/>
  <c r="L569" i="8" s="1"/>
  <c r="J37" i="8"/>
  <c r="L37" i="8" s="1"/>
  <c r="J245" i="8"/>
  <c r="L245" i="8" s="1"/>
  <c r="J435" i="8"/>
  <c r="L435" i="8" s="1"/>
  <c r="J859" i="8"/>
  <c r="L859" i="8" s="1"/>
  <c r="J774" i="8"/>
  <c r="L774" i="8" s="1"/>
  <c r="J529" i="8"/>
  <c r="L529" i="8" s="1"/>
  <c r="J458" i="8"/>
  <c r="L458" i="8" s="1"/>
  <c r="J929" i="8"/>
  <c r="L929" i="8" s="1"/>
  <c r="J1123" i="8"/>
  <c r="L1123" i="8" s="1"/>
  <c r="J746" i="8"/>
  <c r="L746" i="8" s="1"/>
  <c r="J692" i="8"/>
  <c r="L692" i="8" s="1"/>
  <c r="J963" i="8"/>
  <c r="L963" i="8" s="1"/>
  <c r="J503" i="8"/>
  <c r="L503" i="8" s="1"/>
  <c r="J741" i="8"/>
  <c r="L741" i="8" s="1"/>
  <c r="J934" i="8"/>
  <c r="L934" i="8" s="1"/>
  <c r="J706" i="8"/>
  <c r="L706" i="8" s="1"/>
  <c r="J647" i="8"/>
  <c r="L647" i="8" s="1"/>
  <c r="J780" i="8"/>
  <c r="L780" i="8" s="1"/>
  <c r="J161" i="8"/>
  <c r="L161" i="8" s="1"/>
  <c r="J753" i="8"/>
  <c r="L753" i="8" s="1"/>
  <c r="J778" i="8"/>
  <c r="L778" i="8" s="1"/>
  <c r="J954" i="8"/>
  <c r="L954" i="8" s="1"/>
  <c r="J602" i="8"/>
  <c r="L602" i="8" s="1"/>
  <c r="J726" i="8"/>
  <c r="L726" i="8" s="1"/>
  <c r="J553" i="8"/>
  <c r="L553" i="8" s="1"/>
  <c r="J430" i="8"/>
  <c r="L430" i="8" s="1"/>
  <c r="J847" i="8"/>
  <c r="L847" i="8" s="1"/>
  <c r="J704" i="8"/>
  <c r="L704" i="8" s="1"/>
  <c r="J142" i="8"/>
  <c r="L142" i="8" s="1"/>
  <c r="J640" i="8"/>
  <c r="L640" i="8" s="1"/>
  <c r="J118" i="8"/>
  <c r="L118" i="8" s="1"/>
  <c r="J46" i="8"/>
  <c r="L46" i="8" s="1"/>
  <c r="J626" i="8"/>
  <c r="L626" i="8" s="1"/>
  <c r="J646" i="8"/>
  <c r="L646" i="8" s="1"/>
  <c r="J697" i="8"/>
  <c r="L697" i="8" s="1"/>
  <c r="J750" i="8"/>
  <c r="L750" i="8" s="1"/>
  <c r="J264" i="8"/>
  <c r="L264" i="8" s="1"/>
  <c r="J793" i="8"/>
  <c r="L793" i="8" s="1"/>
  <c r="J467" i="8"/>
  <c r="L467" i="8" s="1"/>
  <c r="J924" i="8"/>
  <c r="L924" i="8" s="1"/>
  <c r="J814" i="8"/>
  <c r="L814" i="8" s="1"/>
  <c r="J890" i="8"/>
  <c r="L890" i="8" s="1"/>
  <c r="J661" i="8"/>
  <c r="L661" i="8" s="1"/>
  <c r="J688" i="8"/>
  <c r="L688" i="8" s="1"/>
  <c r="J593" i="8"/>
  <c r="L593" i="8" s="1"/>
  <c r="J772" i="8"/>
  <c r="L772" i="8" s="1"/>
  <c r="J129" i="8"/>
  <c r="L129" i="8" s="1"/>
  <c r="J71" i="8"/>
  <c r="L71" i="8" s="1"/>
  <c r="J112" i="8"/>
  <c r="L112" i="8" s="1"/>
  <c r="J1257" i="8"/>
  <c r="L1257" i="8" s="1"/>
  <c r="J214" i="8"/>
  <c r="L214" i="8" s="1"/>
  <c r="J813" i="8"/>
  <c r="L813" i="8" s="1"/>
  <c r="J1140" i="8"/>
  <c r="L1140" i="8" s="1"/>
  <c r="J414" i="8"/>
  <c r="L414" i="8" s="1"/>
  <c r="J154" i="8"/>
  <c r="L154" i="8" s="1"/>
  <c r="J623" i="8"/>
  <c r="L623" i="8" s="1"/>
  <c r="J747" i="8"/>
  <c r="L747" i="8" s="1"/>
  <c r="J901" i="8"/>
  <c r="L901" i="8" s="1"/>
  <c r="J980" i="8"/>
  <c r="L980" i="8" s="1"/>
  <c r="J134" i="8"/>
  <c r="L134" i="8" s="1"/>
  <c r="J358" i="8"/>
  <c r="L358" i="8" s="1"/>
  <c r="J625" i="8"/>
  <c r="L625" i="8" s="1"/>
  <c r="J762" i="8"/>
  <c r="L762" i="8" s="1"/>
  <c r="J92" i="8"/>
  <c r="L92" i="8" s="1"/>
  <c r="J642" i="8"/>
  <c r="L642" i="8" s="1"/>
  <c r="J995" i="8"/>
  <c r="L995" i="8" s="1"/>
  <c r="J680" i="8"/>
  <c r="L680" i="8" s="1"/>
  <c r="J1275" i="8"/>
  <c r="L1275" i="8" s="1"/>
  <c r="J218" i="8"/>
  <c r="L218" i="8" s="1"/>
  <c r="J497" i="8"/>
  <c r="L497" i="8" s="1"/>
  <c r="J989" i="8"/>
  <c r="L989" i="8" s="1"/>
  <c r="J1184" i="8"/>
  <c r="L1184" i="8" s="1"/>
  <c r="J1305" i="8"/>
  <c r="L1305" i="8" s="1"/>
  <c r="J594" i="8"/>
  <c r="L594" i="8" s="1"/>
  <c r="J903" i="8"/>
  <c r="L903" i="8" s="1"/>
  <c r="J109" i="8"/>
  <c r="L109" i="8" s="1"/>
  <c r="J220" i="8"/>
  <c r="L220" i="8" s="1"/>
  <c r="J736" i="8"/>
  <c r="L736" i="8" s="1"/>
  <c r="J275" i="8"/>
  <c r="L275" i="8" s="1"/>
  <c r="J1003" i="8"/>
  <c r="L1003" i="8" s="1"/>
  <c r="J274" i="8"/>
  <c r="L274" i="8" s="1"/>
  <c r="J855" i="8"/>
  <c r="L855" i="8" s="1"/>
  <c r="J1174" i="8"/>
  <c r="L1174" i="8" s="1"/>
  <c r="J159" i="8"/>
  <c r="L159" i="8" s="1"/>
  <c r="J1311" i="8"/>
  <c r="L1311" i="8" s="1"/>
  <c r="J63" i="8"/>
  <c r="L63" i="8" s="1"/>
  <c r="J815" i="8"/>
  <c r="L815" i="8" s="1"/>
  <c r="J1309" i="8"/>
  <c r="L1309" i="8" s="1"/>
  <c r="J288" i="8"/>
  <c r="L288" i="8" s="1"/>
  <c r="J32" i="8"/>
  <c r="L32" i="8" s="1"/>
  <c r="J830" i="8"/>
  <c r="L830" i="8" s="1"/>
  <c r="J707" i="8"/>
  <c r="L707" i="8" s="1"/>
  <c r="J169" i="8"/>
  <c r="L169" i="8" s="1"/>
  <c r="J904" i="8"/>
  <c r="L904" i="8" s="1"/>
  <c r="J721" i="8"/>
  <c r="L721" i="8" s="1"/>
  <c r="J716" i="8"/>
  <c r="L716" i="8" s="1"/>
  <c r="J659" i="8"/>
  <c r="L659" i="8" s="1"/>
  <c r="J296" i="8"/>
  <c r="L296" i="8" s="1"/>
  <c r="J791" i="8"/>
  <c r="L791" i="8" s="1"/>
  <c r="J627" i="8"/>
  <c r="L627" i="8" s="1"/>
  <c r="J1021" i="8"/>
  <c r="L1021" i="8" s="1"/>
  <c r="J582" i="8"/>
  <c r="L582" i="8" s="1"/>
  <c r="J58" i="8"/>
  <c r="L58" i="8" s="1"/>
  <c r="J82" i="8"/>
  <c r="L82" i="8" s="1"/>
  <c r="J474" i="8"/>
  <c r="L474" i="8" s="1"/>
  <c r="J920" i="8"/>
  <c r="L920" i="8" s="1"/>
  <c r="J570" i="8"/>
  <c r="L570" i="8" s="1"/>
  <c r="J689" i="8"/>
  <c r="L689" i="8" s="1"/>
  <c r="J127" i="8"/>
  <c r="L127" i="8" s="1"/>
  <c r="J164" i="8"/>
  <c r="L164" i="8" s="1"/>
  <c r="J799" i="8"/>
  <c r="L799" i="8" s="1"/>
  <c r="J690" i="8"/>
  <c r="L690" i="8" s="1"/>
  <c r="J122" i="8"/>
  <c r="L122" i="8" s="1"/>
  <c r="J445" i="8"/>
  <c r="L445" i="8" s="1"/>
  <c r="J244" i="8"/>
  <c r="L244" i="8" s="1"/>
  <c r="J3" i="8"/>
  <c r="L3" i="8" s="1"/>
  <c r="J345" i="8"/>
  <c r="L345" i="8" s="1"/>
  <c r="J4" i="8"/>
  <c r="L4" i="8" s="1"/>
  <c r="J309" i="8"/>
  <c r="L309" i="8" s="1"/>
  <c r="J80" i="8"/>
  <c r="L80" i="8" s="1"/>
  <c r="J23" i="8"/>
  <c r="L23" i="8" s="1"/>
  <c r="J409" i="8"/>
  <c r="L409" i="8" s="1"/>
  <c r="J291" i="8"/>
  <c r="L291" i="8" s="1"/>
  <c r="J612" i="8"/>
  <c r="L612" i="8" s="1"/>
  <c r="J222" i="8"/>
  <c r="L222" i="8" s="1"/>
  <c r="J113" i="8"/>
  <c r="L113" i="8" s="1"/>
  <c r="J8" i="8"/>
  <c r="L8" i="8" s="1"/>
  <c r="J38" i="8"/>
  <c r="L38" i="8" s="1"/>
  <c r="J555" i="8"/>
  <c r="L555" i="8" s="1"/>
  <c r="J993" i="8"/>
  <c r="L993" i="8" s="1"/>
  <c r="J117" i="8"/>
  <c r="L117" i="8" s="1"/>
  <c r="J130" i="8"/>
  <c r="L130" i="8" s="1"/>
  <c r="J207" i="8"/>
  <c r="L207" i="8" s="1"/>
  <c r="J378" i="8"/>
  <c r="L378" i="8" s="1"/>
  <c r="J311" i="8"/>
  <c r="L311" i="8" s="1"/>
  <c r="J391" i="8"/>
  <c r="L391" i="8" s="1"/>
  <c r="J366" i="8"/>
  <c r="L366" i="8" s="1"/>
  <c r="J20" i="8"/>
  <c r="L20" i="8" s="1"/>
  <c r="J292" i="8"/>
  <c r="L292" i="8" s="1"/>
  <c r="J364" i="8"/>
  <c r="L364" i="8" s="1"/>
  <c r="J62" i="8"/>
  <c r="L62" i="8" s="1"/>
  <c r="J219" i="8"/>
  <c r="L219" i="8" s="1"/>
  <c r="J247" i="8"/>
  <c r="L247" i="8" s="1"/>
  <c r="J1104" i="8"/>
  <c r="L1104" i="8" s="1"/>
  <c r="J389" i="8"/>
  <c r="L389" i="8" s="1"/>
  <c r="J97" i="8"/>
  <c r="L97" i="8" s="1"/>
  <c r="J564" i="8"/>
  <c r="L564" i="8" s="1"/>
  <c r="J147" i="8"/>
  <c r="L147" i="8" s="1"/>
  <c r="J1176" i="8"/>
  <c r="L1176" i="8" s="1"/>
  <c r="J681" i="8"/>
  <c r="L681" i="8" s="1"/>
  <c r="J370" i="8"/>
  <c r="L370" i="8" s="1"/>
  <c r="J769" i="8"/>
  <c r="L769" i="8" s="1"/>
  <c r="J792" i="8"/>
  <c r="L792" i="8" s="1"/>
  <c r="J385" i="8"/>
  <c r="L385" i="8" s="1"/>
  <c r="J289" i="8"/>
  <c r="L289" i="8" s="1"/>
  <c r="J1192" i="8"/>
  <c r="L1192" i="8" s="1"/>
  <c r="J124" i="8"/>
  <c r="L124" i="8" s="1"/>
  <c r="J18" i="8"/>
  <c r="L18" i="8" s="1"/>
  <c r="J47" i="8"/>
  <c r="L47" i="8" s="1"/>
  <c r="J946" i="8"/>
  <c r="L946" i="8" s="1"/>
  <c r="J44" i="8"/>
  <c r="L44" i="8" s="1"/>
  <c r="J217" i="8"/>
  <c r="L217" i="8" s="1"/>
  <c r="J193" i="8"/>
  <c r="L193" i="8" s="1"/>
  <c r="J1188" i="8"/>
  <c r="L1188" i="8" s="1"/>
  <c r="J1148" i="8"/>
  <c r="L1148" i="8" s="1"/>
  <c r="J517" i="8"/>
  <c r="L517" i="8" s="1"/>
  <c r="J396" i="8"/>
  <c r="L396" i="8" s="1"/>
  <c r="J1042" i="8"/>
  <c r="L1042" i="8" s="1"/>
  <c r="J254" i="8"/>
  <c r="L254" i="8" s="1"/>
  <c r="J170" i="8"/>
  <c r="L170" i="8" s="1"/>
  <c r="J822" i="8"/>
  <c r="L822" i="8" s="1"/>
  <c r="J136" i="8"/>
  <c r="L136" i="8" s="1"/>
  <c r="J844" i="8"/>
  <c r="L844" i="8" s="1"/>
  <c r="J205" i="8"/>
  <c r="L205" i="8" s="1"/>
  <c r="J748" i="8"/>
  <c r="L748" i="8" s="1"/>
  <c r="J496" i="8"/>
  <c r="L496" i="8" s="1"/>
  <c r="J1248" i="8"/>
  <c r="L1248" i="8" s="1"/>
  <c r="J664" i="8"/>
  <c r="L664" i="8" s="1"/>
  <c r="J542" i="8"/>
  <c r="L542" i="8" s="1"/>
  <c r="J87" i="8"/>
  <c r="L87" i="8" s="1"/>
  <c r="J401" i="8"/>
  <c r="L401" i="8" s="1"/>
  <c r="J290" i="8"/>
  <c r="L290" i="8" s="1"/>
  <c r="J469" i="8"/>
  <c r="L469" i="8" s="1"/>
  <c r="J125" i="8"/>
  <c r="L125" i="8" s="1"/>
  <c r="J198" i="8"/>
  <c r="L198" i="8" s="1"/>
  <c r="J819" i="8"/>
  <c r="L819" i="8" s="1"/>
  <c r="J487" i="8"/>
  <c r="L487" i="8" s="1"/>
  <c r="J323" i="8"/>
  <c r="L323" i="8" s="1"/>
  <c r="J922" i="8"/>
  <c r="L922" i="8" s="1"/>
  <c r="J1320" i="8"/>
  <c r="L1320" i="8" s="1"/>
  <c r="J501" i="8"/>
  <c r="L501" i="8" s="1"/>
  <c r="J64" i="8"/>
  <c r="L64" i="8" s="1"/>
  <c r="J918" i="8"/>
  <c r="L918" i="8" s="1"/>
  <c r="J298" i="8"/>
  <c r="L298" i="8" s="1"/>
  <c r="J332" i="8"/>
  <c r="L332" i="8" s="1"/>
  <c r="J137" i="8"/>
  <c r="L137" i="8" s="1"/>
  <c r="J248" i="8"/>
  <c r="L248" i="8" s="1"/>
  <c r="J835" i="8"/>
  <c r="L835" i="8" s="1"/>
  <c r="J6" i="8"/>
  <c r="L6" i="8" s="1"/>
  <c r="J253" i="8"/>
  <c r="L253" i="8" s="1"/>
  <c r="J215" i="8"/>
  <c r="L215" i="8" s="1"/>
  <c r="J1175" i="8"/>
  <c r="L1175" i="8" s="1"/>
  <c r="J145" i="8"/>
  <c r="L145" i="8" s="1"/>
  <c r="J208" i="8"/>
  <c r="L208" i="8" s="1"/>
  <c r="J942" i="8"/>
  <c r="L942" i="8" s="1"/>
  <c r="J213" i="8"/>
  <c r="L213" i="8" s="1"/>
  <c r="J1063" i="8"/>
  <c r="L1063" i="8" s="1"/>
  <c r="J754" i="8"/>
  <c r="L754" i="8" s="1"/>
  <c r="J138" i="8"/>
  <c r="L138" i="8" s="1"/>
  <c r="J140" i="8"/>
  <c r="L140" i="8" s="1"/>
  <c r="J202" i="8"/>
  <c r="L202" i="8" s="1"/>
  <c r="J1225" i="8"/>
  <c r="L1225" i="8" s="1"/>
  <c r="J212" i="8"/>
  <c r="L212" i="8" s="1"/>
  <c r="J2" i="8"/>
  <c r="L2" i="8" s="1"/>
  <c r="J1177" i="8"/>
  <c r="L1177" i="8" s="1"/>
  <c r="J1212" i="8"/>
  <c r="L1212" i="8" s="1"/>
  <c r="J1090" i="8"/>
  <c r="L1090" i="8" s="1"/>
  <c r="J315" i="8"/>
  <c r="L315" i="8" s="1"/>
  <c r="J1143" i="8"/>
  <c r="L1143" i="8" s="1"/>
  <c r="J1252" i="8"/>
  <c r="L1252" i="8" s="1"/>
  <c r="J1029" i="8"/>
  <c r="L1029" i="8" s="1"/>
  <c r="J263" i="8"/>
  <c r="L263" i="8" s="1"/>
  <c r="J312" i="8"/>
  <c r="L312" i="8" s="1"/>
  <c r="J1264" i="8"/>
  <c r="L1264" i="8" s="1"/>
  <c r="J708" i="8"/>
  <c r="L708" i="8" s="1"/>
  <c r="J472" i="8"/>
  <c r="L472" i="8" s="1"/>
  <c r="J820" i="8"/>
  <c r="L820" i="8" s="1"/>
  <c r="J428" i="8"/>
  <c r="L428" i="8" s="1"/>
  <c r="J121" i="8"/>
  <c r="L121" i="8" s="1"/>
  <c r="J473" i="8"/>
  <c r="L473" i="8" s="1"/>
  <c r="J1069" i="8"/>
  <c r="L1069" i="8" s="1"/>
  <c r="J255" i="8"/>
  <c r="L255" i="8" s="1"/>
  <c r="J70" i="8"/>
  <c r="L70" i="8" s="1"/>
  <c r="J454" i="8"/>
  <c r="L454" i="8" s="1"/>
  <c r="J613" i="8"/>
  <c r="L613" i="8" s="1"/>
  <c r="J1084" i="8"/>
  <c r="L1084" i="8" s="1"/>
  <c r="J197" i="8"/>
  <c r="L197" i="8" s="1"/>
  <c r="J225" i="8"/>
  <c r="L225" i="8" s="1"/>
  <c r="J737" i="8"/>
  <c r="L737" i="8" s="1"/>
  <c r="J935" i="8"/>
  <c r="L935" i="8" s="1"/>
  <c r="J789" i="8"/>
  <c r="L789" i="8" s="1"/>
  <c r="J603" i="8"/>
  <c r="L603" i="8" s="1"/>
  <c r="J34" i="8"/>
  <c r="L34" i="8" s="1"/>
  <c r="J235" i="8"/>
  <c r="L235" i="8" s="1"/>
  <c r="J818" i="8"/>
  <c r="L818" i="8" s="1"/>
  <c r="J321" i="8"/>
  <c r="L321" i="8" s="1"/>
  <c r="J498" i="8"/>
  <c r="L498" i="8" s="1"/>
  <c r="J65" i="8"/>
  <c r="L65" i="8" s="1"/>
  <c r="J141" i="8"/>
  <c r="L141" i="8" s="1"/>
  <c r="J520" i="8"/>
  <c r="L520" i="8" s="1"/>
  <c r="J536" i="8"/>
  <c r="L536" i="8" s="1"/>
  <c r="J739" i="8"/>
  <c r="L739" i="8" s="1"/>
  <c r="J105" i="8"/>
  <c r="L105" i="8" s="1"/>
  <c r="J488" i="8"/>
  <c r="L488" i="8" s="1"/>
  <c r="J1214" i="8"/>
  <c r="L1214" i="8" s="1"/>
  <c r="J5" i="8"/>
  <c r="L5" i="8" s="1"/>
  <c r="J767" i="8"/>
  <c r="L767" i="8" s="1"/>
  <c r="J383" i="8"/>
  <c r="L383" i="8" s="1"/>
  <c r="J340" i="8"/>
  <c r="L340" i="8" s="1"/>
  <c r="J558" i="8"/>
  <c r="L558" i="8" s="1"/>
  <c r="J449" i="8"/>
  <c r="L449" i="8" s="1"/>
  <c r="J991" i="8"/>
  <c r="L991" i="8" s="1"/>
  <c r="J191" i="8"/>
  <c r="L191" i="8" s="1"/>
  <c r="J258" i="8"/>
  <c r="L258" i="8" s="1"/>
  <c r="J1241" i="8"/>
  <c r="L1241" i="8" s="1"/>
  <c r="J39" i="8"/>
  <c r="L39" i="8" s="1"/>
  <c r="J100" i="8"/>
  <c r="L100" i="8" s="1"/>
  <c r="J278" i="8"/>
  <c r="L278" i="8" s="1"/>
  <c r="J28" i="8"/>
  <c r="L28" i="8" s="1"/>
  <c r="J962" i="8"/>
  <c r="L962" i="8" s="1"/>
  <c r="J116" i="8"/>
  <c r="L116" i="8" s="1"/>
  <c r="J26" i="8"/>
  <c r="L26" i="8" s="1"/>
  <c r="J42" i="8"/>
  <c r="L42" i="8" s="1"/>
  <c r="J703" i="8"/>
  <c r="L703" i="8" s="1"/>
  <c r="J392" i="8"/>
  <c r="L392" i="8" s="1"/>
  <c r="J15" i="8"/>
  <c r="L15" i="8" s="1"/>
  <c r="J352" i="8"/>
  <c r="L352" i="8" s="1"/>
  <c r="J410" i="8"/>
  <c r="L410" i="8" s="1"/>
  <c r="J821" i="8"/>
  <c r="L821" i="8" s="1"/>
  <c r="J768" i="8"/>
  <c r="L768" i="8" s="1"/>
  <c r="J189" i="8"/>
  <c r="L189" i="8" s="1"/>
  <c r="J231" i="8"/>
  <c r="L231" i="8" s="1"/>
  <c r="J211" i="8"/>
  <c r="L211" i="8" s="1"/>
  <c r="J456" i="8"/>
  <c r="L456" i="8" s="1"/>
  <c r="J178" i="8"/>
  <c r="L178" i="8" s="1"/>
  <c r="J495" i="8"/>
  <c r="L495" i="8" s="1"/>
  <c r="J395" i="8"/>
  <c r="L395" i="8" s="1"/>
  <c r="J1043" i="8"/>
  <c r="L1043" i="8" s="1"/>
  <c r="J320" i="8"/>
  <c r="L320" i="8" s="1"/>
  <c r="J16" i="8"/>
  <c r="L16" i="8" s="1"/>
  <c r="J76" i="8"/>
  <c r="L76" i="8" s="1"/>
  <c r="J351" i="8"/>
  <c r="L351" i="8" s="1"/>
  <c r="J983" i="8"/>
  <c r="L983" i="8" s="1"/>
  <c r="J157" i="8"/>
  <c r="L157" i="8" s="1"/>
  <c r="J175" i="8"/>
  <c r="L175" i="8" s="1"/>
  <c r="J877" i="8"/>
  <c r="L877" i="8" s="1"/>
  <c r="J84" i="8"/>
  <c r="L84" i="8" s="1"/>
  <c r="J532" i="8"/>
  <c r="L532" i="8" s="1"/>
  <c r="J132" i="8"/>
  <c r="L132" i="8" s="1"/>
  <c r="J398" i="8"/>
  <c r="L398" i="8" s="1"/>
  <c r="J249" i="8"/>
  <c r="L249" i="8" s="1"/>
  <c r="J575" i="8"/>
  <c r="L575" i="8" s="1"/>
  <c r="J144" i="8"/>
  <c r="L144" i="8" s="1"/>
  <c r="J795" i="8"/>
  <c r="L795" i="8" s="1"/>
  <c r="J451" i="8"/>
  <c r="L451" i="8" s="1"/>
  <c r="J188" i="8"/>
  <c r="L188" i="8" s="1"/>
  <c r="J611" i="8"/>
  <c r="L611" i="8" s="1"/>
  <c r="J336" i="8"/>
  <c r="L336" i="8" s="1"/>
  <c r="J77" i="8"/>
  <c r="L77" i="8" s="1"/>
  <c r="J362" i="8"/>
  <c r="L362" i="8" s="1"/>
  <c r="J30" i="8"/>
  <c r="L30" i="8" s="1"/>
  <c r="J36" i="8"/>
  <c r="L36" i="8" s="1"/>
  <c r="J234" i="8"/>
  <c r="L234" i="8" s="1"/>
  <c r="J882" i="8"/>
  <c r="L882" i="8" s="1"/>
  <c r="J160" i="8"/>
  <c r="L160" i="8" s="1"/>
  <c r="J226" i="8"/>
  <c r="L226" i="8" s="1"/>
  <c r="J102" i="8"/>
  <c r="L102" i="8" s="1"/>
  <c r="J427" i="8"/>
  <c r="L427" i="8" s="1"/>
  <c r="J749" i="8"/>
  <c r="L749" i="8" s="1"/>
  <c r="J304" i="8"/>
  <c r="L304" i="8" s="1"/>
  <c r="J135" i="8"/>
  <c r="L135" i="8" s="1"/>
  <c r="J957" i="8"/>
  <c r="L957" i="8" s="1"/>
  <c r="J173" i="8"/>
  <c r="L173" i="8" s="1"/>
  <c r="J67" i="8"/>
  <c r="L67" i="8" s="1"/>
  <c r="J155" i="8"/>
  <c r="L155" i="8" s="1"/>
  <c r="J29" i="8"/>
  <c r="L29" i="8" s="1"/>
  <c r="J176" i="8"/>
  <c r="L176" i="8" s="1"/>
  <c r="J500" i="8"/>
  <c r="L500" i="8" s="1"/>
  <c r="J114" i="8"/>
  <c r="L114" i="8" s="1"/>
  <c r="J801" i="8"/>
  <c r="L801" i="8" s="1"/>
  <c r="J317" i="8"/>
  <c r="L317" i="8" s="1"/>
  <c r="J81" i="8"/>
  <c r="L81" i="8" s="1"/>
  <c r="J334" i="8"/>
  <c r="L334" i="8" s="1"/>
  <c r="J27" i="8"/>
  <c r="L27" i="8" s="1"/>
  <c r="J52" i="8"/>
  <c r="L52" i="8" s="1"/>
  <c r="J60" i="8"/>
  <c r="L60" i="8" s="1"/>
  <c r="J59" i="8"/>
  <c r="L59" i="8" s="1"/>
  <c r="J74" i="8"/>
  <c r="L74" i="8" s="1"/>
  <c r="J624" i="8"/>
  <c r="L624" i="8" s="1"/>
  <c r="J54" i="8"/>
  <c r="L54" i="8" s="1"/>
  <c r="J174" i="8"/>
  <c r="L174" i="8" s="1"/>
  <c r="J61" i="8"/>
  <c r="L61" i="8" s="1"/>
  <c r="J400" i="8"/>
  <c r="L400" i="8" s="1"/>
  <c r="J1112" i="8"/>
  <c r="L1112" i="8" s="1"/>
  <c r="J978" i="8"/>
  <c r="L978" i="8" s="1"/>
  <c r="J22" i="8"/>
  <c r="L22" i="8" s="1"/>
  <c r="J206" i="8"/>
  <c r="L206" i="8" s="1"/>
  <c r="J325" i="8"/>
  <c r="L325" i="8" s="1"/>
  <c r="J755" i="8"/>
  <c r="L755" i="8" s="1"/>
  <c r="J407" i="8"/>
  <c r="L407" i="8" s="1"/>
  <c r="J629" i="8"/>
  <c r="L629" i="8" s="1"/>
  <c r="J48" i="8"/>
  <c r="L48" i="8" s="1"/>
  <c r="J1280" i="8"/>
  <c r="L1280" i="8" s="1"/>
  <c r="J1060" i="8"/>
  <c r="L1060" i="8" s="1"/>
  <c r="J200" i="8"/>
  <c r="L200" i="8" s="1"/>
  <c r="J794" i="8"/>
  <c r="L794" i="8" s="1"/>
  <c r="J743" i="8"/>
  <c r="L743" i="8" s="1"/>
  <c r="J713" i="8"/>
  <c r="L713" i="8" s="1"/>
  <c r="J209" i="8"/>
  <c r="L209" i="8" s="1"/>
  <c r="J93" i="8"/>
  <c r="L93" i="8" s="1"/>
  <c r="J870" i="8"/>
  <c r="L870" i="8" s="1"/>
  <c r="J12" i="8"/>
  <c r="L12" i="8" s="1"/>
  <c r="J85" i="8"/>
  <c r="L85" i="8" s="1"/>
  <c r="J24" i="8"/>
  <c r="L24" i="8" s="1"/>
  <c r="J95" i="8"/>
  <c r="L95" i="8" s="1"/>
  <c r="J742" i="8"/>
  <c r="L742" i="8" s="1"/>
  <c r="J446" i="8"/>
  <c r="L446" i="8" s="1"/>
  <c r="J17" i="8"/>
  <c r="L17" i="8" s="1"/>
  <c r="J179" i="8"/>
  <c r="L179" i="8" s="1"/>
  <c r="J359" i="8"/>
  <c r="L359" i="8" s="1"/>
  <c r="J40" i="8"/>
  <c r="L40" i="8" s="1"/>
  <c r="J740" i="8"/>
  <c r="L740" i="8" s="1"/>
  <c r="J1273" i="8"/>
  <c r="L1273" i="8" s="1"/>
  <c r="J831" i="8"/>
  <c r="L831" i="8" s="1"/>
  <c r="J75" i="8"/>
  <c r="L75" i="8" s="1"/>
  <c r="J349" i="8"/>
  <c r="L349" i="8" s="1"/>
  <c r="J823" i="8"/>
  <c r="L823" i="8" s="1"/>
  <c r="J996" i="8"/>
  <c r="L996" i="8" s="1"/>
  <c r="J968" i="8"/>
  <c r="L968" i="8" s="1"/>
  <c r="J717" i="8"/>
  <c r="L717" i="8" s="1"/>
  <c r="J393" i="8"/>
  <c r="L393" i="8" s="1"/>
  <c r="J83" i="8"/>
  <c r="L83" i="8" s="1"/>
  <c r="J879" i="8"/>
  <c r="L879" i="8" s="1"/>
  <c r="J156" i="8"/>
  <c r="L156" i="8" s="1"/>
  <c r="J51" i="8"/>
  <c r="L51" i="8" s="1"/>
  <c r="J438" i="8"/>
  <c r="L438" i="8" s="1"/>
  <c r="J104" i="8"/>
  <c r="L104" i="8" s="1"/>
  <c r="J119" i="8"/>
  <c r="L119" i="8" s="1"/>
  <c r="J68" i="8"/>
  <c r="L68" i="8" s="1"/>
  <c r="J1028" i="8"/>
  <c r="L1028" i="8" s="1"/>
  <c r="J589" i="8"/>
  <c r="L589" i="8" s="1"/>
  <c r="J829" i="8"/>
  <c r="L829" i="8" s="1"/>
  <c r="J187" i="8"/>
  <c r="L187" i="8" s="1"/>
  <c r="J13" i="8"/>
  <c r="L13" i="8" s="1"/>
  <c r="J224" i="8"/>
  <c r="L224" i="8" s="1"/>
  <c r="J25" i="8"/>
  <c r="L25" i="8" s="1"/>
  <c r="J90" i="8"/>
  <c r="L90" i="8" s="1"/>
  <c r="J131" i="8"/>
  <c r="L131" i="8" s="1"/>
  <c r="J373" i="8"/>
  <c r="L373" i="8" s="1"/>
  <c r="J96" i="8"/>
  <c r="L96" i="8" s="1"/>
  <c r="J66" i="8"/>
  <c r="L66" i="8" s="1"/>
  <c r="J41" i="8"/>
  <c r="L41" i="8" s="1"/>
  <c r="J1313" i="8"/>
  <c r="L1313" i="8" s="1"/>
  <c r="J150" i="8"/>
  <c r="L150" i="8" s="1"/>
  <c r="J186" i="8"/>
  <c r="L186" i="8" s="1"/>
  <c r="J372" i="8"/>
  <c r="L372" i="8" s="1"/>
  <c r="J57" i="8"/>
  <c r="L57" i="8" s="1"/>
  <c r="J354" i="8"/>
  <c r="L354" i="8" s="1"/>
  <c r="J204" i="8"/>
  <c r="L204" i="8" s="1"/>
  <c r="J31" i="8"/>
  <c r="L31" i="8" s="1"/>
  <c r="J663" i="8"/>
  <c r="L663" i="8" s="1"/>
  <c r="J94" i="8"/>
  <c r="L94" i="8" s="1"/>
  <c r="J196" i="8"/>
  <c r="L196" i="8" s="1"/>
  <c r="J525" i="8"/>
  <c r="L525" i="8" s="1"/>
  <c r="J133" i="8"/>
  <c r="L133" i="8" s="1"/>
  <c r="J9" i="8"/>
  <c r="L9" i="8" s="1"/>
  <c r="J11" i="8"/>
  <c r="L11" i="8" s="1"/>
  <c r="J662" i="8"/>
  <c r="L662" i="8" s="1"/>
  <c r="J238" i="8"/>
  <c r="L238" i="8" s="1"/>
  <c r="J1284" i="8"/>
  <c r="L1284" i="8" s="1"/>
  <c r="J1144" i="8"/>
  <c r="L1144" i="8" s="1"/>
  <c r="J1113" i="8"/>
  <c r="L1113" i="8" s="1"/>
  <c r="J1247" i="8"/>
  <c r="L1247" i="8" s="1"/>
  <c r="J1306" i="8"/>
  <c r="L1306" i="8" s="1"/>
  <c r="J1244" i="8"/>
  <c r="L1244" i="8" s="1"/>
  <c r="J1255" i="8"/>
  <c r="L1255" i="8" s="1"/>
  <c r="J1071" i="8"/>
  <c r="L1071" i="8" s="1"/>
  <c r="J1220" i="8"/>
  <c r="L1220" i="8" s="1"/>
  <c r="J1070" i="8"/>
  <c r="L1070" i="8" s="1"/>
  <c r="J1291" i="8"/>
  <c r="L1291" i="8" s="1"/>
  <c r="J1298" i="8"/>
  <c r="L1298" i="8" s="1"/>
  <c r="J1312" i="8"/>
  <c r="L1312" i="8" s="1"/>
  <c r="J1181" i="8"/>
  <c r="L1181" i="8" s="1"/>
  <c r="J1076" i="8"/>
  <c r="L1076" i="8" s="1"/>
  <c r="J1195" i="8"/>
  <c r="L1195" i="8" s="1"/>
  <c r="J1221" i="8"/>
  <c r="L1221" i="8" s="1"/>
  <c r="J1303" i="8"/>
  <c r="L1303" i="8" s="1"/>
  <c r="J1321" i="8"/>
  <c r="L1321" i="8" s="1"/>
  <c r="J1161" i="8"/>
  <c r="L1161" i="8" s="1"/>
  <c r="J1055" i="8"/>
  <c r="L1055" i="8" s="1"/>
  <c r="J1119" i="8"/>
  <c r="L1119" i="8" s="1"/>
  <c r="J1004" i="8"/>
  <c r="L1004" i="8" s="1"/>
  <c r="J1325" i="8"/>
  <c r="L1325" i="8" s="1"/>
  <c r="J1182" i="8"/>
  <c r="L1182" i="8" s="1"/>
  <c r="J1179" i="8"/>
  <c r="L1179" i="8" s="1"/>
  <c r="J1061" i="8"/>
  <c r="L1061" i="8" s="1"/>
  <c r="J1122" i="8"/>
  <c r="L1122" i="8" s="1"/>
  <c r="J1227" i="8"/>
  <c r="L1227" i="8" s="1"/>
  <c r="J1189" i="8"/>
  <c r="L1189" i="8" s="1"/>
  <c r="J1110" i="8"/>
  <c r="L1110" i="8" s="1"/>
  <c r="J1268" i="8"/>
  <c r="L1268" i="8" s="1"/>
  <c r="J1180" i="8"/>
  <c r="L1180" i="8" s="1"/>
  <c r="J631" i="8"/>
  <c r="L631" i="8" s="1"/>
  <c r="J1166" i="8"/>
  <c r="L1166" i="8" s="1"/>
  <c r="J1243" i="8"/>
  <c r="L1243" i="8" s="1"/>
  <c r="J1253" i="8"/>
  <c r="L1253" i="8" s="1"/>
  <c r="J1194" i="8"/>
  <c r="L1194" i="8" s="1"/>
  <c r="J1299" i="8"/>
  <c r="L1299" i="8" s="1"/>
  <c r="J926" i="8"/>
  <c r="L926" i="8" s="1"/>
  <c r="J1124" i="8"/>
  <c r="L1124" i="8" s="1"/>
  <c r="J1258" i="8"/>
  <c r="L1258" i="8" s="1"/>
  <c r="J1209" i="8"/>
  <c r="L1209" i="8" s="1"/>
  <c r="J1149" i="8"/>
  <c r="L1149" i="8" s="1"/>
  <c r="J1170" i="8"/>
  <c r="L1170" i="8" s="1"/>
  <c r="J1294" i="8"/>
  <c r="L1294" i="8" s="1"/>
  <c r="J1096" i="8"/>
  <c r="L1096" i="8" s="1"/>
  <c r="J1045" i="8"/>
  <c r="L1045" i="8" s="1"/>
  <c r="J1187" i="8"/>
  <c r="L1187" i="8" s="1"/>
  <c r="J1215" i="8"/>
  <c r="L1215" i="8" s="1"/>
  <c r="J1133" i="8"/>
  <c r="L1133" i="8" s="1"/>
  <c r="J1204" i="8"/>
  <c r="L1204" i="8" s="1"/>
  <c r="J1218" i="8"/>
  <c r="L1218" i="8" s="1"/>
  <c r="J1154" i="8"/>
  <c r="L1154" i="8" s="1"/>
  <c r="J1242" i="8"/>
  <c r="L1242" i="8" s="1"/>
  <c r="J1292" i="8"/>
  <c r="L1292" i="8" s="1"/>
  <c r="J1295" i="8"/>
  <c r="L1295" i="8" s="1"/>
  <c r="J1285" i="8"/>
  <c r="L1285" i="8" s="1"/>
  <c r="J1281" i="8"/>
  <c r="L1281" i="8" s="1"/>
  <c r="J1307" i="8"/>
  <c r="L1307" i="8" s="1"/>
  <c r="J1276" i="8"/>
  <c r="L1276" i="8" s="1"/>
  <c r="J1282" i="8"/>
  <c r="L1282" i="8" s="1"/>
  <c r="J1269" i="8"/>
  <c r="L1269" i="8" s="1"/>
  <c r="J1286" i="8"/>
  <c r="L1286" i="8" s="1"/>
  <c r="J1287" i="8"/>
  <c r="L1287" i="8" s="1"/>
  <c r="J1261" i="8"/>
  <c r="L1261" i="8" s="1"/>
  <c r="J1032" i="8"/>
  <c r="L1032" i="8" s="1"/>
  <c r="J964" i="8"/>
  <c r="L964" i="8" s="1"/>
  <c r="J887" i="8"/>
  <c r="L887" i="8" s="1"/>
  <c r="J671" i="8"/>
  <c r="L671" i="8" s="1"/>
  <c r="J1005" i="8"/>
  <c r="L1005" i="8" s="1"/>
  <c r="J841" i="8"/>
  <c r="L841" i="8" s="1"/>
  <c r="J1051" i="8"/>
  <c r="L1051" i="8" s="1"/>
  <c r="J862" i="8"/>
  <c r="L862" i="8" s="1"/>
  <c r="J857" i="8"/>
  <c r="L857" i="8" s="1"/>
  <c r="J1229" i="8"/>
  <c r="L1229" i="8" s="1"/>
  <c r="J698" i="8"/>
  <c r="L698" i="8" s="1"/>
  <c r="J891" i="8"/>
  <c r="L891" i="8" s="1"/>
  <c r="J1014" i="8"/>
  <c r="L1014" i="8" s="1"/>
  <c r="J960" i="8"/>
  <c r="L960" i="8" s="1"/>
  <c r="J765" i="8"/>
  <c r="L765" i="8" s="1"/>
  <c r="J676" i="8"/>
  <c r="L676" i="8" s="1"/>
  <c r="J1246" i="8"/>
  <c r="L1246" i="8" s="1"/>
  <c r="J1135" i="8"/>
  <c r="L1135" i="8" s="1"/>
  <c r="J1102" i="8"/>
  <c r="L1102" i="8" s="1"/>
  <c r="J1073" i="8"/>
  <c r="L1073" i="8" s="1"/>
  <c r="J1317" i="8"/>
  <c r="L1317" i="8" s="1"/>
  <c r="J896" i="8"/>
  <c r="L896" i="8" s="1"/>
  <c r="J682" i="8"/>
  <c r="L682" i="8" s="1"/>
  <c r="J699" i="8"/>
  <c r="L699" i="8" s="1"/>
  <c r="J832" i="8"/>
  <c r="L832" i="8" s="1"/>
  <c r="J701" i="8"/>
  <c r="L701" i="8" s="1"/>
  <c r="J951" i="8"/>
  <c r="L951" i="8" s="1"/>
  <c r="J279" i="8"/>
  <c r="L279" i="8" s="1"/>
  <c r="J971" i="8"/>
  <c r="L971" i="8" s="1"/>
  <c r="J1153" i="8"/>
  <c r="L1153" i="8" s="1"/>
  <c r="J1315" i="8"/>
  <c r="L1315" i="8" s="1"/>
  <c r="J802" i="8"/>
  <c r="L802" i="8" s="1"/>
  <c r="J833" i="8"/>
  <c r="L833" i="8" s="1"/>
  <c r="J1050" i="8"/>
  <c r="L1050" i="8" s="1"/>
  <c r="J1057" i="8"/>
  <c r="L1057" i="8" s="1"/>
  <c r="J806" i="8"/>
  <c r="L806" i="8" s="1"/>
  <c r="J758" i="8"/>
  <c r="L758" i="8" s="1"/>
  <c r="J775" i="8"/>
  <c r="L775" i="8" s="1"/>
  <c r="J969" i="8"/>
  <c r="L969" i="8" s="1"/>
  <c r="J853" i="8"/>
  <c r="L853" i="8" s="1"/>
  <c r="J727" i="8"/>
  <c r="L727" i="8" s="1"/>
  <c r="J1016" i="8"/>
  <c r="L1016" i="8" s="1"/>
  <c r="J597" i="8"/>
  <c r="L597" i="8" s="1"/>
  <c r="J868" i="8"/>
  <c r="L868" i="8" s="1"/>
  <c r="J1109" i="8"/>
  <c r="L1109" i="8" s="1"/>
  <c r="J674" i="8"/>
  <c r="L674" i="8" s="1"/>
  <c r="J1006" i="8"/>
  <c r="L1006" i="8" s="1"/>
  <c r="J1289" i="8"/>
  <c r="L1289" i="8" s="1"/>
  <c r="J974" i="8"/>
  <c r="L974" i="8" s="1"/>
  <c r="J1022" i="8"/>
  <c r="L1022" i="8" s="1"/>
  <c r="J628" i="8"/>
  <c r="L628" i="8" s="1"/>
  <c r="J1066" i="8"/>
  <c r="L1066" i="8" s="1"/>
  <c r="J864" i="8"/>
  <c r="L864" i="8" s="1"/>
  <c r="J850" i="8"/>
  <c r="L850" i="8" s="1"/>
  <c r="J557" i="8"/>
  <c r="L557" i="8" s="1"/>
  <c r="J651" i="8"/>
  <c r="L651" i="8" s="1"/>
  <c r="J562" i="8"/>
  <c r="L562" i="8" s="1"/>
  <c r="J894" i="8"/>
  <c r="L894" i="8" s="1"/>
  <c r="J1083" i="8"/>
  <c r="L1083" i="8" s="1"/>
  <c r="J976" i="8"/>
  <c r="L976" i="8" s="1"/>
  <c r="J324" i="8"/>
  <c r="L324" i="8" s="1"/>
  <c r="J871" i="8"/>
  <c r="L871" i="8" s="1"/>
  <c r="J1235" i="8"/>
  <c r="L1235" i="8" s="1"/>
  <c r="J845" i="8"/>
  <c r="L845" i="8" s="1"/>
  <c r="J621" i="8"/>
  <c r="L621" i="8" s="1"/>
  <c r="J1062" i="8"/>
  <c r="L1062" i="8" s="1"/>
  <c r="J751" i="8"/>
  <c r="L751" i="8" s="1"/>
  <c r="J897" i="8"/>
  <c r="L897" i="8" s="1"/>
  <c r="J567" i="8"/>
  <c r="L567" i="8" s="1"/>
  <c r="J1228" i="8"/>
  <c r="L1228" i="8" s="1"/>
  <c r="J684" i="8"/>
  <c r="L684" i="8" s="1"/>
  <c r="J712" i="8"/>
  <c r="L712" i="8" s="1"/>
  <c r="J614" i="8"/>
  <c r="L614" i="8" s="1"/>
  <c r="J685" i="8"/>
  <c r="L685" i="8" s="1"/>
  <c r="J537" i="8"/>
  <c r="L537" i="8" s="1"/>
  <c r="J559" i="8"/>
  <c r="L559" i="8" s="1"/>
  <c r="J632" i="8"/>
  <c r="L632" i="8" s="1"/>
  <c r="J905" i="8"/>
  <c r="L905" i="8" s="1"/>
  <c r="J591" i="8"/>
  <c r="L591" i="8" s="1"/>
  <c r="J1106" i="8"/>
  <c r="L1106" i="8" s="1"/>
  <c r="J572" i="8"/>
  <c r="L572" i="8" s="1"/>
  <c r="J724" i="8"/>
  <c r="L724" i="8" s="1"/>
  <c r="J605" i="8"/>
  <c r="L605" i="8" s="1"/>
  <c r="J1203" i="8"/>
  <c r="L1203" i="8" s="1"/>
  <c r="J972" i="8"/>
  <c r="L972" i="8" s="1"/>
  <c r="J781" i="8"/>
  <c r="L781" i="8" s="1"/>
  <c r="J930" i="8"/>
  <c r="L930" i="8" s="1"/>
  <c r="J652" i="8"/>
  <c r="L652" i="8" s="1"/>
  <c r="J568" i="8"/>
  <c r="L568" i="8" s="1"/>
  <c r="J776" i="8"/>
  <c r="L776" i="8" s="1"/>
  <c r="J482" i="8"/>
  <c r="L482" i="8" s="1"/>
  <c r="J1171" i="8"/>
  <c r="L1171" i="8" s="1"/>
  <c r="J710" i="8"/>
  <c r="L710" i="8" s="1"/>
  <c r="J666" i="8"/>
  <c r="L666" i="8" s="1"/>
  <c r="J759" i="8"/>
  <c r="L759" i="8" s="1"/>
  <c r="J782" i="8"/>
  <c r="L782" i="8" s="1"/>
  <c r="J744" i="8"/>
  <c r="L744" i="8" s="1"/>
  <c r="J1130" i="8"/>
  <c r="L1130" i="8" s="1"/>
  <c r="J928" i="8"/>
  <c r="L928" i="8" s="1"/>
  <c r="J970" i="8"/>
  <c r="L970" i="8" s="1"/>
  <c r="J667" i="8"/>
  <c r="L667" i="8" s="1"/>
  <c r="J719" i="8"/>
  <c r="L719" i="8" s="1"/>
  <c r="J902" i="8"/>
  <c r="L902" i="8" s="1"/>
  <c r="J618" i="8"/>
  <c r="L618" i="8" s="1"/>
  <c r="J399" i="8"/>
  <c r="L399" i="8" s="1"/>
  <c r="J653" i="8"/>
  <c r="L653" i="8" s="1"/>
  <c r="J824" i="8"/>
  <c r="L824" i="8" s="1"/>
  <c r="J886" i="8"/>
  <c r="L886" i="8" s="1"/>
  <c r="J945" i="8"/>
  <c r="L945" i="8" s="1"/>
  <c r="J787" i="8"/>
  <c r="L787" i="8" s="1"/>
  <c r="J756" i="8"/>
  <c r="L756" i="8" s="1"/>
  <c r="J728" i="8"/>
  <c r="L728" i="8" s="1"/>
  <c r="J693" i="8"/>
  <c r="L693" i="8" s="1"/>
  <c r="J745" i="8"/>
  <c r="L745" i="8" s="1"/>
  <c r="J617" i="8"/>
  <c r="L617" i="8" s="1"/>
  <c r="J694" i="8"/>
  <c r="L694" i="8" s="1"/>
  <c r="J592" i="8"/>
  <c r="L592" i="8" s="1"/>
  <c r="J1020" i="8"/>
  <c r="L1020" i="8" s="1"/>
  <c r="J616" i="8"/>
  <c r="L616" i="8" s="1"/>
  <c r="J615" i="8"/>
  <c r="L615" i="8" s="1"/>
  <c r="J909" i="8"/>
  <c r="L909" i="8" s="1"/>
  <c r="J722" i="8"/>
  <c r="L722" i="8" s="1"/>
  <c r="J895" i="8"/>
  <c r="L895" i="8" s="1"/>
  <c r="J638" i="8"/>
  <c r="L638" i="8" s="1"/>
  <c r="J630" i="8"/>
  <c r="L630" i="8" s="1"/>
  <c r="J936" i="8"/>
  <c r="L936" i="8" s="1"/>
  <c r="J1134" i="8"/>
  <c r="L1134" i="8" s="1"/>
  <c r="J811" i="8"/>
  <c r="L811" i="8" s="1"/>
  <c r="J807" i="8"/>
  <c r="L807" i="8" s="1"/>
  <c r="J914" i="8"/>
  <c r="L914" i="8" s="1"/>
  <c r="J1262" i="8"/>
  <c r="L1262" i="8" s="1"/>
  <c r="J619" i="8"/>
  <c r="L619" i="8" s="1"/>
  <c r="J1035" i="8"/>
  <c r="L1035" i="8" s="1"/>
  <c r="J490" i="8"/>
  <c r="L490" i="8" s="1"/>
  <c r="J1138" i="8"/>
  <c r="L1138" i="8" s="1"/>
  <c r="J1163" i="8"/>
  <c r="L1163" i="8" s="1"/>
  <c r="J1205" i="8"/>
  <c r="L1205" i="8" s="1"/>
  <c r="J1077" i="8"/>
  <c r="L1077" i="8" s="1"/>
  <c r="J1094" i="8"/>
  <c r="L1094" i="8" s="1"/>
  <c r="J999" i="8"/>
  <c r="L999" i="8" s="1"/>
  <c r="J1058" i="8"/>
  <c r="L1058" i="8" s="1"/>
  <c r="J1324" i="8"/>
  <c r="L1324" i="8" s="1"/>
  <c r="J1103" i="8"/>
  <c r="L1103" i="8" s="1"/>
  <c r="J1326" i="8"/>
  <c r="L1326" i="8" s="1"/>
  <c r="J1036" i="8"/>
  <c r="L1036" i="8" s="1"/>
  <c r="J1160" i="8"/>
  <c r="L1160" i="8" s="1"/>
  <c r="J1080" i="8"/>
  <c r="L1080" i="8" s="1"/>
  <c r="J981" i="8"/>
  <c r="L981" i="8" s="1"/>
  <c r="J984" i="8"/>
  <c r="L984" i="8" s="1"/>
  <c r="J1202" i="8"/>
  <c r="L1202" i="8" s="1"/>
  <c r="J948" i="8"/>
  <c r="L948" i="8" s="1"/>
  <c r="J1127" i="8"/>
  <c r="L1127" i="8" s="1"/>
  <c r="J1064" i="8"/>
  <c r="L1064" i="8" s="1"/>
  <c r="J1304" i="8"/>
  <c r="L1304" i="8" s="1"/>
  <c r="J1240" i="8"/>
  <c r="L1240" i="8" s="1"/>
  <c r="J1233" i="8"/>
  <c r="L1233" i="8" s="1"/>
  <c r="J1047" i="8"/>
  <c r="L1047" i="8" s="1"/>
  <c r="J1274" i="8"/>
  <c r="L1274" i="8" s="1"/>
  <c r="J1169" i="8"/>
  <c r="L1169" i="8" s="1"/>
  <c r="J1210" i="8"/>
  <c r="L1210" i="8" s="1"/>
  <c r="J1162" i="8"/>
  <c r="L1162" i="8" s="1"/>
  <c r="J1224" i="8"/>
  <c r="L1224" i="8" s="1"/>
  <c r="J1164" i="8"/>
  <c r="L1164" i="8" s="1"/>
  <c r="J1098" i="8"/>
  <c r="L1098" i="8" s="1"/>
  <c r="J633" i="8"/>
  <c r="L633" i="8" s="1"/>
  <c r="J1017" i="8"/>
  <c r="L1017" i="8" s="1"/>
  <c r="J1267" i="8"/>
  <c r="L1267" i="8" s="1"/>
  <c r="J1232" i="8"/>
  <c r="L1232" i="8" s="1"/>
  <c r="J977" i="8"/>
  <c r="L977" i="8" s="1"/>
  <c r="J1145" i="8"/>
  <c r="L1145" i="8" s="1"/>
  <c r="J1150" i="8"/>
  <c r="L1150" i="8" s="1"/>
  <c r="J1075" i="8"/>
  <c r="L1075" i="8" s="1"/>
  <c r="J925" i="8"/>
  <c r="L925" i="8" s="1"/>
  <c r="J899" i="8"/>
  <c r="L899" i="8" s="1"/>
  <c r="J1001" i="8"/>
  <c r="L1001" i="8" s="1"/>
  <c r="J985" i="8"/>
  <c r="L985" i="8" s="1"/>
  <c r="J911" i="8"/>
  <c r="L911" i="8" s="1"/>
  <c r="J1018" i="8"/>
  <c r="L1018" i="8" s="1"/>
  <c r="J851" i="8"/>
  <c r="L851" i="8" s="1"/>
  <c r="J1283" i="8"/>
  <c r="L1283" i="8" s="1"/>
  <c r="J1052" i="8"/>
  <c r="L1052" i="8" s="1"/>
  <c r="J937" i="8"/>
  <c r="L937" i="8" s="1"/>
  <c r="J912" i="8"/>
  <c r="L912" i="8" s="1"/>
  <c r="J810" i="8"/>
  <c r="L810" i="8" s="1"/>
  <c r="J987" i="8"/>
  <c r="L987" i="8" s="1"/>
  <c r="J1007" i="8"/>
  <c r="L1007" i="8" s="1"/>
  <c r="J1141" i="8"/>
  <c r="L1141" i="8" s="1"/>
  <c r="J1136" i="8"/>
  <c r="L1136" i="8" s="1"/>
  <c r="J1155" i="8"/>
  <c r="L1155" i="8" s="1"/>
  <c r="J913" i="8"/>
  <c r="L913" i="8" s="1"/>
  <c r="J932" i="8"/>
  <c r="L932" i="8" s="1"/>
  <c r="J1296" i="8"/>
  <c r="L1296" i="8" s="1"/>
  <c r="J1328" i="8"/>
  <c r="L1328" i="8" s="1"/>
  <c r="J1010" i="8"/>
  <c r="L1010" i="8" s="1"/>
  <c r="J1226" i="8"/>
  <c r="L1226" i="8" s="1"/>
  <c r="J860" i="8"/>
  <c r="L860" i="8" s="1"/>
  <c r="J1208" i="8"/>
  <c r="L1208" i="8" s="1"/>
  <c r="J571" i="8"/>
  <c r="L571" i="8" s="1"/>
  <c r="J1037" i="8"/>
  <c r="L1037" i="8" s="1"/>
  <c r="J1331" i="8"/>
  <c r="L1331" i="8" s="1"/>
  <c r="J944" i="8"/>
  <c r="L944" i="8" s="1"/>
  <c r="J1198" i="8"/>
  <c r="L1198" i="8" s="1"/>
  <c r="J1108" i="8"/>
  <c r="L1108" i="8" s="1"/>
  <c r="J1027" i="8"/>
  <c r="L1027" i="8" s="1"/>
  <c r="J1200" i="8"/>
  <c r="L1200" i="8" s="1"/>
  <c r="J1327" i="8"/>
  <c r="L1327" i="8" s="1"/>
  <c r="J1185" i="8"/>
  <c r="L1185" i="8" s="1"/>
  <c r="J695" i="8"/>
  <c r="L695" i="8" s="1"/>
  <c r="J1254" i="8"/>
  <c r="L1254" i="8" s="1"/>
  <c r="J888" i="8"/>
  <c r="L888" i="8" s="1"/>
  <c r="J842" i="8"/>
  <c r="L842" i="8" s="1"/>
  <c r="J1293" i="8"/>
  <c r="L1293" i="8" s="1"/>
  <c r="J836" i="8"/>
  <c r="L836" i="8" s="1"/>
  <c r="J1082" i="8"/>
  <c r="L1082" i="8" s="1"/>
  <c r="J1085" i="8"/>
  <c r="L1085" i="8" s="1"/>
  <c r="J990" i="8"/>
  <c r="L990" i="8" s="1"/>
  <c r="J1234" i="8"/>
  <c r="L1234" i="8" s="1"/>
  <c r="J866" i="8"/>
  <c r="L866" i="8" s="1"/>
  <c r="J826" i="8"/>
  <c r="L826" i="8" s="1"/>
  <c r="J1030" i="8"/>
  <c r="L1030" i="8" s="1"/>
  <c r="J439" i="8"/>
  <c r="L439" i="8" s="1"/>
  <c r="J729" i="8"/>
  <c r="L729" i="8" s="1"/>
  <c r="J380" i="8"/>
  <c r="L380" i="8" s="1"/>
  <c r="J348" i="8"/>
  <c r="L348" i="8" s="1"/>
  <c r="J1172" i="8"/>
  <c r="L1172" i="8" s="1"/>
  <c r="J293" i="8"/>
  <c r="L293" i="8" s="1"/>
  <c r="J538" i="8"/>
  <c r="L538" i="8" s="1"/>
  <c r="J329" i="8"/>
  <c r="L329" i="8" s="1"/>
  <c r="J1314" i="8"/>
  <c r="L1314" i="8" s="1"/>
  <c r="J1191" i="8"/>
  <c r="L1191" i="8" s="1"/>
  <c r="J1230" i="8"/>
  <c r="L1230" i="8" s="1"/>
  <c r="J1092" i="8"/>
  <c r="L1092" i="8" s="1"/>
  <c r="J476" i="8"/>
  <c r="L476" i="8" s="1"/>
  <c r="J368" i="8"/>
  <c r="L368" i="8" s="1"/>
  <c r="J673" i="8"/>
  <c r="L673" i="8" s="1"/>
  <c r="J961" i="8"/>
  <c r="L961" i="8" s="1"/>
  <c r="J848" i="8"/>
  <c r="L848" i="8" s="1"/>
  <c r="J459" i="8"/>
  <c r="L459" i="8" s="1"/>
  <c r="J679" i="8"/>
  <c r="L679" i="8" s="1"/>
  <c r="J403" i="8"/>
  <c r="L403" i="8" s="1"/>
  <c r="J1151" i="8"/>
  <c r="L1151" i="8" s="1"/>
  <c r="J466" i="8"/>
  <c r="L466" i="8" s="1"/>
  <c r="J162" i="8"/>
  <c r="L162" i="8" s="1"/>
  <c r="J1251" i="8"/>
  <c r="L1251" i="8" s="1"/>
  <c r="J1330" i="8"/>
  <c r="L1330" i="8" s="1"/>
  <c r="J365" i="8"/>
  <c r="L365" i="8" s="1"/>
  <c r="J182" i="8"/>
  <c r="L182" i="8" s="1"/>
  <c r="J1023" i="8"/>
  <c r="L1023" i="8" s="1"/>
  <c r="J1053" i="8"/>
  <c r="L1053" i="8" s="1"/>
  <c r="J322" i="8"/>
  <c r="L322" i="8" s="1"/>
  <c r="J1266" i="8"/>
  <c r="L1266" i="8" s="1"/>
  <c r="J509" i="8"/>
  <c r="L509" i="8" s="1"/>
  <c r="J1213" i="8"/>
  <c r="L1213" i="8" s="1"/>
  <c r="J233" i="8"/>
  <c r="L233" i="8" s="1"/>
  <c r="J1300" i="8"/>
  <c r="L1300" i="8" s="1"/>
  <c r="J566" i="8"/>
  <c r="L566" i="8" s="1"/>
  <c r="J1038" i="8"/>
  <c r="L1038" i="8" s="1"/>
  <c r="J281" i="8"/>
  <c r="L281" i="8" s="1"/>
  <c r="J1158" i="8"/>
  <c r="L1158" i="8" s="1"/>
  <c r="J1137" i="8"/>
  <c r="L1137" i="8" s="1"/>
  <c r="J654" i="8"/>
  <c r="L654" i="8" s="1"/>
  <c r="J505" i="8"/>
  <c r="L505" i="8" s="1"/>
  <c r="J285" i="8"/>
  <c r="L285" i="8" s="1"/>
  <c r="J216" i="8"/>
  <c r="L216" i="8" s="1"/>
  <c r="J1249" i="8"/>
  <c r="L1249" i="8" s="1"/>
  <c r="J1278" i="8"/>
  <c r="L1278" i="8" s="1"/>
  <c r="J994" i="8"/>
  <c r="L994" i="8" s="1"/>
  <c r="J837" i="8"/>
  <c r="L837" i="8" s="1"/>
  <c r="J711" i="8"/>
  <c r="L711" i="8" s="1"/>
  <c r="J583" i="8"/>
  <c r="L583" i="8" s="1"/>
  <c r="J808" i="8"/>
  <c r="L808" i="8" s="1"/>
  <c r="J785" i="8"/>
  <c r="L785" i="8" s="1"/>
  <c r="J416" i="8"/>
  <c r="L416" i="8" s="1"/>
  <c r="J1329" i="8"/>
  <c r="L1329" i="8" s="1"/>
  <c r="J210" i="8"/>
  <c r="L210" i="8" s="1"/>
  <c r="J788" i="8"/>
  <c r="L788" i="8" s="1"/>
  <c r="J240" i="8"/>
  <c r="L240" i="8" s="1"/>
  <c r="J668" i="8"/>
  <c r="L668" i="8" s="1"/>
  <c r="J522" i="8"/>
  <c r="L522" i="8" s="1"/>
  <c r="J405" i="8"/>
  <c r="L405" i="8" s="1"/>
  <c r="J297" i="8"/>
  <c r="L297" i="8" s="1"/>
  <c r="J549" i="8"/>
  <c r="L549" i="8" s="1"/>
  <c r="J307" i="8"/>
  <c r="L307" i="8" s="1"/>
  <c r="J1279" i="8"/>
  <c r="L1279" i="8" s="1"/>
  <c r="J262" i="8"/>
  <c r="L262" i="8" s="1"/>
  <c r="J931" i="8"/>
  <c r="L931" i="8" s="1"/>
  <c r="J1199" i="8"/>
  <c r="L1199" i="8" s="1"/>
  <c r="J1318" i="8"/>
  <c r="L1318" i="8" s="1"/>
  <c r="J283" i="8"/>
  <c r="L283" i="8" s="1"/>
  <c r="J527" i="8"/>
  <c r="L527" i="8" s="1"/>
  <c r="J521" i="8"/>
  <c r="L521" i="8" s="1"/>
  <c r="J705" i="8"/>
  <c r="L705" i="8" s="1"/>
  <c r="J1322" i="8"/>
  <c r="L1322" i="8" s="1"/>
  <c r="J1178" i="8"/>
  <c r="L1178" i="8" s="1"/>
  <c r="J295" i="8"/>
  <c r="L295" i="8" s="1"/>
  <c r="J1000" i="8"/>
  <c r="L1000" i="8" s="1"/>
  <c r="J319" i="8"/>
  <c r="L319" i="8" s="1"/>
  <c r="J464" i="8"/>
  <c r="L464" i="8" s="1"/>
  <c r="J510" i="8"/>
  <c r="L510" i="8" s="1"/>
  <c r="J442" i="8"/>
  <c r="L442" i="8" s="1"/>
  <c r="J1115" i="8"/>
  <c r="L1115" i="8" s="1"/>
  <c r="J1129" i="8"/>
  <c r="L1129" i="8" s="1"/>
  <c r="J302" i="8"/>
  <c r="L302" i="8" s="1"/>
  <c r="J115" i="8"/>
  <c r="L115" i="8" s="1"/>
  <c r="J1190" i="8"/>
  <c r="L1190" i="8" s="1"/>
  <c r="J241" i="8"/>
  <c r="L241" i="8" s="1"/>
  <c r="J576" i="8"/>
  <c r="L576" i="8" s="1"/>
  <c r="J341" i="8"/>
  <c r="L341" i="8" s="1"/>
  <c r="J246" i="8"/>
  <c r="L246" i="8" s="1"/>
  <c r="J1165" i="8"/>
  <c r="L1165" i="8" s="1"/>
  <c r="J190" i="8"/>
  <c r="L190" i="8" s="1"/>
  <c r="J149" i="8"/>
  <c r="L149" i="8" s="1"/>
  <c r="J1054" i="8"/>
  <c r="L1054" i="8" s="1"/>
  <c r="J1216" i="8"/>
  <c r="L1216" i="8" s="1"/>
  <c r="J230" i="8"/>
  <c r="L230" i="8" s="1"/>
  <c r="J194" i="8"/>
  <c r="L194" i="8" s="1"/>
  <c r="J413" i="8"/>
  <c r="L413" i="8" s="1"/>
  <c r="J958" i="8"/>
  <c r="L958" i="8" s="1"/>
  <c r="J151" i="8"/>
  <c r="L151" i="8" s="1"/>
  <c r="J1131" i="8"/>
  <c r="L1131" i="8" s="1"/>
  <c r="J377" i="8"/>
  <c r="L377" i="8" s="1"/>
  <c r="J163" i="8"/>
  <c r="L163" i="8" s="1"/>
  <c r="J1316" i="8"/>
  <c r="L1316" i="8" s="1"/>
  <c r="J287" i="8"/>
  <c r="L287" i="8" s="1"/>
  <c r="J817" i="8"/>
  <c r="L817" i="8" s="1"/>
  <c r="J1238" i="8"/>
  <c r="L1238" i="8" s="1"/>
  <c r="J1067" i="8"/>
  <c r="L1067" i="8" s="1"/>
  <c r="J1011" i="8"/>
  <c r="L1011" i="8" s="1"/>
  <c r="J158" i="8"/>
  <c r="L158" i="8" s="1"/>
  <c r="J1142" i="8"/>
  <c r="L1142" i="8" s="1"/>
  <c r="J1272" i="8"/>
  <c r="L1272" i="8" s="1"/>
  <c r="J221" i="8"/>
  <c r="L221" i="8" s="1"/>
  <c r="J183" i="8"/>
  <c r="L183" i="8" s="1"/>
  <c r="J1078" i="8"/>
  <c r="L1078" i="8" s="1"/>
  <c r="J873" i="8"/>
  <c r="L873" i="8" s="1"/>
  <c r="J1105" i="8"/>
  <c r="L1105" i="8" s="1"/>
  <c r="J1117" i="8"/>
  <c r="L1117" i="8" s="1"/>
  <c r="J696" i="8"/>
  <c r="L696" i="8" s="1"/>
  <c r="J1088" i="8"/>
  <c r="L1088" i="8" s="1"/>
  <c r="J229" i="8"/>
  <c r="L229" i="8" s="1"/>
  <c r="J143" i="8"/>
  <c r="L143" i="8" s="1"/>
  <c r="J1250" i="8"/>
  <c r="L1250" i="8" s="1"/>
  <c r="J943" i="8"/>
  <c r="L943" i="8" s="1"/>
  <c r="J148" i="8"/>
  <c r="L148" i="8" s="1"/>
  <c r="J1095" i="8"/>
  <c r="L1095" i="8" s="1"/>
  <c r="J1288" i="8"/>
  <c r="L1288" i="8" s="1"/>
  <c r="J171" i="8"/>
  <c r="L171" i="8" s="1"/>
  <c r="J1056" i="8"/>
  <c r="L1056" i="8" s="1"/>
  <c r="J1024" i="8"/>
  <c r="L1024" i="8" s="1"/>
  <c r="J107" i="8"/>
  <c r="L107" i="8" s="1"/>
  <c r="J921" i="8"/>
  <c r="L921" i="8" s="1"/>
  <c r="J1012" i="8"/>
  <c r="L1012" i="8" s="1"/>
  <c r="J997" i="8"/>
  <c r="L997" i="8" s="1"/>
  <c r="J360" i="8"/>
  <c r="L360" i="8" s="1"/>
  <c r="J257" i="8"/>
  <c r="L257" i="8" s="1"/>
  <c r="J691" i="8"/>
  <c r="L691" i="8" s="1"/>
  <c r="J1025" i="8"/>
  <c r="L1025" i="8" s="1"/>
  <c r="J195" i="8"/>
  <c r="L195" i="8" s="1"/>
  <c r="J1097" i="8"/>
  <c r="L1097" i="8" s="1"/>
  <c r="J655" i="8"/>
  <c r="L655" i="8" s="1"/>
  <c r="J763" i="8"/>
  <c r="L763" i="8" s="1"/>
  <c r="J239" i="8"/>
  <c r="L239" i="8" s="1"/>
  <c r="J437" i="8"/>
  <c r="L437" i="8" s="1"/>
  <c r="J448" i="8"/>
  <c r="L448" i="8" s="1"/>
  <c r="J363" i="8"/>
  <c r="L363" i="8" s="1"/>
  <c r="J299" i="8"/>
  <c r="L299" i="8" s="1"/>
  <c r="J1219" i="8"/>
  <c r="L1219" i="8" s="1"/>
  <c r="J227" i="8"/>
  <c r="L227" i="8" s="1"/>
  <c r="J1222" i="8"/>
  <c r="L1222" i="8" s="1"/>
  <c r="J316" i="8"/>
  <c r="L316" i="8" s="1"/>
  <c r="J166" i="8"/>
  <c r="L166" i="8" s="1"/>
  <c r="J269" i="8"/>
  <c r="L269" i="8" s="1"/>
  <c r="J1031" i="8"/>
  <c r="L1031" i="8" s="1"/>
  <c r="J988" i="8"/>
  <c r="L988" i="8" s="1"/>
  <c r="J152" i="8"/>
  <c r="L152" i="8" s="1"/>
  <c r="J282" i="8"/>
  <c r="L282" i="8" s="1"/>
  <c r="J1308" i="8"/>
  <c r="L1308" i="8" s="1"/>
  <c r="J732" i="8"/>
  <c r="L732" i="8" s="1"/>
  <c r="J387" i="8"/>
  <c r="L387" i="8" s="1"/>
  <c r="J184" i="8"/>
  <c r="L184" i="8" s="1"/>
  <c r="J199" i="8"/>
  <c r="L199" i="8" s="1"/>
  <c r="J1239" i="8"/>
  <c r="L1239" i="8" s="1"/>
  <c r="J982" i="8"/>
  <c r="L982" i="8" s="1"/>
  <c r="J192" i="8"/>
  <c r="L192" i="8" s="1"/>
  <c r="J259" i="8"/>
  <c r="L259" i="8" s="1"/>
  <c r="J1093" i="8"/>
  <c r="L1093" i="8" s="1"/>
  <c r="J872" i="8"/>
  <c r="L872" i="8" s="1"/>
  <c r="J252" i="8"/>
  <c r="L252" i="8" s="1"/>
  <c r="J1146" i="8"/>
  <c r="L1146" i="8" s="1"/>
  <c r="J514" i="8"/>
  <c r="L514" i="8" s="1"/>
  <c r="J1290" i="8"/>
  <c r="L1290" i="8" s="1"/>
  <c r="J1033" i="8"/>
  <c r="L1033" i="8" s="1"/>
  <c r="J1211" i="8"/>
  <c r="L1211" i="8" s="1"/>
  <c r="J308" i="8"/>
  <c r="L308" i="8" s="1"/>
  <c r="J906" i="8"/>
  <c r="L906" i="8" s="1"/>
  <c r="J313" i="8"/>
  <c r="L313" i="8" s="1"/>
  <c r="J916" i="8"/>
  <c r="L916" i="8" s="1"/>
  <c r="J422" i="8"/>
  <c r="L422" i="8" s="1"/>
  <c r="J959" i="8"/>
  <c r="L959" i="8" s="1"/>
  <c r="J402" i="8"/>
  <c r="L402" i="8" s="1"/>
  <c r="J675" i="8"/>
  <c r="L675" i="8" s="1"/>
  <c r="J585" i="8"/>
  <c r="L585" i="8" s="1"/>
  <c r="J404" i="8"/>
  <c r="L404" i="8" s="1"/>
  <c r="J606" i="8"/>
  <c r="L606" i="8" s="1"/>
  <c r="J838" i="8"/>
  <c r="L838" i="8" s="1"/>
  <c r="J649" i="8"/>
  <c r="L649" i="8" s="1"/>
  <c r="J900" i="8"/>
  <c r="L900" i="8" s="1"/>
  <c r="J798" i="8"/>
  <c r="L798" i="8" s="1"/>
  <c r="J481" i="8"/>
  <c r="L481" i="8" s="1"/>
  <c r="J660" i="8"/>
  <c r="L660" i="8" s="1"/>
  <c r="J607" i="8"/>
  <c r="L607" i="8" s="1"/>
  <c r="J827" i="8"/>
  <c r="L827" i="8" s="1"/>
  <c r="J547" i="8"/>
  <c r="L547" i="8" s="1"/>
  <c r="J480" i="8"/>
  <c r="L480" i="8" s="1"/>
  <c r="J475" i="8"/>
  <c r="L475" i="8" s="1"/>
  <c r="J424" i="8"/>
  <c r="L424" i="8" s="1"/>
  <c r="J635" i="8"/>
  <c r="L635" i="8" s="1"/>
  <c r="J463" i="8"/>
  <c r="L463" i="8" s="1"/>
  <c r="J425" i="8"/>
  <c r="L425" i="8" s="1"/>
  <c r="J444" i="8"/>
  <c r="L444" i="8" s="1"/>
  <c r="J523" i="8"/>
  <c r="L523" i="8" s="1"/>
  <c r="J730" i="8"/>
  <c r="L730" i="8" s="1"/>
  <c r="J554" i="8"/>
  <c r="L554" i="8" s="1"/>
  <c r="J949" i="8"/>
  <c r="L949" i="8" s="1"/>
  <c r="J1087" i="8"/>
  <c r="L1087" i="8" s="1"/>
  <c r="J573" i="8"/>
  <c r="L573" i="8" s="1"/>
  <c r="J955" i="8"/>
  <c r="L955" i="8" s="1"/>
  <c r="J584" i="8"/>
  <c r="L584" i="8" s="1"/>
  <c r="J511" i="8"/>
  <c r="L511" i="8" s="1"/>
  <c r="J485" i="8"/>
  <c r="L485" i="8" s="1"/>
  <c r="J518" i="8"/>
  <c r="L518" i="8" s="1"/>
  <c r="J915" i="8"/>
  <c r="L915" i="8" s="1"/>
  <c r="J431" i="8"/>
  <c r="L431" i="8" s="1"/>
  <c r="J579" i="8"/>
  <c r="L579" i="8" s="1"/>
  <c r="J563" i="8"/>
  <c r="L563" i="8" s="1"/>
  <c r="J1041" i="8"/>
  <c r="L1041" i="8" s="1"/>
  <c r="J1044" i="8"/>
  <c r="L1044" i="8" s="1"/>
  <c r="J967" i="8"/>
  <c r="L967" i="8" s="1"/>
  <c r="J828" i="8"/>
  <c r="L828" i="8" s="1"/>
  <c r="J590" i="8"/>
  <c r="L590" i="8" s="1"/>
  <c r="J512" i="8"/>
  <c r="L512" i="8" s="1"/>
  <c r="J1297" i="8"/>
  <c r="L1297" i="8" s="1"/>
  <c r="J519" i="8"/>
  <c r="L519" i="8" s="1"/>
  <c r="J779" i="8"/>
  <c r="L779" i="8" s="1"/>
  <c r="J809" i="8"/>
  <c r="L809" i="8" s="1"/>
  <c r="J432" i="8"/>
  <c r="L432" i="8" s="1"/>
  <c r="J468" i="8"/>
  <c r="L468" i="8" s="1"/>
  <c r="J883" i="8"/>
  <c r="L883" i="8" s="1"/>
  <c r="J677" i="8"/>
  <c r="L677" i="8" s="1"/>
  <c r="J634" i="8"/>
  <c r="L634" i="8" s="1"/>
  <c r="J669" i="8"/>
  <c r="L669" i="8" s="1"/>
  <c r="J884" i="8"/>
  <c r="L884" i="8" s="1"/>
  <c r="J907" i="8"/>
  <c r="L907" i="8" s="1"/>
  <c r="J515" i="8"/>
  <c r="L515" i="8" s="1"/>
  <c r="J1159" i="8"/>
  <c r="L1159" i="8" s="1"/>
  <c r="J650" i="8"/>
  <c r="L650" i="8" s="1"/>
  <c r="J761" i="8"/>
  <c r="L761" i="8" s="1"/>
  <c r="J1197" i="8"/>
  <c r="L1197" i="8" s="1"/>
  <c r="J670" i="8"/>
  <c r="L670" i="8" s="1"/>
  <c r="J355" i="8"/>
  <c r="L355" i="8" s="1"/>
  <c r="J1156" i="8"/>
  <c r="L1156" i="8" s="1"/>
  <c r="J1039" i="8"/>
  <c r="L1039" i="8" s="1"/>
  <c r="J861" i="8"/>
  <c r="L861" i="8" s="1"/>
  <c r="J940" i="8"/>
  <c r="L940" i="8" s="1"/>
  <c r="J1173" i="8"/>
  <c r="L1173" i="8" s="1"/>
  <c r="J950" i="8"/>
  <c r="L950" i="8" s="1"/>
  <c r="J455" i="8"/>
  <c r="L455" i="8" s="1"/>
  <c r="J540" i="8"/>
  <c r="L540" i="8" s="1"/>
  <c r="J846" i="8"/>
  <c r="L846" i="8" s="1"/>
  <c r="J604" i="8"/>
  <c r="L604" i="8" s="1"/>
  <c r="J804" i="8"/>
  <c r="L804" i="8" s="1"/>
  <c r="J483" i="8"/>
  <c r="L483" i="8" s="1"/>
  <c r="J508" i="8"/>
  <c r="L508" i="8" s="1"/>
  <c r="J863" i="8"/>
  <c r="L863" i="8" s="1"/>
  <c r="J1114" i="8"/>
  <c r="L1114" i="8" s="1"/>
  <c r="J502" i="8"/>
  <c r="L502" i="8" s="1"/>
  <c r="J1086" i="8"/>
  <c r="L1086" i="8" s="1"/>
  <c r="J342" i="8"/>
  <c r="L342" i="8" s="1"/>
  <c r="J1139" i="8"/>
  <c r="L1139" i="8" s="1"/>
  <c r="J1065" i="8"/>
  <c r="L1065" i="8" s="1"/>
  <c r="J544" i="8"/>
  <c r="L544" i="8" s="1"/>
  <c r="J880" i="8"/>
  <c r="L880" i="8" s="1"/>
  <c r="J470" i="8"/>
  <c r="L470" i="8" s="1"/>
  <c r="J530" i="8"/>
  <c r="L530" i="8" s="1"/>
  <c r="J560" i="8"/>
  <c r="L560" i="8" s="1"/>
  <c r="J491" i="8"/>
  <c r="L491" i="8" s="1"/>
  <c r="J357" i="8"/>
  <c r="L357" i="8" s="1"/>
  <c r="J658" i="8"/>
  <c r="L658" i="8" s="1"/>
  <c r="J418" i="8"/>
  <c r="L418" i="8" s="1"/>
  <c r="J1217" i="8"/>
  <c r="L1217" i="8" s="1"/>
  <c r="J457" i="8"/>
  <c r="L457" i="8" s="1"/>
  <c r="J330" i="8"/>
  <c r="L330" i="8" s="1"/>
  <c r="J524" i="8"/>
  <c r="L524" i="8" s="1"/>
  <c r="J369" i="8"/>
  <c r="L369" i="8" s="1"/>
  <c r="J443" i="8"/>
  <c r="L443" i="8" s="1"/>
  <c r="J839" i="8"/>
  <c r="L839" i="8" s="1"/>
  <c r="J303" i="8"/>
  <c r="L303" i="8" s="1"/>
  <c r="J1259" i="8"/>
  <c r="L1259" i="8" s="1"/>
  <c r="J735" i="8"/>
  <c r="L735" i="8" s="1"/>
  <c r="J587" i="8"/>
  <c r="L587" i="8" s="1"/>
  <c r="J565" i="8"/>
  <c r="L565" i="8" s="1"/>
  <c r="J1263" i="8"/>
  <c r="L1263" i="8" s="1"/>
  <c r="J1223" i="8"/>
  <c r="L1223" i="8" s="1"/>
  <c r="J347" i="8"/>
  <c r="L347" i="8" s="1"/>
  <c r="J447" i="8"/>
  <c r="L447" i="8" s="1"/>
  <c r="J429" i="8"/>
  <c r="L429" i="8" s="1"/>
  <c r="J574" i="8"/>
  <c r="L574" i="8" s="1"/>
  <c r="J381" i="8"/>
  <c r="L381" i="8" s="1"/>
  <c r="J300" i="8"/>
  <c r="L300" i="8" s="1"/>
  <c r="J595" i="8"/>
  <c r="L595" i="8" s="1"/>
  <c r="J545" i="8"/>
  <c r="L545" i="8" s="1"/>
  <c r="J452" i="8"/>
  <c r="L452" i="8" s="1"/>
  <c r="J306" i="8"/>
  <c r="L306" i="8" s="1"/>
  <c r="J656" i="8"/>
  <c r="L656" i="8" s="1"/>
  <c r="J1256" i="8"/>
  <c r="L1256" i="8" s="1"/>
  <c r="J1245" i="8"/>
  <c r="L1245" i="8" s="1"/>
  <c r="J1270" i="8"/>
  <c r="L1270" i="8" s="1"/>
  <c r="J420" i="8"/>
  <c r="L420" i="8" s="1"/>
  <c r="J620" i="8"/>
  <c r="L620" i="8" s="1"/>
  <c r="J1206" i="8"/>
  <c r="L1206" i="8" s="1"/>
  <c r="J709" i="8"/>
  <c r="L709" i="8" s="1"/>
  <c r="J803" i="8"/>
  <c r="L803" i="8" s="1"/>
  <c r="J493" i="8"/>
  <c r="L493" i="8" s="1"/>
  <c r="J489" i="8"/>
  <c r="L489" i="8" s="1"/>
  <c r="J892" i="8"/>
  <c r="L892" i="8" s="1"/>
  <c r="J421" i="8"/>
  <c r="L421" i="8" s="1"/>
  <c r="J433" i="8"/>
  <c r="L433" i="8" s="1"/>
  <c r="J608" i="8"/>
  <c r="L608" i="8" s="1"/>
  <c r="J551" i="8"/>
  <c r="L551" i="8" s="1"/>
  <c r="J979" i="8"/>
  <c r="L979" i="8" s="1"/>
  <c r="J535" i="8"/>
  <c r="L535" i="8" s="1"/>
  <c r="J622" i="8"/>
  <c r="L622" i="8" s="1"/>
  <c r="J539" i="8"/>
  <c r="L539" i="8" s="1"/>
  <c r="J486" i="8"/>
  <c r="L486" i="8" s="1"/>
  <c r="J333" i="8"/>
  <c r="L333" i="8" s="1"/>
  <c r="J310" i="8"/>
  <c r="L310" i="8" s="1"/>
  <c r="J436" i="8"/>
  <c r="L436" i="8" s="1"/>
  <c r="J952" i="8"/>
  <c r="L952" i="8" s="1"/>
  <c r="J600" i="8"/>
  <c r="L600" i="8" s="1"/>
  <c r="J494" i="8"/>
  <c r="L494" i="8" s="1"/>
  <c r="J1120" i="8"/>
  <c r="L1120" i="8" s="1"/>
  <c r="J733" i="8"/>
  <c r="L733" i="8" s="1"/>
  <c r="J484" i="8"/>
  <c r="L484" i="8" s="1"/>
  <c r="J465" i="8"/>
  <c r="L465" i="8" s="1"/>
  <c r="J1271" i="8"/>
  <c r="L1271" i="8" s="1"/>
  <c r="J1302" i="8"/>
  <c r="L1302" i="8" s="1"/>
  <c r="J648" i="8"/>
  <c r="L648" i="8" s="1"/>
  <c r="J462" i="8"/>
  <c r="L462" i="8" s="1"/>
  <c r="J267" i="8"/>
  <c r="L267" i="8" s="1"/>
  <c r="J528" i="8"/>
  <c r="L528" i="8" s="1"/>
  <c r="J578" i="8"/>
  <c r="L578" i="8" s="1"/>
  <c r="J339" i="8"/>
  <c r="L339" i="8" s="1"/>
  <c r="J506" i="8"/>
  <c r="L506" i="8" s="1"/>
  <c r="J1323" i="8"/>
  <c r="L1323" i="8" s="1"/>
  <c r="J596" i="8"/>
  <c r="L596" i="8" s="1"/>
  <c r="J335" i="8"/>
  <c r="L335" i="8" s="1"/>
  <c r="J1013" i="8"/>
  <c r="L1013" i="8" s="1"/>
  <c r="J1009" i="8"/>
  <c r="L1009" i="8" s="1"/>
  <c r="J639" i="8"/>
  <c r="L639" i="8" s="1"/>
  <c r="J346" i="8"/>
  <c r="L346" i="8" s="1"/>
  <c r="J1301" i="8"/>
  <c r="L1301" i="8" s="1"/>
  <c r="J834" i="8"/>
  <c r="L834" i="8" s="1"/>
  <c r="J492" i="8"/>
  <c r="L492" i="8" s="1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814" i="4"/>
  <c r="H815" i="4"/>
  <c r="H813" i="4"/>
  <c r="H812" i="4"/>
  <c r="H811" i="4"/>
  <c r="J811" i="4"/>
  <c r="J812" i="4"/>
  <c r="J810" i="4"/>
  <c r="J1107" i="4"/>
  <c r="J1106" i="4"/>
  <c r="J1105" i="4"/>
  <c r="J1104" i="4"/>
  <c r="J1103" i="4"/>
  <c r="J1102" i="4"/>
  <c r="J1101" i="4"/>
  <c r="J1100" i="4"/>
  <c r="J1099" i="4"/>
  <c r="J1098" i="4"/>
  <c r="J1097" i="4"/>
  <c r="J1096" i="4"/>
  <c r="J1095" i="4"/>
  <c r="J1094" i="4"/>
  <c r="J1093" i="4"/>
  <c r="J1092" i="4"/>
  <c r="J1091" i="4"/>
  <c r="J1090" i="4"/>
  <c r="J1089" i="4"/>
  <c r="J1088" i="4"/>
  <c r="J1087" i="4"/>
  <c r="J1086" i="4"/>
  <c r="J1085" i="4"/>
  <c r="J1084" i="4"/>
  <c r="J1083" i="4"/>
  <c r="J1082" i="4"/>
  <c r="J1081" i="4"/>
  <c r="J1080" i="4"/>
  <c r="J1079" i="4"/>
  <c r="J1078" i="4"/>
  <c r="J1077" i="4"/>
  <c r="J1076" i="4"/>
  <c r="J1075" i="4"/>
  <c r="J1074" i="4"/>
  <c r="J1073" i="4"/>
  <c r="J1072" i="4"/>
  <c r="J1071" i="4"/>
  <c r="J1070" i="4"/>
  <c r="J1069" i="4"/>
  <c r="J1068" i="4"/>
  <c r="J1067" i="4"/>
  <c r="J1066" i="4"/>
  <c r="J1065" i="4"/>
  <c r="J1064" i="4"/>
  <c r="J1063" i="4"/>
  <c r="J1062" i="4"/>
  <c r="J1061" i="4"/>
  <c r="J1060" i="4"/>
  <c r="J1059" i="4"/>
  <c r="J1058" i="4"/>
  <c r="J1057" i="4"/>
  <c r="J1056" i="4"/>
  <c r="J1055" i="4"/>
  <c r="J1054" i="4"/>
  <c r="J1053" i="4"/>
  <c r="J1052" i="4"/>
  <c r="J1051" i="4"/>
  <c r="J1050" i="4"/>
  <c r="J1049" i="4"/>
  <c r="J1048" i="4"/>
  <c r="J1047" i="4"/>
  <c r="J1046" i="4"/>
  <c r="J1045" i="4"/>
  <c r="J1044" i="4"/>
  <c r="J1043" i="4"/>
  <c r="J1042" i="4"/>
  <c r="J1041" i="4"/>
  <c r="J1040" i="4"/>
  <c r="J1039" i="4"/>
  <c r="J1038" i="4"/>
  <c r="J1037" i="4"/>
  <c r="J1036" i="4"/>
  <c r="J1035" i="4"/>
  <c r="J1034" i="4"/>
  <c r="J1033" i="4"/>
  <c r="J1032" i="4"/>
  <c r="J1031" i="4"/>
  <c r="J1030" i="4"/>
  <c r="J1029" i="4"/>
  <c r="J1028" i="4"/>
  <c r="J1027" i="4"/>
  <c r="J1026" i="4"/>
  <c r="J1025" i="4"/>
  <c r="J1024" i="4"/>
  <c r="J1023" i="4"/>
  <c r="J1022" i="4"/>
  <c r="J1021" i="4"/>
  <c r="J1020" i="4"/>
  <c r="J1019" i="4"/>
  <c r="J1018" i="4"/>
  <c r="J1017" i="4"/>
  <c r="J1016" i="4"/>
  <c r="J1015" i="4"/>
  <c r="J1014" i="4"/>
  <c r="J1013" i="4"/>
  <c r="J1012" i="4"/>
  <c r="J1011" i="4"/>
  <c r="J1010" i="4"/>
  <c r="J1009" i="4"/>
  <c r="J1008" i="4"/>
  <c r="J1007" i="4"/>
  <c r="J1006" i="4"/>
  <c r="J1005" i="4"/>
  <c r="J1004" i="4"/>
  <c r="J1003" i="4"/>
  <c r="J1002" i="4"/>
  <c r="J1001" i="4"/>
  <c r="J1000" i="4"/>
  <c r="J999" i="4"/>
  <c r="J998" i="4"/>
  <c r="J997" i="4"/>
  <c r="J996" i="4"/>
  <c r="J995" i="4"/>
  <c r="J994" i="4"/>
  <c r="J993" i="4"/>
  <c r="J992" i="4"/>
  <c r="J991" i="4"/>
  <c r="J990" i="4"/>
  <c r="J989" i="4"/>
  <c r="J988" i="4"/>
  <c r="J987" i="4"/>
  <c r="J986" i="4"/>
  <c r="J985" i="4"/>
  <c r="J984" i="4"/>
  <c r="J983" i="4"/>
  <c r="J982" i="4"/>
  <c r="J981" i="4"/>
  <c r="J980" i="4"/>
  <c r="J979" i="4"/>
  <c r="J978" i="4"/>
  <c r="J977" i="4"/>
  <c r="J976" i="4"/>
  <c r="J975" i="4"/>
  <c r="J974" i="4"/>
  <c r="J973" i="4"/>
  <c r="J972" i="4"/>
  <c r="J971" i="4"/>
  <c r="J970" i="4"/>
  <c r="J969" i="4"/>
  <c r="J968" i="4"/>
  <c r="J967" i="4"/>
  <c r="J966" i="4"/>
  <c r="J965" i="4"/>
  <c r="J964" i="4"/>
  <c r="J963" i="4"/>
  <c r="J962" i="4"/>
  <c r="J961" i="4"/>
  <c r="J960" i="4"/>
  <c r="J959" i="4"/>
  <c r="J958" i="4"/>
  <c r="J957" i="4"/>
  <c r="J956" i="4"/>
  <c r="J955" i="4"/>
  <c r="J954" i="4"/>
  <c r="J953" i="4"/>
  <c r="J952" i="4"/>
  <c r="J951" i="4"/>
  <c r="J950" i="4"/>
  <c r="J949" i="4"/>
  <c r="J948" i="4"/>
  <c r="J947" i="4"/>
  <c r="J946" i="4"/>
  <c r="J945" i="4"/>
  <c r="J944" i="4"/>
  <c r="J943" i="4"/>
  <c r="J942" i="4"/>
  <c r="J941" i="4"/>
  <c r="J940" i="4"/>
  <c r="J939" i="4"/>
  <c r="J938" i="4"/>
  <c r="J937" i="4"/>
  <c r="J936" i="4"/>
  <c r="J935" i="4"/>
  <c r="J934" i="4"/>
  <c r="J933" i="4"/>
  <c r="J932" i="4"/>
  <c r="J931" i="4"/>
  <c r="J930" i="4"/>
  <c r="J929" i="4"/>
  <c r="J928" i="4"/>
  <c r="J927" i="4"/>
  <c r="J926" i="4"/>
  <c r="J925" i="4"/>
  <c r="J924" i="4"/>
  <c r="J923" i="4"/>
  <c r="J922" i="4"/>
  <c r="J921" i="4"/>
  <c r="J920" i="4"/>
  <c r="J919" i="4"/>
  <c r="J918" i="4"/>
  <c r="J917" i="4"/>
  <c r="J916" i="4"/>
  <c r="J915" i="4"/>
  <c r="J914" i="4"/>
  <c r="J913" i="4"/>
  <c r="J912" i="4"/>
  <c r="J911" i="4"/>
  <c r="J910" i="4"/>
  <c r="J909" i="4"/>
  <c r="J908" i="4"/>
  <c r="J907" i="4"/>
  <c r="J906" i="4"/>
  <c r="J905" i="4"/>
  <c r="J904" i="4"/>
  <c r="J903" i="4"/>
  <c r="J902" i="4"/>
  <c r="J901" i="4"/>
  <c r="J900" i="4"/>
  <c r="J899" i="4"/>
  <c r="J898" i="4"/>
  <c r="J897" i="4"/>
  <c r="J896" i="4"/>
  <c r="J895" i="4"/>
  <c r="J894" i="4"/>
  <c r="J893" i="4"/>
  <c r="J892" i="4"/>
  <c r="J891" i="4"/>
  <c r="J890" i="4"/>
  <c r="J889" i="4"/>
  <c r="J888" i="4"/>
  <c r="J887" i="4"/>
  <c r="J886" i="4"/>
  <c r="J885" i="4"/>
  <c r="J884" i="4"/>
  <c r="J883" i="4"/>
  <c r="J882" i="4"/>
  <c r="J881" i="4"/>
  <c r="J880" i="4"/>
  <c r="J879" i="4"/>
  <c r="J878" i="4"/>
  <c r="J877" i="4"/>
  <c r="J876" i="4"/>
  <c r="J875" i="4"/>
  <c r="J874" i="4"/>
  <c r="J873" i="4"/>
  <c r="J872" i="4"/>
  <c r="J871" i="4"/>
  <c r="J870" i="4"/>
  <c r="J869" i="4"/>
  <c r="J868" i="4"/>
  <c r="J867" i="4"/>
  <c r="J866" i="4"/>
  <c r="J865" i="4"/>
  <c r="J864" i="4"/>
  <c r="J863" i="4"/>
  <c r="J862" i="4"/>
  <c r="J861" i="4"/>
  <c r="J860" i="4"/>
  <c r="J859" i="4"/>
  <c r="J858" i="4"/>
  <c r="J857" i="4"/>
  <c r="J856" i="4"/>
  <c r="J855" i="4"/>
  <c r="J854" i="4"/>
  <c r="J853" i="4"/>
  <c r="J852" i="4"/>
  <c r="J851" i="4"/>
  <c r="J850" i="4"/>
  <c r="J849" i="4"/>
  <c r="J848" i="4"/>
  <c r="J847" i="4"/>
  <c r="J846" i="4"/>
  <c r="J845" i="4"/>
  <c r="J844" i="4"/>
  <c r="J843" i="4"/>
  <c r="J842" i="4"/>
  <c r="J841" i="4"/>
  <c r="J840" i="4"/>
  <c r="J839" i="4"/>
  <c r="J838" i="4"/>
  <c r="J837" i="4"/>
  <c r="J836" i="4"/>
  <c r="J835" i="4"/>
  <c r="J834" i="4"/>
  <c r="J833" i="4"/>
  <c r="J832" i="4"/>
  <c r="J831" i="4"/>
  <c r="J830" i="4"/>
  <c r="J829" i="4"/>
  <c r="J828" i="4"/>
  <c r="J827" i="4"/>
  <c r="J826" i="4"/>
  <c r="J825" i="4"/>
  <c r="J824" i="4"/>
  <c r="J823" i="4"/>
  <c r="J822" i="4"/>
  <c r="J821" i="4"/>
  <c r="J820" i="4"/>
  <c r="J819" i="4"/>
  <c r="J818" i="4"/>
  <c r="J817" i="4"/>
  <c r="J816" i="4"/>
  <c r="J815" i="4"/>
  <c r="J814" i="4"/>
  <c r="J813" i="4"/>
  <c r="J809" i="4"/>
  <c r="J808" i="4"/>
  <c r="J807" i="4"/>
  <c r="H388" i="3"/>
  <c r="J388" i="3" s="1"/>
  <c r="H387" i="3"/>
  <c r="J387" i="3" s="1"/>
  <c r="H386" i="3"/>
  <c r="J386" i="3" s="1"/>
  <c r="H385" i="3"/>
  <c r="J385" i="3" s="1"/>
  <c r="H384" i="3"/>
  <c r="J384" i="3" s="1"/>
  <c r="H383" i="3"/>
  <c r="J383" i="3" s="1"/>
  <c r="H382" i="3"/>
  <c r="J382" i="3" s="1"/>
  <c r="H381" i="3"/>
  <c r="J381" i="3" s="1"/>
  <c r="H380" i="3"/>
  <c r="J380" i="3" s="1"/>
  <c r="H379" i="3"/>
  <c r="J379" i="3" s="1"/>
  <c r="H378" i="3"/>
  <c r="J378" i="3" s="1"/>
  <c r="H377" i="3"/>
  <c r="J377" i="3" s="1"/>
  <c r="H376" i="3"/>
  <c r="J376" i="3" s="1"/>
  <c r="H375" i="3"/>
  <c r="J375" i="3" s="1"/>
  <c r="H374" i="3"/>
  <c r="J374" i="3" s="1"/>
  <c r="H373" i="3"/>
  <c r="J373" i="3" s="1"/>
  <c r="H372" i="3"/>
  <c r="J372" i="3" s="1"/>
  <c r="H371" i="3"/>
  <c r="J371" i="3" s="1"/>
  <c r="H370" i="3"/>
  <c r="J370" i="3" s="1"/>
  <c r="H369" i="3"/>
  <c r="J369" i="3" s="1"/>
  <c r="H368" i="3"/>
  <c r="J368" i="3" s="1"/>
  <c r="H367" i="3"/>
  <c r="J367" i="3" s="1"/>
  <c r="H366" i="3"/>
  <c r="J366" i="3" s="1"/>
  <c r="H365" i="3"/>
  <c r="J365" i="3" s="1"/>
  <c r="H364" i="3"/>
  <c r="J364" i="3" s="1"/>
  <c r="H363" i="3"/>
  <c r="J363" i="3" s="1"/>
  <c r="H362" i="3"/>
  <c r="J362" i="3" s="1"/>
  <c r="H361" i="3"/>
  <c r="J361" i="3" s="1"/>
  <c r="H360" i="3"/>
  <c r="J360" i="3" s="1"/>
  <c r="H359" i="3"/>
  <c r="J359" i="3" s="1"/>
  <c r="H358" i="3"/>
  <c r="J358" i="3" s="1"/>
  <c r="H357" i="3"/>
  <c r="J357" i="3" s="1"/>
  <c r="H356" i="3"/>
  <c r="J356" i="3" s="1"/>
  <c r="H355" i="3"/>
  <c r="J355" i="3" s="1"/>
  <c r="H354" i="3"/>
  <c r="J354" i="3" s="1"/>
  <c r="H353" i="3"/>
  <c r="J353" i="3" s="1"/>
  <c r="H352" i="3"/>
  <c r="J352" i="3" s="1"/>
  <c r="H351" i="3"/>
  <c r="J351" i="3" s="1"/>
  <c r="H350" i="3"/>
  <c r="J350" i="3" s="1"/>
  <c r="H349" i="3"/>
  <c r="J349" i="3" s="1"/>
  <c r="H348" i="3"/>
  <c r="J348" i="3" s="1"/>
  <c r="H347" i="3"/>
  <c r="J347" i="3" s="1"/>
  <c r="H346" i="3"/>
  <c r="J346" i="3" s="1"/>
  <c r="H345" i="3"/>
  <c r="J345" i="3" s="1"/>
  <c r="H344" i="3"/>
  <c r="J344" i="3" s="1"/>
  <c r="H343" i="3"/>
  <c r="J343" i="3" s="1"/>
  <c r="H342" i="3"/>
  <c r="J342" i="3" s="1"/>
  <c r="H341" i="3"/>
  <c r="J341" i="3" s="1"/>
  <c r="H340" i="3"/>
  <c r="J340" i="3" s="1"/>
  <c r="H339" i="3"/>
  <c r="J339" i="3" s="1"/>
  <c r="H338" i="3"/>
  <c r="J338" i="3" s="1"/>
  <c r="H337" i="3"/>
  <c r="J337" i="3" s="1"/>
  <c r="H336" i="3"/>
  <c r="J336" i="3" s="1"/>
  <c r="H335" i="3"/>
  <c r="J335" i="3" s="1"/>
  <c r="H334" i="3"/>
  <c r="J334" i="3" s="1"/>
  <c r="H333" i="3"/>
  <c r="J333" i="3" s="1"/>
  <c r="H332" i="3"/>
  <c r="J332" i="3" s="1"/>
  <c r="H331" i="3"/>
  <c r="J331" i="3" s="1"/>
  <c r="H330" i="3"/>
  <c r="J330" i="3" s="1"/>
  <c r="H329" i="3"/>
  <c r="J329" i="3" s="1"/>
  <c r="H328" i="3"/>
  <c r="J328" i="3" s="1"/>
  <c r="H327" i="3"/>
  <c r="J327" i="3" s="1"/>
  <c r="H326" i="3"/>
  <c r="J326" i="3" s="1"/>
  <c r="H325" i="3"/>
  <c r="J325" i="3" s="1"/>
  <c r="H324" i="3"/>
  <c r="J324" i="3" s="1"/>
  <c r="H323" i="3"/>
  <c r="J323" i="3" s="1"/>
  <c r="H322" i="3"/>
  <c r="J322" i="3" s="1"/>
  <c r="H321" i="3"/>
  <c r="J321" i="3" s="1"/>
  <c r="H320" i="3"/>
  <c r="J320" i="3" s="1"/>
  <c r="H319" i="3"/>
  <c r="J319" i="3" s="1"/>
  <c r="H318" i="3"/>
  <c r="J318" i="3" s="1"/>
  <c r="H317" i="3"/>
  <c r="J317" i="3" s="1"/>
  <c r="H316" i="3"/>
  <c r="J316" i="3" s="1"/>
  <c r="H315" i="3"/>
  <c r="J315" i="3" s="1"/>
  <c r="H314" i="3"/>
  <c r="J314" i="3" s="1"/>
  <c r="H313" i="3"/>
  <c r="J313" i="3" s="1"/>
  <c r="H312" i="3"/>
  <c r="J312" i="3" s="1"/>
  <c r="H311" i="3"/>
  <c r="J311" i="3" s="1"/>
  <c r="H310" i="3"/>
  <c r="J310" i="3" s="1"/>
  <c r="H309" i="3"/>
  <c r="J309" i="3" s="1"/>
  <c r="H308" i="3"/>
  <c r="J308" i="3" s="1"/>
  <c r="H307" i="3"/>
  <c r="J307" i="3" s="1"/>
  <c r="H306" i="3"/>
  <c r="J306" i="3" s="1"/>
  <c r="H305" i="3"/>
  <c r="J305" i="3" s="1"/>
  <c r="H304" i="3"/>
  <c r="J304" i="3" s="1"/>
  <c r="H303" i="3"/>
  <c r="J303" i="3" s="1"/>
  <c r="H302" i="3"/>
  <c r="J302" i="3" s="1"/>
  <c r="H301" i="3"/>
  <c r="J301" i="3" s="1"/>
  <c r="H300" i="3"/>
  <c r="J300" i="3" s="1"/>
  <c r="H299" i="3"/>
  <c r="J299" i="3" s="1"/>
  <c r="H298" i="3"/>
  <c r="J298" i="3" s="1"/>
  <c r="H297" i="3"/>
  <c r="J297" i="3" s="1"/>
  <c r="H296" i="3"/>
  <c r="J296" i="3" s="1"/>
  <c r="H295" i="3"/>
  <c r="J295" i="3" s="1"/>
  <c r="H294" i="3"/>
  <c r="J294" i="3" s="1"/>
  <c r="H293" i="3"/>
  <c r="J293" i="3" s="1"/>
  <c r="H292" i="3"/>
  <c r="J292" i="3" s="1"/>
  <c r="H291" i="3"/>
  <c r="J291" i="3" s="1"/>
  <c r="H290" i="3"/>
  <c r="J290" i="3" s="1"/>
  <c r="H289" i="3"/>
  <c r="J289" i="3" s="1"/>
  <c r="H288" i="3"/>
  <c r="J288" i="3" s="1"/>
  <c r="H287" i="3"/>
  <c r="J287" i="3" s="1"/>
  <c r="H286" i="3"/>
  <c r="J286" i="3" s="1"/>
  <c r="H285" i="3"/>
  <c r="J285" i="3" s="1"/>
  <c r="H284" i="3"/>
  <c r="J284" i="3" s="1"/>
  <c r="H283" i="3"/>
  <c r="J283" i="3" s="1"/>
  <c r="H282" i="3"/>
  <c r="J282" i="3" s="1"/>
  <c r="H281" i="3"/>
  <c r="J281" i="3" s="1"/>
  <c r="H280" i="3"/>
  <c r="J280" i="3" s="1"/>
  <c r="H279" i="3"/>
  <c r="J279" i="3" s="1"/>
  <c r="H278" i="3"/>
  <c r="J278" i="3" s="1"/>
  <c r="H277" i="3"/>
  <c r="J277" i="3" s="1"/>
  <c r="H276" i="3"/>
  <c r="J276" i="3" s="1"/>
  <c r="H275" i="3"/>
  <c r="J275" i="3" s="1"/>
  <c r="H274" i="3"/>
  <c r="J274" i="3" s="1"/>
  <c r="H273" i="3"/>
  <c r="J273" i="3" s="1"/>
  <c r="H272" i="3"/>
  <c r="J272" i="3" s="1"/>
  <c r="H271" i="3"/>
  <c r="J271" i="3" s="1"/>
  <c r="H270" i="3"/>
  <c r="J270" i="3" s="1"/>
  <c r="H269" i="3"/>
  <c r="J269" i="3" s="1"/>
  <c r="H268" i="3"/>
  <c r="J268" i="3" s="1"/>
  <c r="H267" i="3"/>
  <c r="J267" i="3" s="1"/>
  <c r="H266" i="3"/>
  <c r="J266" i="3" s="1"/>
  <c r="H265" i="3"/>
  <c r="J265" i="3" s="1"/>
  <c r="H264" i="3"/>
  <c r="J264" i="3" s="1"/>
  <c r="H263" i="3"/>
  <c r="J263" i="3" s="1"/>
  <c r="H262" i="3"/>
  <c r="J262" i="3" s="1"/>
  <c r="H261" i="3"/>
  <c r="J261" i="3" s="1"/>
  <c r="H260" i="3"/>
  <c r="J260" i="3" s="1"/>
  <c r="H259" i="3"/>
  <c r="J259" i="3" s="1"/>
  <c r="H258" i="3"/>
  <c r="J258" i="3" s="1"/>
  <c r="H257" i="3"/>
  <c r="J257" i="3" s="1"/>
  <c r="H256" i="3"/>
  <c r="J256" i="3" s="1"/>
  <c r="H255" i="3"/>
  <c r="J255" i="3" s="1"/>
  <c r="H254" i="3"/>
  <c r="J254" i="3" s="1"/>
  <c r="H253" i="3"/>
  <c r="J253" i="3" s="1"/>
  <c r="H252" i="3"/>
  <c r="J252" i="3" s="1"/>
  <c r="H251" i="3"/>
  <c r="J251" i="3" s="1"/>
  <c r="H250" i="3"/>
  <c r="J250" i="3" s="1"/>
  <c r="H249" i="3"/>
  <c r="J249" i="3" s="1"/>
  <c r="H248" i="3"/>
  <c r="J248" i="3" s="1"/>
  <c r="H247" i="3"/>
  <c r="J247" i="3" s="1"/>
  <c r="H246" i="3"/>
  <c r="J246" i="3" s="1"/>
  <c r="H245" i="3"/>
  <c r="J245" i="3" s="1"/>
  <c r="H244" i="3"/>
  <c r="J244" i="3" s="1"/>
  <c r="H243" i="3"/>
  <c r="J243" i="3" s="1"/>
  <c r="H242" i="3"/>
  <c r="J242" i="3" s="1"/>
  <c r="H241" i="3"/>
  <c r="J241" i="3" s="1"/>
  <c r="H240" i="3"/>
  <c r="J240" i="3" s="1"/>
  <c r="H239" i="3"/>
  <c r="J239" i="3" s="1"/>
  <c r="H238" i="3"/>
  <c r="J238" i="3" s="1"/>
  <c r="H237" i="3"/>
  <c r="J237" i="3" s="1"/>
  <c r="H236" i="3"/>
  <c r="J236" i="3" s="1"/>
  <c r="H235" i="3"/>
  <c r="J235" i="3" s="1"/>
  <c r="H234" i="3"/>
  <c r="J234" i="3" s="1"/>
  <c r="H233" i="3"/>
  <c r="J233" i="3" s="1"/>
  <c r="H232" i="3"/>
  <c r="J232" i="3" s="1"/>
  <c r="H231" i="3"/>
  <c r="J231" i="3" s="1"/>
  <c r="H230" i="3"/>
  <c r="J230" i="3" s="1"/>
  <c r="H229" i="3"/>
  <c r="J229" i="3" s="1"/>
  <c r="H228" i="3"/>
  <c r="J228" i="3" s="1"/>
  <c r="H227" i="3"/>
  <c r="J227" i="3" s="1"/>
  <c r="H226" i="3"/>
  <c r="J226" i="3" s="1"/>
  <c r="H225" i="3"/>
  <c r="J225" i="3" s="1"/>
  <c r="H224" i="3"/>
  <c r="J224" i="3" s="1"/>
  <c r="H223" i="3"/>
  <c r="J223" i="3" s="1"/>
  <c r="H222" i="3"/>
  <c r="J222" i="3" s="1"/>
  <c r="H221" i="3"/>
  <c r="J221" i="3" s="1"/>
  <c r="H220" i="3"/>
  <c r="J220" i="3" s="1"/>
  <c r="H219" i="3"/>
  <c r="J219" i="3" s="1"/>
  <c r="H218" i="3"/>
  <c r="J218" i="3" s="1"/>
  <c r="H217" i="3"/>
  <c r="J217" i="3" s="1"/>
  <c r="H216" i="3"/>
  <c r="J216" i="3" s="1"/>
  <c r="H215" i="3"/>
  <c r="J215" i="3" s="1"/>
  <c r="H214" i="3"/>
  <c r="J214" i="3" s="1"/>
  <c r="H213" i="3"/>
  <c r="J213" i="3" s="1"/>
  <c r="H212" i="3"/>
  <c r="J212" i="3" s="1"/>
  <c r="H211" i="3"/>
  <c r="J211" i="3" s="1"/>
  <c r="H210" i="3"/>
  <c r="J210" i="3" s="1"/>
  <c r="H209" i="3"/>
  <c r="J209" i="3" s="1"/>
  <c r="H208" i="3"/>
  <c r="J208" i="3" s="1"/>
  <c r="H207" i="3"/>
  <c r="J207" i="3" s="1"/>
  <c r="H206" i="3"/>
  <c r="J206" i="3" s="1"/>
  <c r="H205" i="3"/>
  <c r="J205" i="3" s="1"/>
  <c r="H204" i="3"/>
  <c r="J204" i="3" s="1"/>
  <c r="H203" i="3"/>
  <c r="J203" i="3" s="1"/>
  <c r="H202" i="3"/>
  <c r="J202" i="3" s="1"/>
  <c r="H201" i="3"/>
  <c r="J201" i="3" s="1"/>
  <c r="H200" i="3"/>
  <c r="J200" i="3" s="1"/>
  <c r="H199" i="3"/>
  <c r="J199" i="3" s="1"/>
  <c r="H198" i="3"/>
  <c r="J198" i="3" s="1"/>
  <c r="H197" i="3"/>
  <c r="J197" i="3" s="1"/>
  <c r="H196" i="3"/>
  <c r="J196" i="3" s="1"/>
  <c r="H195" i="3"/>
  <c r="J195" i="3" s="1"/>
  <c r="H194" i="3"/>
  <c r="J194" i="3" s="1"/>
  <c r="H193" i="3"/>
  <c r="J193" i="3" s="1"/>
  <c r="H192" i="3"/>
  <c r="J192" i="3" s="1"/>
  <c r="H191" i="3"/>
  <c r="J191" i="3" s="1"/>
  <c r="H190" i="3"/>
  <c r="J190" i="3" s="1"/>
  <c r="H189" i="3"/>
  <c r="J189" i="3" s="1"/>
  <c r="H188" i="3"/>
  <c r="J188" i="3" s="1"/>
  <c r="H187" i="3"/>
  <c r="J187" i="3" s="1"/>
  <c r="H186" i="3"/>
  <c r="J186" i="3" s="1"/>
  <c r="H185" i="3"/>
  <c r="J185" i="3" s="1"/>
  <c r="H184" i="3"/>
  <c r="J184" i="3" s="1"/>
  <c r="H183" i="3"/>
  <c r="J183" i="3" s="1"/>
  <c r="H182" i="3"/>
  <c r="J182" i="3" s="1"/>
  <c r="H181" i="3"/>
  <c r="J181" i="3" s="1"/>
  <c r="H180" i="3"/>
  <c r="J180" i="3" s="1"/>
  <c r="H179" i="3"/>
  <c r="J179" i="3" s="1"/>
  <c r="H178" i="3"/>
  <c r="J178" i="3" s="1"/>
  <c r="H177" i="3"/>
  <c r="J177" i="3" s="1"/>
  <c r="H176" i="3"/>
  <c r="J176" i="3" s="1"/>
  <c r="H175" i="3"/>
  <c r="J175" i="3" s="1"/>
  <c r="H174" i="3"/>
  <c r="J174" i="3" s="1"/>
  <c r="H173" i="3"/>
  <c r="J173" i="3" s="1"/>
  <c r="H172" i="3"/>
  <c r="J172" i="3" s="1"/>
  <c r="H171" i="3"/>
  <c r="J171" i="3" s="1"/>
  <c r="H170" i="3"/>
  <c r="J170" i="3" s="1"/>
  <c r="H169" i="3"/>
  <c r="J169" i="3" s="1"/>
  <c r="H168" i="3"/>
  <c r="J168" i="3" s="1"/>
  <c r="H167" i="3"/>
  <c r="J167" i="3" s="1"/>
  <c r="H166" i="3"/>
  <c r="J166" i="3" s="1"/>
  <c r="H165" i="3"/>
  <c r="J165" i="3" s="1"/>
  <c r="H164" i="3"/>
  <c r="J164" i="3" s="1"/>
  <c r="H163" i="3"/>
  <c r="J163" i="3" s="1"/>
  <c r="H162" i="3"/>
  <c r="J162" i="3" s="1"/>
  <c r="H161" i="3"/>
  <c r="J161" i="3" s="1"/>
  <c r="H160" i="3"/>
  <c r="J160" i="3" s="1"/>
  <c r="H159" i="3"/>
  <c r="J159" i="3" s="1"/>
  <c r="H158" i="3"/>
  <c r="J158" i="3" s="1"/>
  <c r="H157" i="3"/>
  <c r="J157" i="3" s="1"/>
  <c r="H156" i="3"/>
  <c r="J156" i="3" s="1"/>
  <c r="H155" i="3"/>
  <c r="J155" i="3" s="1"/>
  <c r="H154" i="3"/>
  <c r="J154" i="3" s="1"/>
  <c r="H153" i="3"/>
  <c r="J153" i="3" s="1"/>
  <c r="H152" i="3"/>
  <c r="J152" i="3" s="1"/>
  <c r="H151" i="3"/>
  <c r="J151" i="3" s="1"/>
  <c r="H150" i="3"/>
  <c r="J150" i="3" s="1"/>
  <c r="H149" i="3"/>
  <c r="J149" i="3" s="1"/>
  <c r="H148" i="3"/>
  <c r="J148" i="3" s="1"/>
  <c r="H147" i="3"/>
  <c r="J147" i="3" s="1"/>
  <c r="H146" i="3"/>
  <c r="J146" i="3" s="1"/>
  <c r="H145" i="3"/>
  <c r="J145" i="3" s="1"/>
  <c r="H144" i="3"/>
  <c r="J144" i="3" s="1"/>
  <c r="H143" i="3"/>
  <c r="J143" i="3" s="1"/>
  <c r="H142" i="3"/>
  <c r="J142" i="3" s="1"/>
  <c r="H141" i="3"/>
  <c r="J141" i="3" s="1"/>
  <c r="H140" i="3"/>
  <c r="J140" i="3" s="1"/>
  <c r="H139" i="3"/>
  <c r="J139" i="3" s="1"/>
  <c r="H138" i="3"/>
  <c r="J138" i="3" s="1"/>
  <c r="H137" i="3"/>
  <c r="J137" i="3" s="1"/>
  <c r="H136" i="3"/>
  <c r="J136" i="3" s="1"/>
  <c r="H135" i="3"/>
  <c r="J135" i="3" s="1"/>
  <c r="H134" i="3"/>
  <c r="J134" i="3" s="1"/>
  <c r="H133" i="3"/>
  <c r="J133" i="3" s="1"/>
  <c r="H132" i="3"/>
  <c r="J132" i="3" s="1"/>
  <c r="H131" i="3"/>
  <c r="J131" i="3" s="1"/>
  <c r="H130" i="3"/>
  <c r="J130" i="3" s="1"/>
  <c r="H129" i="3"/>
  <c r="J129" i="3" s="1"/>
  <c r="H128" i="3"/>
  <c r="J128" i="3" s="1"/>
  <c r="H127" i="3"/>
  <c r="J127" i="3" s="1"/>
  <c r="H126" i="3"/>
  <c r="J126" i="3" s="1"/>
  <c r="H125" i="3"/>
  <c r="J125" i="3" s="1"/>
  <c r="H124" i="3"/>
  <c r="J124" i="3" s="1"/>
  <c r="H123" i="3"/>
  <c r="J123" i="3" s="1"/>
  <c r="H122" i="3"/>
  <c r="J122" i="3" s="1"/>
  <c r="H121" i="3"/>
  <c r="J121" i="3" s="1"/>
  <c r="H120" i="3"/>
  <c r="J120" i="3" s="1"/>
  <c r="H119" i="3"/>
  <c r="J119" i="3" s="1"/>
  <c r="H118" i="3"/>
  <c r="J118" i="3" s="1"/>
  <c r="H117" i="3"/>
  <c r="J117" i="3" s="1"/>
  <c r="H116" i="3"/>
  <c r="J116" i="3" s="1"/>
  <c r="H115" i="3"/>
  <c r="J115" i="3" s="1"/>
  <c r="H114" i="3"/>
  <c r="J114" i="3" s="1"/>
  <c r="H113" i="3"/>
  <c r="J113" i="3" s="1"/>
  <c r="H112" i="3"/>
  <c r="J112" i="3" s="1"/>
  <c r="H111" i="3"/>
  <c r="J111" i="3" s="1"/>
  <c r="H110" i="3"/>
  <c r="J110" i="3" s="1"/>
  <c r="H109" i="3"/>
  <c r="J109" i="3" s="1"/>
  <c r="H108" i="3"/>
  <c r="J108" i="3" s="1"/>
  <c r="H107" i="3"/>
  <c r="J107" i="3" s="1"/>
  <c r="H106" i="3"/>
  <c r="J106" i="3" s="1"/>
  <c r="H105" i="3"/>
  <c r="J105" i="3" s="1"/>
  <c r="H104" i="3"/>
  <c r="J104" i="3" s="1"/>
  <c r="H103" i="3"/>
  <c r="J103" i="3" s="1"/>
  <c r="H102" i="3"/>
  <c r="J102" i="3" s="1"/>
  <c r="H101" i="3"/>
  <c r="J101" i="3" s="1"/>
  <c r="H100" i="3"/>
  <c r="J100" i="3" s="1"/>
  <c r="H99" i="3"/>
  <c r="J99" i="3" s="1"/>
  <c r="H98" i="3"/>
  <c r="J98" i="3" s="1"/>
  <c r="H97" i="3"/>
  <c r="J97" i="3" s="1"/>
  <c r="H96" i="3"/>
  <c r="J96" i="3" s="1"/>
  <c r="H95" i="3"/>
  <c r="J95" i="3" s="1"/>
  <c r="H94" i="3"/>
  <c r="J94" i="3" s="1"/>
  <c r="H93" i="3"/>
  <c r="J93" i="3" s="1"/>
  <c r="H92" i="3"/>
  <c r="J92" i="3" s="1"/>
  <c r="H91" i="3"/>
  <c r="J91" i="3" s="1"/>
  <c r="H90" i="3"/>
  <c r="J90" i="3" s="1"/>
  <c r="H89" i="3"/>
  <c r="J89" i="3" s="1"/>
  <c r="H88" i="3"/>
  <c r="J88" i="3" s="1"/>
  <c r="H87" i="3"/>
  <c r="J87" i="3" s="1"/>
  <c r="H86" i="3"/>
  <c r="J86" i="3" s="1"/>
  <c r="H85" i="3"/>
  <c r="J85" i="3" s="1"/>
  <c r="H84" i="3"/>
  <c r="J84" i="3" s="1"/>
  <c r="H83" i="3"/>
  <c r="J83" i="3" s="1"/>
  <c r="H82" i="3"/>
  <c r="J82" i="3" s="1"/>
  <c r="H81" i="3"/>
  <c r="J81" i="3" s="1"/>
  <c r="H80" i="3"/>
  <c r="J80" i="3" s="1"/>
  <c r="H79" i="3"/>
  <c r="J79" i="3" s="1"/>
  <c r="H78" i="3"/>
  <c r="J78" i="3" s="1"/>
  <c r="H77" i="3"/>
  <c r="J77" i="3" s="1"/>
  <c r="H76" i="3"/>
  <c r="J76" i="3" s="1"/>
  <c r="H75" i="3"/>
  <c r="J75" i="3" s="1"/>
  <c r="H74" i="3"/>
  <c r="J74" i="3" s="1"/>
  <c r="H73" i="3"/>
  <c r="J73" i="3" s="1"/>
  <c r="H72" i="3"/>
  <c r="J72" i="3" s="1"/>
  <c r="H71" i="3"/>
  <c r="J71" i="3" s="1"/>
  <c r="H70" i="3"/>
  <c r="J70" i="3" s="1"/>
  <c r="H69" i="3"/>
  <c r="J69" i="3" s="1"/>
  <c r="H68" i="3"/>
  <c r="J68" i="3" s="1"/>
  <c r="H67" i="3"/>
  <c r="J67" i="3" s="1"/>
  <c r="H66" i="3"/>
  <c r="J66" i="3" s="1"/>
  <c r="H65" i="3"/>
  <c r="J65" i="3" s="1"/>
  <c r="H64" i="3"/>
  <c r="J64" i="3" s="1"/>
  <c r="H63" i="3"/>
  <c r="J63" i="3" s="1"/>
  <c r="H62" i="3"/>
  <c r="J62" i="3" s="1"/>
  <c r="H61" i="3"/>
  <c r="J61" i="3" s="1"/>
  <c r="H60" i="3"/>
  <c r="J60" i="3" s="1"/>
  <c r="H59" i="3"/>
  <c r="J59" i="3" s="1"/>
  <c r="H58" i="3"/>
  <c r="J58" i="3" s="1"/>
  <c r="H57" i="3"/>
  <c r="J57" i="3" s="1"/>
  <c r="H56" i="3"/>
  <c r="J56" i="3" s="1"/>
  <c r="H55" i="3"/>
  <c r="J55" i="3" s="1"/>
  <c r="H54" i="3"/>
  <c r="J54" i="3" s="1"/>
  <c r="H53" i="3"/>
  <c r="J53" i="3" s="1"/>
  <c r="H52" i="3"/>
  <c r="J52" i="3" s="1"/>
  <c r="H51" i="3"/>
  <c r="J51" i="3" s="1"/>
  <c r="H50" i="3"/>
  <c r="J50" i="3" s="1"/>
  <c r="H49" i="3"/>
  <c r="J49" i="3" s="1"/>
  <c r="H48" i="3"/>
  <c r="J48" i="3" s="1"/>
  <c r="H47" i="3"/>
  <c r="J47" i="3" s="1"/>
  <c r="H46" i="3"/>
  <c r="J46" i="3" s="1"/>
  <c r="H45" i="3"/>
  <c r="J45" i="3" s="1"/>
  <c r="H44" i="3"/>
  <c r="J44" i="3" s="1"/>
  <c r="H43" i="3"/>
  <c r="J43" i="3" s="1"/>
  <c r="H42" i="3"/>
  <c r="J42" i="3" s="1"/>
  <c r="H41" i="3"/>
  <c r="J41" i="3" s="1"/>
  <c r="H40" i="3"/>
  <c r="J40" i="3" s="1"/>
  <c r="H39" i="3"/>
  <c r="J39" i="3" s="1"/>
  <c r="H38" i="3"/>
  <c r="J38" i="3" s="1"/>
  <c r="H37" i="3"/>
  <c r="J37" i="3" s="1"/>
  <c r="H36" i="3"/>
  <c r="J36" i="3" s="1"/>
  <c r="H35" i="3"/>
  <c r="J35" i="3" s="1"/>
  <c r="H34" i="3"/>
  <c r="J34" i="3" s="1"/>
  <c r="H33" i="3"/>
  <c r="J33" i="3" s="1"/>
  <c r="H32" i="3"/>
  <c r="J32" i="3" s="1"/>
  <c r="H31" i="3"/>
  <c r="J31" i="3" s="1"/>
  <c r="H30" i="3"/>
  <c r="J30" i="3" s="1"/>
  <c r="H29" i="3"/>
  <c r="J29" i="3" s="1"/>
  <c r="H28" i="3"/>
  <c r="J28" i="3" s="1"/>
  <c r="H27" i="3"/>
  <c r="J27" i="3" s="1"/>
  <c r="H26" i="3"/>
  <c r="J26" i="3" s="1"/>
  <c r="H25" i="3"/>
  <c r="J25" i="3" s="1"/>
  <c r="H24" i="3"/>
  <c r="J24" i="3" s="1"/>
  <c r="H23" i="3"/>
  <c r="J23" i="3" s="1"/>
  <c r="H22" i="3"/>
  <c r="J22" i="3" s="1"/>
  <c r="H21" i="3"/>
  <c r="J21" i="3" s="1"/>
  <c r="H20" i="3"/>
  <c r="J20" i="3" s="1"/>
  <c r="H19" i="3"/>
  <c r="J19" i="3" s="1"/>
  <c r="H18" i="3"/>
  <c r="J18" i="3" s="1"/>
  <c r="H17" i="3"/>
  <c r="J17" i="3" s="1"/>
  <c r="H16" i="3"/>
  <c r="J16" i="3" s="1"/>
  <c r="H15" i="3"/>
  <c r="J15" i="3" s="1"/>
  <c r="H14" i="3"/>
  <c r="J14" i="3" s="1"/>
  <c r="H13" i="3"/>
  <c r="J13" i="3" s="1"/>
  <c r="H12" i="3"/>
  <c r="J12" i="3" s="1"/>
  <c r="H11" i="3"/>
  <c r="J11" i="3" s="1"/>
  <c r="H10" i="3"/>
  <c r="J10" i="3" s="1"/>
  <c r="H9" i="3"/>
  <c r="J9" i="3" s="1"/>
  <c r="H8" i="3"/>
  <c r="J8" i="3" s="1"/>
  <c r="H7" i="3"/>
  <c r="J7" i="3" s="1"/>
  <c r="H6" i="3"/>
  <c r="J6" i="3" s="1"/>
  <c r="H5" i="3"/>
  <c r="J5" i="3" s="1"/>
  <c r="H4" i="3"/>
  <c r="J4" i="3" s="1"/>
  <c r="H3" i="3"/>
  <c r="J3" i="3" s="1"/>
  <c r="H2" i="3"/>
  <c r="J2" i="3" s="1"/>
  <c r="K869" i="1"/>
  <c r="M869" i="1" s="1"/>
  <c r="K868" i="1"/>
  <c r="M868" i="1" s="1"/>
  <c r="K867" i="1"/>
  <c r="M867" i="1" s="1"/>
  <c r="K866" i="1"/>
  <c r="M866" i="1" s="1"/>
  <c r="K865" i="1"/>
  <c r="M865" i="1" s="1"/>
  <c r="K864" i="1"/>
  <c r="M864" i="1" s="1"/>
  <c r="K863" i="1"/>
  <c r="M863" i="1" s="1"/>
  <c r="K862" i="1"/>
  <c r="M862" i="1" s="1"/>
  <c r="K861" i="1"/>
  <c r="M861" i="1" s="1"/>
  <c r="K860" i="1"/>
  <c r="M860" i="1" s="1"/>
  <c r="K859" i="1"/>
  <c r="M859" i="1" s="1"/>
  <c r="K858" i="1"/>
  <c r="M858" i="1" s="1"/>
  <c r="K857" i="1"/>
  <c r="M857" i="1" s="1"/>
  <c r="K856" i="1"/>
  <c r="M856" i="1" s="1"/>
  <c r="K855" i="1"/>
  <c r="M855" i="1" s="1"/>
  <c r="M854" i="1"/>
  <c r="K854" i="1"/>
  <c r="K853" i="1"/>
  <c r="M853" i="1" s="1"/>
  <c r="K852" i="1"/>
  <c r="M852" i="1" s="1"/>
  <c r="K851" i="1"/>
  <c r="M851" i="1" s="1"/>
  <c r="K850" i="1"/>
  <c r="M850" i="1" s="1"/>
  <c r="K849" i="1"/>
  <c r="M849" i="1" s="1"/>
  <c r="K848" i="1"/>
  <c r="M848" i="1" s="1"/>
  <c r="K847" i="1"/>
  <c r="M847" i="1" s="1"/>
  <c r="M846" i="1"/>
  <c r="K846" i="1"/>
  <c r="K845" i="1"/>
  <c r="M845" i="1" s="1"/>
  <c r="M844" i="1"/>
  <c r="K844" i="1"/>
  <c r="K843" i="1"/>
  <c r="M843" i="1" s="1"/>
  <c r="K842" i="1"/>
  <c r="M842" i="1" s="1"/>
  <c r="K841" i="1"/>
  <c r="M841" i="1" s="1"/>
  <c r="K840" i="1"/>
  <c r="M840" i="1" s="1"/>
  <c r="K839" i="1"/>
  <c r="M839" i="1" s="1"/>
  <c r="K838" i="1"/>
  <c r="M838" i="1" s="1"/>
  <c r="K837" i="1"/>
  <c r="M837" i="1" s="1"/>
  <c r="K836" i="1"/>
  <c r="M836" i="1" s="1"/>
  <c r="K835" i="1"/>
  <c r="M835" i="1" s="1"/>
  <c r="K834" i="1"/>
  <c r="M834" i="1" s="1"/>
  <c r="K833" i="1"/>
  <c r="M833" i="1" s="1"/>
  <c r="K832" i="1"/>
  <c r="M832" i="1" s="1"/>
  <c r="M831" i="1"/>
  <c r="K831" i="1"/>
  <c r="K830" i="1"/>
  <c r="M830" i="1" s="1"/>
  <c r="K829" i="1"/>
  <c r="M829" i="1" s="1"/>
  <c r="K828" i="1"/>
  <c r="M828" i="1" s="1"/>
  <c r="K827" i="1"/>
  <c r="M827" i="1" s="1"/>
  <c r="K826" i="1"/>
  <c r="M826" i="1" s="1"/>
  <c r="K825" i="1"/>
  <c r="M825" i="1" s="1"/>
  <c r="M824" i="1"/>
  <c r="K824" i="1"/>
  <c r="K823" i="1"/>
  <c r="M823" i="1" s="1"/>
  <c r="K822" i="1"/>
  <c r="M822" i="1" s="1"/>
  <c r="K821" i="1"/>
  <c r="M821" i="1" s="1"/>
  <c r="K820" i="1"/>
  <c r="M820" i="1" s="1"/>
  <c r="K819" i="1"/>
  <c r="M819" i="1" s="1"/>
  <c r="K818" i="1"/>
  <c r="M818" i="1" s="1"/>
  <c r="K817" i="1"/>
  <c r="M817" i="1" s="1"/>
  <c r="M816" i="1"/>
  <c r="K816" i="1"/>
  <c r="K815" i="1"/>
  <c r="M815" i="1" s="1"/>
  <c r="M814" i="1"/>
  <c r="K814" i="1"/>
  <c r="K813" i="1"/>
  <c r="M813" i="1" s="1"/>
  <c r="K812" i="1"/>
  <c r="M812" i="1" s="1"/>
  <c r="K811" i="1"/>
  <c r="M811" i="1" s="1"/>
  <c r="K810" i="1"/>
  <c r="M810" i="1" s="1"/>
  <c r="K809" i="1"/>
  <c r="M809" i="1" s="1"/>
  <c r="K808" i="1"/>
  <c r="M808" i="1" s="1"/>
  <c r="K807" i="1"/>
  <c r="M807" i="1" s="1"/>
  <c r="K806" i="1"/>
  <c r="M806" i="1" s="1"/>
  <c r="K805" i="1"/>
  <c r="M805" i="1" s="1"/>
  <c r="K804" i="1"/>
  <c r="M804" i="1" s="1"/>
  <c r="K803" i="1"/>
  <c r="M803" i="1" s="1"/>
  <c r="K802" i="1"/>
  <c r="M802" i="1" s="1"/>
  <c r="M801" i="1"/>
  <c r="K801" i="1"/>
  <c r="K800" i="1"/>
  <c r="M800" i="1" s="1"/>
  <c r="K799" i="1"/>
  <c r="M799" i="1" s="1"/>
  <c r="K798" i="1"/>
  <c r="M798" i="1" s="1"/>
  <c r="K797" i="1"/>
  <c r="M797" i="1" s="1"/>
  <c r="K796" i="1"/>
  <c r="M796" i="1" s="1"/>
  <c r="K795" i="1"/>
  <c r="M795" i="1" s="1"/>
  <c r="M794" i="1"/>
  <c r="K794" i="1"/>
  <c r="K793" i="1"/>
  <c r="M793" i="1" s="1"/>
  <c r="K792" i="1"/>
  <c r="M792" i="1" s="1"/>
  <c r="K791" i="1"/>
  <c r="M791" i="1" s="1"/>
  <c r="K790" i="1"/>
  <c r="M790" i="1" s="1"/>
  <c r="K789" i="1"/>
  <c r="M789" i="1" s="1"/>
  <c r="K788" i="1"/>
  <c r="M788" i="1" s="1"/>
  <c r="K787" i="1"/>
  <c r="M787" i="1" s="1"/>
  <c r="M786" i="1"/>
  <c r="K786" i="1"/>
  <c r="K785" i="1"/>
  <c r="M785" i="1" s="1"/>
  <c r="M784" i="1"/>
  <c r="K784" i="1"/>
  <c r="K783" i="1"/>
  <c r="M783" i="1" s="1"/>
  <c r="K782" i="1"/>
  <c r="M782" i="1" s="1"/>
  <c r="K781" i="1"/>
  <c r="M781" i="1" s="1"/>
  <c r="K780" i="1"/>
  <c r="M780" i="1" s="1"/>
  <c r="K779" i="1"/>
  <c r="M779" i="1" s="1"/>
  <c r="K778" i="1"/>
  <c r="M778" i="1" s="1"/>
  <c r="K777" i="1"/>
  <c r="M777" i="1" s="1"/>
  <c r="K776" i="1"/>
  <c r="M776" i="1" s="1"/>
  <c r="K775" i="1"/>
  <c r="M775" i="1" s="1"/>
  <c r="K774" i="1"/>
  <c r="M774" i="1" s="1"/>
  <c r="K773" i="1"/>
  <c r="M773" i="1" s="1"/>
  <c r="K772" i="1"/>
  <c r="M772" i="1" s="1"/>
  <c r="K771" i="1"/>
  <c r="M771" i="1" s="1"/>
  <c r="K770" i="1"/>
  <c r="M770" i="1" s="1"/>
  <c r="K769" i="1"/>
  <c r="M769" i="1" s="1"/>
  <c r="K768" i="1"/>
  <c r="M768" i="1"/>
  <c r="K767" i="1"/>
  <c r="M767" i="1" s="1"/>
  <c r="K766" i="1"/>
  <c r="M766" i="1" s="1"/>
  <c r="M765" i="1"/>
  <c r="K765" i="1"/>
  <c r="K764" i="1"/>
  <c r="M764" i="1" s="1"/>
  <c r="K763" i="1"/>
  <c r="M763" i="1" s="1"/>
  <c r="K762" i="1"/>
  <c r="M762" i="1" s="1"/>
  <c r="K761" i="1"/>
  <c r="M761" i="1" s="1"/>
  <c r="K760" i="1"/>
  <c r="M760" i="1" s="1"/>
  <c r="K759" i="1"/>
  <c r="M759" i="1" s="1"/>
  <c r="K758" i="1"/>
  <c r="M758" i="1" s="1"/>
  <c r="K757" i="1"/>
  <c r="M757" i="1" s="1"/>
  <c r="M756" i="1"/>
  <c r="K756" i="1"/>
  <c r="K755" i="1"/>
  <c r="M755" i="1" s="1"/>
  <c r="K754" i="1"/>
  <c r="M754" i="1" s="1"/>
  <c r="K753" i="1"/>
  <c r="M753" i="1" s="1"/>
  <c r="K752" i="1"/>
  <c r="M752" i="1" s="1"/>
  <c r="M751" i="1"/>
  <c r="K751" i="1"/>
  <c r="K750" i="1"/>
  <c r="M750" i="1" s="1"/>
  <c r="K749" i="1"/>
  <c r="M749" i="1" s="1"/>
  <c r="K748" i="1"/>
  <c r="M748" i="1" s="1"/>
  <c r="K747" i="1"/>
  <c r="M747" i="1" s="1"/>
  <c r="K746" i="1"/>
  <c r="M746" i="1" s="1"/>
  <c r="K745" i="1"/>
  <c r="M745" i="1" s="1"/>
  <c r="M744" i="1"/>
  <c r="K744" i="1"/>
  <c r="K743" i="1"/>
  <c r="M743" i="1" s="1"/>
  <c r="K742" i="1"/>
  <c r="M742" i="1" s="1"/>
  <c r="K741" i="1"/>
  <c r="M741" i="1" s="1"/>
  <c r="K740" i="1"/>
  <c r="M740" i="1" s="1"/>
  <c r="K739" i="1"/>
  <c r="M739" i="1" s="1"/>
  <c r="K738" i="1"/>
  <c r="M738" i="1" s="1"/>
  <c r="K737" i="1"/>
  <c r="M737" i="1" s="1"/>
  <c r="M736" i="1"/>
  <c r="K736" i="1"/>
  <c r="K735" i="1"/>
  <c r="M735" i="1" s="1"/>
  <c r="K734" i="1"/>
  <c r="M734" i="1" s="1"/>
  <c r="K733" i="1"/>
  <c r="M733" i="1" s="1"/>
  <c r="K732" i="1"/>
  <c r="M732" i="1" s="1"/>
  <c r="K731" i="1"/>
  <c r="M731" i="1" s="1"/>
  <c r="K730" i="1"/>
  <c r="M730" i="1" s="1"/>
  <c r="K729" i="1"/>
  <c r="M729" i="1" s="1"/>
  <c r="K728" i="1"/>
  <c r="M728" i="1" s="1"/>
  <c r="K727" i="1"/>
  <c r="M727" i="1" s="1"/>
  <c r="K726" i="1"/>
  <c r="M726" i="1" s="1"/>
  <c r="K725" i="1"/>
  <c r="M725" i="1" s="1"/>
  <c r="K724" i="1"/>
  <c r="M724" i="1" s="1"/>
  <c r="K723" i="1"/>
  <c r="M723" i="1" s="1"/>
  <c r="K722" i="1"/>
  <c r="M722" i="1" s="1"/>
  <c r="K721" i="1"/>
  <c r="M721" i="1" s="1"/>
  <c r="K720" i="1"/>
  <c r="M720" i="1" s="1"/>
  <c r="K719" i="1"/>
  <c r="M719" i="1" s="1"/>
  <c r="K718" i="1"/>
  <c r="M718" i="1" s="1"/>
  <c r="K717" i="1"/>
  <c r="M717" i="1" s="1"/>
  <c r="K716" i="1"/>
  <c r="M716" i="1" s="1"/>
  <c r="M715" i="1"/>
  <c r="K715" i="1"/>
  <c r="M714" i="1"/>
  <c r="K714" i="1"/>
  <c r="K713" i="1"/>
  <c r="M713" i="1" s="1"/>
  <c r="K712" i="1"/>
  <c r="M712" i="1" s="1"/>
  <c r="K711" i="1"/>
  <c r="M711" i="1" s="1"/>
  <c r="K710" i="1"/>
  <c r="M710" i="1" s="1"/>
  <c r="K709" i="1"/>
  <c r="M709" i="1" s="1"/>
  <c r="K708" i="1"/>
  <c r="M708" i="1" s="1"/>
  <c r="K707" i="1"/>
  <c r="M707" i="1" s="1"/>
  <c r="K706" i="1"/>
  <c r="M706" i="1" s="1"/>
  <c r="K705" i="1"/>
  <c r="M705" i="1" s="1"/>
  <c r="K704" i="1"/>
  <c r="M704" i="1" s="1"/>
  <c r="K703" i="1"/>
  <c r="M703" i="1" s="1"/>
  <c r="K702" i="1"/>
  <c r="M702" i="1" s="1"/>
  <c r="K701" i="1"/>
  <c r="M701" i="1" s="1"/>
  <c r="K700" i="1"/>
  <c r="M700" i="1" s="1"/>
  <c r="M699" i="1"/>
  <c r="K699" i="1"/>
  <c r="K698" i="1"/>
  <c r="M698" i="1" s="1"/>
  <c r="K697" i="1"/>
  <c r="M697" i="1" s="1"/>
  <c r="K696" i="1"/>
  <c r="M696" i="1" s="1"/>
  <c r="K695" i="1"/>
  <c r="M695" i="1" s="1"/>
  <c r="K694" i="1"/>
  <c r="M694" i="1" s="1"/>
  <c r="M693" i="1"/>
  <c r="K693" i="1"/>
  <c r="K692" i="1"/>
  <c r="M692" i="1" s="1"/>
  <c r="K691" i="1"/>
  <c r="M691" i="1" s="1"/>
  <c r="K690" i="1"/>
  <c r="M690" i="1" s="1"/>
  <c r="K689" i="1"/>
  <c r="M689" i="1" s="1"/>
  <c r="K688" i="1"/>
  <c r="M688" i="1" s="1"/>
  <c r="K687" i="1"/>
  <c r="M687" i="1" s="1"/>
  <c r="K686" i="1"/>
  <c r="M686" i="1" s="1"/>
  <c r="K685" i="1"/>
  <c r="M685" i="1" s="1"/>
  <c r="K684" i="1"/>
  <c r="M684" i="1" s="1"/>
  <c r="M683" i="1"/>
  <c r="K683" i="1"/>
  <c r="K682" i="1"/>
  <c r="M682" i="1" s="1"/>
  <c r="K681" i="1"/>
  <c r="M681" i="1" s="1"/>
  <c r="K680" i="1"/>
  <c r="M680" i="1" s="1"/>
  <c r="K679" i="1"/>
  <c r="M679" i="1" s="1"/>
  <c r="K678" i="1"/>
  <c r="M678" i="1" s="1"/>
  <c r="K677" i="1"/>
  <c r="M677" i="1" s="1"/>
  <c r="K676" i="1"/>
  <c r="M676" i="1" s="1"/>
  <c r="K675" i="1"/>
  <c r="M675" i="1" s="1"/>
  <c r="K674" i="1"/>
  <c r="M674" i="1" s="1"/>
  <c r="K673" i="1"/>
  <c r="M673" i="1" s="1"/>
  <c r="K672" i="1"/>
  <c r="M672" i="1" s="1"/>
  <c r="K671" i="1"/>
  <c r="M671" i="1" s="1"/>
  <c r="K670" i="1"/>
  <c r="M670" i="1" s="1"/>
  <c r="K669" i="1"/>
  <c r="M669" i="1" s="1"/>
  <c r="K668" i="1"/>
  <c r="M668" i="1" s="1"/>
  <c r="K667" i="1"/>
  <c r="M667" i="1" s="1"/>
  <c r="K666" i="1"/>
  <c r="M666" i="1" s="1"/>
  <c r="K665" i="1"/>
  <c r="M665" i="1" s="1"/>
  <c r="K664" i="1"/>
  <c r="M664" i="1" s="1"/>
  <c r="M663" i="1"/>
  <c r="K663" i="1"/>
  <c r="K662" i="1"/>
  <c r="M662" i="1" s="1"/>
  <c r="K661" i="1"/>
  <c r="M661" i="1" s="1"/>
  <c r="K660" i="1"/>
  <c r="M660" i="1" s="1"/>
  <c r="K659" i="1"/>
  <c r="M659" i="1" s="1"/>
  <c r="K658" i="1"/>
  <c r="M658" i="1" s="1"/>
  <c r="K657" i="1"/>
  <c r="M657" i="1" s="1"/>
  <c r="K656" i="1"/>
  <c r="M656" i="1" s="1"/>
  <c r="K655" i="1"/>
  <c r="M655" i="1" s="1"/>
  <c r="K654" i="1"/>
  <c r="M654" i="1" s="1"/>
  <c r="M653" i="1"/>
  <c r="K653" i="1"/>
  <c r="K652" i="1"/>
  <c r="M652" i="1" s="1"/>
  <c r="K651" i="1"/>
  <c r="M651" i="1" s="1"/>
  <c r="K650" i="1"/>
  <c r="M650" i="1" s="1"/>
  <c r="K649" i="1"/>
  <c r="M649" i="1" s="1"/>
  <c r="K648" i="1"/>
  <c r="M648" i="1" s="1"/>
  <c r="K647" i="1"/>
  <c r="M647" i="1" s="1"/>
  <c r="K646" i="1"/>
  <c r="M646" i="1" s="1"/>
  <c r="K645" i="1"/>
  <c r="M645" i="1" s="1"/>
  <c r="K644" i="1"/>
  <c r="M644" i="1" s="1"/>
  <c r="K643" i="1"/>
  <c r="M643" i="1" s="1"/>
  <c r="K642" i="1"/>
  <c r="M642" i="1" s="1"/>
  <c r="K641" i="1"/>
  <c r="M641" i="1" s="1"/>
  <c r="K640" i="1"/>
  <c r="M640" i="1" s="1"/>
  <c r="M639" i="1"/>
  <c r="K639" i="1"/>
  <c r="K638" i="1"/>
  <c r="M638" i="1" s="1"/>
  <c r="K637" i="1"/>
  <c r="M637" i="1" s="1"/>
  <c r="M636" i="1"/>
  <c r="K636" i="1"/>
  <c r="K635" i="1"/>
  <c r="M635" i="1" s="1"/>
  <c r="K634" i="1"/>
  <c r="M634" i="1" s="1"/>
  <c r="K633" i="1"/>
  <c r="M633" i="1" s="1"/>
  <c r="K632" i="1"/>
  <c r="M632" i="1" s="1"/>
  <c r="K631" i="1"/>
  <c r="M631" i="1" s="1"/>
  <c r="K630" i="1"/>
  <c r="M630" i="1" s="1"/>
  <c r="K629" i="1"/>
  <c r="M629" i="1" s="1"/>
  <c r="K628" i="1"/>
  <c r="M628" i="1" s="1"/>
  <c r="K627" i="1"/>
  <c r="M627" i="1" s="1"/>
  <c r="K626" i="1"/>
  <c r="M626" i="1" s="1"/>
  <c r="K625" i="1"/>
  <c r="M625" i="1" s="1"/>
  <c r="K624" i="1"/>
  <c r="M624" i="1" s="1"/>
  <c r="M623" i="1"/>
  <c r="K623" i="1"/>
  <c r="K622" i="1"/>
  <c r="M622" i="1" s="1"/>
  <c r="K621" i="1"/>
  <c r="M621" i="1" s="1"/>
  <c r="K620" i="1"/>
  <c r="M620" i="1" s="1"/>
  <c r="K619" i="1"/>
  <c r="M619" i="1" s="1"/>
  <c r="K618" i="1"/>
  <c r="M618" i="1" s="1"/>
  <c r="K617" i="1"/>
  <c r="M617" i="1" s="1"/>
  <c r="K616" i="1"/>
  <c r="M616" i="1" s="1"/>
  <c r="M615" i="1"/>
  <c r="K615" i="1"/>
  <c r="K614" i="1"/>
  <c r="M614" i="1" s="1"/>
  <c r="K613" i="1"/>
  <c r="M613" i="1" s="1"/>
  <c r="K612" i="1"/>
  <c r="M612" i="1" s="1"/>
  <c r="K611" i="1"/>
  <c r="M611" i="1" s="1"/>
  <c r="K610" i="1"/>
  <c r="M610" i="1" s="1"/>
  <c r="K609" i="1"/>
  <c r="M609" i="1" s="1"/>
  <c r="K608" i="1"/>
  <c r="M608" i="1" s="1"/>
  <c r="K607" i="1"/>
  <c r="M607" i="1" s="1"/>
  <c r="K606" i="1"/>
  <c r="M606" i="1" s="1"/>
  <c r="K605" i="1"/>
  <c r="M605" i="1" s="1"/>
  <c r="K604" i="1"/>
  <c r="M604" i="1" s="1"/>
  <c r="K603" i="1"/>
  <c r="M603" i="1" s="1"/>
  <c r="K602" i="1"/>
  <c r="M602" i="1" s="1"/>
  <c r="K601" i="1"/>
  <c r="M601" i="1" s="1"/>
  <c r="K600" i="1"/>
  <c r="M600" i="1" s="1"/>
  <c r="K599" i="1"/>
  <c r="M599" i="1" s="1"/>
  <c r="K598" i="1"/>
  <c r="M598" i="1" s="1"/>
  <c r="K597" i="1"/>
  <c r="M597" i="1" s="1"/>
  <c r="K596" i="1"/>
  <c r="M596" i="1" s="1"/>
  <c r="K595" i="1"/>
  <c r="M595" i="1" s="1"/>
  <c r="K594" i="1"/>
  <c r="M594" i="1" s="1"/>
  <c r="M593" i="1"/>
  <c r="K593" i="1"/>
  <c r="K592" i="1"/>
  <c r="M592" i="1" s="1"/>
  <c r="K591" i="1"/>
  <c r="M591" i="1" s="1"/>
  <c r="K590" i="1"/>
  <c r="M590" i="1" s="1"/>
  <c r="K589" i="1"/>
  <c r="M589" i="1" s="1"/>
  <c r="K588" i="1"/>
  <c r="M588" i="1" s="1"/>
  <c r="K587" i="1"/>
  <c r="M587" i="1" s="1"/>
  <c r="K586" i="1"/>
  <c r="M586" i="1" s="1"/>
  <c r="K585" i="1"/>
  <c r="M585" i="1" s="1"/>
  <c r="K584" i="1"/>
  <c r="M584" i="1" s="1"/>
  <c r="K583" i="1"/>
  <c r="M583" i="1" s="1"/>
  <c r="K582" i="1"/>
  <c r="M582" i="1" s="1"/>
  <c r="K581" i="1"/>
  <c r="M581" i="1" s="1"/>
  <c r="K580" i="1"/>
  <c r="M580" i="1" s="1"/>
  <c r="K579" i="1"/>
  <c r="M579" i="1" s="1"/>
  <c r="K578" i="1"/>
  <c r="M578" i="1" s="1"/>
  <c r="K577" i="1"/>
  <c r="M577" i="1" s="1"/>
  <c r="K576" i="1"/>
  <c r="M576" i="1" s="1"/>
  <c r="K575" i="1"/>
  <c r="M575" i="1" s="1"/>
  <c r="K574" i="1"/>
  <c r="M574" i="1" s="1"/>
  <c r="K573" i="1"/>
  <c r="M573" i="1" s="1"/>
  <c r="K572" i="1"/>
  <c r="M572" i="1" s="1"/>
  <c r="K571" i="1"/>
  <c r="M571" i="1" s="1"/>
  <c r="K570" i="1"/>
  <c r="M570" i="1" s="1"/>
  <c r="M569" i="1"/>
  <c r="K569" i="1"/>
  <c r="K568" i="1"/>
  <c r="M568" i="1" s="1"/>
  <c r="K567" i="1"/>
  <c r="M567" i="1" s="1"/>
  <c r="K566" i="1"/>
  <c r="M566" i="1" s="1"/>
  <c r="K565" i="1"/>
  <c r="M565" i="1" s="1"/>
  <c r="K564" i="1"/>
  <c r="M564" i="1" s="1"/>
  <c r="K563" i="1"/>
  <c r="M563" i="1" s="1"/>
  <c r="M562" i="1"/>
  <c r="K562" i="1"/>
  <c r="K561" i="1"/>
  <c r="M561" i="1" s="1"/>
  <c r="K560" i="1"/>
  <c r="M560" i="1" s="1"/>
  <c r="K559" i="1"/>
  <c r="M559" i="1" s="1"/>
  <c r="K558" i="1"/>
  <c r="M558" i="1" s="1"/>
  <c r="K557" i="1"/>
  <c r="M557" i="1" s="1"/>
  <c r="K556" i="1"/>
  <c r="M556" i="1" s="1"/>
  <c r="K555" i="1"/>
  <c r="M555" i="1" s="1"/>
  <c r="K554" i="1"/>
  <c r="M554" i="1" s="1"/>
  <c r="K553" i="1"/>
  <c r="M553" i="1" s="1"/>
  <c r="K552" i="1"/>
  <c r="M552" i="1" s="1"/>
  <c r="K551" i="1"/>
  <c r="M551" i="1" s="1"/>
  <c r="K550" i="1"/>
  <c r="M550" i="1" s="1"/>
  <c r="K549" i="1"/>
  <c r="M549" i="1" s="1"/>
  <c r="K548" i="1"/>
  <c r="M548" i="1" s="1"/>
  <c r="K547" i="1"/>
  <c r="M547" i="1" s="1"/>
  <c r="K546" i="1"/>
  <c r="M546" i="1" s="1"/>
  <c r="M545" i="1"/>
  <c r="K545" i="1"/>
  <c r="K544" i="1"/>
  <c r="M544" i="1" s="1"/>
  <c r="K543" i="1"/>
  <c r="M543" i="1" s="1"/>
  <c r="K542" i="1"/>
  <c r="M542" i="1" s="1"/>
  <c r="K541" i="1"/>
  <c r="M541" i="1" s="1"/>
  <c r="K540" i="1"/>
  <c r="M540" i="1" s="1"/>
  <c r="K539" i="1"/>
  <c r="M539" i="1" s="1"/>
  <c r="K538" i="1"/>
  <c r="M538" i="1" s="1"/>
  <c r="K537" i="1"/>
  <c r="M537" i="1" s="1"/>
  <c r="K536" i="1"/>
  <c r="M536" i="1" s="1"/>
  <c r="K535" i="1"/>
  <c r="M535" i="1" s="1"/>
  <c r="K534" i="1"/>
  <c r="M534" i="1" s="1"/>
  <c r="M533" i="1"/>
  <c r="K533" i="1"/>
  <c r="K532" i="1"/>
  <c r="M532" i="1" s="1"/>
  <c r="K531" i="1"/>
  <c r="M531" i="1" s="1"/>
  <c r="K530" i="1"/>
  <c r="M530" i="1" s="1"/>
  <c r="K529" i="1"/>
  <c r="M529" i="1" s="1"/>
  <c r="K528" i="1"/>
  <c r="M528" i="1" s="1"/>
  <c r="K527" i="1"/>
  <c r="M527" i="1" s="1"/>
  <c r="M526" i="1"/>
  <c r="K526" i="1"/>
  <c r="K525" i="1"/>
  <c r="M525" i="1" s="1"/>
  <c r="K524" i="1"/>
  <c r="M524" i="1" s="1"/>
  <c r="K523" i="1"/>
  <c r="M523" i="1" s="1"/>
  <c r="K522" i="1"/>
  <c r="M522" i="1" s="1"/>
  <c r="K521" i="1"/>
  <c r="M521" i="1" s="1"/>
  <c r="K520" i="1"/>
  <c r="M520" i="1" s="1"/>
  <c r="M519" i="1"/>
  <c r="K519" i="1"/>
  <c r="K518" i="1"/>
  <c r="M518" i="1" s="1"/>
  <c r="K517" i="1"/>
  <c r="M517" i="1" s="1"/>
  <c r="K516" i="1"/>
  <c r="M516" i="1" s="1"/>
  <c r="K515" i="1"/>
  <c r="M515" i="1" s="1"/>
  <c r="K514" i="1"/>
  <c r="M514" i="1" s="1"/>
  <c r="K513" i="1"/>
  <c r="M513" i="1" s="1"/>
  <c r="K512" i="1"/>
  <c r="M512" i="1" s="1"/>
  <c r="K511" i="1"/>
  <c r="M511" i="1" s="1"/>
  <c r="K510" i="1"/>
  <c r="M510" i="1" s="1"/>
  <c r="K509" i="1"/>
  <c r="M509" i="1" s="1"/>
  <c r="K508" i="1"/>
  <c r="M508" i="1" s="1"/>
  <c r="K507" i="1"/>
  <c r="M507" i="1" s="1"/>
  <c r="K506" i="1"/>
  <c r="M506" i="1" s="1"/>
  <c r="K505" i="1"/>
  <c r="M505" i="1" s="1"/>
  <c r="K504" i="1"/>
  <c r="M504" i="1" s="1"/>
  <c r="K503" i="1"/>
  <c r="M503" i="1" s="1"/>
  <c r="K502" i="1"/>
  <c r="M502" i="1" s="1"/>
  <c r="K501" i="1"/>
  <c r="M501" i="1" s="1"/>
  <c r="K500" i="1"/>
  <c r="M500" i="1" s="1"/>
  <c r="K499" i="1"/>
  <c r="M499" i="1" s="1"/>
  <c r="K498" i="1"/>
  <c r="M498" i="1" s="1"/>
  <c r="K497" i="1"/>
  <c r="M497" i="1" s="1"/>
  <c r="K496" i="1"/>
  <c r="M496" i="1" s="1"/>
  <c r="K495" i="1"/>
  <c r="M495" i="1" s="1"/>
  <c r="K494" i="1"/>
  <c r="M494" i="1" s="1"/>
  <c r="K493" i="1"/>
  <c r="M493" i="1" s="1"/>
  <c r="K492" i="1"/>
  <c r="M492" i="1" s="1"/>
  <c r="K491" i="1"/>
  <c r="M491" i="1" s="1"/>
  <c r="K490" i="1"/>
  <c r="M490" i="1" s="1"/>
  <c r="K489" i="1"/>
  <c r="M489" i="1" s="1"/>
  <c r="K488" i="1"/>
  <c r="M488" i="1" s="1"/>
  <c r="K487" i="1"/>
  <c r="M487" i="1" s="1"/>
  <c r="K486" i="1"/>
  <c r="M486" i="1" s="1"/>
  <c r="K485" i="1"/>
  <c r="M485" i="1" s="1"/>
  <c r="K484" i="1"/>
  <c r="M484" i="1" s="1"/>
  <c r="K483" i="1"/>
  <c r="M483" i="1" s="1"/>
  <c r="K481" i="1"/>
  <c r="M481" i="1" s="1"/>
  <c r="K480" i="1"/>
  <c r="M480" i="1" s="1"/>
  <c r="K479" i="1"/>
  <c r="M479" i="1" s="1"/>
  <c r="K478" i="1"/>
  <c r="M478" i="1" s="1"/>
  <c r="K477" i="1"/>
  <c r="M477" i="1" s="1"/>
  <c r="K476" i="1"/>
  <c r="M476" i="1" s="1"/>
  <c r="K475" i="1"/>
  <c r="M475" i="1" s="1"/>
  <c r="K474" i="1"/>
  <c r="M474" i="1" s="1"/>
  <c r="K473" i="1"/>
  <c r="M473" i="1" s="1"/>
  <c r="K472" i="1"/>
  <c r="M472" i="1" s="1"/>
  <c r="K471" i="1"/>
  <c r="M471" i="1" s="1"/>
  <c r="K470" i="1"/>
  <c r="M470" i="1" s="1"/>
  <c r="K469" i="1"/>
  <c r="M469" i="1" s="1"/>
  <c r="K468" i="1"/>
  <c r="M468" i="1" s="1"/>
  <c r="K467" i="1"/>
  <c r="M467" i="1" s="1"/>
  <c r="K466" i="1"/>
  <c r="M466" i="1" s="1"/>
  <c r="K465" i="1"/>
  <c r="M465" i="1" s="1"/>
  <c r="K464" i="1"/>
  <c r="M464" i="1" s="1"/>
  <c r="K463" i="1"/>
  <c r="M463" i="1" s="1"/>
  <c r="K462" i="1"/>
  <c r="M462" i="1" s="1"/>
  <c r="K461" i="1"/>
  <c r="M461" i="1" s="1"/>
  <c r="K460" i="1"/>
  <c r="M460" i="1" s="1"/>
  <c r="K459" i="1"/>
  <c r="M459" i="1" s="1"/>
  <c r="K458" i="1"/>
  <c r="M458" i="1" s="1"/>
  <c r="K457" i="1"/>
  <c r="M457" i="1" s="1"/>
  <c r="K456" i="1"/>
  <c r="M456" i="1" s="1"/>
  <c r="K455" i="1"/>
  <c r="M455" i="1" s="1"/>
  <c r="K454" i="1"/>
  <c r="M454" i="1" s="1"/>
  <c r="K453" i="1"/>
  <c r="M453" i="1" s="1"/>
  <c r="K452" i="1"/>
  <c r="M452" i="1" s="1"/>
  <c r="K451" i="1"/>
  <c r="M451" i="1" s="1"/>
  <c r="K450" i="1"/>
  <c r="M450" i="1" s="1"/>
  <c r="K449" i="1"/>
  <c r="M449" i="1" s="1"/>
  <c r="K448" i="1"/>
  <c r="M448" i="1" s="1"/>
  <c r="K447" i="1"/>
  <c r="M447" i="1" s="1"/>
  <c r="K446" i="1"/>
  <c r="M446" i="1" s="1"/>
  <c r="K445" i="1"/>
  <c r="M445" i="1" s="1"/>
  <c r="K444" i="1"/>
  <c r="M444" i="1" s="1"/>
  <c r="K443" i="1"/>
  <c r="M443" i="1" s="1"/>
  <c r="K442" i="1"/>
  <c r="M442" i="1" s="1"/>
  <c r="K441" i="1"/>
  <c r="M441" i="1" s="1"/>
  <c r="K440" i="1"/>
  <c r="M440" i="1" s="1"/>
  <c r="K439" i="1"/>
  <c r="M439" i="1" s="1"/>
  <c r="K438" i="1"/>
  <c r="M438" i="1" s="1"/>
  <c r="K437" i="1"/>
  <c r="M437" i="1" s="1"/>
  <c r="K436" i="1"/>
  <c r="M436" i="1" s="1"/>
  <c r="K435" i="1"/>
  <c r="M435" i="1" s="1"/>
  <c r="K434" i="1"/>
  <c r="M434" i="1" s="1"/>
  <c r="K433" i="1"/>
  <c r="M433" i="1" s="1"/>
  <c r="K432" i="1"/>
  <c r="M432" i="1" s="1"/>
  <c r="K431" i="1"/>
  <c r="M431" i="1" s="1"/>
  <c r="K430" i="1"/>
  <c r="M430" i="1" s="1"/>
  <c r="K429" i="1"/>
  <c r="M429" i="1" s="1"/>
  <c r="K428" i="1"/>
  <c r="M428" i="1" s="1"/>
  <c r="K427" i="1"/>
  <c r="M427" i="1" s="1"/>
  <c r="K426" i="1"/>
  <c r="M426" i="1" s="1"/>
  <c r="K425" i="1"/>
  <c r="M425" i="1" s="1"/>
  <c r="K424" i="1"/>
  <c r="M424" i="1" s="1"/>
  <c r="K423" i="1"/>
  <c r="M423" i="1" s="1"/>
  <c r="K422" i="1"/>
  <c r="M422" i="1" s="1"/>
  <c r="K421" i="1"/>
  <c r="M421" i="1" s="1"/>
  <c r="K420" i="1"/>
  <c r="M420" i="1" s="1"/>
  <c r="K419" i="1"/>
  <c r="M419" i="1" s="1"/>
  <c r="K418" i="1"/>
  <c r="M418" i="1" s="1"/>
  <c r="K417" i="1"/>
  <c r="M417" i="1" s="1"/>
  <c r="K416" i="1"/>
  <c r="M416" i="1" s="1"/>
  <c r="K415" i="1"/>
  <c r="M415" i="1" s="1"/>
  <c r="K414" i="1"/>
  <c r="M414" i="1" s="1"/>
  <c r="K413" i="1"/>
  <c r="M413" i="1" s="1"/>
  <c r="K412" i="1"/>
  <c r="M412" i="1" s="1"/>
  <c r="K411" i="1"/>
  <c r="M411" i="1" s="1"/>
  <c r="K410" i="1"/>
  <c r="M410" i="1" s="1"/>
  <c r="K409" i="1"/>
  <c r="M409" i="1" s="1"/>
  <c r="K408" i="1"/>
  <c r="M408" i="1" s="1"/>
  <c r="K407" i="1"/>
  <c r="M407" i="1" s="1"/>
  <c r="K406" i="1"/>
  <c r="M406" i="1" s="1"/>
  <c r="K405" i="1"/>
  <c r="M405" i="1" s="1"/>
  <c r="K404" i="1"/>
  <c r="M404" i="1" s="1"/>
  <c r="K403" i="1"/>
  <c r="M403" i="1" s="1"/>
  <c r="K402" i="1"/>
  <c r="M402" i="1" s="1"/>
  <c r="K401" i="1"/>
  <c r="M401" i="1" s="1"/>
  <c r="K400" i="1"/>
  <c r="M400" i="1" s="1"/>
  <c r="K399" i="1"/>
  <c r="M399" i="1" s="1"/>
  <c r="K398" i="1"/>
  <c r="M398" i="1" s="1"/>
  <c r="K397" i="1"/>
  <c r="M397" i="1" s="1"/>
  <c r="K396" i="1"/>
  <c r="M396" i="1" s="1"/>
  <c r="K395" i="1"/>
  <c r="M395" i="1" s="1"/>
  <c r="K394" i="1"/>
  <c r="M394" i="1" s="1"/>
  <c r="K393" i="1"/>
  <c r="M393" i="1" s="1"/>
  <c r="K392" i="1"/>
  <c r="M392" i="1" s="1"/>
  <c r="K391" i="1"/>
  <c r="M391" i="1" s="1"/>
  <c r="K390" i="1"/>
  <c r="M390" i="1" s="1"/>
  <c r="K389" i="1"/>
  <c r="M389" i="1" s="1"/>
  <c r="K388" i="1"/>
  <c r="M388" i="1" s="1"/>
  <c r="K387" i="1"/>
  <c r="M387" i="1" s="1"/>
  <c r="K386" i="1"/>
  <c r="M386" i="1" s="1"/>
  <c r="K385" i="1"/>
  <c r="M385" i="1" s="1"/>
  <c r="K384" i="1"/>
  <c r="M384" i="1" s="1"/>
  <c r="K383" i="1"/>
  <c r="M383" i="1" s="1"/>
  <c r="K382" i="1"/>
  <c r="M382" i="1" s="1"/>
  <c r="K381" i="1"/>
  <c r="M381" i="1" s="1"/>
  <c r="K380" i="1"/>
  <c r="M380" i="1" s="1"/>
  <c r="K379" i="1"/>
  <c r="M379" i="1" s="1"/>
  <c r="K378" i="1"/>
  <c r="M378" i="1" s="1"/>
  <c r="K377" i="1"/>
  <c r="M377" i="1" s="1"/>
  <c r="K376" i="1"/>
  <c r="M376" i="1" s="1"/>
  <c r="K375" i="1"/>
  <c r="M375" i="1" s="1"/>
  <c r="K374" i="1"/>
  <c r="M374" i="1" s="1"/>
  <c r="K373" i="1"/>
  <c r="M373" i="1" s="1"/>
  <c r="K372" i="1"/>
  <c r="M372" i="1" s="1"/>
  <c r="K371" i="1"/>
  <c r="M371" i="1" s="1"/>
  <c r="K370" i="1"/>
  <c r="M370" i="1" s="1"/>
  <c r="K369" i="1"/>
  <c r="M369" i="1" s="1"/>
  <c r="K368" i="1"/>
  <c r="M368" i="1" s="1"/>
  <c r="K367" i="1"/>
  <c r="M367" i="1" s="1"/>
  <c r="K366" i="1"/>
  <c r="M366" i="1" s="1"/>
  <c r="K365" i="1"/>
  <c r="M365" i="1" s="1"/>
  <c r="K364" i="1"/>
  <c r="M364" i="1" s="1"/>
  <c r="K363" i="1"/>
  <c r="M363" i="1" s="1"/>
  <c r="K362" i="1"/>
  <c r="M362" i="1" s="1"/>
  <c r="K361" i="1"/>
  <c r="M361" i="1" s="1"/>
  <c r="K360" i="1"/>
  <c r="M360" i="1" s="1"/>
  <c r="K359" i="1"/>
  <c r="M359" i="1" s="1"/>
  <c r="K358" i="1"/>
  <c r="M358" i="1" s="1"/>
  <c r="K357" i="1"/>
  <c r="M357" i="1" s="1"/>
  <c r="K356" i="1"/>
  <c r="M356" i="1" s="1"/>
  <c r="K355" i="1"/>
  <c r="M355" i="1" s="1"/>
  <c r="K354" i="1"/>
  <c r="M354" i="1" s="1"/>
  <c r="K353" i="1"/>
  <c r="M353" i="1" s="1"/>
  <c r="K352" i="1"/>
  <c r="M352" i="1" s="1"/>
  <c r="K351" i="1"/>
  <c r="M351" i="1" s="1"/>
  <c r="K350" i="1"/>
  <c r="M350" i="1" s="1"/>
  <c r="K349" i="1"/>
  <c r="M349" i="1" s="1"/>
  <c r="K348" i="1"/>
  <c r="M348" i="1" s="1"/>
  <c r="K347" i="1"/>
  <c r="M347" i="1" s="1"/>
  <c r="K346" i="1"/>
  <c r="M346" i="1" s="1"/>
  <c r="K345" i="1"/>
  <c r="M345" i="1" s="1"/>
  <c r="K344" i="1"/>
  <c r="M344" i="1" s="1"/>
  <c r="K343" i="1"/>
  <c r="M343" i="1" s="1"/>
  <c r="K342" i="1"/>
  <c r="M342" i="1" s="1"/>
  <c r="K341" i="1"/>
  <c r="M341" i="1" s="1"/>
  <c r="K340" i="1"/>
  <c r="M340" i="1" s="1"/>
  <c r="K339" i="1"/>
  <c r="M339" i="1" s="1"/>
  <c r="K338" i="1"/>
  <c r="M338" i="1" s="1"/>
  <c r="K337" i="1"/>
  <c r="M337" i="1" s="1"/>
  <c r="K336" i="1"/>
  <c r="M336" i="1" s="1"/>
  <c r="K335" i="1"/>
  <c r="M335" i="1" s="1"/>
  <c r="K334" i="1"/>
  <c r="M334" i="1" s="1"/>
  <c r="K333" i="1"/>
  <c r="M333" i="1" s="1"/>
  <c r="K332" i="1"/>
  <c r="M332" i="1" s="1"/>
  <c r="K331" i="1"/>
  <c r="M331" i="1" s="1"/>
  <c r="K330" i="1"/>
  <c r="M330" i="1" s="1"/>
  <c r="K329" i="1"/>
  <c r="M329" i="1" s="1"/>
  <c r="K328" i="1"/>
  <c r="M328" i="1" s="1"/>
  <c r="K327" i="1"/>
  <c r="M327" i="1" s="1"/>
  <c r="K326" i="1"/>
  <c r="M326" i="1" s="1"/>
  <c r="K325" i="1"/>
  <c r="M325" i="1" s="1"/>
  <c r="K324" i="1"/>
  <c r="M324" i="1" s="1"/>
  <c r="K323" i="1"/>
  <c r="M323" i="1" s="1"/>
  <c r="K322" i="1"/>
  <c r="M322" i="1" s="1"/>
  <c r="K321" i="1"/>
  <c r="M321" i="1" s="1"/>
  <c r="K320" i="1"/>
  <c r="M320" i="1" s="1"/>
  <c r="K319" i="1"/>
  <c r="M319" i="1" s="1"/>
  <c r="K318" i="1"/>
  <c r="M318" i="1" s="1"/>
  <c r="K317" i="1"/>
  <c r="M317" i="1" s="1"/>
  <c r="K316" i="1"/>
  <c r="M316" i="1" s="1"/>
  <c r="K315" i="1"/>
  <c r="M315" i="1" s="1"/>
  <c r="K314" i="1"/>
  <c r="M314" i="1" s="1"/>
  <c r="K313" i="1"/>
  <c r="M313" i="1" s="1"/>
  <c r="K312" i="1"/>
  <c r="M312" i="1" s="1"/>
  <c r="K311" i="1"/>
  <c r="M311" i="1" s="1"/>
  <c r="K310" i="1"/>
  <c r="M310" i="1" s="1"/>
  <c r="K309" i="1"/>
  <c r="M309" i="1" s="1"/>
  <c r="K308" i="1"/>
  <c r="M308" i="1" s="1"/>
  <c r="K307" i="1"/>
  <c r="M307" i="1" s="1"/>
  <c r="K306" i="1"/>
  <c r="M306" i="1" s="1"/>
  <c r="K305" i="1"/>
  <c r="M305" i="1" s="1"/>
  <c r="K304" i="1"/>
  <c r="M304" i="1" s="1"/>
  <c r="K303" i="1"/>
  <c r="M303" i="1" s="1"/>
  <c r="K302" i="1"/>
  <c r="M302" i="1" s="1"/>
  <c r="K301" i="1"/>
  <c r="M301" i="1" s="1"/>
  <c r="K300" i="1"/>
  <c r="M300" i="1" s="1"/>
  <c r="K299" i="1"/>
  <c r="M299" i="1" s="1"/>
  <c r="K298" i="1"/>
  <c r="M298" i="1" s="1"/>
  <c r="K297" i="1"/>
  <c r="M297" i="1" s="1"/>
  <c r="K296" i="1"/>
  <c r="M296" i="1" s="1"/>
  <c r="K295" i="1"/>
  <c r="M295" i="1" s="1"/>
  <c r="K294" i="1"/>
  <c r="M294" i="1" s="1"/>
  <c r="K293" i="1"/>
  <c r="M293" i="1" s="1"/>
  <c r="K292" i="1"/>
  <c r="M292" i="1" s="1"/>
  <c r="K291" i="1"/>
  <c r="M291" i="1" s="1"/>
  <c r="K290" i="1"/>
  <c r="M290" i="1" s="1"/>
  <c r="K289" i="1"/>
  <c r="M289" i="1" s="1"/>
  <c r="K288" i="1"/>
  <c r="M288" i="1" s="1"/>
  <c r="K287" i="1"/>
  <c r="M287" i="1" s="1"/>
  <c r="K286" i="1"/>
  <c r="M286" i="1" s="1"/>
  <c r="K285" i="1"/>
  <c r="M285" i="1" s="1"/>
  <c r="K284" i="1"/>
  <c r="M284" i="1" s="1"/>
  <c r="K283" i="1"/>
  <c r="M283" i="1" s="1"/>
  <c r="K282" i="1"/>
  <c r="M282" i="1" s="1"/>
  <c r="K281" i="1"/>
  <c r="M281" i="1" s="1"/>
  <c r="K280" i="1"/>
  <c r="M280" i="1" s="1"/>
  <c r="K279" i="1"/>
  <c r="M279" i="1" s="1"/>
  <c r="K278" i="1"/>
  <c r="M278" i="1" s="1"/>
  <c r="K277" i="1"/>
  <c r="M277" i="1" s="1"/>
  <c r="K276" i="1"/>
  <c r="M276" i="1" s="1"/>
  <c r="K275" i="1"/>
  <c r="M275" i="1" s="1"/>
  <c r="K274" i="1"/>
  <c r="M274" i="1" s="1"/>
  <c r="K273" i="1"/>
  <c r="M273" i="1" s="1"/>
  <c r="K272" i="1"/>
  <c r="M272" i="1" s="1"/>
  <c r="K271" i="1"/>
  <c r="M271" i="1" s="1"/>
  <c r="K270" i="1"/>
  <c r="M270" i="1" s="1"/>
  <c r="K269" i="1"/>
  <c r="M269" i="1" s="1"/>
  <c r="K268" i="1"/>
  <c r="M268" i="1" s="1"/>
  <c r="K267" i="1"/>
  <c r="M267" i="1" s="1"/>
  <c r="K266" i="1"/>
  <c r="M266" i="1" s="1"/>
  <c r="K265" i="1"/>
  <c r="M265" i="1" s="1"/>
  <c r="K264" i="1"/>
  <c r="M264" i="1" s="1"/>
  <c r="K263" i="1"/>
  <c r="M263" i="1" s="1"/>
  <c r="K262" i="1"/>
  <c r="M262" i="1" s="1"/>
  <c r="K261" i="1"/>
  <c r="M261" i="1" s="1"/>
  <c r="K260" i="1"/>
  <c r="M260" i="1" s="1"/>
  <c r="K259" i="1"/>
  <c r="M259" i="1" s="1"/>
  <c r="K258" i="1"/>
  <c r="M258" i="1" s="1"/>
  <c r="K257" i="1"/>
  <c r="M257" i="1" s="1"/>
  <c r="K256" i="1"/>
  <c r="M256" i="1" s="1"/>
  <c r="K255" i="1"/>
  <c r="M255" i="1" s="1"/>
  <c r="K254" i="1"/>
  <c r="M254" i="1" s="1"/>
  <c r="K253" i="1"/>
  <c r="M253" i="1" s="1"/>
  <c r="K252" i="1"/>
  <c r="M252" i="1" s="1"/>
  <c r="K251" i="1"/>
  <c r="M251" i="1" s="1"/>
  <c r="K250" i="1"/>
  <c r="M250" i="1" s="1"/>
  <c r="K249" i="1"/>
  <c r="M249" i="1" s="1"/>
  <c r="K248" i="1"/>
  <c r="M248" i="1" s="1"/>
  <c r="K247" i="1"/>
  <c r="M247" i="1" s="1"/>
  <c r="K246" i="1"/>
  <c r="M246" i="1" s="1"/>
  <c r="K245" i="1"/>
  <c r="M245" i="1" s="1"/>
  <c r="K244" i="1"/>
  <c r="M244" i="1" s="1"/>
  <c r="K243" i="1"/>
  <c r="M243" i="1" s="1"/>
  <c r="K242" i="1"/>
  <c r="M242" i="1" s="1"/>
  <c r="K241" i="1"/>
  <c r="M241" i="1" s="1"/>
  <c r="K240" i="1"/>
  <c r="M240" i="1" s="1"/>
  <c r="K239" i="1"/>
  <c r="M239" i="1" s="1"/>
  <c r="K238" i="1"/>
  <c r="M238" i="1" s="1"/>
  <c r="K237" i="1"/>
  <c r="M237" i="1" s="1"/>
  <c r="K236" i="1"/>
  <c r="M236" i="1" s="1"/>
  <c r="K235" i="1"/>
  <c r="M235" i="1" s="1"/>
  <c r="K234" i="1"/>
  <c r="M234" i="1" s="1"/>
  <c r="K233" i="1"/>
  <c r="M233" i="1" s="1"/>
  <c r="K232" i="1"/>
  <c r="M232" i="1" s="1"/>
  <c r="K231" i="1"/>
  <c r="M231" i="1" s="1"/>
  <c r="K230" i="1"/>
  <c r="M230" i="1" s="1"/>
  <c r="K229" i="1"/>
  <c r="M229" i="1" s="1"/>
  <c r="K228" i="1"/>
  <c r="M228" i="1" s="1"/>
  <c r="K227" i="1"/>
  <c r="M227" i="1" s="1"/>
  <c r="K226" i="1"/>
  <c r="M226" i="1" s="1"/>
  <c r="K225" i="1"/>
  <c r="M225" i="1" s="1"/>
  <c r="K224" i="1"/>
  <c r="M224" i="1" s="1"/>
  <c r="K223" i="1"/>
  <c r="M223" i="1" s="1"/>
  <c r="K222" i="1"/>
  <c r="M222" i="1" s="1"/>
  <c r="K221" i="1"/>
  <c r="M221" i="1" s="1"/>
  <c r="K220" i="1"/>
  <c r="M220" i="1" s="1"/>
  <c r="K219" i="1"/>
  <c r="M219" i="1" s="1"/>
  <c r="K218" i="1"/>
  <c r="M218" i="1" s="1"/>
  <c r="K217" i="1"/>
  <c r="M217" i="1" s="1"/>
  <c r="K216" i="1"/>
  <c r="M216" i="1" s="1"/>
  <c r="K215" i="1"/>
  <c r="M215" i="1" s="1"/>
  <c r="K214" i="1"/>
  <c r="M214" i="1" s="1"/>
  <c r="K213" i="1"/>
  <c r="M213" i="1" s="1"/>
  <c r="K212" i="1"/>
  <c r="M212" i="1" s="1"/>
  <c r="K211" i="1"/>
  <c r="M211" i="1" s="1"/>
  <c r="K210" i="1"/>
  <c r="M210" i="1" s="1"/>
  <c r="K209" i="1"/>
  <c r="M209" i="1" s="1"/>
  <c r="K208" i="1"/>
  <c r="M208" i="1" s="1"/>
  <c r="K207" i="1"/>
  <c r="M207" i="1" s="1"/>
  <c r="K206" i="1"/>
  <c r="M206" i="1" s="1"/>
  <c r="K205" i="1"/>
  <c r="M205" i="1" s="1"/>
  <c r="K204" i="1"/>
  <c r="M204" i="1" s="1"/>
  <c r="K203" i="1"/>
  <c r="M203" i="1" s="1"/>
  <c r="K202" i="1"/>
  <c r="M202" i="1" s="1"/>
  <c r="K201" i="1"/>
  <c r="M201" i="1" s="1"/>
  <c r="K200" i="1"/>
  <c r="M200" i="1" s="1"/>
  <c r="K199" i="1"/>
  <c r="M199" i="1" s="1"/>
  <c r="K198" i="1"/>
  <c r="M198" i="1" s="1"/>
  <c r="K197" i="1"/>
  <c r="M197" i="1" s="1"/>
  <c r="K196" i="1"/>
  <c r="M196" i="1" s="1"/>
  <c r="K195" i="1"/>
  <c r="M195" i="1" s="1"/>
  <c r="K194" i="1"/>
  <c r="M194" i="1" s="1"/>
  <c r="K193" i="1"/>
  <c r="M193" i="1" s="1"/>
  <c r="K192" i="1"/>
  <c r="M192" i="1" s="1"/>
  <c r="K191" i="1"/>
  <c r="M191" i="1" s="1"/>
  <c r="K190" i="1"/>
  <c r="M190" i="1" s="1"/>
  <c r="K189" i="1"/>
  <c r="M189" i="1" s="1"/>
  <c r="K188" i="1"/>
  <c r="M188" i="1" s="1"/>
  <c r="K187" i="1"/>
  <c r="M187" i="1" s="1"/>
  <c r="K186" i="1"/>
  <c r="M186" i="1" s="1"/>
  <c r="K185" i="1"/>
  <c r="M185" i="1" s="1"/>
  <c r="M184" i="1"/>
  <c r="M183" i="1"/>
  <c r="M182" i="1"/>
  <c r="M181" i="1"/>
</calcChain>
</file>

<file path=xl/sharedStrings.xml><?xml version="1.0" encoding="utf-8"?>
<sst xmlns="http://schemas.openxmlformats.org/spreadsheetml/2006/main" count="22147" uniqueCount="211">
  <si>
    <t>Mastgen</t>
  </si>
  <si>
    <t>PE</t>
  </si>
  <si>
    <t>Promastic</t>
  </si>
  <si>
    <t>AE</t>
  </si>
  <si>
    <t>PD</t>
  </si>
  <si>
    <t>AD</t>
  </si>
  <si>
    <t>Ubrolexin</t>
  </si>
  <si>
    <t>Mastite clinica</t>
  </si>
  <si>
    <t>Vetmax</t>
  </si>
  <si>
    <t>Mastclin</t>
  </si>
  <si>
    <t>Mastigem</t>
  </si>
  <si>
    <t>Ubroletin</t>
  </si>
  <si>
    <t>Promash</t>
  </si>
  <si>
    <t>Rilexine</t>
  </si>
  <si>
    <t>Masticlin</t>
  </si>
  <si>
    <t>Mast jet</t>
  </si>
  <si>
    <t>Ubrelexim</t>
  </si>
  <si>
    <t>Newmast</t>
  </si>
  <si>
    <t>ubrolexin</t>
  </si>
  <si>
    <t>mast jet</t>
  </si>
  <si>
    <t>MASTJET</t>
  </si>
  <si>
    <t>mastjet</t>
  </si>
  <si>
    <t>masticlin</t>
  </si>
  <si>
    <t>MASTICLIN</t>
  </si>
  <si>
    <t>EXPERIMENTO</t>
  </si>
  <si>
    <t>MASTGEN</t>
  </si>
  <si>
    <t>MASTITE clinica</t>
  </si>
  <si>
    <t>AD0</t>
  </si>
  <si>
    <t>MASTCLIN</t>
  </si>
  <si>
    <t>vetmax</t>
  </si>
  <si>
    <t>A</t>
  </si>
  <si>
    <t>RILEXINE</t>
  </si>
  <si>
    <t>COBACTAM</t>
  </si>
  <si>
    <t>SINULOX</t>
  </si>
  <si>
    <t>SPECTRAMAST</t>
  </si>
  <si>
    <t>SYNULOX</t>
  </si>
  <si>
    <t>VACA</t>
  </si>
  <si>
    <t>INÍCIO TRATAMENTO</t>
  </si>
  <si>
    <t>INTRAMÁMARIO</t>
  </si>
  <si>
    <t>DIAS APLICAÇÃO</t>
  </si>
  <si>
    <t>mastijet</t>
  </si>
  <si>
    <t> </t>
  </si>
  <si>
    <t>ciprolac</t>
  </si>
  <si>
    <t>vetimax</t>
  </si>
  <si>
    <t>mastite clinica</t>
  </si>
  <si>
    <t>newmast</t>
  </si>
  <si>
    <t xml:space="preserve">      30/02/2023</t>
  </si>
  <si>
    <t xml:space="preserve">       11/012/2023</t>
  </si>
  <si>
    <t xml:space="preserve">mastijet </t>
  </si>
  <si>
    <t xml:space="preserve">       13/02/2023</t>
  </si>
  <si>
    <t>mastite clínica</t>
  </si>
  <si>
    <t>mastIjet</t>
  </si>
  <si>
    <t xml:space="preserve">mastite clinica </t>
  </si>
  <si>
    <t xml:space="preserve">        08/02/2023</t>
  </si>
  <si>
    <t xml:space="preserve">vetmax </t>
  </si>
  <si>
    <t xml:space="preserve">            02/02/2023</t>
  </si>
  <si>
    <t xml:space="preserve">        14/02/2023</t>
  </si>
  <si>
    <t xml:space="preserve">            03/02/2023</t>
  </si>
  <si>
    <t xml:space="preserve">mastite clinica  </t>
  </si>
  <si>
    <t xml:space="preserve">        11/02/2023</t>
  </si>
  <si>
    <t xml:space="preserve">            04/02/2023</t>
  </si>
  <si>
    <t xml:space="preserve">            05/02/2023</t>
  </si>
  <si>
    <t xml:space="preserve">        23/02/2023</t>
  </si>
  <si>
    <t xml:space="preserve">            06/02/2023</t>
  </si>
  <si>
    <t xml:space="preserve">            07/02/2023</t>
  </si>
  <si>
    <t xml:space="preserve">        16/02/2023</t>
  </si>
  <si>
    <t>Ciprolac</t>
  </si>
  <si>
    <t xml:space="preserve">mastite clínica </t>
  </si>
  <si>
    <t>CIprolac</t>
  </si>
  <si>
    <t>mastigem</t>
  </si>
  <si>
    <t>matite clínica</t>
  </si>
  <si>
    <t>mastire clínica</t>
  </si>
  <si>
    <t xml:space="preserve"> mastifin</t>
  </si>
  <si>
    <t>mastite clícica</t>
  </si>
  <si>
    <t>mastifin</t>
  </si>
  <si>
    <t xml:space="preserve">        04/07/2023</t>
  </si>
  <si>
    <t xml:space="preserve">        07/07/2024</t>
  </si>
  <si>
    <t>mastijet (retratada)</t>
  </si>
  <si>
    <t>mastite clínica (retratada)</t>
  </si>
  <si>
    <t>mastigen</t>
  </si>
  <si>
    <t>masticlim</t>
  </si>
  <si>
    <t>Spectramast</t>
  </si>
  <si>
    <t xml:space="preserve">        31/08/2023</t>
  </si>
  <si>
    <t xml:space="preserve">       31/08/2023</t>
  </si>
  <si>
    <t>Mastijet</t>
  </si>
  <si>
    <t>Cobactam</t>
  </si>
  <si>
    <t>Mastiplan</t>
  </si>
  <si>
    <t>INTRAMAMÁRIO</t>
  </si>
  <si>
    <t>FINAL TRATAMENTO</t>
  </si>
  <si>
    <t>CARÊNCIA</t>
  </si>
  <si>
    <t>TETO EM TRATAMENTO</t>
  </si>
  <si>
    <t>Masticlim</t>
  </si>
  <si>
    <t>MASTIJET</t>
  </si>
  <si>
    <t>msaticlin</t>
  </si>
  <si>
    <t>masitite clinica</t>
  </si>
  <si>
    <t>Relexine</t>
  </si>
  <si>
    <t>PROMASTIC</t>
  </si>
  <si>
    <t>MASTIGEN</t>
  </si>
  <si>
    <t>Numero vaca</t>
  </si>
  <si>
    <t>PÉ</t>
  </si>
  <si>
    <t>Score sujidade</t>
  </si>
  <si>
    <t>MÉDIA</t>
  </si>
  <si>
    <t>DIAS APP</t>
  </si>
  <si>
    <t>DATA FINAL</t>
  </si>
  <si>
    <t>RETORNO</t>
  </si>
  <si>
    <t>GRAU HIPERQUERATOSE</t>
  </si>
  <si>
    <t>MASTJet</t>
  </si>
  <si>
    <t>MORTA</t>
  </si>
  <si>
    <t>CIPROLAC</t>
  </si>
  <si>
    <t>297/26</t>
  </si>
  <si>
    <t>Lote</t>
  </si>
  <si>
    <t>Brinco</t>
  </si>
  <si>
    <t>DEL</t>
  </si>
  <si>
    <t>LACT</t>
  </si>
  <si>
    <t>ÚltTratSeca</t>
  </si>
  <si>
    <t>DATA SECA</t>
  </si>
  <si>
    <t>StatRepro</t>
  </si>
  <si>
    <t>DiasCarenLeite</t>
  </si>
  <si>
    <t>DtÚltParto</t>
  </si>
  <si>
    <t>RILEXINE 500</t>
  </si>
  <si>
    <t>Prenha</t>
  </si>
  <si>
    <t>Ciprolac Vaca Seca</t>
  </si>
  <si>
    <t>Sold</t>
  </si>
  <si>
    <t>Mamyzin-A</t>
  </si>
  <si>
    <t>Cepravin</t>
  </si>
  <si>
    <t>DNB</t>
  </si>
  <si>
    <t>Spectramast DC</t>
  </si>
  <si>
    <t>Cefa-Dri</t>
  </si>
  <si>
    <t>INTRASEC PLUS</t>
  </si>
  <si>
    <t>Intrasec VS</t>
  </si>
  <si>
    <t>Fresca</t>
  </si>
  <si>
    <t>Vazia</t>
  </si>
  <si>
    <t>Bred</t>
  </si>
  <si>
    <t>Teatseal</t>
  </si>
  <si>
    <t>Bovicef 500 DC</t>
  </si>
  <si>
    <t>Rilexine DC</t>
  </si>
  <si>
    <t>retorno</t>
  </si>
  <si>
    <t xml:space="preserve">DATA </t>
  </si>
  <si>
    <t>DOENÇA</t>
  </si>
  <si>
    <t>MEDICAMENTO</t>
  </si>
  <si>
    <t>MASTITE</t>
  </si>
  <si>
    <t>TS + FORTGAL</t>
  </si>
  <si>
    <t>TS+ KINETOMAX+FORCIL</t>
  </si>
  <si>
    <t>PIRO</t>
  </si>
  <si>
    <t>OUROTETRA+FERRODEX+B12</t>
  </si>
  <si>
    <t>RETENÇÃO DE PLACENTA</t>
  </si>
  <si>
    <t>PENCIVET + SORO</t>
  </si>
  <si>
    <t>KINETOMAX+ FORCIL</t>
  </si>
  <si>
    <t>TOLFEDINE+FORCIL</t>
  </si>
  <si>
    <t>PNEUMONIA</t>
  </si>
  <si>
    <t>PENCIVET+ÓLEO CANFORADO</t>
  </si>
  <si>
    <t>FORTGAL+MAXICAN</t>
  </si>
  <si>
    <t>TS+OUROTETRA</t>
  </si>
  <si>
    <t>PENCIVET+SORO+MAXICAN</t>
  </si>
  <si>
    <t>PENCIVET+SORO</t>
  </si>
  <si>
    <t>KINETOMAX+ SORO+ÓLEO CANFORADO</t>
  </si>
  <si>
    <t>CASCO</t>
  </si>
  <si>
    <t>TILOFOR</t>
  </si>
  <si>
    <t>FORTGAL+MAXICAN+TS</t>
  </si>
  <si>
    <t>TS+FORTGAL</t>
  </si>
  <si>
    <t>TILOFOR+MAXICAN</t>
  </si>
  <si>
    <t>FORTGAL</t>
  </si>
  <si>
    <t>PENCIVET+ÓLEO CANFORADO+MAXICAN</t>
  </si>
  <si>
    <t>CAUDECTOMIA</t>
  </si>
  <si>
    <t xml:space="preserve">PENCIVET+MONOVIN K </t>
  </si>
  <si>
    <t>OUROTETRA</t>
  </si>
  <si>
    <t>PENCIVET+ÓLEO+MAXICAN</t>
  </si>
  <si>
    <t>INTOXICAÇÃO</t>
  </si>
  <si>
    <t>SORO+PENCIVET</t>
  </si>
  <si>
    <t>TS+FORTGAL+MAXICAN</t>
  </si>
  <si>
    <t>ABOMASO</t>
  </si>
  <si>
    <t>SORO+PENCIVET+MAXICAN</t>
  </si>
  <si>
    <t>KINETOMAX+MAXICAN</t>
  </si>
  <si>
    <t>PENCIVET</t>
  </si>
  <si>
    <t>KINETOMAX+FORCIL</t>
  </si>
  <si>
    <t>KINETOMAX+ÓLEO+MAXICAN</t>
  </si>
  <si>
    <t>KINETOMAX+METACAN</t>
  </si>
  <si>
    <t>METRITE</t>
  </si>
  <si>
    <t>FORTGAL+METACAN</t>
  </si>
  <si>
    <t>PENCIVET+OLEO+MAXICAN</t>
  </si>
  <si>
    <t>COSTRIDIO</t>
  </si>
  <si>
    <t>ABORTO</t>
  </si>
  <si>
    <t>FORCIL+TOLFEDINE</t>
  </si>
  <si>
    <t>KINETOMAX+OLEO+MAXICAN</t>
  </si>
  <si>
    <t>PENCIVET+MAXICAN</t>
  </si>
  <si>
    <t>KINETOMAX</t>
  </si>
  <si>
    <t>PNEUMONIA+CASCO</t>
  </si>
  <si>
    <t>TILOFOR+SORO</t>
  </si>
  <si>
    <t>CASCO E DIARREIA</t>
  </si>
  <si>
    <t>SORO+TILOFOR</t>
  </si>
  <si>
    <t>FORTGAL+MAXIXAN</t>
  </si>
  <si>
    <t>ÓLEO+MAXICAN</t>
  </si>
  <si>
    <t>FORTGAL+TOLFEDINE</t>
  </si>
  <si>
    <t>LOCOMOTOR</t>
  </si>
  <si>
    <t>PNEUMONIA+MASTITE</t>
  </si>
  <si>
    <t>FRIEIRA</t>
  </si>
  <si>
    <t>PNEUMONIA E CASCO</t>
  </si>
  <si>
    <t>TILOFOR+METACAN</t>
  </si>
  <si>
    <t>1571-EMILIA</t>
  </si>
  <si>
    <t>SORO+PENCIVET+B1</t>
  </si>
  <si>
    <t>TS+OUROTETRA+METACAN</t>
  </si>
  <si>
    <t>PNEUMONIA E DIARREIA</t>
  </si>
  <si>
    <t>SORO+PENCIVET+OLEO+MAXICAN</t>
  </si>
  <si>
    <t>OUROTETRA+B12</t>
  </si>
  <si>
    <t>pe</t>
  </si>
  <si>
    <t>mastgen</t>
  </si>
  <si>
    <t>ae</t>
  </si>
  <si>
    <t>ad</t>
  </si>
  <si>
    <t>pd</t>
  </si>
  <si>
    <t>VETMAX</t>
  </si>
  <si>
    <t xml:space="preserve">UBROLEXIN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</si>
</sst>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6100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5">
    <xf numFmtId="0" fontId="0" fillId="0" borderId="0" xfId="0"/>
    <xf numFmtId="1" fontId="1" fillId="2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/>
    <xf numFmtId="0" fontId="0" fillId="2" borderId="1" xfId="0" applyFill="1" applyBorder="1"/>
    <xf numFmtId="0" fontId="0" fillId="2" borderId="2" xfId="0" applyFill="1" applyBorder="1"/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1" fontId="1" fillId="2" borderId="2" xfId="0" applyNumberFormat="1" applyFont="1" applyFill="1" applyBorder="1"/>
    <xf numFmtId="1" fontId="1" fillId="2" borderId="4" xfId="0" applyNumberFormat="1" applyFont="1" applyFill="1" applyBorder="1"/>
    <xf numFmtId="1" fontId="1" fillId="2" borderId="5" xfId="0" applyNumberFormat="1" applyFont="1" applyFill="1" applyBorder="1" applyAlignment="1">
      <alignment horizontal="center"/>
    </xf>
    <xf numFmtId="16" fontId="0" fillId="0" borderId="0" xfId="0" applyNumberFormat="1"/>
    <xf numFmtId="0" fontId="1" fillId="2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0" fillId="2" borderId="5" xfId="0" applyNumberFormat="1" applyFill="1" applyBorder="1"/>
    <xf numFmtId="14" fontId="0" fillId="0" borderId="0" xfId="0" applyNumberFormat="1"/>
    <xf numFmtId="0" fontId="0" fillId="2" borderId="0" xfId="0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7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2" fillId="0" borderId="0" xfId="0" applyNumberFormat="1" applyFont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" fontId="0" fillId="0" borderId="1" xfId="0" applyNumberFormat="1" applyBorder="1"/>
    <xf numFmtId="14" fontId="2" fillId="0" borderId="1" xfId="0" applyNumberFormat="1" applyFont="1" applyBorder="1"/>
    <xf numFmtId="0" fontId="0" fillId="0" borderId="1" xfId="0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/>
    <xf numFmtId="0" fontId="4" fillId="3" borderId="6" xfId="0" applyFont="1" applyFill="1" applyBorder="1"/>
    <xf numFmtId="14" fontId="4" fillId="3" borderId="6" xfId="0" applyNumberFormat="1" applyFont="1" applyFill="1" applyBorder="1"/>
    <xf numFmtId="0" fontId="5" fillId="3" borderId="6" xfId="0" applyFont="1" applyFill="1" applyBorder="1"/>
    <xf numFmtId="14" fontId="5" fillId="3" borderId="6" xfId="0" applyNumberFormat="1" applyFont="1" applyFill="1" applyBorder="1"/>
    <xf numFmtId="0" fontId="4" fillId="3" borderId="7" xfId="0" applyFont="1" applyFill="1" applyBorder="1"/>
    <xf numFmtId="0" fontId="4" fillId="3" borderId="8" xfId="0" applyFont="1" applyFill="1" applyBorder="1"/>
    <xf numFmtId="14" fontId="4" fillId="3" borderId="8" xfId="0" applyNumberFormat="1" applyFont="1" applyFill="1" applyBorder="1"/>
    <xf numFmtId="0" fontId="5" fillId="3" borderId="8" xfId="0" applyFont="1" applyFill="1" applyBorder="1"/>
    <xf numFmtId="14" fontId="5" fillId="3" borderId="8" xfId="0" applyNumberFormat="1" applyFont="1" applyFill="1" applyBorder="1"/>
    <xf numFmtId="0" fontId="4" fillId="3" borderId="9" xfId="0" applyFont="1" applyFill="1" applyBorder="1"/>
    <xf numFmtId="0" fontId="4" fillId="4" borderId="1" xfId="0" applyFont="1" applyFill="1" applyBorder="1"/>
    <xf numFmtId="0" fontId="4" fillId="4" borderId="6" xfId="0" applyFont="1" applyFill="1" applyBorder="1"/>
    <xf numFmtId="14" fontId="4" fillId="4" borderId="6" xfId="0" applyNumberFormat="1" applyFont="1" applyFill="1" applyBorder="1"/>
    <xf numFmtId="0" fontId="5" fillId="4" borderId="6" xfId="0" applyFont="1" applyFill="1" applyBorder="1"/>
    <xf numFmtId="14" fontId="5" fillId="4" borderId="6" xfId="0" applyNumberFormat="1" applyFont="1" applyFill="1" applyBorder="1"/>
    <xf numFmtId="0" fontId="6" fillId="3" borderId="7" xfId="0" applyFont="1" applyFill="1" applyBorder="1"/>
    <xf numFmtId="0" fontId="4" fillId="5" borderId="7" xfId="0" applyFont="1" applyFill="1" applyBorder="1"/>
    <xf numFmtId="0" fontId="4" fillId="5" borderId="8" xfId="0" applyFont="1" applyFill="1" applyBorder="1"/>
    <xf numFmtId="0" fontId="5" fillId="5" borderId="8" xfId="0" applyFont="1" applyFill="1" applyBorder="1"/>
    <xf numFmtId="14" fontId="5" fillId="5" borderId="8" xfId="0" applyNumberFormat="1" applyFont="1" applyFill="1" applyBorder="1"/>
    <xf numFmtId="0" fontId="5" fillId="5" borderId="0" xfId="0" applyFont="1" applyFill="1"/>
    <xf numFmtId="14" fontId="4" fillId="5" borderId="8" xfId="0" applyNumberFormat="1" applyFont="1" applyFill="1" applyBorder="1"/>
    <xf numFmtId="0" fontId="5" fillId="5" borderId="6" xfId="0" applyFont="1" applyFill="1" applyBorder="1"/>
    <xf numFmtId="0" fontId="5" fillId="0" borderId="8" xfId="0" applyFont="1" applyBorder="1"/>
    <xf numFmtId="0" fontId="4" fillId="3" borderId="5" xfId="0" applyFont="1" applyFill="1" applyBorder="1"/>
    <xf numFmtId="14" fontId="4" fillId="3" borderId="9" xfId="0" applyNumberFormat="1" applyFont="1" applyFill="1" applyBorder="1"/>
    <xf numFmtId="0" fontId="5" fillId="3" borderId="9" xfId="0" applyFont="1" applyFill="1" applyBorder="1"/>
    <xf numFmtId="14" fontId="5" fillId="3" borderId="9" xfId="0" applyNumberFormat="1" applyFont="1" applyFill="1" applyBorder="1"/>
    <xf numFmtId="14" fontId="5" fillId="4" borderId="8" xfId="0" applyNumberFormat="1" applyFont="1" applyFill="1" applyBorder="1"/>
    <xf numFmtId="0" fontId="7" fillId="6" borderId="1" xfId="0" applyFont="1" applyFill="1" applyBorder="1"/>
    <xf numFmtId="0" fontId="4" fillId="3" borderId="0" xfId="0" applyFont="1" applyFill="1"/>
    <xf numFmtId="14" fontId="4" fillId="3" borderId="0" xfId="0" applyNumberFormat="1" applyFont="1" applyFill="1"/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14" fontId="4" fillId="3" borderId="6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14" fontId="5" fillId="3" borderId="6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4" fontId="4" fillId="3" borderId="8" xfId="0" applyNumberFormat="1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14" fontId="5" fillId="3" borderId="8" xfId="0" applyNumberFormat="1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/>
    <xf numFmtId="2" fontId="0" fillId="0" borderId="1" xfId="0" applyNumberFormat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right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1" fontId="1" fillId="7" borderId="1" xfId="0" applyNumberFormat="1" applyFont="1" applyFill="1" applyBorder="1" applyAlignment="1">
      <alignment horizontal="center"/>
    </xf>
    <xf numFmtId="1" fontId="1" fillId="7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</cellXfs>
  <cellStyles count="2">
    <cellStyle name="Normal" xfId="0" builtinId="0"/>
    <cellStyle name="Vírgula 2" xfId="1" xr:uid="{9CD75EC1-E6E9-445D-9650-ADAAD5E706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2"/>
  <sheetViews>
    <sheetView workbookViewId="0">
      <selection activeCell="A29" sqref="A29:Q481"/>
    </sheetView>
  </sheetViews>
  <sheetFormatPr defaultRowHeight="15" x14ac:dyDescent="0.25"/>
  <cols>
    <col min="2" max="2" width="10.5703125" bestFit="1" customWidth="1"/>
    <col min="5" max="5" width="12.28515625" bestFit="1" customWidth="1"/>
    <col min="10" max="10" width="10.7109375" bestFit="1" customWidth="1"/>
    <col min="11" max="11" width="10.5703125" bestFit="1" customWidth="1"/>
    <col min="13" max="13" width="10.5703125" bestFit="1" customWidth="1"/>
    <col min="14" max="14" width="10.7109375" bestFit="1" customWidth="1"/>
  </cols>
  <sheetData>
    <row r="1" spans="1:17" x14ac:dyDescent="0.25">
      <c r="A1" s="1">
        <v>17136</v>
      </c>
      <c r="B1" s="2">
        <v>45498</v>
      </c>
      <c r="C1" s="3"/>
      <c r="D1" s="3"/>
      <c r="E1" s="4" t="s">
        <v>0</v>
      </c>
      <c r="F1" s="3"/>
      <c r="G1" s="3"/>
      <c r="H1" s="5"/>
      <c r="I1" s="5">
        <v>3</v>
      </c>
      <c r="J1" s="5"/>
      <c r="K1" s="6">
        <v>45500</v>
      </c>
      <c r="L1" s="5">
        <v>3</v>
      </c>
      <c r="M1" s="6">
        <v>45504</v>
      </c>
      <c r="N1" s="7"/>
      <c r="O1" s="7"/>
      <c r="P1" s="7" t="s">
        <v>1</v>
      </c>
      <c r="Q1" s="8"/>
    </row>
    <row r="2" spans="1:17" x14ac:dyDescent="0.25">
      <c r="A2" s="1">
        <v>2513</v>
      </c>
      <c r="B2" s="2">
        <v>45498</v>
      </c>
      <c r="C2" s="3"/>
      <c r="D2" s="3"/>
      <c r="E2" s="4" t="s">
        <v>2</v>
      </c>
      <c r="F2" s="3"/>
      <c r="G2" s="3"/>
      <c r="H2" s="5"/>
      <c r="I2" s="5">
        <v>5</v>
      </c>
      <c r="J2" s="5"/>
      <c r="K2" s="6">
        <v>45502</v>
      </c>
      <c r="L2" s="5">
        <v>3</v>
      </c>
      <c r="M2" s="6">
        <v>45506</v>
      </c>
      <c r="N2" s="7" t="s">
        <v>3</v>
      </c>
      <c r="O2" s="7"/>
      <c r="P2" s="7"/>
      <c r="Q2" s="8"/>
    </row>
    <row r="3" spans="1:17" x14ac:dyDescent="0.25">
      <c r="A3" s="1">
        <v>3554</v>
      </c>
      <c r="B3" s="2">
        <v>45498</v>
      </c>
      <c r="C3" s="3"/>
      <c r="D3" s="3"/>
      <c r="E3" s="4" t="s">
        <v>2</v>
      </c>
      <c r="F3" s="3"/>
      <c r="G3" s="3"/>
      <c r="H3" s="5"/>
      <c r="I3" s="5">
        <v>5</v>
      </c>
      <c r="J3" s="5"/>
      <c r="K3" s="6">
        <v>45502</v>
      </c>
      <c r="L3" s="5">
        <v>3</v>
      </c>
      <c r="M3" s="6">
        <v>45506</v>
      </c>
      <c r="N3" s="7" t="s">
        <v>3</v>
      </c>
      <c r="O3" s="7"/>
      <c r="P3" s="7"/>
      <c r="Q3" s="8"/>
    </row>
    <row r="4" spans="1:17" x14ac:dyDescent="0.25">
      <c r="A4" s="1">
        <v>3164</v>
      </c>
      <c r="B4" s="2">
        <v>45498</v>
      </c>
      <c r="C4" s="3"/>
      <c r="D4" s="3"/>
      <c r="E4" s="4" t="s">
        <v>2</v>
      </c>
      <c r="F4" s="3"/>
      <c r="G4" s="3"/>
      <c r="H4" s="5"/>
      <c r="I4" s="5">
        <v>5</v>
      </c>
      <c r="J4" s="5"/>
      <c r="K4" s="6">
        <v>45502</v>
      </c>
      <c r="L4" s="5">
        <v>3</v>
      </c>
      <c r="M4" s="6">
        <v>45506</v>
      </c>
      <c r="N4" s="7" t="s">
        <v>3</v>
      </c>
      <c r="O4" s="7"/>
      <c r="P4" s="7"/>
      <c r="Q4" s="8"/>
    </row>
    <row r="5" spans="1:17" x14ac:dyDescent="0.25">
      <c r="A5" s="1">
        <v>2324</v>
      </c>
      <c r="B5" s="2">
        <v>45498</v>
      </c>
      <c r="C5" s="3"/>
      <c r="D5" s="3"/>
      <c r="E5" s="4" t="s">
        <v>2</v>
      </c>
      <c r="F5" s="3"/>
      <c r="G5" s="3"/>
      <c r="H5" s="5"/>
      <c r="I5" s="5">
        <v>5</v>
      </c>
      <c r="J5" s="5"/>
      <c r="K5" s="6">
        <v>45502</v>
      </c>
      <c r="L5" s="5">
        <v>3</v>
      </c>
      <c r="M5" s="6">
        <v>45506</v>
      </c>
      <c r="N5" s="7"/>
      <c r="O5" s="7"/>
      <c r="P5" s="7"/>
      <c r="Q5" s="8" t="s">
        <v>4</v>
      </c>
    </row>
    <row r="6" spans="1:17" x14ac:dyDescent="0.25">
      <c r="A6" s="1">
        <v>2050</v>
      </c>
      <c r="B6" s="2">
        <v>45498</v>
      </c>
      <c r="C6" s="3"/>
      <c r="D6" s="3"/>
      <c r="E6" s="4" t="s">
        <v>2</v>
      </c>
      <c r="F6" s="3"/>
      <c r="G6" s="3"/>
      <c r="H6" s="5"/>
      <c r="I6" s="5">
        <v>5</v>
      </c>
      <c r="J6" s="5"/>
      <c r="K6" s="6">
        <v>45502</v>
      </c>
      <c r="L6" s="5">
        <v>3</v>
      </c>
      <c r="M6" s="6">
        <v>45506</v>
      </c>
      <c r="N6" s="7" t="s">
        <v>3</v>
      </c>
      <c r="O6" s="7"/>
      <c r="P6" s="7"/>
      <c r="Q6" s="8"/>
    </row>
    <row r="7" spans="1:17" x14ac:dyDescent="0.25">
      <c r="A7" s="1">
        <v>2879</v>
      </c>
      <c r="B7" s="2">
        <v>45499</v>
      </c>
      <c r="C7" s="3"/>
      <c r="D7" s="3"/>
      <c r="E7" s="4" t="s">
        <v>0</v>
      </c>
      <c r="F7" s="3"/>
      <c r="G7" s="3"/>
      <c r="H7" s="5"/>
      <c r="I7" s="5">
        <v>5</v>
      </c>
      <c r="J7" s="5"/>
      <c r="K7" s="6">
        <v>45503</v>
      </c>
      <c r="L7" s="5">
        <v>3</v>
      </c>
      <c r="M7" s="6">
        <v>45507</v>
      </c>
      <c r="N7" s="7"/>
      <c r="O7" s="7" t="s">
        <v>5</v>
      </c>
      <c r="P7" s="7"/>
      <c r="Q7" s="8"/>
    </row>
    <row r="8" spans="1:17" x14ac:dyDescent="0.25">
      <c r="A8" s="1">
        <v>2745</v>
      </c>
      <c r="B8" s="2">
        <v>45499</v>
      </c>
      <c r="C8" s="3"/>
      <c r="D8" s="3"/>
      <c r="E8" s="4" t="s">
        <v>6</v>
      </c>
      <c r="F8" s="3"/>
      <c r="G8" s="3"/>
      <c r="H8" s="5"/>
      <c r="I8" s="5">
        <v>4</v>
      </c>
      <c r="J8" s="5"/>
      <c r="K8" s="6">
        <v>45503</v>
      </c>
      <c r="L8" s="5">
        <v>5</v>
      </c>
      <c r="M8" s="6">
        <v>45509</v>
      </c>
      <c r="N8" s="7" t="s">
        <v>3</v>
      </c>
      <c r="O8" s="7" t="s">
        <v>5</v>
      </c>
      <c r="P8" s="7" t="s">
        <v>1</v>
      </c>
      <c r="Q8" s="8"/>
    </row>
    <row r="9" spans="1:17" x14ac:dyDescent="0.25">
      <c r="A9" s="1">
        <v>3637</v>
      </c>
      <c r="B9" s="2">
        <v>45499</v>
      </c>
      <c r="C9" s="3"/>
      <c r="D9" s="3"/>
      <c r="E9" s="9" t="s">
        <v>7</v>
      </c>
      <c r="F9" s="3"/>
      <c r="G9" s="3"/>
      <c r="H9" s="5"/>
      <c r="I9" s="5">
        <v>5</v>
      </c>
      <c r="J9" s="5"/>
      <c r="K9" s="6">
        <v>45503</v>
      </c>
      <c r="L9" s="5">
        <v>3</v>
      </c>
      <c r="M9" s="6">
        <v>45507</v>
      </c>
      <c r="N9" s="7"/>
      <c r="O9" s="7" t="s">
        <v>5</v>
      </c>
      <c r="P9" s="7"/>
      <c r="Q9" s="8"/>
    </row>
    <row r="10" spans="1:17" x14ac:dyDescent="0.25">
      <c r="A10" s="1">
        <v>3720</v>
      </c>
      <c r="B10" s="2">
        <v>45500</v>
      </c>
      <c r="C10" s="3"/>
      <c r="D10" s="3"/>
      <c r="E10" s="9" t="s">
        <v>7</v>
      </c>
      <c r="F10" s="3"/>
      <c r="G10" s="3"/>
      <c r="H10" s="5"/>
      <c r="I10" s="5">
        <v>5</v>
      </c>
      <c r="J10" s="5"/>
      <c r="K10" s="6">
        <v>45504</v>
      </c>
      <c r="L10" s="5">
        <v>3</v>
      </c>
      <c r="M10" s="6">
        <v>45508</v>
      </c>
      <c r="N10" s="7" t="s">
        <v>3</v>
      </c>
      <c r="O10" s="7" t="s">
        <v>5</v>
      </c>
      <c r="P10" s="7" t="s">
        <v>1</v>
      </c>
      <c r="Q10" s="8" t="s">
        <v>4</v>
      </c>
    </row>
    <row r="11" spans="1:17" x14ac:dyDescent="0.25">
      <c r="A11" s="1">
        <v>873</v>
      </c>
      <c r="B11" s="2">
        <v>45501</v>
      </c>
      <c r="C11" s="3"/>
      <c r="D11" s="3"/>
      <c r="E11" s="4" t="s">
        <v>8</v>
      </c>
      <c r="F11" s="3"/>
      <c r="G11" s="3"/>
      <c r="H11" s="5"/>
      <c r="I11" s="5">
        <v>5</v>
      </c>
      <c r="J11" s="5"/>
      <c r="K11" s="6">
        <v>45505</v>
      </c>
      <c r="L11" s="5">
        <v>4</v>
      </c>
      <c r="M11" s="6">
        <v>45510</v>
      </c>
      <c r="N11" s="7" t="s">
        <v>3</v>
      </c>
      <c r="O11" s="7" t="s">
        <v>5</v>
      </c>
      <c r="P11" s="7" t="s">
        <v>1</v>
      </c>
      <c r="Q11" s="8" t="s">
        <v>4</v>
      </c>
    </row>
    <row r="12" spans="1:17" x14ac:dyDescent="0.25">
      <c r="A12" s="1">
        <v>2959</v>
      </c>
      <c r="B12" s="2">
        <v>45501</v>
      </c>
      <c r="C12" s="3"/>
      <c r="D12" s="3"/>
      <c r="E12" s="4" t="s">
        <v>9</v>
      </c>
      <c r="F12" s="3"/>
      <c r="G12" s="3"/>
      <c r="H12" s="5"/>
      <c r="I12" s="5">
        <v>5</v>
      </c>
      <c r="J12" s="5"/>
      <c r="K12" s="6">
        <v>45505</v>
      </c>
      <c r="L12" s="5">
        <v>2</v>
      </c>
      <c r="M12" s="6">
        <v>45508</v>
      </c>
      <c r="N12" s="7" t="s">
        <v>3</v>
      </c>
      <c r="O12" s="7" t="s">
        <v>5</v>
      </c>
      <c r="P12" s="7"/>
      <c r="Q12" s="8" t="s">
        <v>4</v>
      </c>
    </row>
    <row r="13" spans="1:17" x14ac:dyDescent="0.25">
      <c r="A13" s="1">
        <v>2513</v>
      </c>
      <c r="B13" s="2">
        <v>45502</v>
      </c>
      <c r="C13" s="3"/>
      <c r="D13" s="3"/>
      <c r="E13" s="9" t="s">
        <v>7</v>
      </c>
      <c r="F13" s="3"/>
      <c r="G13" s="3"/>
      <c r="H13" s="5"/>
      <c r="I13" s="5">
        <v>5</v>
      </c>
      <c r="J13" s="5"/>
      <c r="K13" s="6">
        <v>45506</v>
      </c>
      <c r="L13" s="5">
        <v>3</v>
      </c>
      <c r="M13" s="6">
        <v>45510</v>
      </c>
      <c r="N13" s="7"/>
      <c r="O13" s="7" t="s">
        <v>5</v>
      </c>
      <c r="P13" s="7"/>
      <c r="Q13" s="8"/>
    </row>
    <row r="14" spans="1:17" x14ac:dyDescent="0.25">
      <c r="A14" s="1">
        <v>2513</v>
      </c>
      <c r="B14" s="2">
        <v>45502</v>
      </c>
      <c r="C14" s="3"/>
      <c r="D14" s="3"/>
      <c r="E14" s="4" t="s">
        <v>2</v>
      </c>
      <c r="F14" s="3"/>
      <c r="G14" s="3"/>
      <c r="H14" s="5"/>
      <c r="I14" s="5">
        <v>5</v>
      </c>
      <c r="J14" s="5"/>
      <c r="K14" s="6">
        <v>45506</v>
      </c>
      <c r="L14" s="5">
        <v>3</v>
      </c>
      <c r="M14" s="6">
        <v>45510</v>
      </c>
      <c r="N14" s="7"/>
      <c r="O14" s="7" t="s">
        <v>5</v>
      </c>
      <c r="P14" s="7"/>
      <c r="Q14" s="8"/>
    </row>
    <row r="15" spans="1:17" x14ac:dyDescent="0.25">
      <c r="A15" s="1">
        <v>2814</v>
      </c>
      <c r="B15" s="2">
        <v>45503</v>
      </c>
      <c r="C15" s="3"/>
      <c r="D15" s="3"/>
      <c r="E15" s="9" t="s">
        <v>7</v>
      </c>
      <c r="F15" s="3"/>
      <c r="G15" s="3"/>
      <c r="H15" s="5"/>
      <c r="I15" s="5">
        <v>5</v>
      </c>
      <c r="J15" s="5"/>
      <c r="K15" s="6">
        <v>45507</v>
      </c>
      <c r="L15" s="5">
        <v>3</v>
      </c>
      <c r="M15" s="6">
        <v>45511</v>
      </c>
      <c r="N15" s="7"/>
      <c r="O15" s="7" t="s">
        <v>5</v>
      </c>
      <c r="P15" s="7"/>
      <c r="Q15" s="8"/>
    </row>
    <row r="16" spans="1:17" x14ac:dyDescent="0.25">
      <c r="A16" s="1">
        <v>3459</v>
      </c>
      <c r="B16" s="2">
        <v>45503</v>
      </c>
      <c r="C16" s="3"/>
      <c r="D16" s="3"/>
      <c r="E16" s="9" t="s">
        <v>7</v>
      </c>
      <c r="F16" s="3"/>
      <c r="G16" s="3"/>
      <c r="H16" s="5"/>
      <c r="I16" s="5">
        <v>5</v>
      </c>
      <c r="J16" s="5"/>
      <c r="K16" s="6">
        <v>45507</v>
      </c>
      <c r="L16" s="5">
        <v>3</v>
      </c>
      <c r="M16" s="6">
        <v>45511</v>
      </c>
      <c r="N16" s="7" t="s">
        <v>3</v>
      </c>
      <c r="O16" s="7"/>
      <c r="P16" s="7" t="s">
        <v>1</v>
      </c>
      <c r="Q16" s="8"/>
    </row>
    <row r="17" spans="1:17" x14ac:dyDescent="0.25">
      <c r="A17" s="1">
        <v>2225</v>
      </c>
      <c r="B17" s="2">
        <v>45503</v>
      </c>
      <c r="C17" s="3"/>
      <c r="D17" s="3"/>
      <c r="E17" s="9" t="s">
        <v>7</v>
      </c>
      <c r="F17" s="3"/>
      <c r="G17" s="3"/>
      <c r="H17" s="5"/>
      <c r="I17" s="5">
        <v>5</v>
      </c>
      <c r="J17" s="5"/>
      <c r="K17" s="6">
        <v>45507</v>
      </c>
      <c r="L17" s="5">
        <v>3</v>
      </c>
      <c r="M17" s="6">
        <v>45511</v>
      </c>
      <c r="N17" s="7" t="s">
        <v>3</v>
      </c>
      <c r="O17" s="7"/>
      <c r="P17" s="7"/>
      <c r="Q17" s="8"/>
    </row>
    <row r="18" spans="1:17" x14ac:dyDescent="0.25">
      <c r="A18" s="1">
        <v>99</v>
      </c>
      <c r="B18" s="2">
        <v>45503</v>
      </c>
      <c r="C18" s="3"/>
      <c r="D18" s="3"/>
      <c r="E18" s="9" t="s">
        <v>7</v>
      </c>
      <c r="F18" s="3"/>
      <c r="G18" s="3"/>
      <c r="H18" s="5"/>
      <c r="I18" s="5">
        <v>5</v>
      </c>
      <c r="J18" s="5"/>
      <c r="K18" s="6">
        <v>45507</v>
      </c>
      <c r="L18" s="5">
        <v>3</v>
      </c>
      <c r="M18" s="6">
        <v>45511</v>
      </c>
      <c r="N18" s="7"/>
      <c r="O18" s="7" t="s">
        <v>5</v>
      </c>
      <c r="P18" s="7"/>
      <c r="Q18" s="8" t="s">
        <v>4</v>
      </c>
    </row>
    <row r="19" spans="1:17" x14ac:dyDescent="0.25">
      <c r="A19" s="1">
        <v>2732</v>
      </c>
      <c r="B19" s="2">
        <v>45503</v>
      </c>
      <c r="C19" s="3"/>
      <c r="D19" s="3"/>
      <c r="E19" s="9" t="s">
        <v>7</v>
      </c>
      <c r="F19" s="3"/>
      <c r="G19" s="3"/>
      <c r="H19" s="5"/>
      <c r="I19" s="5">
        <v>5</v>
      </c>
      <c r="J19" s="5"/>
      <c r="K19" s="6">
        <v>45507</v>
      </c>
      <c r="L19" s="5">
        <v>3</v>
      </c>
      <c r="M19" s="6">
        <v>45511</v>
      </c>
      <c r="N19" s="7"/>
      <c r="O19" s="7" t="s">
        <v>5</v>
      </c>
      <c r="P19" s="7"/>
      <c r="Q19" s="8"/>
    </row>
    <row r="20" spans="1:17" x14ac:dyDescent="0.25">
      <c r="A20" s="1">
        <v>3164</v>
      </c>
      <c r="B20" s="2">
        <v>45504</v>
      </c>
      <c r="C20" s="3"/>
      <c r="D20" s="3"/>
      <c r="E20" s="4" t="s">
        <v>2</v>
      </c>
      <c r="F20" s="3"/>
      <c r="G20" s="3"/>
      <c r="H20" s="5"/>
      <c r="I20" s="5">
        <v>5</v>
      </c>
      <c r="J20" s="5"/>
      <c r="K20" s="6">
        <v>45508</v>
      </c>
      <c r="L20" s="5">
        <v>3</v>
      </c>
      <c r="M20" s="6">
        <v>45512</v>
      </c>
      <c r="N20" s="7" t="s">
        <v>3</v>
      </c>
      <c r="O20" s="7"/>
      <c r="P20" s="7"/>
      <c r="Q20" s="8"/>
    </row>
    <row r="21" spans="1:17" x14ac:dyDescent="0.25">
      <c r="A21" s="1">
        <v>3323</v>
      </c>
      <c r="B21" s="2">
        <v>45504</v>
      </c>
      <c r="C21" s="3"/>
      <c r="D21" s="3"/>
      <c r="E21" s="4" t="s">
        <v>10</v>
      </c>
      <c r="F21" s="3"/>
      <c r="G21" s="3"/>
      <c r="H21" s="5"/>
      <c r="I21" s="5">
        <v>5</v>
      </c>
      <c r="J21" s="5"/>
      <c r="K21" s="6">
        <v>45508</v>
      </c>
      <c r="L21" s="5">
        <v>3</v>
      </c>
      <c r="M21" s="6">
        <v>45512</v>
      </c>
      <c r="N21" s="7" t="s">
        <v>3</v>
      </c>
      <c r="O21" s="7"/>
      <c r="P21" s="7" t="s">
        <v>1</v>
      </c>
      <c r="Q21" s="8"/>
    </row>
    <row r="22" spans="1:17" x14ac:dyDescent="0.25">
      <c r="A22" s="1">
        <v>3668</v>
      </c>
      <c r="B22" s="2">
        <v>45504</v>
      </c>
      <c r="C22" s="3"/>
      <c r="D22" s="3"/>
      <c r="E22" s="4" t="s">
        <v>10</v>
      </c>
      <c r="F22" s="3"/>
      <c r="G22" s="3"/>
      <c r="H22" s="5"/>
      <c r="I22" s="5">
        <v>5</v>
      </c>
      <c r="J22" s="5"/>
      <c r="K22" s="6">
        <v>45508</v>
      </c>
      <c r="L22" s="5">
        <v>3</v>
      </c>
      <c r="M22" s="6">
        <v>45512</v>
      </c>
      <c r="N22" s="7"/>
      <c r="O22" s="7"/>
      <c r="P22" s="7"/>
      <c r="Q22" s="8" t="s">
        <v>4</v>
      </c>
    </row>
    <row r="23" spans="1:17" x14ac:dyDescent="0.25">
      <c r="A23" s="1">
        <v>3021</v>
      </c>
      <c r="B23" s="2">
        <v>45504</v>
      </c>
      <c r="C23" s="3"/>
      <c r="D23" s="3"/>
      <c r="E23" s="4" t="s">
        <v>11</v>
      </c>
      <c r="F23" s="3"/>
      <c r="G23" s="3"/>
      <c r="H23" s="5"/>
      <c r="I23" s="5">
        <v>5</v>
      </c>
      <c r="J23" s="5"/>
      <c r="K23" s="6">
        <v>45508</v>
      </c>
      <c r="L23" s="5">
        <v>5</v>
      </c>
      <c r="M23" s="6">
        <v>45514</v>
      </c>
      <c r="N23" s="7" t="s">
        <v>3</v>
      </c>
      <c r="O23" s="7"/>
      <c r="P23" s="7"/>
      <c r="Q23" s="8"/>
    </row>
    <row r="24" spans="1:17" x14ac:dyDescent="0.25">
      <c r="A24" s="1">
        <v>1111</v>
      </c>
      <c r="B24" s="2">
        <v>45504</v>
      </c>
      <c r="C24" s="3"/>
      <c r="D24" s="3"/>
      <c r="E24" s="9" t="s">
        <v>7</v>
      </c>
      <c r="F24" s="3"/>
      <c r="G24" s="3"/>
      <c r="H24" s="5"/>
      <c r="I24" s="5">
        <v>5</v>
      </c>
      <c r="J24" s="5"/>
      <c r="K24" s="6">
        <v>45508</v>
      </c>
      <c r="L24" s="5">
        <v>3</v>
      </c>
      <c r="M24" s="6">
        <v>45512</v>
      </c>
      <c r="N24" s="7" t="s">
        <v>3</v>
      </c>
      <c r="O24" s="7" t="s">
        <v>5</v>
      </c>
      <c r="P24" s="7" t="s">
        <v>1</v>
      </c>
      <c r="Q24" s="8" t="s">
        <v>4</v>
      </c>
    </row>
    <row r="25" spans="1:17" x14ac:dyDescent="0.25">
      <c r="A25" s="1">
        <v>1810</v>
      </c>
      <c r="B25" s="2">
        <v>45504</v>
      </c>
      <c r="C25" s="3"/>
      <c r="D25" s="3"/>
      <c r="E25" s="9" t="s">
        <v>7</v>
      </c>
      <c r="F25" s="3"/>
      <c r="G25" s="3"/>
      <c r="H25" s="5"/>
      <c r="I25" s="5">
        <v>5</v>
      </c>
      <c r="J25" s="5"/>
      <c r="K25" s="6">
        <v>45509</v>
      </c>
      <c r="L25" s="5">
        <v>3</v>
      </c>
      <c r="M25" s="6">
        <v>45512</v>
      </c>
      <c r="N25" s="7"/>
      <c r="O25" s="7"/>
      <c r="P25" s="7"/>
      <c r="Q25" s="8" t="s">
        <v>4</v>
      </c>
    </row>
    <row r="26" spans="1:17" x14ac:dyDescent="0.25">
      <c r="A26" s="1">
        <v>2745</v>
      </c>
      <c r="B26" s="2">
        <v>45504</v>
      </c>
      <c r="C26" s="3"/>
      <c r="D26" s="3"/>
      <c r="E26" s="4" t="s">
        <v>12</v>
      </c>
      <c r="F26" s="3"/>
      <c r="G26" s="3"/>
      <c r="H26" s="5"/>
      <c r="I26" s="5">
        <v>6</v>
      </c>
      <c r="J26" s="5"/>
      <c r="K26" s="6">
        <v>45508</v>
      </c>
      <c r="L26" s="5">
        <v>3</v>
      </c>
      <c r="M26" s="6">
        <v>45513</v>
      </c>
      <c r="N26" s="7" t="s">
        <v>3</v>
      </c>
      <c r="O26" s="7" t="s">
        <v>5</v>
      </c>
      <c r="P26" s="7" t="s">
        <v>1</v>
      </c>
      <c r="Q26" s="8" t="s">
        <v>4</v>
      </c>
    </row>
    <row r="27" spans="1:17" x14ac:dyDescent="0.25">
      <c r="A27" s="1">
        <v>3637</v>
      </c>
      <c r="B27" s="2">
        <v>45504</v>
      </c>
      <c r="C27" s="3"/>
      <c r="D27" s="3"/>
      <c r="E27" s="4" t="s">
        <v>0</v>
      </c>
      <c r="F27" s="3"/>
      <c r="G27" s="3"/>
      <c r="H27" s="5"/>
      <c r="I27" s="5">
        <v>5</v>
      </c>
      <c r="J27" s="5"/>
      <c r="K27" s="6">
        <v>45508</v>
      </c>
      <c r="L27" s="5">
        <v>3</v>
      </c>
      <c r="M27" s="6">
        <v>45512</v>
      </c>
      <c r="N27" s="7"/>
      <c r="O27" s="7" t="s">
        <v>5</v>
      </c>
      <c r="P27" s="7"/>
      <c r="Q27" s="8"/>
    </row>
    <row r="28" spans="1:17" x14ac:dyDescent="0.25">
      <c r="A28" s="1">
        <v>3467</v>
      </c>
      <c r="B28" s="2">
        <v>45504</v>
      </c>
      <c r="C28" s="3"/>
      <c r="D28" s="3"/>
      <c r="E28" s="9" t="s">
        <v>7</v>
      </c>
      <c r="F28" s="9" t="s">
        <v>7</v>
      </c>
      <c r="G28" s="9" t="s">
        <v>7</v>
      </c>
      <c r="H28" s="9" t="s">
        <v>7</v>
      </c>
      <c r="I28" s="5">
        <v>5</v>
      </c>
      <c r="J28" s="5"/>
      <c r="K28" s="6">
        <v>45509</v>
      </c>
      <c r="L28" s="5">
        <v>3</v>
      </c>
      <c r="M28" s="6">
        <v>45512</v>
      </c>
      <c r="N28" s="7"/>
      <c r="O28" s="7"/>
      <c r="P28" s="7"/>
      <c r="Q28" s="8" t="s">
        <v>4</v>
      </c>
    </row>
    <row r="29" spans="1:17" x14ac:dyDescent="0.25">
      <c r="A29" s="1">
        <v>1066</v>
      </c>
      <c r="B29" s="2">
        <v>45505</v>
      </c>
      <c r="C29" s="3"/>
      <c r="D29" s="3"/>
      <c r="E29" s="9" t="s">
        <v>7</v>
      </c>
      <c r="F29" s="3"/>
      <c r="G29" s="3"/>
      <c r="H29" s="5"/>
      <c r="I29" s="5">
        <v>5</v>
      </c>
      <c r="J29" s="5"/>
      <c r="K29" s="6">
        <v>45509</v>
      </c>
      <c r="L29" s="5">
        <v>3</v>
      </c>
      <c r="M29" s="6">
        <v>45513</v>
      </c>
      <c r="N29" s="7"/>
      <c r="O29" s="7"/>
      <c r="P29" s="7"/>
      <c r="Q29" s="8" t="s">
        <v>4</v>
      </c>
    </row>
    <row r="30" spans="1:17" x14ac:dyDescent="0.25">
      <c r="A30" s="1">
        <v>2513</v>
      </c>
      <c r="B30" s="2">
        <v>45505</v>
      </c>
      <c r="C30" s="3"/>
      <c r="D30" s="3"/>
      <c r="E30" s="9" t="s">
        <v>7</v>
      </c>
      <c r="F30" s="3"/>
      <c r="G30" s="3"/>
      <c r="H30" s="5"/>
      <c r="I30" s="5">
        <v>5</v>
      </c>
      <c r="J30" s="5"/>
      <c r="K30" s="6">
        <v>45509</v>
      </c>
      <c r="L30" s="5">
        <v>3</v>
      </c>
      <c r="M30" s="6">
        <v>45513</v>
      </c>
      <c r="N30" s="7"/>
      <c r="O30" s="7" t="s">
        <v>5</v>
      </c>
      <c r="P30" s="7"/>
      <c r="Q30" s="8"/>
    </row>
    <row r="31" spans="1:17" x14ac:dyDescent="0.25">
      <c r="A31" s="1">
        <v>873</v>
      </c>
      <c r="B31" s="2">
        <v>45505</v>
      </c>
      <c r="C31" s="3"/>
      <c r="D31" s="3"/>
      <c r="E31" s="4" t="s">
        <v>0</v>
      </c>
      <c r="F31" s="3"/>
      <c r="G31" s="3"/>
      <c r="H31" s="5"/>
      <c r="I31" s="5">
        <v>5</v>
      </c>
      <c r="J31" s="5"/>
      <c r="K31" s="6">
        <v>45509</v>
      </c>
      <c r="L31" s="5">
        <v>3</v>
      </c>
      <c r="M31" s="6">
        <v>45513</v>
      </c>
      <c r="N31" s="7" t="s">
        <v>3</v>
      </c>
      <c r="O31" s="7" t="s">
        <v>5</v>
      </c>
      <c r="P31" s="7" t="s">
        <v>1</v>
      </c>
      <c r="Q31" s="8" t="s">
        <v>4</v>
      </c>
    </row>
    <row r="32" spans="1:17" x14ac:dyDescent="0.25">
      <c r="A32" s="1">
        <v>2879</v>
      </c>
      <c r="B32" s="2">
        <v>45505</v>
      </c>
      <c r="C32" s="3"/>
      <c r="D32" s="3"/>
      <c r="E32" s="4" t="s">
        <v>0</v>
      </c>
      <c r="F32" s="3"/>
      <c r="G32" s="3"/>
      <c r="H32" s="5"/>
      <c r="I32" s="5">
        <v>5</v>
      </c>
      <c r="J32" s="5"/>
      <c r="K32" s="6">
        <v>45510</v>
      </c>
      <c r="L32" s="5">
        <v>3</v>
      </c>
      <c r="M32" s="6">
        <v>45513</v>
      </c>
      <c r="N32" s="7"/>
      <c r="O32" s="7" t="s">
        <v>5</v>
      </c>
      <c r="P32" s="7"/>
      <c r="Q32" s="8"/>
    </row>
    <row r="33" spans="1:17" x14ac:dyDescent="0.25">
      <c r="A33" s="1">
        <v>859</v>
      </c>
      <c r="B33" s="2">
        <v>45506</v>
      </c>
      <c r="C33" s="3"/>
      <c r="D33" s="3"/>
      <c r="E33" s="9" t="s">
        <v>7</v>
      </c>
      <c r="F33" s="3"/>
      <c r="G33" s="3"/>
      <c r="H33" s="5"/>
      <c r="I33" s="5">
        <v>5</v>
      </c>
      <c r="J33" s="5"/>
      <c r="K33" s="6">
        <v>45508</v>
      </c>
      <c r="L33" s="5">
        <v>3</v>
      </c>
      <c r="M33" s="6">
        <v>45514</v>
      </c>
      <c r="N33" s="7"/>
      <c r="O33" s="7" t="s">
        <v>5</v>
      </c>
      <c r="P33" s="7"/>
      <c r="Q33" s="8"/>
    </row>
    <row r="34" spans="1:17" x14ac:dyDescent="0.25">
      <c r="A34" s="1">
        <v>3079</v>
      </c>
      <c r="B34" s="2">
        <v>45506</v>
      </c>
      <c r="C34" s="3"/>
      <c r="D34" s="3"/>
      <c r="E34" s="9" t="s">
        <v>7</v>
      </c>
      <c r="F34" s="3"/>
      <c r="G34" s="3"/>
      <c r="H34" s="5"/>
      <c r="I34" s="5">
        <v>3</v>
      </c>
      <c r="J34" s="5"/>
      <c r="K34" s="6">
        <v>45510</v>
      </c>
      <c r="L34" s="5">
        <v>3</v>
      </c>
      <c r="M34" s="6">
        <v>45512</v>
      </c>
      <c r="N34" s="7" t="s">
        <v>3</v>
      </c>
      <c r="O34" s="7"/>
      <c r="P34" s="7"/>
      <c r="Q34" s="8"/>
    </row>
    <row r="35" spans="1:17" x14ac:dyDescent="0.25">
      <c r="A35" s="1">
        <v>1226</v>
      </c>
      <c r="B35" s="2">
        <v>45511</v>
      </c>
      <c r="C35" s="3"/>
      <c r="D35" s="3"/>
      <c r="E35" s="4" t="s">
        <v>2</v>
      </c>
      <c r="F35" s="3"/>
      <c r="G35" s="3"/>
      <c r="H35" s="5"/>
      <c r="I35" s="5">
        <v>5</v>
      </c>
      <c r="J35" s="5"/>
      <c r="K35" s="6">
        <v>45510</v>
      </c>
      <c r="L35" s="5">
        <v>3</v>
      </c>
      <c r="M35" s="6">
        <v>45514</v>
      </c>
      <c r="N35" s="7"/>
      <c r="O35" s="7" t="s">
        <v>5</v>
      </c>
      <c r="P35" s="7"/>
      <c r="Q35" s="8" t="s">
        <v>4</v>
      </c>
    </row>
    <row r="36" spans="1:17" x14ac:dyDescent="0.25">
      <c r="A36" s="1">
        <v>3034</v>
      </c>
      <c r="B36" s="2">
        <v>45511</v>
      </c>
      <c r="C36" s="3"/>
      <c r="D36" s="3"/>
      <c r="E36" s="4" t="s">
        <v>0</v>
      </c>
      <c r="F36" s="3"/>
      <c r="G36" s="3"/>
      <c r="H36" s="5"/>
      <c r="I36" s="5">
        <v>5</v>
      </c>
      <c r="J36" s="5"/>
      <c r="K36" s="6">
        <v>45510</v>
      </c>
      <c r="L36" s="5">
        <v>3</v>
      </c>
      <c r="M36" s="6">
        <v>45514</v>
      </c>
      <c r="N36" s="7" t="s">
        <v>3</v>
      </c>
      <c r="O36" s="7"/>
      <c r="P36" s="7"/>
      <c r="Q36" s="8"/>
    </row>
    <row r="37" spans="1:17" x14ac:dyDescent="0.25">
      <c r="A37" s="1">
        <v>2959</v>
      </c>
      <c r="B37" s="2">
        <v>45511</v>
      </c>
      <c r="C37" s="3"/>
      <c r="D37" s="3"/>
      <c r="E37" s="4" t="s">
        <v>2</v>
      </c>
      <c r="F37" s="3"/>
      <c r="G37" s="3"/>
      <c r="H37" s="5"/>
      <c r="I37" s="5">
        <v>5</v>
      </c>
      <c r="J37" s="5"/>
      <c r="K37" s="6">
        <v>45510</v>
      </c>
      <c r="L37" s="5">
        <v>3</v>
      </c>
      <c r="M37" s="6">
        <v>45514</v>
      </c>
      <c r="N37" s="7"/>
      <c r="O37" s="7"/>
      <c r="P37" s="7" t="s">
        <v>1</v>
      </c>
      <c r="Q37" s="8" t="s">
        <v>4</v>
      </c>
    </row>
    <row r="38" spans="1:17" x14ac:dyDescent="0.25">
      <c r="A38" s="1">
        <v>848</v>
      </c>
      <c r="B38" s="2">
        <v>45506</v>
      </c>
      <c r="C38" s="3"/>
      <c r="D38" s="3"/>
      <c r="E38" s="9" t="s">
        <v>7</v>
      </c>
      <c r="F38" s="3"/>
      <c r="G38" s="3"/>
      <c r="H38" s="5"/>
      <c r="I38" s="5">
        <v>5</v>
      </c>
      <c r="J38" s="5"/>
      <c r="K38" s="6">
        <v>45510</v>
      </c>
      <c r="L38" s="5">
        <v>3</v>
      </c>
      <c r="M38" s="6">
        <v>45514</v>
      </c>
      <c r="N38" s="7"/>
      <c r="O38" s="7"/>
      <c r="P38" s="7"/>
      <c r="Q38" s="8" t="s">
        <v>4</v>
      </c>
    </row>
    <row r="39" spans="1:17" x14ac:dyDescent="0.25">
      <c r="A39" s="1">
        <v>3012</v>
      </c>
      <c r="B39" s="2">
        <v>45507</v>
      </c>
      <c r="C39" s="3"/>
      <c r="D39" s="3"/>
      <c r="E39" s="4" t="s">
        <v>13</v>
      </c>
      <c r="F39" s="3"/>
      <c r="G39" s="3"/>
      <c r="H39" s="5"/>
      <c r="I39" s="5">
        <v>5</v>
      </c>
      <c r="J39" s="5"/>
      <c r="K39" s="6">
        <v>45511</v>
      </c>
      <c r="L39" s="5">
        <v>5</v>
      </c>
      <c r="M39" s="6">
        <v>45517</v>
      </c>
      <c r="N39" s="7"/>
      <c r="O39" s="7" t="s">
        <v>5</v>
      </c>
      <c r="P39" s="7"/>
      <c r="Q39" s="10"/>
    </row>
    <row r="40" spans="1:17" x14ac:dyDescent="0.25">
      <c r="A40" s="1">
        <v>3819</v>
      </c>
      <c r="B40" s="2">
        <v>45507</v>
      </c>
      <c r="C40" s="3"/>
      <c r="D40" s="3"/>
      <c r="E40" s="4" t="s">
        <v>0</v>
      </c>
      <c r="F40" s="3"/>
      <c r="G40" s="3"/>
      <c r="H40" s="5"/>
      <c r="I40" s="5">
        <v>5</v>
      </c>
      <c r="J40" s="5"/>
      <c r="K40" s="6">
        <v>45511</v>
      </c>
      <c r="L40" s="5">
        <v>3</v>
      </c>
      <c r="M40" s="6">
        <v>45515</v>
      </c>
      <c r="N40" s="7"/>
      <c r="O40" s="7"/>
      <c r="P40" s="7"/>
      <c r="Q40" s="8" t="s">
        <v>4</v>
      </c>
    </row>
    <row r="41" spans="1:17" x14ac:dyDescent="0.25">
      <c r="A41" s="1">
        <v>2740</v>
      </c>
      <c r="B41" s="2">
        <v>45508</v>
      </c>
      <c r="C41" s="3"/>
      <c r="D41" s="3"/>
      <c r="E41" s="4" t="s">
        <v>2</v>
      </c>
      <c r="F41" s="3"/>
      <c r="G41" s="3"/>
      <c r="H41" s="5"/>
      <c r="I41" s="5">
        <v>5</v>
      </c>
      <c r="J41" s="5"/>
      <c r="K41" s="6">
        <v>45512</v>
      </c>
      <c r="L41" s="5">
        <v>3</v>
      </c>
      <c r="M41" s="6">
        <v>45516</v>
      </c>
      <c r="N41" s="7" t="s">
        <v>3</v>
      </c>
      <c r="O41" s="7" t="s">
        <v>5</v>
      </c>
      <c r="P41" s="7"/>
      <c r="Q41" s="8" t="s">
        <v>4</v>
      </c>
    </row>
    <row r="42" spans="1:17" x14ac:dyDescent="0.25">
      <c r="A42" s="1">
        <v>3490</v>
      </c>
      <c r="B42" s="2">
        <v>45508</v>
      </c>
      <c r="C42" s="3"/>
      <c r="D42" s="3"/>
      <c r="E42" s="9" t="s">
        <v>7</v>
      </c>
      <c r="F42" s="3"/>
      <c r="G42" s="3"/>
      <c r="H42" s="5"/>
      <c r="I42" s="5">
        <v>5</v>
      </c>
      <c r="J42" s="5"/>
      <c r="K42" s="6">
        <v>45512</v>
      </c>
      <c r="L42" s="5">
        <v>3</v>
      </c>
      <c r="M42" s="6">
        <v>45516</v>
      </c>
      <c r="N42" s="7" t="s">
        <v>3</v>
      </c>
      <c r="O42" s="7"/>
      <c r="P42" s="7"/>
      <c r="Q42" s="8"/>
    </row>
    <row r="43" spans="1:17" x14ac:dyDescent="0.25">
      <c r="A43" s="1">
        <v>3051</v>
      </c>
      <c r="B43" s="2">
        <v>45508</v>
      </c>
      <c r="C43" s="3"/>
      <c r="D43" s="3"/>
      <c r="E43" s="9" t="s">
        <v>7</v>
      </c>
      <c r="F43" s="3"/>
      <c r="G43" s="3"/>
      <c r="H43" s="5"/>
      <c r="I43" s="5">
        <v>6</v>
      </c>
      <c r="J43" s="5"/>
      <c r="K43" s="6">
        <v>45513</v>
      </c>
      <c r="L43" s="5">
        <v>3</v>
      </c>
      <c r="M43" s="6">
        <v>45517</v>
      </c>
      <c r="N43" s="7"/>
      <c r="O43" s="7"/>
      <c r="P43" s="7"/>
      <c r="Q43" s="8" t="s">
        <v>4</v>
      </c>
    </row>
    <row r="44" spans="1:17" x14ac:dyDescent="0.25">
      <c r="A44" s="1">
        <v>2229</v>
      </c>
      <c r="B44" s="2">
        <v>45509</v>
      </c>
      <c r="C44" s="3"/>
      <c r="D44" s="3"/>
      <c r="E44" s="9" t="s">
        <v>7</v>
      </c>
      <c r="F44" s="3"/>
      <c r="G44" s="3"/>
      <c r="H44" s="5"/>
      <c r="I44" s="5">
        <v>5</v>
      </c>
      <c r="J44" s="5"/>
      <c r="K44" s="6">
        <v>45513</v>
      </c>
      <c r="L44" s="5">
        <v>3</v>
      </c>
      <c r="M44" s="6">
        <v>45517</v>
      </c>
      <c r="N44" s="7"/>
      <c r="O44" s="7" t="s">
        <v>5</v>
      </c>
      <c r="P44" s="7"/>
      <c r="Q44" s="8" t="s">
        <v>4</v>
      </c>
    </row>
    <row r="45" spans="1:17" x14ac:dyDescent="0.25">
      <c r="A45" s="1">
        <v>1810</v>
      </c>
      <c r="B45" s="2">
        <v>45510</v>
      </c>
      <c r="C45" s="3"/>
      <c r="D45" s="3"/>
      <c r="E45" s="9" t="s">
        <v>7</v>
      </c>
      <c r="F45" s="3"/>
      <c r="G45" s="3"/>
      <c r="H45" s="5"/>
      <c r="I45" s="5">
        <v>5</v>
      </c>
      <c r="J45" s="5"/>
      <c r="K45" s="6">
        <v>45514</v>
      </c>
      <c r="L45" s="5">
        <v>3</v>
      </c>
      <c r="M45" s="6">
        <v>45518</v>
      </c>
      <c r="N45" s="7"/>
      <c r="O45" s="7"/>
      <c r="P45" s="7"/>
      <c r="Q45" s="8" t="s">
        <v>4</v>
      </c>
    </row>
    <row r="46" spans="1:17" x14ac:dyDescent="0.25">
      <c r="A46" s="1">
        <v>2345</v>
      </c>
      <c r="B46" s="2">
        <v>45510</v>
      </c>
      <c r="C46" s="3"/>
      <c r="D46" s="3"/>
      <c r="E46" s="9" t="s">
        <v>7</v>
      </c>
      <c r="F46" s="3"/>
      <c r="G46" s="3"/>
      <c r="H46" s="5"/>
      <c r="I46" s="5">
        <v>5</v>
      </c>
      <c r="J46" s="5"/>
      <c r="K46" s="6">
        <v>45514</v>
      </c>
      <c r="L46" s="5">
        <v>3</v>
      </c>
      <c r="M46" s="6">
        <v>45518</v>
      </c>
      <c r="N46" s="7"/>
      <c r="O46" s="7"/>
      <c r="P46" s="7"/>
      <c r="Q46" s="8" t="s">
        <v>4</v>
      </c>
    </row>
    <row r="47" spans="1:17" x14ac:dyDescent="0.25">
      <c r="A47" s="1">
        <v>3668</v>
      </c>
      <c r="B47" s="2">
        <v>45510</v>
      </c>
      <c r="C47" s="3"/>
      <c r="D47" s="3"/>
      <c r="E47" s="4" t="s">
        <v>13</v>
      </c>
      <c r="F47" s="3"/>
      <c r="G47" s="3"/>
      <c r="H47" s="5"/>
      <c r="I47" s="5">
        <v>5</v>
      </c>
      <c r="J47" s="5"/>
      <c r="K47" s="6">
        <v>45514</v>
      </c>
      <c r="L47" s="5">
        <v>5</v>
      </c>
      <c r="M47" s="6">
        <v>45520</v>
      </c>
      <c r="N47" s="7"/>
      <c r="O47" s="7"/>
      <c r="P47" s="7"/>
      <c r="Q47" s="8" t="s">
        <v>4</v>
      </c>
    </row>
    <row r="48" spans="1:17" x14ac:dyDescent="0.25">
      <c r="A48" s="1">
        <v>2550</v>
      </c>
      <c r="B48" s="2">
        <v>45510</v>
      </c>
      <c r="C48" s="3"/>
      <c r="D48" s="3"/>
      <c r="E48" s="9" t="s">
        <v>7</v>
      </c>
      <c r="F48" s="3"/>
      <c r="G48" s="3"/>
      <c r="H48" s="5"/>
      <c r="I48" s="5">
        <v>5</v>
      </c>
      <c r="J48" s="5"/>
      <c r="K48" s="6">
        <v>45514</v>
      </c>
      <c r="L48" s="5">
        <v>3</v>
      </c>
      <c r="M48" s="6">
        <v>45518</v>
      </c>
      <c r="N48" s="7"/>
      <c r="O48" s="7"/>
      <c r="P48" s="7"/>
      <c r="Q48" s="8" t="s">
        <v>4</v>
      </c>
    </row>
    <row r="49" spans="1:17" x14ac:dyDescent="0.25">
      <c r="A49" s="1">
        <v>1151</v>
      </c>
      <c r="B49" s="2">
        <v>45510</v>
      </c>
      <c r="C49" s="3"/>
      <c r="D49" s="3"/>
      <c r="E49" s="4" t="s">
        <v>2</v>
      </c>
      <c r="F49" s="3"/>
      <c r="G49" s="3"/>
      <c r="H49" s="5"/>
      <c r="I49" s="5">
        <v>5</v>
      </c>
      <c r="J49" s="5"/>
      <c r="K49" s="6">
        <v>45514</v>
      </c>
      <c r="L49" s="5">
        <v>3</v>
      </c>
      <c r="M49" s="6">
        <v>45518</v>
      </c>
      <c r="N49" s="7" t="s">
        <v>3</v>
      </c>
      <c r="O49" s="7"/>
      <c r="P49" s="7"/>
      <c r="Q49" s="8"/>
    </row>
    <row r="50" spans="1:17" x14ac:dyDescent="0.25">
      <c r="A50" s="1">
        <v>3051</v>
      </c>
      <c r="B50" s="2">
        <v>45510</v>
      </c>
      <c r="C50" s="3"/>
      <c r="D50" s="3"/>
      <c r="E50" s="4" t="s">
        <v>2</v>
      </c>
      <c r="F50" s="3"/>
      <c r="G50" s="3"/>
      <c r="H50" s="5"/>
      <c r="I50" s="5">
        <v>5</v>
      </c>
      <c r="J50" s="5"/>
      <c r="K50" s="6">
        <v>45514</v>
      </c>
      <c r="L50" s="5">
        <v>3</v>
      </c>
      <c r="M50" s="6">
        <v>45518</v>
      </c>
      <c r="N50" s="7" t="s">
        <v>3</v>
      </c>
      <c r="O50" s="7"/>
      <c r="P50" s="7"/>
      <c r="Q50" s="8" t="s">
        <v>4</v>
      </c>
    </row>
    <row r="51" spans="1:17" x14ac:dyDescent="0.25">
      <c r="A51" s="1">
        <v>1810</v>
      </c>
      <c r="B51" s="2">
        <v>45510</v>
      </c>
      <c r="C51" s="3"/>
      <c r="D51" s="3"/>
      <c r="E51" s="4" t="s">
        <v>2</v>
      </c>
      <c r="F51" s="3"/>
      <c r="G51" s="3"/>
      <c r="H51" s="5"/>
      <c r="I51" s="5">
        <v>5</v>
      </c>
      <c r="J51" s="5"/>
      <c r="K51" s="6">
        <v>45514</v>
      </c>
      <c r="L51" s="5">
        <v>3</v>
      </c>
      <c r="M51" s="6">
        <v>45518</v>
      </c>
      <c r="N51" s="7"/>
      <c r="O51" s="7"/>
      <c r="P51" s="7" t="s">
        <v>1</v>
      </c>
      <c r="Q51" s="8" t="s">
        <v>4</v>
      </c>
    </row>
    <row r="52" spans="1:17" x14ac:dyDescent="0.25">
      <c r="A52" s="1">
        <v>2580</v>
      </c>
      <c r="B52" s="2">
        <v>45510</v>
      </c>
      <c r="C52" s="3"/>
      <c r="D52" s="3"/>
      <c r="E52" s="9" t="s">
        <v>7</v>
      </c>
      <c r="F52" s="3"/>
      <c r="G52" s="3"/>
      <c r="H52" s="5"/>
      <c r="I52" s="5">
        <v>5</v>
      </c>
      <c r="J52" s="5"/>
      <c r="K52" s="6">
        <v>45514</v>
      </c>
      <c r="L52" s="5">
        <v>3</v>
      </c>
      <c r="M52" s="6">
        <v>45518</v>
      </c>
      <c r="N52" s="7" t="s">
        <v>3</v>
      </c>
      <c r="O52" s="7"/>
      <c r="P52" s="7"/>
      <c r="Q52" s="8"/>
    </row>
    <row r="53" spans="1:17" x14ac:dyDescent="0.25">
      <c r="A53" s="1">
        <v>2075</v>
      </c>
      <c r="B53" s="2">
        <v>45511</v>
      </c>
      <c r="C53" s="3"/>
      <c r="D53" s="3"/>
      <c r="E53" s="9" t="s">
        <v>7</v>
      </c>
      <c r="F53" s="3"/>
      <c r="G53" s="3"/>
      <c r="H53" s="5"/>
      <c r="I53" s="5">
        <v>5</v>
      </c>
      <c r="J53" s="5"/>
      <c r="K53" s="6">
        <v>45515</v>
      </c>
      <c r="L53" s="5">
        <v>3</v>
      </c>
      <c r="M53" s="6">
        <v>45518</v>
      </c>
      <c r="N53" s="7"/>
      <c r="O53" s="7" t="s">
        <v>5</v>
      </c>
      <c r="P53" s="7"/>
      <c r="Q53" s="8"/>
    </row>
    <row r="54" spans="1:17" x14ac:dyDescent="0.25">
      <c r="A54" s="1">
        <v>3106</v>
      </c>
      <c r="B54" s="2">
        <v>45511</v>
      </c>
      <c r="C54" s="3"/>
      <c r="D54" s="3"/>
      <c r="E54" s="9" t="s">
        <v>7</v>
      </c>
      <c r="F54" s="3"/>
      <c r="G54" s="3"/>
      <c r="H54" s="5"/>
      <c r="I54" s="5">
        <v>5</v>
      </c>
      <c r="J54" s="5"/>
      <c r="K54" s="6">
        <v>45515</v>
      </c>
      <c r="L54" s="5">
        <v>3</v>
      </c>
      <c r="M54" s="6">
        <v>45519</v>
      </c>
      <c r="N54" s="7"/>
      <c r="O54" s="7"/>
      <c r="P54" s="7" t="s">
        <v>1</v>
      </c>
      <c r="Q54" s="8"/>
    </row>
    <row r="55" spans="1:17" x14ac:dyDescent="0.25">
      <c r="A55" s="1">
        <v>2696</v>
      </c>
      <c r="B55" s="2">
        <v>45511</v>
      </c>
      <c r="C55" s="3"/>
      <c r="D55" s="3"/>
      <c r="E55" s="9" t="s">
        <v>7</v>
      </c>
      <c r="F55" s="3"/>
      <c r="G55" s="3"/>
      <c r="H55" s="5"/>
      <c r="I55" s="5">
        <v>5</v>
      </c>
      <c r="J55" s="5"/>
      <c r="K55" s="6">
        <v>45515</v>
      </c>
      <c r="L55" s="5">
        <v>3</v>
      </c>
      <c r="M55" s="6">
        <v>45519</v>
      </c>
      <c r="N55" s="7"/>
      <c r="O55" s="7"/>
      <c r="P55" s="7"/>
      <c r="Q55" s="8" t="s">
        <v>4</v>
      </c>
    </row>
    <row r="56" spans="1:17" x14ac:dyDescent="0.25">
      <c r="A56" s="1">
        <v>2740</v>
      </c>
      <c r="B56" s="2">
        <v>45511</v>
      </c>
      <c r="C56" s="3"/>
      <c r="D56" s="3"/>
      <c r="E56" s="9" t="s">
        <v>7</v>
      </c>
      <c r="F56" s="3"/>
      <c r="G56" s="3"/>
      <c r="H56" s="5"/>
      <c r="I56" s="5">
        <v>5</v>
      </c>
      <c r="J56" s="5"/>
      <c r="K56" s="6">
        <v>45515</v>
      </c>
      <c r="L56" s="5">
        <v>3</v>
      </c>
      <c r="M56" s="6">
        <v>45519</v>
      </c>
      <c r="N56" s="7"/>
      <c r="O56" s="7"/>
      <c r="P56" s="7"/>
      <c r="Q56" s="8" t="s">
        <v>4</v>
      </c>
    </row>
    <row r="57" spans="1:17" x14ac:dyDescent="0.25">
      <c r="A57" s="1">
        <v>2229</v>
      </c>
      <c r="B57" s="2">
        <v>45511</v>
      </c>
      <c r="C57" s="3"/>
      <c r="D57" s="3"/>
      <c r="E57" s="4" t="s">
        <v>2</v>
      </c>
      <c r="F57" s="3"/>
      <c r="G57" s="3"/>
      <c r="H57" s="5"/>
      <c r="I57" s="5">
        <v>5</v>
      </c>
      <c r="J57" s="5"/>
      <c r="K57" s="6">
        <v>45515</v>
      </c>
      <c r="L57" s="5">
        <v>3</v>
      </c>
      <c r="M57" s="6">
        <v>45519</v>
      </c>
      <c r="N57" s="7"/>
      <c r="O57" s="7" t="s">
        <v>5</v>
      </c>
      <c r="P57" s="7"/>
      <c r="Q57" s="8" t="s">
        <v>4</v>
      </c>
    </row>
    <row r="58" spans="1:17" x14ac:dyDescent="0.25">
      <c r="A58" s="1">
        <v>3673</v>
      </c>
      <c r="B58" s="2">
        <v>45511</v>
      </c>
      <c r="C58" s="3"/>
      <c r="D58" s="3"/>
      <c r="E58" s="9" t="s">
        <v>7</v>
      </c>
      <c r="F58" s="3"/>
      <c r="G58" s="3"/>
      <c r="H58" s="5"/>
      <c r="I58" s="5">
        <v>5</v>
      </c>
      <c r="J58" s="5"/>
      <c r="K58" s="6">
        <v>45515</v>
      </c>
      <c r="L58" s="5">
        <v>3</v>
      </c>
      <c r="M58" s="6">
        <v>45519</v>
      </c>
      <c r="N58" s="7"/>
      <c r="O58" s="7"/>
      <c r="P58" s="7"/>
      <c r="Q58" s="8" t="s">
        <v>4</v>
      </c>
    </row>
    <row r="59" spans="1:17" x14ac:dyDescent="0.25">
      <c r="A59" s="1">
        <v>1066</v>
      </c>
      <c r="B59" s="2">
        <v>45512</v>
      </c>
      <c r="C59" s="3"/>
      <c r="D59" s="3"/>
      <c r="E59" s="4" t="s">
        <v>13</v>
      </c>
      <c r="F59" s="3"/>
      <c r="G59" s="3"/>
      <c r="H59" s="5"/>
      <c r="I59" s="5">
        <v>5</v>
      </c>
      <c r="J59" s="5"/>
      <c r="K59" s="6">
        <v>45516</v>
      </c>
      <c r="L59" s="5">
        <v>5</v>
      </c>
      <c r="M59" s="6">
        <v>45522</v>
      </c>
      <c r="N59" s="7"/>
      <c r="O59" s="7"/>
      <c r="P59" s="7"/>
      <c r="Q59" s="8" t="s">
        <v>4</v>
      </c>
    </row>
    <row r="60" spans="1:17" x14ac:dyDescent="0.25">
      <c r="A60" s="1">
        <v>3479</v>
      </c>
      <c r="B60" s="2">
        <v>45512</v>
      </c>
      <c r="C60" s="3"/>
      <c r="D60" s="3"/>
      <c r="E60" s="9" t="s">
        <v>7</v>
      </c>
      <c r="F60" s="3"/>
      <c r="G60" s="3"/>
      <c r="H60" s="5"/>
      <c r="I60" s="5">
        <v>5</v>
      </c>
      <c r="J60" s="5"/>
      <c r="K60" s="6">
        <v>45516</v>
      </c>
      <c r="L60" s="5">
        <v>3</v>
      </c>
      <c r="M60" s="6">
        <v>45520</v>
      </c>
      <c r="N60" s="7" t="s">
        <v>3</v>
      </c>
      <c r="O60" s="7"/>
      <c r="P60" s="7"/>
      <c r="Q60" s="8"/>
    </row>
    <row r="61" spans="1:17" x14ac:dyDescent="0.25">
      <c r="A61" s="1">
        <v>3437</v>
      </c>
      <c r="B61" s="2">
        <v>45513</v>
      </c>
      <c r="C61" s="3"/>
      <c r="D61" s="3"/>
      <c r="E61" s="9" t="s">
        <v>7</v>
      </c>
      <c r="F61" s="3"/>
      <c r="G61" s="3"/>
      <c r="H61" s="5"/>
      <c r="I61" s="5">
        <v>5</v>
      </c>
      <c r="J61" s="5"/>
      <c r="K61" s="6">
        <v>45516</v>
      </c>
      <c r="L61" s="5">
        <v>3</v>
      </c>
      <c r="M61" s="6">
        <v>45520</v>
      </c>
      <c r="N61" s="7"/>
      <c r="O61" s="7"/>
      <c r="P61" s="7" t="s">
        <v>1</v>
      </c>
      <c r="Q61" s="8"/>
    </row>
    <row r="62" spans="1:17" x14ac:dyDescent="0.25">
      <c r="A62" s="1">
        <v>3034</v>
      </c>
      <c r="B62" s="2">
        <v>45513</v>
      </c>
      <c r="C62" s="3"/>
      <c r="D62" s="3"/>
      <c r="E62" s="4" t="s">
        <v>2</v>
      </c>
      <c r="F62" s="3"/>
      <c r="G62" s="3"/>
      <c r="H62" s="5"/>
      <c r="I62" s="5">
        <v>5</v>
      </c>
      <c r="J62" s="5"/>
      <c r="K62" s="6">
        <v>45517</v>
      </c>
      <c r="L62" s="5">
        <v>3</v>
      </c>
      <c r="M62" s="6">
        <v>45521</v>
      </c>
      <c r="N62" s="7"/>
      <c r="O62" s="7" t="s">
        <v>5</v>
      </c>
      <c r="P62" s="7"/>
      <c r="Q62" s="8"/>
    </row>
    <row r="63" spans="1:17" x14ac:dyDescent="0.25">
      <c r="A63" s="1">
        <v>2944</v>
      </c>
      <c r="B63" s="2">
        <v>45515</v>
      </c>
      <c r="C63" s="3"/>
      <c r="D63" s="3"/>
      <c r="E63" s="4" t="s">
        <v>2</v>
      </c>
      <c r="F63" s="3"/>
      <c r="G63" s="3"/>
      <c r="H63" s="5"/>
      <c r="I63" s="5">
        <v>5</v>
      </c>
      <c r="J63" s="5"/>
      <c r="K63" s="6">
        <v>45519</v>
      </c>
      <c r="L63" s="5">
        <v>3</v>
      </c>
      <c r="M63" s="6">
        <v>45523</v>
      </c>
      <c r="N63" s="7"/>
      <c r="O63" s="7" t="s">
        <v>5</v>
      </c>
      <c r="P63" s="7" t="s">
        <v>1</v>
      </c>
      <c r="Q63" s="8" t="s">
        <v>4</v>
      </c>
    </row>
    <row r="64" spans="1:17" x14ac:dyDescent="0.25">
      <c r="A64" s="1">
        <v>3730</v>
      </c>
      <c r="B64" s="2">
        <v>45517</v>
      </c>
      <c r="C64" s="3"/>
      <c r="D64" s="3"/>
      <c r="E64" s="4" t="s">
        <v>7</v>
      </c>
      <c r="F64" s="3"/>
      <c r="G64" s="3"/>
      <c r="H64" s="5"/>
      <c r="I64" s="5">
        <v>5</v>
      </c>
      <c r="J64" s="5"/>
      <c r="K64" s="6">
        <v>45531</v>
      </c>
      <c r="L64" s="5">
        <v>3</v>
      </c>
      <c r="M64" s="6">
        <v>45526</v>
      </c>
      <c r="N64" s="7" t="s">
        <v>3</v>
      </c>
      <c r="O64" s="7"/>
      <c r="P64" s="7"/>
      <c r="Q64" s="8"/>
    </row>
    <row r="65" spans="1:17" x14ac:dyDescent="0.25">
      <c r="A65" s="1">
        <v>3034</v>
      </c>
      <c r="B65" s="2">
        <v>45517</v>
      </c>
      <c r="C65" s="3"/>
      <c r="D65" s="3"/>
      <c r="E65" s="4" t="s">
        <v>6</v>
      </c>
      <c r="F65" s="3"/>
      <c r="G65" s="3"/>
      <c r="H65" s="5"/>
      <c r="I65" s="5">
        <v>5</v>
      </c>
      <c r="J65" s="5"/>
      <c r="K65" s="6">
        <v>45531</v>
      </c>
      <c r="L65" s="5">
        <v>5</v>
      </c>
      <c r="M65" s="6">
        <v>45527</v>
      </c>
      <c r="N65" s="7"/>
      <c r="O65" s="7" t="s">
        <v>5</v>
      </c>
      <c r="P65" s="7"/>
      <c r="Q65" s="8"/>
    </row>
    <row r="66" spans="1:17" x14ac:dyDescent="0.25">
      <c r="A66" s="1">
        <v>2959</v>
      </c>
      <c r="B66" s="2">
        <v>45517</v>
      </c>
      <c r="C66" s="3"/>
      <c r="D66" s="3"/>
      <c r="E66" s="4" t="s">
        <v>2</v>
      </c>
      <c r="F66" s="3"/>
      <c r="G66" s="3"/>
      <c r="H66" s="5"/>
      <c r="I66" s="5">
        <v>5</v>
      </c>
      <c r="J66" s="5"/>
      <c r="K66" s="6">
        <v>45531</v>
      </c>
      <c r="L66" s="5">
        <v>3</v>
      </c>
      <c r="M66" s="6">
        <v>45527</v>
      </c>
      <c r="N66" s="7"/>
      <c r="O66" s="7"/>
      <c r="P66" s="7"/>
      <c r="Q66" s="8" t="s">
        <v>4</v>
      </c>
    </row>
    <row r="67" spans="1:17" x14ac:dyDescent="0.25">
      <c r="A67" s="1">
        <v>3051</v>
      </c>
      <c r="B67" s="2">
        <v>45517</v>
      </c>
      <c r="C67" s="3"/>
      <c r="D67" s="3"/>
      <c r="E67" s="4" t="s">
        <v>2</v>
      </c>
      <c r="F67" s="3"/>
      <c r="G67" s="3"/>
      <c r="H67" s="5"/>
      <c r="I67" s="5">
        <v>5</v>
      </c>
      <c r="J67" s="5"/>
      <c r="K67" s="6">
        <v>45531</v>
      </c>
      <c r="L67" s="5">
        <v>3</v>
      </c>
      <c r="M67" s="6">
        <v>45527</v>
      </c>
      <c r="N67" s="7"/>
      <c r="O67" s="7"/>
      <c r="P67" s="7"/>
      <c r="Q67" s="8" t="s">
        <v>4</v>
      </c>
    </row>
    <row r="68" spans="1:17" x14ac:dyDescent="0.25">
      <c r="A68" s="1">
        <v>2229</v>
      </c>
      <c r="B68" s="2">
        <v>45517</v>
      </c>
      <c r="C68" s="3"/>
      <c r="D68" s="3"/>
      <c r="E68" s="4" t="s">
        <v>2</v>
      </c>
      <c r="F68" s="3"/>
      <c r="G68" s="3"/>
      <c r="H68" s="5"/>
      <c r="I68" s="5">
        <v>5</v>
      </c>
      <c r="J68" s="5"/>
      <c r="K68" s="6">
        <v>45531</v>
      </c>
      <c r="L68" s="5">
        <v>3</v>
      </c>
      <c r="M68" s="6">
        <v>45525</v>
      </c>
      <c r="N68" s="7"/>
      <c r="O68" s="7"/>
      <c r="P68" s="7"/>
      <c r="Q68" s="8" t="s">
        <v>4</v>
      </c>
    </row>
    <row r="69" spans="1:17" x14ac:dyDescent="0.25">
      <c r="A69" s="1">
        <v>3490</v>
      </c>
      <c r="B69" s="2">
        <v>45517</v>
      </c>
      <c r="C69" s="3"/>
      <c r="D69" s="3"/>
      <c r="E69" s="4" t="s">
        <v>2</v>
      </c>
      <c r="F69" s="3"/>
      <c r="G69" s="3"/>
      <c r="H69" s="5"/>
      <c r="I69" s="5">
        <v>5</v>
      </c>
      <c r="J69" s="5"/>
      <c r="K69" s="6">
        <v>45531</v>
      </c>
      <c r="L69" s="5">
        <v>3</v>
      </c>
      <c r="M69" s="6">
        <v>45525</v>
      </c>
      <c r="N69" s="7" t="s">
        <v>3</v>
      </c>
      <c r="O69" s="7"/>
      <c r="P69" s="7"/>
      <c r="Q69" s="8"/>
    </row>
    <row r="70" spans="1:17" x14ac:dyDescent="0.25">
      <c r="A70" s="1">
        <v>1810</v>
      </c>
      <c r="B70" s="2">
        <v>45517</v>
      </c>
      <c r="C70" s="3"/>
      <c r="D70" s="3"/>
      <c r="E70" s="4" t="s">
        <v>2</v>
      </c>
      <c r="F70" s="3"/>
      <c r="G70" s="3"/>
      <c r="H70" s="5"/>
      <c r="I70" s="5">
        <v>5</v>
      </c>
      <c r="J70" s="5"/>
      <c r="K70" s="6">
        <v>45531</v>
      </c>
      <c r="L70" s="5">
        <v>3</v>
      </c>
      <c r="M70" s="6">
        <v>45525</v>
      </c>
      <c r="N70" s="7"/>
      <c r="O70" s="7"/>
      <c r="P70" s="7"/>
      <c r="Q70" s="8" t="s">
        <v>4</v>
      </c>
    </row>
    <row r="71" spans="1:17" x14ac:dyDescent="0.25">
      <c r="A71" s="1">
        <v>2341</v>
      </c>
      <c r="B71" s="2">
        <v>45517</v>
      </c>
      <c r="C71" s="3"/>
      <c r="D71" s="3"/>
      <c r="E71" s="4" t="s">
        <v>7</v>
      </c>
      <c r="F71" s="3"/>
      <c r="G71" s="3"/>
      <c r="H71" s="5"/>
      <c r="I71" s="5">
        <v>5</v>
      </c>
      <c r="J71" s="5"/>
      <c r="K71" s="6">
        <v>45531</v>
      </c>
      <c r="L71" s="5">
        <v>3</v>
      </c>
      <c r="M71" s="6">
        <v>45525</v>
      </c>
      <c r="N71" s="7"/>
      <c r="O71" s="7"/>
      <c r="P71" s="7" t="s">
        <v>1</v>
      </c>
      <c r="Q71" s="8"/>
    </row>
    <row r="72" spans="1:17" x14ac:dyDescent="0.25">
      <c r="A72" s="1">
        <v>3021</v>
      </c>
      <c r="B72" s="2">
        <v>45518</v>
      </c>
      <c r="C72" s="3"/>
      <c r="D72" s="3"/>
      <c r="E72" s="4" t="s">
        <v>2</v>
      </c>
      <c r="F72" s="3"/>
      <c r="G72" s="3"/>
      <c r="H72" s="5"/>
      <c r="I72" s="5">
        <v>5</v>
      </c>
      <c r="J72" s="5"/>
      <c r="K72" s="6">
        <v>45522</v>
      </c>
      <c r="L72" s="5">
        <v>3</v>
      </c>
      <c r="M72" s="6">
        <v>45525</v>
      </c>
      <c r="N72" s="7" t="s">
        <v>3</v>
      </c>
      <c r="O72" s="7"/>
      <c r="P72" s="7"/>
      <c r="Q72" s="8" t="s">
        <v>4</v>
      </c>
    </row>
    <row r="73" spans="1:17" x14ac:dyDescent="0.25">
      <c r="A73" s="1">
        <v>2882</v>
      </c>
      <c r="B73" s="2">
        <v>45518</v>
      </c>
      <c r="C73" s="3"/>
      <c r="D73" s="3"/>
      <c r="E73" s="4" t="s">
        <v>7</v>
      </c>
      <c r="F73" s="3"/>
      <c r="G73" s="3"/>
      <c r="H73" s="5"/>
      <c r="I73" s="5">
        <v>5</v>
      </c>
      <c r="J73" s="5"/>
      <c r="K73" s="6">
        <v>45522</v>
      </c>
      <c r="L73" s="5">
        <v>3</v>
      </c>
      <c r="M73" s="6">
        <v>45526</v>
      </c>
      <c r="N73" s="7" t="s">
        <v>3</v>
      </c>
      <c r="O73" s="7"/>
      <c r="P73" s="7"/>
      <c r="Q73" s="8"/>
    </row>
    <row r="74" spans="1:17" x14ac:dyDescent="0.25">
      <c r="A74" s="1">
        <v>3012</v>
      </c>
      <c r="B74" s="2">
        <v>45518</v>
      </c>
      <c r="C74" s="3"/>
      <c r="D74" s="3"/>
      <c r="E74" s="4" t="s">
        <v>6</v>
      </c>
      <c r="F74" s="3"/>
      <c r="G74" s="3"/>
      <c r="H74" s="5"/>
      <c r="I74" s="5">
        <v>5</v>
      </c>
      <c r="J74" s="5"/>
      <c r="K74" s="6">
        <v>45522</v>
      </c>
      <c r="L74" s="5">
        <v>5</v>
      </c>
      <c r="M74" s="6">
        <v>45528</v>
      </c>
      <c r="N74" s="7"/>
      <c r="O74" s="7" t="s">
        <v>5</v>
      </c>
      <c r="P74" s="7"/>
      <c r="Q74" s="7"/>
    </row>
    <row r="75" spans="1:17" x14ac:dyDescent="0.25">
      <c r="A75" s="1">
        <v>3668</v>
      </c>
      <c r="B75" s="2">
        <v>45518</v>
      </c>
      <c r="C75" s="3"/>
      <c r="D75" s="3"/>
      <c r="E75" s="4" t="s">
        <v>6</v>
      </c>
      <c r="F75" s="3"/>
      <c r="G75" s="3"/>
      <c r="H75" s="5"/>
      <c r="I75" s="5">
        <v>5</v>
      </c>
      <c r="J75" s="5"/>
      <c r="K75" s="6">
        <v>45522</v>
      </c>
      <c r="L75" s="5">
        <v>5</v>
      </c>
      <c r="M75" s="6">
        <v>45528</v>
      </c>
      <c r="N75" s="7"/>
      <c r="O75" s="7"/>
      <c r="P75" s="7"/>
      <c r="Q75" s="7" t="s">
        <v>4</v>
      </c>
    </row>
    <row r="76" spans="1:17" x14ac:dyDescent="0.25">
      <c r="A76" s="1">
        <v>2580</v>
      </c>
      <c r="B76" s="2">
        <v>45518</v>
      </c>
      <c r="C76" s="3"/>
      <c r="D76" s="3"/>
      <c r="E76" s="4" t="s">
        <v>2</v>
      </c>
      <c r="F76" s="3"/>
      <c r="G76" s="3"/>
      <c r="H76" s="5"/>
      <c r="I76" s="5">
        <v>5</v>
      </c>
      <c r="J76" s="5"/>
      <c r="K76" s="6">
        <v>45522</v>
      </c>
      <c r="L76" s="5">
        <v>3</v>
      </c>
      <c r="M76" s="6">
        <v>45526</v>
      </c>
      <c r="N76" s="7" t="s">
        <v>3</v>
      </c>
      <c r="O76" s="7"/>
      <c r="P76" s="7"/>
      <c r="Q76" s="7"/>
    </row>
    <row r="77" spans="1:17" x14ac:dyDescent="0.25">
      <c r="A77" s="1">
        <v>2740</v>
      </c>
      <c r="B77" s="2">
        <v>45518</v>
      </c>
      <c r="C77" s="3"/>
      <c r="D77" s="3"/>
      <c r="E77" s="4" t="s">
        <v>14</v>
      </c>
      <c r="F77" s="3"/>
      <c r="G77" s="3"/>
      <c r="H77" s="5"/>
      <c r="I77" s="5">
        <v>5</v>
      </c>
      <c r="J77" s="5"/>
      <c r="K77" s="6">
        <v>45522</v>
      </c>
      <c r="L77" s="5">
        <v>3</v>
      </c>
      <c r="M77" s="6">
        <v>45522</v>
      </c>
      <c r="N77" s="7"/>
      <c r="O77" s="7"/>
      <c r="P77" s="7"/>
      <c r="Q77" s="7" t="s">
        <v>4</v>
      </c>
    </row>
    <row r="78" spans="1:17" x14ac:dyDescent="0.25">
      <c r="A78" s="1">
        <v>2740</v>
      </c>
      <c r="B78" s="2">
        <v>45518</v>
      </c>
      <c r="C78" s="3"/>
      <c r="D78" s="3"/>
      <c r="E78" s="4" t="s">
        <v>14</v>
      </c>
      <c r="F78" s="3"/>
      <c r="G78" s="3"/>
      <c r="H78" s="5"/>
      <c r="I78" s="5">
        <v>5</v>
      </c>
      <c r="J78" s="5"/>
      <c r="K78" s="6">
        <v>45522</v>
      </c>
      <c r="L78" s="5">
        <v>3</v>
      </c>
      <c r="M78" s="6">
        <v>45525</v>
      </c>
      <c r="N78" s="7"/>
      <c r="O78" s="7"/>
      <c r="P78" s="7"/>
      <c r="Q78" s="7" t="s">
        <v>4</v>
      </c>
    </row>
    <row r="79" spans="1:17" x14ac:dyDescent="0.25">
      <c r="A79" s="1">
        <v>3918</v>
      </c>
      <c r="B79" s="2">
        <v>45519</v>
      </c>
      <c r="C79" s="3"/>
      <c r="D79" s="3"/>
      <c r="E79" s="4" t="s">
        <v>7</v>
      </c>
      <c r="F79" s="3"/>
      <c r="G79" s="3"/>
      <c r="H79" s="5"/>
      <c r="I79" s="5">
        <v>5</v>
      </c>
      <c r="J79" s="5"/>
      <c r="K79" s="6">
        <v>45523</v>
      </c>
      <c r="L79" s="5">
        <v>3</v>
      </c>
      <c r="M79" s="6">
        <v>45527</v>
      </c>
      <c r="N79" s="7"/>
      <c r="O79" s="7"/>
      <c r="P79" s="7"/>
      <c r="Q79" s="7" t="s">
        <v>4</v>
      </c>
    </row>
    <row r="80" spans="1:17" x14ac:dyDescent="0.25">
      <c r="A80" s="1">
        <v>2218</v>
      </c>
      <c r="B80" s="2">
        <v>45520</v>
      </c>
      <c r="C80" s="3"/>
      <c r="D80" s="3"/>
      <c r="E80" s="4" t="s">
        <v>7</v>
      </c>
      <c r="F80" s="3"/>
      <c r="G80" s="3"/>
      <c r="H80" s="5"/>
      <c r="I80" s="5">
        <v>5</v>
      </c>
      <c r="J80" s="5"/>
      <c r="K80" s="6">
        <v>45524</v>
      </c>
      <c r="L80" s="5">
        <v>3</v>
      </c>
      <c r="M80" s="6">
        <v>45528</v>
      </c>
      <c r="N80" s="7"/>
      <c r="O80" s="7"/>
      <c r="P80" s="7" t="s">
        <v>1</v>
      </c>
      <c r="Q80" s="7"/>
    </row>
    <row r="81" spans="1:17" x14ac:dyDescent="0.25">
      <c r="A81" s="1">
        <v>764</v>
      </c>
      <c r="B81" s="2">
        <v>45520</v>
      </c>
      <c r="C81" s="3"/>
      <c r="D81" s="3"/>
      <c r="E81" s="4" t="s">
        <v>7</v>
      </c>
      <c r="F81" s="3"/>
      <c r="G81" s="3"/>
      <c r="H81" s="5"/>
      <c r="I81" s="5">
        <v>5</v>
      </c>
      <c r="J81" s="5"/>
      <c r="K81" s="6">
        <v>45524</v>
      </c>
      <c r="L81" s="5">
        <v>3</v>
      </c>
      <c r="M81" s="6">
        <v>45528</v>
      </c>
      <c r="N81" s="7"/>
      <c r="O81" s="7" t="s">
        <v>5</v>
      </c>
      <c r="P81" s="7"/>
      <c r="Q81" s="7" t="s">
        <v>4</v>
      </c>
    </row>
    <row r="82" spans="1:17" x14ac:dyDescent="0.25">
      <c r="A82" s="1">
        <v>2583</v>
      </c>
      <c r="B82" s="2">
        <v>45520</v>
      </c>
      <c r="C82" s="3"/>
      <c r="D82" s="3"/>
      <c r="E82" s="4" t="s">
        <v>7</v>
      </c>
      <c r="F82" s="3"/>
      <c r="G82" s="3"/>
      <c r="H82" s="5"/>
      <c r="I82" s="5">
        <v>5</v>
      </c>
      <c r="J82" s="5"/>
      <c r="K82" s="6">
        <v>45524</v>
      </c>
      <c r="L82" s="5">
        <v>3</v>
      </c>
      <c r="M82" s="6">
        <v>45528</v>
      </c>
      <c r="N82" s="7"/>
      <c r="O82" s="7" t="s">
        <v>5</v>
      </c>
      <c r="P82" s="7"/>
      <c r="Q82" s="7"/>
    </row>
    <row r="83" spans="1:17" x14ac:dyDescent="0.25">
      <c r="A83" s="1">
        <v>3735</v>
      </c>
      <c r="B83" s="2">
        <v>45521</v>
      </c>
      <c r="C83" s="3"/>
      <c r="D83" s="3"/>
      <c r="E83" s="4" t="s">
        <v>7</v>
      </c>
      <c r="F83" s="3"/>
      <c r="G83" s="3"/>
      <c r="H83" s="5"/>
      <c r="I83" s="5">
        <v>5</v>
      </c>
      <c r="J83" s="5"/>
      <c r="K83" s="6">
        <v>45525</v>
      </c>
      <c r="L83" s="5">
        <v>3</v>
      </c>
      <c r="M83" s="6">
        <v>45529</v>
      </c>
      <c r="N83" s="7"/>
      <c r="O83" s="7" t="s">
        <v>5</v>
      </c>
      <c r="P83" s="7" t="s">
        <v>1</v>
      </c>
      <c r="Q83" s="7" t="s">
        <v>4</v>
      </c>
    </row>
    <row r="84" spans="1:17" x14ac:dyDescent="0.25">
      <c r="A84" s="1">
        <v>3399</v>
      </c>
      <c r="B84" s="2">
        <v>45521</v>
      </c>
      <c r="C84" s="3"/>
      <c r="D84" s="3"/>
      <c r="E84" s="4" t="s">
        <v>7</v>
      </c>
      <c r="F84" s="3"/>
      <c r="G84" s="3"/>
      <c r="H84" s="5"/>
      <c r="I84" s="5">
        <v>5</v>
      </c>
      <c r="J84" s="5"/>
      <c r="K84" s="6">
        <v>45525</v>
      </c>
      <c r="L84" s="5">
        <v>3</v>
      </c>
      <c r="M84" s="6">
        <v>45529</v>
      </c>
      <c r="N84" s="7"/>
      <c r="O84" s="7"/>
      <c r="P84" s="7" t="s">
        <v>1</v>
      </c>
      <c r="Q84" s="7"/>
    </row>
    <row r="85" spans="1:17" x14ac:dyDescent="0.25">
      <c r="A85" s="1">
        <v>3918</v>
      </c>
      <c r="B85" s="2">
        <v>45521</v>
      </c>
      <c r="C85" s="3"/>
      <c r="D85" s="3"/>
      <c r="E85" s="4" t="s">
        <v>13</v>
      </c>
      <c r="F85" s="3"/>
      <c r="G85" s="3"/>
      <c r="H85" s="5"/>
      <c r="I85" s="5">
        <v>5</v>
      </c>
      <c r="J85" s="5"/>
      <c r="K85" s="6">
        <v>45525</v>
      </c>
      <c r="L85" s="5">
        <v>5</v>
      </c>
      <c r="M85" s="6">
        <v>45531</v>
      </c>
      <c r="N85" s="7"/>
      <c r="O85" s="7" t="s">
        <v>5</v>
      </c>
      <c r="P85" s="7"/>
      <c r="Q85" s="7" t="s">
        <v>4</v>
      </c>
    </row>
    <row r="86" spans="1:17" x14ac:dyDescent="0.25">
      <c r="A86" s="1">
        <v>3702</v>
      </c>
      <c r="B86" s="2">
        <v>45522</v>
      </c>
      <c r="C86" s="3"/>
      <c r="D86" s="3"/>
      <c r="E86" s="4" t="s">
        <v>7</v>
      </c>
      <c r="F86" s="3"/>
      <c r="G86" s="3"/>
      <c r="H86" s="5"/>
      <c r="I86" s="5">
        <v>5</v>
      </c>
      <c r="J86" s="5"/>
      <c r="K86" s="6">
        <v>45526</v>
      </c>
      <c r="L86" s="5">
        <v>3</v>
      </c>
      <c r="M86" s="6">
        <v>45530</v>
      </c>
      <c r="N86" s="7"/>
      <c r="O86" s="7"/>
      <c r="P86" s="7" t="s">
        <v>1</v>
      </c>
      <c r="Q86" s="7"/>
    </row>
    <row r="87" spans="1:17" x14ac:dyDescent="0.25">
      <c r="A87" s="1">
        <v>3051</v>
      </c>
      <c r="B87" s="2">
        <v>45522</v>
      </c>
      <c r="C87" s="3"/>
      <c r="D87" s="3"/>
      <c r="E87" s="4" t="s">
        <v>13</v>
      </c>
      <c r="F87" s="3"/>
      <c r="G87" s="3"/>
      <c r="H87" s="5"/>
      <c r="I87" s="5">
        <v>5</v>
      </c>
      <c r="J87" s="5"/>
      <c r="K87" s="6">
        <v>45526</v>
      </c>
      <c r="L87" s="5">
        <v>5</v>
      </c>
      <c r="M87" s="6">
        <v>45532</v>
      </c>
      <c r="N87" s="7"/>
      <c r="O87" s="7"/>
      <c r="P87" s="7" t="s">
        <v>1</v>
      </c>
      <c r="Q87" s="7"/>
    </row>
    <row r="88" spans="1:17" x14ac:dyDescent="0.25">
      <c r="A88" s="1">
        <v>2229</v>
      </c>
      <c r="B88" s="2">
        <v>45522</v>
      </c>
      <c r="C88" s="3"/>
      <c r="D88" s="3"/>
      <c r="E88" s="4" t="s">
        <v>2</v>
      </c>
      <c r="F88" s="3"/>
      <c r="G88" s="3"/>
      <c r="H88" s="5"/>
      <c r="I88" s="5">
        <v>5</v>
      </c>
      <c r="J88" s="5"/>
      <c r="K88" s="6">
        <v>45526</v>
      </c>
      <c r="L88" s="5">
        <v>3</v>
      </c>
      <c r="M88" s="6">
        <v>45530</v>
      </c>
      <c r="N88" s="7"/>
      <c r="O88" s="7"/>
      <c r="P88" s="7" t="s">
        <v>1</v>
      </c>
      <c r="Q88" s="7" t="s">
        <v>4</v>
      </c>
    </row>
    <row r="89" spans="1:17" x14ac:dyDescent="0.25">
      <c r="A89" s="1">
        <v>1066</v>
      </c>
      <c r="B89" s="2">
        <v>45522</v>
      </c>
      <c r="C89" s="3"/>
      <c r="D89" s="3"/>
      <c r="E89" s="4" t="s">
        <v>2</v>
      </c>
      <c r="F89" s="3"/>
      <c r="G89" s="3"/>
      <c r="H89" s="5"/>
      <c r="I89" s="5">
        <v>5</v>
      </c>
      <c r="J89" s="5"/>
      <c r="K89" s="6">
        <v>45526</v>
      </c>
      <c r="L89" s="5">
        <v>3</v>
      </c>
      <c r="M89" s="6">
        <v>45530</v>
      </c>
      <c r="N89" s="7"/>
      <c r="O89" s="7"/>
      <c r="P89" s="7"/>
      <c r="Q89" s="7" t="s">
        <v>4</v>
      </c>
    </row>
    <row r="90" spans="1:17" x14ac:dyDescent="0.25">
      <c r="A90" s="1">
        <v>3422</v>
      </c>
      <c r="B90" s="2">
        <v>45524</v>
      </c>
      <c r="C90" s="3"/>
      <c r="D90" s="3"/>
      <c r="E90" s="4" t="s">
        <v>7</v>
      </c>
      <c r="F90" s="3"/>
      <c r="G90" s="3"/>
      <c r="H90" s="5"/>
      <c r="I90" s="5">
        <v>5</v>
      </c>
      <c r="J90" s="5"/>
      <c r="K90" s="6">
        <v>45528</v>
      </c>
      <c r="L90" s="5">
        <v>3</v>
      </c>
      <c r="M90" s="6">
        <v>45532</v>
      </c>
      <c r="N90" s="7" t="s">
        <v>3</v>
      </c>
      <c r="O90" s="7"/>
      <c r="P90" s="7"/>
      <c r="Q90" s="7"/>
    </row>
    <row r="91" spans="1:17" x14ac:dyDescent="0.25">
      <c r="A91" s="1">
        <v>4055</v>
      </c>
      <c r="B91" s="2">
        <v>45524</v>
      </c>
      <c r="C91" s="3"/>
      <c r="D91" s="3"/>
      <c r="E91" s="4" t="s">
        <v>7</v>
      </c>
      <c r="F91" s="3"/>
      <c r="G91" s="3"/>
      <c r="H91" s="5"/>
      <c r="I91" s="5">
        <v>5</v>
      </c>
      <c r="J91" s="5"/>
      <c r="K91" s="6">
        <v>45528</v>
      </c>
      <c r="L91" s="5">
        <v>3</v>
      </c>
      <c r="M91" s="6">
        <v>45532</v>
      </c>
      <c r="N91" s="7"/>
      <c r="O91" s="7"/>
      <c r="P91" s="7"/>
      <c r="Q91" s="7" t="s">
        <v>4</v>
      </c>
    </row>
    <row r="92" spans="1:17" x14ac:dyDescent="0.25">
      <c r="A92" s="1">
        <v>2892</v>
      </c>
      <c r="B92" s="2">
        <v>45525</v>
      </c>
      <c r="C92" s="3"/>
      <c r="D92" s="3"/>
      <c r="E92" s="4" t="s">
        <v>7</v>
      </c>
      <c r="F92" s="3"/>
      <c r="G92" s="3"/>
      <c r="H92" s="5"/>
      <c r="I92" s="5">
        <v>5</v>
      </c>
      <c r="J92" s="5"/>
      <c r="K92" s="6">
        <v>45529</v>
      </c>
      <c r="L92" s="5">
        <v>3</v>
      </c>
      <c r="M92" s="6">
        <v>45533</v>
      </c>
      <c r="N92" s="7"/>
      <c r="O92" s="7"/>
      <c r="P92" s="7"/>
      <c r="Q92" s="7" t="s">
        <v>4</v>
      </c>
    </row>
    <row r="93" spans="1:17" x14ac:dyDescent="0.25">
      <c r="A93" s="1">
        <v>1810</v>
      </c>
      <c r="B93" s="2">
        <v>45525</v>
      </c>
      <c r="C93" s="3"/>
      <c r="D93" s="3"/>
      <c r="E93" s="4" t="s">
        <v>6</v>
      </c>
      <c r="F93" s="3"/>
      <c r="G93" s="3"/>
      <c r="H93" s="5"/>
      <c r="I93" s="5">
        <v>5</v>
      </c>
      <c r="J93" s="5"/>
      <c r="K93" s="6">
        <v>45529</v>
      </c>
      <c r="L93" s="5">
        <v>5</v>
      </c>
      <c r="M93" s="6">
        <v>45535</v>
      </c>
      <c r="N93" s="7"/>
      <c r="O93" s="7"/>
      <c r="P93" s="7"/>
      <c r="Q93" s="7" t="s">
        <v>4</v>
      </c>
    </row>
    <row r="94" spans="1:17" x14ac:dyDescent="0.25">
      <c r="A94" s="1">
        <v>3012</v>
      </c>
      <c r="B94" s="2">
        <v>45525</v>
      </c>
      <c r="C94" s="3"/>
      <c r="D94" s="3"/>
      <c r="E94" s="4" t="s">
        <v>2</v>
      </c>
      <c r="F94" s="3"/>
      <c r="G94" s="3"/>
      <c r="H94" s="5"/>
      <c r="I94" s="5">
        <v>5</v>
      </c>
      <c r="J94" s="5"/>
      <c r="K94" s="6">
        <v>45529</v>
      </c>
      <c r="L94" s="5">
        <v>3</v>
      </c>
      <c r="M94" s="6">
        <v>45533</v>
      </c>
      <c r="N94" s="7"/>
      <c r="O94" s="7"/>
      <c r="P94" s="7"/>
      <c r="Q94" s="7" t="s">
        <v>4</v>
      </c>
    </row>
    <row r="95" spans="1:17" x14ac:dyDescent="0.25">
      <c r="A95" s="1">
        <v>3021</v>
      </c>
      <c r="B95" s="2">
        <v>45525</v>
      </c>
      <c r="C95" s="3"/>
      <c r="D95" s="3"/>
      <c r="E95" s="4" t="s">
        <v>10</v>
      </c>
      <c r="F95" s="3"/>
      <c r="G95" s="3"/>
      <c r="H95" s="5"/>
      <c r="I95" s="5">
        <v>5</v>
      </c>
      <c r="J95" s="5"/>
      <c r="K95" s="6">
        <v>45529</v>
      </c>
      <c r="L95" s="5">
        <v>5</v>
      </c>
      <c r="M95" s="6">
        <v>45535</v>
      </c>
      <c r="N95" s="7" t="s">
        <v>3</v>
      </c>
      <c r="O95" s="7"/>
      <c r="P95" s="7" t="s">
        <v>1</v>
      </c>
      <c r="Q95" s="7" t="s">
        <v>4</v>
      </c>
    </row>
    <row r="96" spans="1:17" x14ac:dyDescent="0.25">
      <c r="A96" s="1">
        <v>3720</v>
      </c>
      <c r="B96" s="2">
        <v>45525</v>
      </c>
      <c r="C96" s="3"/>
      <c r="D96" s="3"/>
      <c r="E96" s="4" t="s">
        <v>7</v>
      </c>
      <c r="F96" s="3"/>
      <c r="G96" s="3"/>
      <c r="H96" s="5"/>
      <c r="I96" s="5">
        <v>5</v>
      </c>
      <c r="J96" s="5"/>
      <c r="K96" s="6">
        <v>45529</v>
      </c>
      <c r="L96" s="5">
        <v>3</v>
      </c>
      <c r="M96" s="6">
        <v>45533</v>
      </c>
      <c r="N96" s="7"/>
      <c r="O96" s="7"/>
      <c r="P96" s="7"/>
      <c r="Q96" s="7" t="s">
        <v>4</v>
      </c>
    </row>
    <row r="97" spans="1:17" x14ac:dyDescent="0.25">
      <c r="A97" s="1">
        <v>1849</v>
      </c>
      <c r="B97" s="2">
        <v>45525</v>
      </c>
      <c r="C97" s="3"/>
      <c r="D97" s="3"/>
      <c r="E97" s="4" t="s">
        <v>7</v>
      </c>
      <c r="F97" s="3"/>
      <c r="G97" s="3"/>
      <c r="H97" s="5"/>
      <c r="I97" s="5">
        <v>5</v>
      </c>
      <c r="J97" s="5"/>
      <c r="K97" s="6">
        <v>45529</v>
      </c>
      <c r="L97" s="5">
        <v>3</v>
      </c>
      <c r="M97" s="6">
        <v>45533</v>
      </c>
      <c r="N97" s="7"/>
      <c r="O97" s="7" t="s">
        <v>5</v>
      </c>
      <c r="P97" s="7"/>
      <c r="Q97" s="7" t="s">
        <v>4</v>
      </c>
    </row>
    <row r="98" spans="1:17" x14ac:dyDescent="0.25">
      <c r="A98" s="1">
        <v>4200</v>
      </c>
      <c r="B98" s="2">
        <v>45526</v>
      </c>
      <c r="C98" s="3"/>
      <c r="D98" s="3"/>
      <c r="E98" s="4" t="s">
        <v>7</v>
      </c>
      <c r="F98" s="3"/>
      <c r="G98" s="3"/>
      <c r="H98" s="5"/>
      <c r="I98" s="5">
        <v>5</v>
      </c>
      <c r="J98" s="5"/>
      <c r="K98" s="6">
        <v>45530</v>
      </c>
      <c r="L98" s="5">
        <v>3</v>
      </c>
      <c r="M98" s="6">
        <v>45534</v>
      </c>
      <c r="N98" s="7" t="s">
        <v>3</v>
      </c>
      <c r="O98" s="7"/>
      <c r="P98" s="7"/>
      <c r="Q98" s="7"/>
    </row>
    <row r="99" spans="1:17" x14ac:dyDescent="0.25">
      <c r="A99" s="1">
        <v>3918</v>
      </c>
      <c r="B99" s="2">
        <v>45527</v>
      </c>
      <c r="C99" s="3"/>
      <c r="D99" s="3"/>
      <c r="E99" s="4" t="s">
        <v>2</v>
      </c>
      <c r="F99" s="3"/>
      <c r="G99" s="3"/>
      <c r="H99" s="5"/>
      <c r="I99" s="5">
        <v>5</v>
      </c>
      <c r="J99" s="5"/>
      <c r="K99" s="6">
        <v>45531</v>
      </c>
      <c r="L99" s="5">
        <v>4</v>
      </c>
      <c r="M99" s="6">
        <v>45536</v>
      </c>
      <c r="N99" s="7" t="s">
        <v>3</v>
      </c>
      <c r="O99" s="7"/>
      <c r="P99" s="7"/>
      <c r="Q99" s="7"/>
    </row>
    <row r="100" spans="1:17" x14ac:dyDescent="0.25">
      <c r="A100" s="1">
        <v>2580</v>
      </c>
      <c r="B100" s="2">
        <v>45528</v>
      </c>
      <c r="C100" s="3"/>
      <c r="D100" s="3"/>
      <c r="E100" s="4" t="s">
        <v>8</v>
      </c>
      <c r="F100" s="3"/>
      <c r="G100" s="3"/>
      <c r="H100" s="5"/>
      <c r="I100" s="5">
        <v>5</v>
      </c>
      <c r="J100" s="5"/>
      <c r="K100" s="6">
        <v>45532</v>
      </c>
      <c r="L100" s="5">
        <v>4</v>
      </c>
      <c r="M100" s="6">
        <v>45537</v>
      </c>
      <c r="N100" s="7" t="s">
        <v>3</v>
      </c>
      <c r="O100" s="7" t="s">
        <v>5</v>
      </c>
      <c r="P100" s="7" t="s">
        <v>1</v>
      </c>
      <c r="Q100" s="7" t="s">
        <v>4</v>
      </c>
    </row>
    <row r="101" spans="1:17" x14ac:dyDescent="0.25">
      <c r="A101" s="1">
        <v>2417</v>
      </c>
      <c r="B101" s="2">
        <v>45528</v>
      </c>
      <c r="C101" s="3"/>
      <c r="D101" s="3"/>
      <c r="E101" s="4" t="s">
        <v>7</v>
      </c>
      <c r="F101" s="3"/>
      <c r="G101" s="3"/>
      <c r="H101" s="5"/>
      <c r="I101" s="5">
        <v>5</v>
      </c>
      <c r="J101" s="5"/>
      <c r="K101" s="6">
        <v>45532</v>
      </c>
      <c r="L101" s="5">
        <v>3</v>
      </c>
      <c r="M101" s="6">
        <v>45536</v>
      </c>
      <c r="N101" s="7" t="s">
        <v>3</v>
      </c>
      <c r="O101" s="7"/>
      <c r="P101" s="7"/>
      <c r="Q101" s="7"/>
    </row>
    <row r="102" spans="1:17" x14ac:dyDescent="0.25">
      <c r="A102" s="1">
        <v>2960</v>
      </c>
      <c r="B102" s="2">
        <v>45528</v>
      </c>
      <c r="C102" s="3"/>
      <c r="D102" s="3"/>
      <c r="E102" s="4" t="s">
        <v>7</v>
      </c>
      <c r="F102" s="3"/>
      <c r="G102" s="3"/>
      <c r="H102" s="5"/>
      <c r="I102" s="5">
        <v>5</v>
      </c>
      <c r="J102" s="5"/>
      <c r="K102" s="6">
        <v>45532</v>
      </c>
      <c r="L102" s="5">
        <v>3</v>
      </c>
      <c r="M102" s="6">
        <v>45536</v>
      </c>
      <c r="N102" s="7"/>
      <c r="O102" s="7" t="s">
        <v>5</v>
      </c>
      <c r="P102" s="7"/>
      <c r="Q102" s="7"/>
    </row>
    <row r="103" spans="1:17" x14ac:dyDescent="0.25">
      <c r="A103" s="1">
        <v>3726</v>
      </c>
      <c r="B103" s="2">
        <v>45531</v>
      </c>
      <c r="C103" s="3"/>
      <c r="D103" s="3"/>
      <c r="E103" s="4" t="s">
        <v>7</v>
      </c>
      <c r="F103" s="3"/>
      <c r="G103" s="3"/>
      <c r="H103" s="5"/>
      <c r="I103" s="5">
        <v>5</v>
      </c>
      <c r="J103" s="5"/>
      <c r="K103" s="6">
        <v>45535</v>
      </c>
      <c r="L103" s="5">
        <v>3</v>
      </c>
      <c r="M103" s="6">
        <v>45539</v>
      </c>
      <c r="N103" s="7"/>
      <c r="O103" s="7" t="s">
        <v>5</v>
      </c>
      <c r="P103" s="7"/>
      <c r="Q103" s="7"/>
    </row>
    <row r="104" spans="1:17" x14ac:dyDescent="0.25">
      <c r="A104" s="1">
        <v>2892</v>
      </c>
      <c r="B104" s="2">
        <v>45531</v>
      </c>
      <c r="C104" s="3"/>
      <c r="D104" s="3"/>
      <c r="E104" s="4" t="s">
        <v>2</v>
      </c>
      <c r="F104" s="3"/>
      <c r="G104" s="3"/>
      <c r="H104" s="5"/>
      <c r="I104" s="5">
        <v>5</v>
      </c>
      <c r="J104" s="5"/>
      <c r="K104" s="6">
        <v>45535</v>
      </c>
      <c r="L104" s="5">
        <v>3</v>
      </c>
      <c r="M104" s="6">
        <v>45539</v>
      </c>
      <c r="N104" s="7" t="s">
        <v>3</v>
      </c>
      <c r="O104" s="7" t="s">
        <v>5</v>
      </c>
      <c r="P104" s="7" t="s">
        <v>1</v>
      </c>
      <c r="Q104" s="7" t="s">
        <v>4</v>
      </c>
    </row>
    <row r="105" spans="1:17" x14ac:dyDescent="0.25">
      <c r="A105" s="1">
        <v>3548</v>
      </c>
      <c r="B105" s="2">
        <v>45531</v>
      </c>
      <c r="C105" s="3"/>
      <c r="D105" s="3"/>
      <c r="E105" s="4" t="s">
        <v>7</v>
      </c>
      <c r="F105" s="3"/>
      <c r="G105" s="3"/>
      <c r="H105" s="5"/>
      <c r="I105" s="5">
        <v>5</v>
      </c>
      <c r="J105" s="5"/>
      <c r="K105" s="6">
        <v>45535</v>
      </c>
      <c r="L105" s="5">
        <v>3</v>
      </c>
      <c r="M105" s="6">
        <v>45539</v>
      </c>
      <c r="N105" s="7"/>
      <c r="O105" s="7" t="s">
        <v>5</v>
      </c>
      <c r="P105" s="7"/>
      <c r="Q105" s="7"/>
    </row>
    <row r="106" spans="1:17" x14ac:dyDescent="0.25">
      <c r="A106" s="1">
        <v>1586</v>
      </c>
      <c r="B106" s="2">
        <v>45531</v>
      </c>
      <c r="C106" s="3"/>
      <c r="D106" s="3"/>
      <c r="E106" s="4" t="s">
        <v>7</v>
      </c>
      <c r="F106" s="3"/>
      <c r="G106" s="3"/>
      <c r="H106" s="5"/>
      <c r="I106" s="5">
        <v>5</v>
      </c>
      <c r="J106" s="5"/>
      <c r="K106" s="6">
        <v>45535</v>
      </c>
      <c r="L106" s="5">
        <v>3</v>
      </c>
      <c r="M106" s="6">
        <v>45539</v>
      </c>
      <c r="N106" s="7"/>
      <c r="O106" s="7" t="s">
        <v>5</v>
      </c>
      <c r="P106" s="7"/>
      <c r="Q106" s="7"/>
    </row>
    <row r="107" spans="1:17" x14ac:dyDescent="0.25">
      <c r="A107" s="1">
        <v>3467</v>
      </c>
      <c r="B107" s="2">
        <v>45531</v>
      </c>
      <c r="C107" s="3"/>
      <c r="D107" s="3"/>
      <c r="E107" s="4" t="s">
        <v>7</v>
      </c>
      <c r="F107" s="3"/>
      <c r="G107" s="3"/>
      <c r="H107" s="5"/>
      <c r="I107" s="5">
        <v>5</v>
      </c>
      <c r="J107" s="5"/>
      <c r="K107" s="6">
        <v>45535</v>
      </c>
      <c r="L107" s="5">
        <v>3</v>
      </c>
      <c r="M107" s="6">
        <v>45539</v>
      </c>
      <c r="N107" s="7"/>
      <c r="O107" s="7" t="s">
        <v>5</v>
      </c>
      <c r="P107" s="7"/>
      <c r="Q107" s="7" t="s">
        <v>4</v>
      </c>
    </row>
    <row r="108" spans="1:17" x14ac:dyDescent="0.25">
      <c r="A108" s="1">
        <v>3190</v>
      </c>
      <c r="B108" s="2">
        <v>45531</v>
      </c>
      <c r="C108" s="3"/>
      <c r="D108" s="3"/>
      <c r="E108" s="4" t="s">
        <v>7</v>
      </c>
      <c r="F108" s="3"/>
      <c r="G108" s="3"/>
      <c r="H108" s="5"/>
      <c r="I108" s="5">
        <v>5</v>
      </c>
      <c r="J108" s="5"/>
      <c r="K108" s="6">
        <v>45535</v>
      </c>
      <c r="L108" s="5">
        <v>3</v>
      </c>
      <c r="M108" s="6">
        <v>45539</v>
      </c>
      <c r="N108" s="7" t="s">
        <v>3</v>
      </c>
      <c r="O108" s="7"/>
      <c r="P108" s="7"/>
      <c r="Q108" s="7"/>
    </row>
    <row r="109" spans="1:17" x14ac:dyDescent="0.25">
      <c r="A109" s="1">
        <v>2735</v>
      </c>
      <c r="B109" s="2">
        <v>45531</v>
      </c>
      <c r="C109" s="3"/>
      <c r="D109" s="3"/>
      <c r="E109" s="4" t="s">
        <v>2</v>
      </c>
      <c r="F109" s="3"/>
      <c r="G109" s="3"/>
      <c r="H109" s="5"/>
      <c r="I109" s="5">
        <v>5</v>
      </c>
      <c r="J109" s="5"/>
      <c r="K109" s="6">
        <v>45535</v>
      </c>
      <c r="L109" s="5">
        <v>3</v>
      </c>
      <c r="M109" s="6">
        <v>45539</v>
      </c>
      <c r="N109" s="7"/>
      <c r="O109" s="7"/>
      <c r="P109" s="7"/>
      <c r="Q109" s="7" t="s">
        <v>4</v>
      </c>
    </row>
    <row r="110" spans="1:17" x14ac:dyDescent="0.25">
      <c r="A110" s="1">
        <v>3490</v>
      </c>
      <c r="B110" s="2">
        <v>45532</v>
      </c>
      <c r="C110" s="3"/>
      <c r="D110" s="3"/>
      <c r="E110" s="4" t="s">
        <v>10</v>
      </c>
      <c r="F110" s="3"/>
      <c r="G110" s="3"/>
      <c r="H110" s="5"/>
      <c r="I110" s="5">
        <v>5</v>
      </c>
      <c r="J110" s="5"/>
      <c r="K110" s="6">
        <v>45536</v>
      </c>
      <c r="L110" s="5">
        <v>3</v>
      </c>
      <c r="M110" s="6">
        <v>45540</v>
      </c>
      <c r="N110" s="7" t="s">
        <v>3</v>
      </c>
      <c r="O110" s="7"/>
      <c r="P110" s="7"/>
      <c r="Q110" s="7"/>
    </row>
    <row r="111" spans="1:17" x14ac:dyDescent="0.25">
      <c r="A111" s="1">
        <v>2583</v>
      </c>
      <c r="B111" s="2">
        <v>45532</v>
      </c>
      <c r="C111" s="3"/>
      <c r="D111" s="3"/>
      <c r="E111" s="4" t="s">
        <v>10</v>
      </c>
      <c r="F111" s="3"/>
      <c r="G111" s="3"/>
      <c r="H111" s="5"/>
      <c r="I111" s="5">
        <v>5</v>
      </c>
      <c r="J111" s="5"/>
      <c r="K111" s="6">
        <v>45536</v>
      </c>
      <c r="L111" s="5">
        <v>3</v>
      </c>
      <c r="M111" s="6">
        <v>45540</v>
      </c>
      <c r="N111" s="7"/>
      <c r="O111" s="7" t="s">
        <v>5</v>
      </c>
      <c r="P111" s="7"/>
      <c r="Q111" s="7" t="s">
        <v>4</v>
      </c>
    </row>
    <row r="112" spans="1:17" x14ac:dyDescent="0.25">
      <c r="A112" s="1">
        <v>3021</v>
      </c>
      <c r="B112" s="2">
        <v>45532</v>
      </c>
      <c r="C112" s="3"/>
      <c r="D112" s="3"/>
      <c r="E112" s="4" t="s">
        <v>10</v>
      </c>
      <c r="F112" s="3"/>
      <c r="G112" s="3"/>
      <c r="H112" s="5"/>
      <c r="I112" s="5">
        <v>5</v>
      </c>
      <c r="J112" s="5"/>
      <c r="K112" s="6">
        <v>45536</v>
      </c>
      <c r="L112" s="5">
        <v>3</v>
      </c>
      <c r="M112" s="6">
        <v>45540</v>
      </c>
      <c r="N112" s="7" t="s">
        <v>3</v>
      </c>
      <c r="O112" s="7"/>
      <c r="P112" s="7"/>
      <c r="Q112" s="7" t="s">
        <v>4</v>
      </c>
    </row>
    <row r="113" spans="1:17" x14ac:dyDescent="0.25">
      <c r="A113" s="1">
        <v>3548</v>
      </c>
      <c r="B113" s="2">
        <v>45533</v>
      </c>
      <c r="C113" s="3"/>
      <c r="D113" s="3"/>
      <c r="E113" s="4" t="s">
        <v>2</v>
      </c>
      <c r="F113" s="3"/>
      <c r="G113" s="3"/>
      <c r="H113" s="5"/>
      <c r="I113" s="5">
        <v>5</v>
      </c>
      <c r="J113" s="5"/>
      <c r="K113" s="6">
        <v>45537</v>
      </c>
      <c r="L113" s="5">
        <v>3</v>
      </c>
      <c r="M113" s="6">
        <v>45541</v>
      </c>
      <c r="N113" s="7"/>
      <c r="O113" s="7" t="s">
        <v>5</v>
      </c>
      <c r="P113" s="7"/>
      <c r="Q113" s="7"/>
    </row>
    <row r="114" spans="1:17" x14ac:dyDescent="0.25">
      <c r="A114" s="1">
        <v>2745</v>
      </c>
      <c r="B114" s="2">
        <v>45534</v>
      </c>
      <c r="C114" s="3"/>
      <c r="D114" s="3"/>
      <c r="E114" s="4" t="s">
        <v>10</v>
      </c>
      <c r="F114" s="3"/>
      <c r="G114" s="3"/>
      <c r="H114" s="5"/>
      <c r="I114" s="5">
        <v>5</v>
      </c>
      <c r="J114" s="5"/>
      <c r="K114" s="6">
        <v>45538</v>
      </c>
      <c r="L114" s="5">
        <v>3</v>
      </c>
      <c r="M114" s="6">
        <v>45542</v>
      </c>
      <c r="N114" s="7"/>
      <c r="O114" s="7" t="s">
        <v>5</v>
      </c>
      <c r="P114" s="7" t="s">
        <v>1</v>
      </c>
      <c r="Q114" s="7" t="s">
        <v>4</v>
      </c>
    </row>
    <row r="115" spans="1:17" x14ac:dyDescent="0.25">
      <c r="A115" s="1">
        <v>3103</v>
      </c>
      <c r="B115" s="2">
        <v>45534</v>
      </c>
      <c r="C115" s="3"/>
      <c r="D115" s="3"/>
      <c r="E115" s="4" t="s">
        <v>7</v>
      </c>
      <c r="F115" s="3"/>
      <c r="G115" s="3"/>
      <c r="H115" s="5"/>
      <c r="I115" s="5">
        <v>5</v>
      </c>
      <c r="J115" s="5"/>
      <c r="K115" s="6">
        <v>45538</v>
      </c>
      <c r="L115" s="5">
        <v>3</v>
      </c>
      <c r="M115" s="6">
        <v>45542</v>
      </c>
      <c r="N115" s="7" t="s">
        <v>3</v>
      </c>
      <c r="O115" s="7"/>
      <c r="P115" s="7"/>
      <c r="Q115" s="7"/>
    </row>
    <row r="116" spans="1:17" x14ac:dyDescent="0.25">
      <c r="A116" s="1">
        <v>2218</v>
      </c>
      <c r="B116" s="2">
        <v>45534</v>
      </c>
      <c r="C116" s="3"/>
      <c r="D116" s="3"/>
      <c r="E116" s="4" t="s">
        <v>7</v>
      </c>
      <c r="F116" s="3"/>
      <c r="G116" s="3"/>
      <c r="H116" s="5"/>
      <c r="I116" s="5">
        <v>5</v>
      </c>
      <c r="J116" s="5"/>
      <c r="K116" s="6">
        <v>45538</v>
      </c>
      <c r="L116" s="5">
        <v>3</v>
      </c>
      <c r="M116" s="6">
        <v>45542</v>
      </c>
      <c r="N116" s="7" t="s">
        <v>3</v>
      </c>
      <c r="O116" s="7"/>
      <c r="P116" s="7" t="s">
        <v>1</v>
      </c>
      <c r="Q116" s="7"/>
    </row>
    <row r="117" spans="1:17" x14ac:dyDescent="0.25">
      <c r="A117" s="1">
        <v>3037</v>
      </c>
      <c r="B117" s="2">
        <v>45536</v>
      </c>
      <c r="C117" s="3"/>
      <c r="D117" s="3"/>
      <c r="E117" s="4" t="s">
        <v>7</v>
      </c>
      <c r="F117" s="3"/>
      <c r="G117" s="3"/>
      <c r="H117" s="5"/>
      <c r="I117" s="5">
        <v>5</v>
      </c>
      <c r="J117" s="5"/>
      <c r="K117" s="6">
        <v>45540</v>
      </c>
      <c r="L117" s="5">
        <v>3</v>
      </c>
      <c r="M117" s="6">
        <v>45544</v>
      </c>
      <c r="N117" s="7"/>
      <c r="O117" s="7" t="s">
        <v>5</v>
      </c>
      <c r="P117" s="7" t="s">
        <v>1</v>
      </c>
      <c r="Q117" s="7" t="s">
        <v>4</v>
      </c>
    </row>
    <row r="118" spans="1:17" x14ac:dyDescent="0.25">
      <c r="A118" s="1">
        <v>3730</v>
      </c>
      <c r="B118" s="2">
        <v>45537</v>
      </c>
      <c r="C118" s="3"/>
      <c r="D118" s="3"/>
      <c r="E118" s="4" t="s">
        <v>7</v>
      </c>
      <c r="F118" s="3"/>
      <c r="G118" s="3"/>
      <c r="H118" s="5"/>
      <c r="I118" s="5">
        <v>5</v>
      </c>
      <c r="J118" s="5"/>
      <c r="K118" s="6">
        <v>45541</v>
      </c>
      <c r="L118" s="5">
        <v>3</v>
      </c>
      <c r="M118" s="6">
        <v>45545</v>
      </c>
      <c r="N118" s="7"/>
      <c r="O118" s="7"/>
      <c r="P118" s="7" t="s">
        <v>1</v>
      </c>
      <c r="Q118" s="7"/>
    </row>
    <row r="119" spans="1:17" x14ac:dyDescent="0.25">
      <c r="A119" s="1">
        <v>2963</v>
      </c>
      <c r="B119" s="2">
        <v>45537</v>
      </c>
      <c r="C119" s="3"/>
      <c r="D119" s="3"/>
      <c r="E119" s="4" t="s">
        <v>7</v>
      </c>
      <c r="F119" s="3"/>
      <c r="G119" s="3"/>
      <c r="H119" s="5"/>
      <c r="I119" s="5">
        <v>5</v>
      </c>
      <c r="J119" s="5"/>
      <c r="K119" s="6">
        <v>45541</v>
      </c>
      <c r="L119" s="5">
        <v>3</v>
      </c>
      <c r="M119" s="6">
        <v>45545</v>
      </c>
      <c r="N119" s="7"/>
      <c r="O119" s="7" t="s">
        <v>5</v>
      </c>
      <c r="P119" s="7"/>
      <c r="Q119" s="7"/>
    </row>
    <row r="120" spans="1:17" x14ac:dyDescent="0.25">
      <c r="A120" s="1">
        <v>3656</v>
      </c>
      <c r="B120" s="2">
        <v>45537</v>
      </c>
      <c r="C120" s="3"/>
      <c r="D120" s="3"/>
      <c r="E120" s="4" t="s">
        <v>7</v>
      </c>
      <c r="F120" s="3"/>
      <c r="G120" s="3"/>
      <c r="H120" s="5"/>
      <c r="I120" s="5">
        <v>5</v>
      </c>
      <c r="J120" s="5"/>
      <c r="K120" s="6">
        <v>45541</v>
      </c>
      <c r="L120" s="5">
        <v>3</v>
      </c>
      <c r="M120" s="6">
        <v>45545</v>
      </c>
      <c r="N120" s="7" t="s">
        <v>3</v>
      </c>
      <c r="O120" s="7" t="s">
        <v>5</v>
      </c>
      <c r="P120" s="7" t="s">
        <v>1</v>
      </c>
      <c r="Q120" s="7"/>
    </row>
    <row r="121" spans="1:17" x14ac:dyDescent="0.25">
      <c r="A121" s="1">
        <v>3103</v>
      </c>
      <c r="B121" s="2">
        <v>45538</v>
      </c>
      <c r="C121" s="3"/>
      <c r="D121" s="3"/>
      <c r="E121" s="4" t="s">
        <v>2</v>
      </c>
      <c r="F121" s="3"/>
      <c r="G121" s="3"/>
      <c r="H121" s="5"/>
      <c r="I121" s="5">
        <v>5</v>
      </c>
      <c r="J121" s="5"/>
      <c r="K121" s="6">
        <v>45542</v>
      </c>
      <c r="L121" s="5">
        <v>3</v>
      </c>
      <c r="M121" s="6">
        <v>45546</v>
      </c>
      <c r="N121" s="7" t="s">
        <v>3</v>
      </c>
      <c r="O121" s="7"/>
      <c r="P121" s="7" t="s">
        <v>1</v>
      </c>
      <c r="Q121" s="7"/>
    </row>
    <row r="122" spans="1:17" x14ac:dyDescent="0.25">
      <c r="A122" s="1">
        <v>3324</v>
      </c>
      <c r="B122" s="2">
        <v>45538</v>
      </c>
      <c r="C122" s="3"/>
      <c r="D122" s="3"/>
      <c r="E122" s="4" t="s">
        <v>7</v>
      </c>
      <c r="F122" s="3"/>
      <c r="G122" s="3"/>
      <c r="H122" s="5"/>
      <c r="I122" s="5">
        <v>5</v>
      </c>
      <c r="J122" s="5"/>
      <c r="K122" s="6">
        <v>45543</v>
      </c>
      <c r="L122" s="5">
        <v>3</v>
      </c>
      <c r="M122" s="6">
        <v>45546</v>
      </c>
      <c r="N122" s="7"/>
      <c r="O122" s="7"/>
      <c r="P122" s="7"/>
      <c r="Q122" s="7" t="s">
        <v>4</v>
      </c>
    </row>
    <row r="123" spans="1:17" x14ac:dyDescent="0.25">
      <c r="A123" s="1">
        <v>2892</v>
      </c>
      <c r="B123" s="2">
        <v>45539</v>
      </c>
      <c r="C123" s="3"/>
      <c r="D123" s="3"/>
      <c r="E123" s="4" t="s">
        <v>0</v>
      </c>
      <c r="F123" s="3"/>
      <c r="G123" s="3"/>
      <c r="H123" s="5"/>
      <c r="I123" s="5">
        <v>5</v>
      </c>
      <c r="J123" s="5"/>
      <c r="K123" s="6">
        <v>45543</v>
      </c>
      <c r="L123" s="5">
        <v>3</v>
      </c>
      <c r="M123" s="6">
        <v>45547</v>
      </c>
      <c r="N123" s="7" t="s">
        <v>3</v>
      </c>
      <c r="O123" s="7" t="s">
        <v>5</v>
      </c>
      <c r="P123" s="7" t="s">
        <v>1</v>
      </c>
      <c r="Q123" s="7" t="s">
        <v>4</v>
      </c>
    </row>
    <row r="124" spans="1:17" x14ac:dyDescent="0.25">
      <c r="A124" s="1">
        <v>2550</v>
      </c>
      <c r="B124" s="2">
        <v>45539</v>
      </c>
      <c r="C124" s="3"/>
      <c r="D124" s="3"/>
      <c r="E124" s="4" t="s">
        <v>7</v>
      </c>
      <c r="F124" s="3"/>
      <c r="G124" s="3"/>
      <c r="H124" s="5"/>
      <c r="I124" s="5">
        <v>5</v>
      </c>
      <c r="J124" s="5"/>
      <c r="K124" s="6">
        <v>45543</v>
      </c>
      <c r="L124" s="5">
        <v>3</v>
      </c>
      <c r="M124" s="6">
        <v>45547</v>
      </c>
      <c r="N124" s="7" t="s">
        <v>3</v>
      </c>
      <c r="O124" s="7"/>
      <c r="P124" s="7"/>
      <c r="Q124" s="7"/>
    </row>
    <row r="125" spans="1:17" x14ac:dyDescent="0.25">
      <c r="A125" s="1">
        <v>3918</v>
      </c>
      <c r="B125" s="2">
        <v>45539</v>
      </c>
      <c r="C125" s="3"/>
      <c r="D125" s="3"/>
      <c r="E125" s="4" t="s">
        <v>15</v>
      </c>
      <c r="F125" s="3"/>
      <c r="G125" s="3"/>
      <c r="H125" s="5"/>
      <c r="I125" s="5">
        <v>5</v>
      </c>
      <c r="J125" s="5"/>
      <c r="K125" s="6">
        <v>45543</v>
      </c>
      <c r="L125" s="5">
        <v>9</v>
      </c>
      <c r="M125" s="6">
        <v>45553</v>
      </c>
      <c r="N125" s="7" t="s">
        <v>3</v>
      </c>
      <c r="O125" s="7" t="s">
        <v>5</v>
      </c>
      <c r="P125" s="7" t="s">
        <v>1</v>
      </c>
      <c r="Q125" s="7"/>
    </row>
    <row r="126" spans="1:17" x14ac:dyDescent="0.25">
      <c r="A126" s="1">
        <v>3453</v>
      </c>
      <c r="B126" s="2">
        <v>45539</v>
      </c>
      <c r="C126" s="3"/>
      <c r="D126" s="3"/>
      <c r="E126" s="4" t="s">
        <v>15</v>
      </c>
      <c r="F126" s="3"/>
      <c r="G126" s="3"/>
      <c r="H126" s="5"/>
      <c r="I126" s="5">
        <v>5</v>
      </c>
      <c r="J126" s="5"/>
      <c r="K126" s="6">
        <v>45543</v>
      </c>
      <c r="L126" s="5">
        <v>9</v>
      </c>
      <c r="M126" s="6">
        <v>45553</v>
      </c>
      <c r="N126" s="7" t="s">
        <v>3</v>
      </c>
      <c r="O126" s="7"/>
      <c r="P126" s="7"/>
      <c r="Q126" s="7"/>
    </row>
    <row r="127" spans="1:17" x14ac:dyDescent="0.25">
      <c r="A127" s="1">
        <v>3021</v>
      </c>
      <c r="B127" s="2">
        <v>45539</v>
      </c>
      <c r="C127" s="3"/>
      <c r="D127" s="3"/>
      <c r="E127" s="4" t="s">
        <v>15</v>
      </c>
      <c r="F127" s="3"/>
      <c r="G127" s="3"/>
      <c r="H127" s="5"/>
      <c r="I127" s="5">
        <v>5</v>
      </c>
      <c r="J127" s="5"/>
      <c r="K127" s="6">
        <v>45543</v>
      </c>
      <c r="L127" s="5">
        <v>9</v>
      </c>
      <c r="M127" s="6">
        <v>45553</v>
      </c>
      <c r="N127" s="7" t="s">
        <v>3</v>
      </c>
      <c r="O127" s="7"/>
      <c r="P127" s="7"/>
      <c r="Q127" s="7"/>
    </row>
    <row r="128" spans="1:17" x14ac:dyDescent="0.25">
      <c r="A128" s="1">
        <v>2745</v>
      </c>
      <c r="B128" s="2">
        <v>45539</v>
      </c>
      <c r="C128" s="3"/>
      <c r="D128" s="3"/>
      <c r="E128" s="4" t="s">
        <v>15</v>
      </c>
      <c r="F128" s="3"/>
      <c r="G128" s="3"/>
      <c r="H128" s="5"/>
      <c r="I128" s="5">
        <v>5</v>
      </c>
      <c r="J128" s="5"/>
      <c r="K128" s="6">
        <v>45544</v>
      </c>
      <c r="L128" s="5">
        <v>9</v>
      </c>
      <c r="M128" s="6">
        <v>45553</v>
      </c>
      <c r="N128" s="7" t="s">
        <v>3</v>
      </c>
      <c r="O128" s="7" t="s">
        <v>5</v>
      </c>
      <c r="P128" s="7" t="s">
        <v>1</v>
      </c>
      <c r="Q128" s="7" t="s">
        <v>4</v>
      </c>
    </row>
    <row r="129" spans="1:17" x14ac:dyDescent="0.25">
      <c r="A129" s="1">
        <v>2963</v>
      </c>
      <c r="B129" s="2">
        <v>45540</v>
      </c>
      <c r="C129" s="3"/>
      <c r="D129" s="3"/>
      <c r="E129" s="4" t="s">
        <v>2</v>
      </c>
      <c r="F129" s="3"/>
      <c r="G129" s="3"/>
      <c r="H129" s="5"/>
      <c r="I129" s="5">
        <v>5</v>
      </c>
      <c r="J129" s="5"/>
      <c r="K129" s="6">
        <v>45544</v>
      </c>
      <c r="L129" s="5">
        <v>3</v>
      </c>
      <c r="M129" s="6">
        <v>45548</v>
      </c>
      <c r="N129" s="7"/>
      <c r="O129" s="7" t="s">
        <v>5</v>
      </c>
      <c r="P129" s="7"/>
      <c r="Q129" s="7"/>
    </row>
    <row r="130" spans="1:17" x14ac:dyDescent="0.25">
      <c r="A130" s="1">
        <v>2583</v>
      </c>
      <c r="B130" s="2">
        <v>45540</v>
      </c>
      <c r="C130" s="3"/>
      <c r="D130" s="3"/>
      <c r="E130" s="4" t="s">
        <v>16</v>
      </c>
      <c r="F130" s="3"/>
      <c r="G130" s="3"/>
      <c r="H130" s="5"/>
      <c r="I130" s="5">
        <v>5</v>
      </c>
      <c r="J130" s="5"/>
      <c r="K130" s="6">
        <v>45544</v>
      </c>
      <c r="L130" s="5">
        <v>5</v>
      </c>
      <c r="M130" s="6">
        <v>45550</v>
      </c>
      <c r="N130" s="7"/>
      <c r="O130" s="7" t="s">
        <v>5</v>
      </c>
      <c r="P130" s="7"/>
      <c r="Q130" s="7"/>
    </row>
    <row r="131" spans="1:17" x14ac:dyDescent="0.25">
      <c r="A131" s="1">
        <v>1123</v>
      </c>
      <c r="B131" s="2">
        <v>45540</v>
      </c>
      <c r="C131" s="3"/>
      <c r="D131" s="3"/>
      <c r="E131" s="4" t="s">
        <v>7</v>
      </c>
      <c r="F131" s="3"/>
      <c r="G131" s="3"/>
      <c r="H131" s="5"/>
      <c r="I131" s="5">
        <v>5</v>
      </c>
      <c r="J131" s="5"/>
      <c r="K131" s="6">
        <v>45544</v>
      </c>
      <c r="L131" s="5">
        <v>3</v>
      </c>
      <c r="M131" s="6">
        <v>45550</v>
      </c>
      <c r="N131" s="7"/>
      <c r="O131" s="7" t="s">
        <v>5</v>
      </c>
      <c r="P131" s="7"/>
      <c r="Q131" s="7"/>
    </row>
    <row r="132" spans="1:17" x14ac:dyDescent="0.25">
      <c r="A132" s="1">
        <v>2409</v>
      </c>
      <c r="B132" s="2">
        <v>45540</v>
      </c>
      <c r="C132" s="3"/>
      <c r="D132" s="3"/>
      <c r="E132" s="4" t="s">
        <v>7</v>
      </c>
      <c r="F132" s="3"/>
      <c r="G132" s="3"/>
      <c r="H132" s="5"/>
      <c r="I132" s="5">
        <v>5</v>
      </c>
      <c r="J132" s="5"/>
      <c r="K132" s="6">
        <v>45545</v>
      </c>
      <c r="L132" s="5">
        <v>3</v>
      </c>
      <c r="M132" s="6">
        <v>45548</v>
      </c>
      <c r="N132" s="7"/>
      <c r="O132" s="7" t="s">
        <v>5</v>
      </c>
      <c r="P132" s="7"/>
      <c r="Q132" s="7"/>
    </row>
    <row r="133" spans="1:17" x14ac:dyDescent="0.25">
      <c r="A133" s="1">
        <v>2663</v>
      </c>
      <c r="B133" s="2">
        <v>45541</v>
      </c>
      <c r="C133" s="3"/>
      <c r="D133" s="3"/>
      <c r="E133" s="4" t="s">
        <v>2</v>
      </c>
      <c r="F133" s="3"/>
      <c r="G133" s="3"/>
      <c r="H133" s="5"/>
      <c r="I133" s="5">
        <v>5</v>
      </c>
      <c r="J133" s="5"/>
      <c r="K133" s="6">
        <v>45545</v>
      </c>
      <c r="L133" s="5">
        <v>3</v>
      </c>
      <c r="M133" s="6">
        <v>45549</v>
      </c>
      <c r="N133" s="7" t="s">
        <v>3</v>
      </c>
      <c r="O133" s="7"/>
      <c r="P133" s="7"/>
      <c r="Q133" s="7" t="s">
        <v>4</v>
      </c>
    </row>
    <row r="134" spans="1:17" x14ac:dyDescent="0.25">
      <c r="A134" s="1">
        <v>3324</v>
      </c>
      <c r="B134" s="2">
        <v>45541</v>
      </c>
      <c r="C134" s="3"/>
      <c r="D134" s="3"/>
      <c r="E134" s="4" t="s">
        <v>0</v>
      </c>
      <c r="F134" s="3"/>
      <c r="G134" s="3"/>
      <c r="H134" s="5"/>
      <c r="I134" s="5">
        <v>5</v>
      </c>
      <c r="J134" s="5"/>
      <c r="K134" s="6">
        <v>45545</v>
      </c>
      <c r="L134" s="5">
        <v>3</v>
      </c>
      <c r="M134" s="6">
        <v>45549</v>
      </c>
      <c r="N134" s="7"/>
      <c r="O134" s="7"/>
      <c r="P134" s="7"/>
      <c r="Q134" s="7" t="s">
        <v>4</v>
      </c>
    </row>
    <row r="135" spans="1:17" x14ac:dyDescent="0.25">
      <c r="A135" s="1">
        <v>3656</v>
      </c>
      <c r="B135" s="2">
        <v>45541</v>
      </c>
      <c r="C135" s="3"/>
      <c r="D135" s="3"/>
      <c r="E135" s="4" t="s">
        <v>0</v>
      </c>
      <c r="F135" s="3"/>
      <c r="G135" s="3"/>
      <c r="H135" s="5"/>
      <c r="I135" s="5">
        <v>5</v>
      </c>
      <c r="J135" s="5"/>
      <c r="K135" s="6">
        <v>45545</v>
      </c>
      <c r="L135" s="5">
        <v>3</v>
      </c>
      <c r="M135" s="6">
        <v>45549</v>
      </c>
      <c r="N135" s="7"/>
      <c r="O135" s="7"/>
      <c r="P135" s="7" t="s">
        <v>1</v>
      </c>
      <c r="Q135" s="7"/>
    </row>
    <row r="136" spans="1:17" x14ac:dyDescent="0.25">
      <c r="A136" s="1">
        <v>2960</v>
      </c>
      <c r="B136" s="2">
        <v>45541</v>
      </c>
      <c r="C136" s="3"/>
      <c r="D136" s="3"/>
      <c r="E136" s="4" t="s">
        <v>7</v>
      </c>
      <c r="F136" s="3"/>
      <c r="G136" s="3"/>
      <c r="H136" s="5"/>
      <c r="I136" s="5">
        <v>5</v>
      </c>
      <c r="J136" s="5"/>
      <c r="K136" s="6">
        <v>45545</v>
      </c>
      <c r="L136" s="5">
        <v>3</v>
      </c>
      <c r="M136" s="6">
        <v>45549</v>
      </c>
      <c r="N136" s="7"/>
      <c r="O136" s="7" t="s">
        <v>5</v>
      </c>
      <c r="P136" s="7"/>
      <c r="Q136" s="7"/>
    </row>
    <row r="137" spans="1:17" x14ac:dyDescent="0.25">
      <c r="A137" s="1">
        <v>2675</v>
      </c>
      <c r="B137" s="2">
        <v>45541</v>
      </c>
      <c r="C137" s="3"/>
      <c r="D137" s="3"/>
      <c r="E137" s="4" t="s">
        <v>7</v>
      </c>
      <c r="F137" s="3"/>
      <c r="G137" s="3"/>
      <c r="H137" s="5"/>
      <c r="I137" s="5">
        <v>5</v>
      </c>
      <c r="J137" s="5"/>
      <c r="K137" s="6">
        <v>45545</v>
      </c>
      <c r="L137" s="5">
        <v>3</v>
      </c>
      <c r="M137" s="6">
        <v>45549</v>
      </c>
      <c r="N137" s="7"/>
      <c r="O137" s="7" t="s">
        <v>5</v>
      </c>
      <c r="P137" s="7"/>
      <c r="Q137" s="7"/>
    </row>
    <row r="138" spans="1:17" x14ac:dyDescent="0.25">
      <c r="A138" s="1">
        <v>2825</v>
      </c>
      <c r="B138" s="2">
        <v>45542</v>
      </c>
      <c r="C138" s="3"/>
      <c r="D138" s="3"/>
      <c r="E138" s="4" t="s">
        <v>7</v>
      </c>
      <c r="F138" s="3"/>
      <c r="G138" s="3"/>
      <c r="H138" s="5"/>
      <c r="I138" s="5">
        <v>5</v>
      </c>
      <c r="J138" s="5"/>
      <c r="K138" s="6">
        <v>45546</v>
      </c>
      <c r="L138" s="5">
        <v>3</v>
      </c>
      <c r="M138" s="6">
        <v>45550</v>
      </c>
      <c r="N138" s="7"/>
      <c r="O138" s="7" t="s">
        <v>5</v>
      </c>
      <c r="P138" s="7"/>
      <c r="Q138" s="7"/>
    </row>
    <row r="139" spans="1:17" x14ac:dyDescent="0.25">
      <c r="A139" s="1">
        <v>2218</v>
      </c>
      <c r="B139" s="2">
        <v>45542</v>
      </c>
      <c r="C139" s="3"/>
      <c r="D139" s="3"/>
      <c r="E139" s="4" t="s">
        <v>2</v>
      </c>
      <c r="F139" s="3"/>
      <c r="G139" s="3"/>
      <c r="H139" s="5"/>
      <c r="I139" s="5">
        <v>5</v>
      </c>
      <c r="J139" s="5"/>
      <c r="K139" s="6">
        <v>45546</v>
      </c>
      <c r="L139" s="5">
        <v>3</v>
      </c>
      <c r="M139" s="6">
        <v>45550</v>
      </c>
      <c r="N139" s="7"/>
      <c r="O139" s="7"/>
      <c r="P139" s="7" t="s">
        <v>1</v>
      </c>
      <c r="Q139" s="7" t="s">
        <v>4</v>
      </c>
    </row>
    <row r="140" spans="1:17" x14ac:dyDescent="0.25">
      <c r="A140" s="1">
        <v>2791</v>
      </c>
      <c r="B140" s="2">
        <v>45542</v>
      </c>
      <c r="C140" s="3"/>
      <c r="D140" s="3"/>
      <c r="E140" s="4" t="s">
        <v>7</v>
      </c>
      <c r="F140" s="3"/>
      <c r="G140" s="3"/>
      <c r="H140" s="5"/>
      <c r="I140" s="5">
        <v>5</v>
      </c>
      <c r="J140" s="5"/>
      <c r="K140" s="6">
        <v>45546</v>
      </c>
      <c r="L140" s="5">
        <v>3</v>
      </c>
      <c r="M140" s="6">
        <v>45550</v>
      </c>
      <c r="N140" s="7"/>
      <c r="O140" s="7"/>
      <c r="P140" s="7"/>
      <c r="Q140" s="7" t="s">
        <v>4</v>
      </c>
    </row>
    <row r="141" spans="1:17" x14ac:dyDescent="0.25">
      <c r="A141" s="1">
        <v>2315</v>
      </c>
      <c r="B141" s="2">
        <v>45543</v>
      </c>
      <c r="C141" s="3"/>
      <c r="D141" s="3"/>
      <c r="E141" s="4" t="s">
        <v>7</v>
      </c>
      <c r="F141" s="3"/>
      <c r="G141" s="3"/>
      <c r="H141" s="5"/>
      <c r="I141" s="5">
        <v>5</v>
      </c>
      <c r="J141" s="5"/>
      <c r="K141" s="6">
        <v>45547</v>
      </c>
      <c r="L141" s="5">
        <v>3</v>
      </c>
      <c r="M141" s="6">
        <v>45551</v>
      </c>
      <c r="N141" s="7" t="s">
        <v>3</v>
      </c>
      <c r="O141" s="7" t="s">
        <v>5</v>
      </c>
      <c r="P141" s="7" t="s">
        <v>1</v>
      </c>
      <c r="Q141" s="7" t="s">
        <v>4</v>
      </c>
    </row>
    <row r="142" spans="1:17" x14ac:dyDescent="0.25">
      <c r="A142" s="1">
        <v>3144</v>
      </c>
      <c r="B142" s="2">
        <v>45543</v>
      </c>
      <c r="C142" s="3"/>
      <c r="D142" s="3"/>
      <c r="E142" s="4" t="s">
        <v>10</v>
      </c>
      <c r="F142" s="3"/>
      <c r="G142" s="3"/>
      <c r="H142" s="5"/>
      <c r="I142" s="5">
        <v>5</v>
      </c>
      <c r="J142" s="5"/>
      <c r="K142" s="6">
        <v>45547</v>
      </c>
      <c r="L142" s="5">
        <v>3</v>
      </c>
      <c r="M142" s="6">
        <v>45551</v>
      </c>
      <c r="N142" s="7"/>
      <c r="O142" s="7"/>
      <c r="P142" s="7" t="s">
        <v>1</v>
      </c>
      <c r="Q142" s="7"/>
    </row>
    <row r="143" spans="1:17" x14ac:dyDescent="0.25">
      <c r="A143" s="1">
        <v>3455</v>
      </c>
      <c r="B143" s="2">
        <v>45544</v>
      </c>
      <c r="C143" s="3"/>
      <c r="D143" s="3"/>
      <c r="E143" s="4" t="s">
        <v>7</v>
      </c>
      <c r="F143" s="3"/>
      <c r="G143" s="3"/>
      <c r="H143" s="5"/>
      <c r="I143" s="5">
        <v>5</v>
      </c>
      <c r="J143" s="5"/>
      <c r="K143" s="6">
        <v>45548</v>
      </c>
      <c r="L143" s="5">
        <v>3</v>
      </c>
      <c r="M143" s="6">
        <v>45552</v>
      </c>
      <c r="N143" s="7"/>
      <c r="O143" s="7" t="s">
        <v>5</v>
      </c>
      <c r="P143" s="7"/>
      <c r="Q143" s="7"/>
    </row>
    <row r="144" spans="1:17" x14ac:dyDescent="0.25">
      <c r="A144" s="1">
        <v>3685</v>
      </c>
      <c r="B144" s="2">
        <v>45545</v>
      </c>
      <c r="C144" s="3"/>
      <c r="D144" s="3"/>
      <c r="E144" s="4" t="s">
        <v>7</v>
      </c>
      <c r="F144" s="3"/>
      <c r="G144" s="3"/>
      <c r="H144" s="5"/>
      <c r="I144" s="5">
        <v>5</v>
      </c>
      <c r="J144" s="5"/>
      <c r="K144" s="6">
        <v>45549</v>
      </c>
      <c r="L144" s="5">
        <v>3</v>
      </c>
      <c r="M144" s="6">
        <v>45553</v>
      </c>
      <c r="N144" s="7"/>
      <c r="O144" s="7"/>
      <c r="P144" s="7" t="s">
        <v>1</v>
      </c>
      <c r="Q144" s="7" t="s">
        <v>4</v>
      </c>
    </row>
    <row r="145" spans="1:17" x14ac:dyDescent="0.25">
      <c r="A145" s="1">
        <v>2218</v>
      </c>
      <c r="B145" s="2">
        <v>45546</v>
      </c>
      <c r="C145" s="3"/>
      <c r="D145" s="3"/>
      <c r="E145" s="4" t="s">
        <v>6</v>
      </c>
      <c r="F145" s="3"/>
      <c r="G145" s="3"/>
      <c r="H145" s="5"/>
      <c r="I145" s="5">
        <v>5</v>
      </c>
      <c r="J145" s="5"/>
      <c r="K145" s="6">
        <v>45550</v>
      </c>
      <c r="L145" s="5">
        <v>5</v>
      </c>
      <c r="M145" s="6">
        <v>45556</v>
      </c>
      <c r="N145" s="7"/>
      <c r="O145" s="7" t="s">
        <v>5</v>
      </c>
      <c r="P145" s="7"/>
      <c r="Q145" s="7" t="s">
        <v>4</v>
      </c>
    </row>
    <row r="146" spans="1:17" x14ac:dyDescent="0.25">
      <c r="A146" s="1">
        <v>3848</v>
      </c>
      <c r="B146" s="2">
        <v>45546</v>
      </c>
      <c r="C146" s="3"/>
      <c r="D146" s="3"/>
      <c r="E146" s="4" t="s">
        <v>7</v>
      </c>
      <c r="F146" s="3"/>
      <c r="G146" s="3"/>
      <c r="H146" s="5"/>
      <c r="I146" s="5">
        <v>5</v>
      </c>
      <c r="J146" s="5"/>
      <c r="K146" s="6">
        <v>45550</v>
      </c>
      <c r="L146" s="5">
        <v>3</v>
      </c>
      <c r="M146" s="6">
        <v>45554</v>
      </c>
      <c r="N146" s="7"/>
      <c r="O146" s="7" t="s">
        <v>5</v>
      </c>
      <c r="P146" s="7"/>
      <c r="Q146" s="7" t="s">
        <v>4</v>
      </c>
    </row>
    <row r="147" spans="1:17" x14ac:dyDescent="0.25">
      <c r="A147" s="1">
        <v>3155</v>
      </c>
      <c r="B147" s="2">
        <v>45546</v>
      </c>
      <c r="C147" s="3"/>
      <c r="D147" s="3"/>
      <c r="E147" s="4" t="s">
        <v>7</v>
      </c>
      <c r="F147" s="3"/>
      <c r="G147" s="3"/>
      <c r="H147" s="5"/>
      <c r="I147" s="5">
        <v>5</v>
      </c>
      <c r="J147" s="5"/>
      <c r="K147" s="6">
        <v>45550</v>
      </c>
      <c r="L147" s="5">
        <v>3</v>
      </c>
      <c r="M147" s="6">
        <v>45554</v>
      </c>
      <c r="N147" s="7"/>
      <c r="O147" s="7" t="s">
        <v>5</v>
      </c>
      <c r="P147" s="7"/>
      <c r="Q147" s="7" t="s">
        <v>4</v>
      </c>
    </row>
    <row r="148" spans="1:17" x14ac:dyDescent="0.25">
      <c r="A148" s="1">
        <v>3322</v>
      </c>
      <c r="B148" s="2">
        <v>45547</v>
      </c>
      <c r="C148" s="3"/>
      <c r="D148" s="3"/>
      <c r="E148" s="4" t="s">
        <v>13</v>
      </c>
      <c r="F148" s="3"/>
      <c r="G148" s="3"/>
      <c r="H148" s="5"/>
      <c r="I148" s="5">
        <v>5</v>
      </c>
      <c r="J148" s="5"/>
      <c r="K148" s="6">
        <v>45551</v>
      </c>
      <c r="L148" s="5">
        <v>5</v>
      </c>
      <c r="M148" s="6">
        <v>45557</v>
      </c>
      <c r="N148" s="7"/>
      <c r="O148" s="7" t="s">
        <v>5</v>
      </c>
      <c r="P148" s="7"/>
      <c r="Q148" s="7"/>
    </row>
    <row r="149" spans="1:17" x14ac:dyDescent="0.25">
      <c r="A149" s="1">
        <v>2409</v>
      </c>
      <c r="B149" s="2">
        <v>45547</v>
      </c>
      <c r="C149" s="3"/>
      <c r="D149" s="3"/>
      <c r="E149" s="4" t="s">
        <v>13</v>
      </c>
      <c r="F149" s="3"/>
      <c r="G149" s="3"/>
      <c r="H149" s="5"/>
      <c r="I149" s="5">
        <v>5</v>
      </c>
      <c r="J149" s="5"/>
      <c r="K149" s="6">
        <v>45551</v>
      </c>
      <c r="L149" s="5">
        <v>5</v>
      </c>
      <c r="M149" s="6">
        <v>45557</v>
      </c>
      <c r="N149" s="7"/>
      <c r="O149" s="7" t="s">
        <v>5</v>
      </c>
      <c r="P149" s="7"/>
      <c r="Q149" s="7"/>
    </row>
    <row r="150" spans="1:17" x14ac:dyDescent="0.25">
      <c r="A150" s="1">
        <v>2963</v>
      </c>
      <c r="B150" s="2">
        <v>45547</v>
      </c>
      <c r="C150" s="3"/>
      <c r="D150" s="3"/>
      <c r="E150" s="4" t="s">
        <v>15</v>
      </c>
      <c r="F150" s="3"/>
      <c r="G150" s="3"/>
      <c r="H150" s="5"/>
      <c r="I150" s="5">
        <v>5</v>
      </c>
      <c r="J150" s="5"/>
      <c r="K150" s="6">
        <v>45551</v>
      </c>
      <c r="L150" s="5">
        <v>9</v>
      </c>
      <c r="M150" s="6">
        <v>45561</v>
      </c>
      <c r="N150" s="7"/>
      <c r="O150" s="7" t="s">
        <v>5</v>
      </c>
      <c r="P150" s="7"/>
      <c r="Q150" s="7"/>
    </row>
    <row r="151" spans="1:17" x14ac:dyDescent="0.25">
      <c r="A151" s="1">
        <v>3103</v>
      </c>
      <c r="B151" s="2">
        <v>45547</v>
      </c>
      <c r="C151" s="3"/>
      <c r="D151" s="3"/>
      <c r="E151" s="4" t="s">
        <v>15</v>
      </c>
      <c r="F151" s="3"/>
      <c r="G151" s="3"/>
      <c r="H151" s="5"/>
      <c r="I151" s="5">
        <v>5</v>
      </c>
      <c r="J151" s="5"/>
      <c r="K151" s="6">
        <v>45551</v>
      </c>
      <c r="L151" s="5">
        <v>9</v>
      </c>
      <c r="M151" s="6">
        <v>45561</v>
      </c>
      <c r="N151" s="7" t="s">
        <v>3</v>
      </c>
      <c r="O151" s="7"/>
      <c r="P151" s="7"/>
      <c r="Q151" s="7"/>
    </row>
    <row r="152" spans="1:17" x14ac:dyDescent="0.25">
      <c r="A152" s="1">
        <v>3390</v>
      </c>
      <c r="B152" s="2">
        <v>45547</v>
      </c>
      <c r="C152" s="3"/>
      <c r="D152" s="3"/>
      <c r="E152" s="4" t="s">
        <v>7</v>
      </c>
      <c r="F152" s="3"/>
      <c r="G152" s="3"/>
      <c r="H152" s="5"/>
      <c r="I152" s="5">
        <v>5</v>
      </c>
      <c r="J152" s="5"/>
      <c r="K152" s="6">
        <v>45551</v>
      </c>
      <c r="L152" s="5">
        <v>3</v>
      </c>
      <c r="M152" s="6">
        <v>45555</v>
      </c>
      <c r="N152" s="7"/>
      <c r="O152" s="7" t="s">
        <v>5</v>
      </c>
      <c r="P152" s="7"/>
      <c r="Q152" s="7"/>
    </row>
    <row r="153" spans="1:17" x14ac:dyDescent="0.25">
      <c r="A153" s="1">
        <v>1942</v>
      </c>
      <c r="B153" s="2">
        <v>45547</v>
      </c>
      <c r="C153" s="3"/>
      <c r="D153" s="3"/>
      <c r="E153" s="4" t="s">
        <v>7</v>
      </c>
      <c r="F153" s="3"/>
      <c r="G153" s="3"/>
      <c r="H153" s="5"/>
      <c r="I153" s="5">
        <v>5</v>
      </c>
      <c r="J153" s="5"/>
      <c r="K153" s="6">
        <v>45551</v>
      </c>
      <c r="L153" s="5">
        <v>3</v>
      </c>
      <c r="M153" s="6">
        <v>45555</v>
      </c>
      <c r="N153" s="7"/>
      <c r="O153" s="7" t="s">
        <v>5</v>
      </c>
      <c r="P153" s="7"/>
      <c r="Q153" s="7"/>
    </row>
    <row r="154" spans="1:17" x14ac:dyDescent="0.25">
      <c r="A154" s="1">
        <v>4385</v>
      </c>
      <c r="B154" s="2">
        <v>45547</v>
      </c>
      <c r="C154" s="3"/>
      <c r="D154" s="3"/>
      <c r="E154" s="4" t="s">
        <v>7</v>
      </c>
      <c r="F154" s="3"/>
      <c r="G154" s="3"/>
      <c r="H154" s="5"/>
      <c r="I154" s="5">
        <v>5</v>
      </c>
      <c r="J154" s="5"/>
      <c r="K154" s="6">
        <v>45551</v>
      </c>
      <c r="L154" s="5">
        <v>3</v>
      </c>
      <c r="M154" s="6">
        <v>45555</v>
      </c>
      <c r="N154" s="7"/>
      <c r="O154" s="7"/>
      <c r="P154" s="7"/>
      <c r="Q154" s="7" t="s">
        <v>4</v>
      </c>
    </row>
    <row r="155" spans="1:17" x14ac:dyDescent="0.25">
      <c r="A155" s="1">
        <v>1185</v>
      </c>
      <c r="B155" s="2">
        <v>45548</v>
      </c>
      <c r="C155" s="3"/>
      <c r="D155" s="3"/>
      <c r="E155" s="4" t="s">
        <v>7</v>
      </c>
      <c r="F155" s="3"/>
      <c r="G155" s="3"/>
      <c r="H155" s="5"/>
      <c r="I155" s="5">
        <v>5</v>
      </c>
      <c r="J155" s="5"/>
      <c r="K155" s="6">
        <v>45552</v>
      </c>
      <c r="L155" s="5">
        <v>3</v>
      </c>
      <c r="M155" s="6">
        <v>45556</v>
      </c>
      <c r="N155" s="7" t="s">
        <v>3</v>
      </c>
      <c r="O155" s="7"/>
      <c r="P155" s="7"/>
      <c r="Q155" s="7"/>
    </row>
    <row r="156" spans="1:17" x14ac:dyDescent="0.25">
      <c r="A156" s="1">
        <v>3428</v>
      </c>
      <c r="B156" s="2">
        <v>45548</v>
      </c>
      <c r="C156" s="3"/>
      <c r="D156" s="3"/>
      <c r="E156" s="4" t="s">
        <v>7</v>
      </c>
      <c r="F156" s="3"/>
      <c r="G156" s="3"/>
      <c r="H156" s="5"/>
      <c r="I156" s="5">
        <v>5</v>
      </c>
      <c r="J156" s="5"/>
      <c r="K156" s="6">
        <v>45552</v>
      </c>
      <c r="L156" s="5">
        <v>3</v>
      </c>
      <c r="M156" s="6">
        <v>45556</v>
      </c>
      <c r="N156" s="7"/>
      <c r="O156" s="7"/>
      <c r="P156" s="7" t="s">
        <v>1</v>
      </c>
      <c r="Q156" s="7"/>
    </row>
    <row r="157" spans="1:17" x14ac:dyDescent="0.25">
      <c r="A157" s="1">
        <v>3730</v>
      </c>
      <c r="B157" s="2">
        <v>45550</v>
      </c>
      <c r="C157" s="3"/>
      <c r="D157" s="3"/>
      <c r="E157" s="4" t="s">
        <v>7</v>
      </c>
      <c r="F157" s="3"/>
      <c r="G157" s="3"/>
      <c r="H157" s="5"/>
      <c r="I157" s="5">
        <v>5</v>
      </c>
      <c r="J157" s="5"/>
      <c r="K157" s="6">
        <v>45554</v>
      </c>
      <c r="L157" s="5">
        <v>3</v>
      </c>
      <c r="M157" s="6">
        <v>45558</v>
      </c>
      <c r="N157" s="7"/>
      <c r="O157" s="7"/>
      <c r="P157" s="7" t="s">
        <v>1</v>
      </c>
      <c r="Q157" s="7"/>
    </row>
    <row r="158" spans="1:17" x14ac:dyDescent="0.25">
      <c r="A158" s="1">
        <v>4298</v>
      </c>
      <c r="B158" s="2">
        <v>45551</v>
      </c>
      <c r="C158" s="3"/>
      <c r="D158" s="3"/>
      <c r="E158" s="4" t="s">
        <v>7</v>
      </c>
      <c r="F158" s="3"/>
      <c r="G158" s="3"/>
      <c r="H158" s="5"/>
      <c r="I158" s="5">
        <v>5</v>
      </c>
      <c r="J158" s="5"/>
      <c r="K158" s="6">
        <v>45555</v>
      </c>
      <c r="L158" s="5">
        <v>3</v>
      </c>
      <c r="M158" s="6">
        <v>45559</v>
      </c>
      <c r="N158" s="7" t="s">
        <v>3</v>
      </c>
      <c r="O158" s="7"/>
      <c r="P158" s="7" t="s">
        <v>1</v>
      </c>
      <c r="Q158" s="7"/>
    </row>
    <row r="159" spans="1:17" x14ac:dyDescent="0.25">
      <c r="A159" s="1">
        <v>3186</v>
      </c>
      <c r="B159" s="2">
        <v>45551</v>
      </c>
      <c r="C159" s="3"/>
      <c r="D159" s="3"/>
      <c r="E159" s="4" t="s">
        <v>7</v>
      </c>
      <c r="F159" s="3"/>
      <c r="G159" s="3"/>
      <c r="H159" s="5"/>
      <c r="I159" s="5">
        <v>5</v>
      </c>
      <c r="J159" s="5"/>
      <c r="K159" s="6">
        <v>45555</v>
      </c>
      <c r="L159" s="5">
        <v>3</v>
      </c>
      <c r="M159" s="6">
        <v>45559</v>
      </c>
      <c r="N159" s="7"/>
      <c r="O159" s="7"/>
      <c r="P159" s="7"/>
      <c r="Q159" s="7" t="s">
        <v>4</v>
      </c>
    </row>
    <row r="160" spans="1:17" x14ac:dyDescent="0.25">
      <c r="A160" s="1">
        <v>1185</v>
      </c>
      <c r="B160" s="2">
        <v>45551</v>
      </c>
      <c r="C160" s="3"/>
      <c r="D160" s="3"/>
      <c r="E160" s="4" t="s">
        <v>13</v>
      </c>
      <c r="F160" s="3"/>
      <c r="G160" s="3"/>
      <c r="H160" s="5"/>
      <c r="I160" s="5">
        <v>5</v>
      </c>
      <c r="J160" s="5"/>
      <c r="K160" s="6">
        <v>45555</v>
      </c>
      <c r="L160" s="5">
        <v>5</v>
      </c>
      <c r="M160" s="6">
        <v>45561</v>
      </c>
      <c r="N160" s="7" t="s">
        <v>3</v>
      </c>
      <c r="O160" s="7" t="s">
        <v>5</v>
      </c>
      <c r="P160" s="7"/>
      <c r="Q160" s="7"/>
    </row>
    <row r="161" spans="1:17" x14ac:dyDescent="0.25">
      <c r="A161" s="1">
        <v>2791</v>
      </c>
      <c r="B161" s="2">
        <v>45551</v>
      </c>
      <c r="C161" s="3"/>
      <c r="D161" s="3"/>
      <c r="E161" s="4" t="s">
        <v>13</v>
      </c>
      <c r="F161" s="3"/>
      <c r="G161" s="3"/>
      <c r="H161" s="5"/>
      <c r="I161" s="5">
        <v>5</v>
      </c>
      <c r="J161" s="5"/>
      <c r="K161" s="6">
        <v>45555</v>
      </c>
      <c r="L161" s="5">
        <v>5</v>
      </c>
      <c r="M161" s="6">
        <v>45561</v>
      </c>
      <c r="N161" s="7" t="s">
        <v>3</v>
      </c>
      <c r="O161" s="7"/>
      <c r="P161" s="7"/>
      <c r="Q161" s="7"/>
    </row>
    <row r="162" spans="1:17" x14ac:dyDescent="0.25">
      <c r="A162" s="1">
        <v>3656</v>
      </c>
      <c r="B162" s="2">
        <v>45551</v>
      </c>
      <c r="C162" s="3"/>
      <c r="D162" s="3"/>
      <c r="E162" s="4" t="s">
        <v>13</v>
      </c>
      <c r="F162" s="3"/>
      <c r="G162" s="3"/>
      <c r="H162" s="5"/>
      <c r="I162" s="5">
        <v>5</v>
      </c>
      <c r="J162" s="5"/>
      <c r="K162" s="6">
        <v>45555</v>
      </c>
      <c r="L162" s="5">
        <v>5</v>
      </c>
      <c r="M162" s="6">
        <v>45561</v>
      </c>
      <c r="N162" s="7"/>
      <c r="O162" s="7" t="s">
        <v>5</v>
      </c>
      <c r="P162" s="7" t="s">
        <v>1</v>
      </c>
      <c r="Q162" s="7"/>
    </row>
    <row r="163" spans="1:17" x14ac:dyDescent="0.25">
      <c r="A163" s="1">
        <v>3455</v>
      </c>
      <c r="B163" s="2">
        <v>45551</v>
      </c>
      <c r="C163" s="3"/>
      <c r="D163" s="3"/>
      <c r="E163" s="4" t="s">
        <v>13</v>
      </c>
      <c r="F163" s="3"/>
      <c r="G163" s="3"/>
      <c r="H163" s="5"/>
      <c r="I163" s="5">
        <v>5</v>
      </c>
      <c r="J163" s="5"/>
      <c r="K163" s="6">
        <v>45555</v>
      </c>
      <c r="L163" s="5">
        <v>5</v>
      </c>
      <c r="M163" s="6">
        <v>45561</v>
      </c>
      <c r="N163" s="7"/>
      <c r="O163" s="7"/>
      <c r="P163" s="7" t="s">
        <v>1</v>
      </c>
      <c r="Q163" s="7"/>
    </row>
    <row r="164" spans="1:17" x14ac:dyDescent="0.25">
      <c r="A164" s="1">
        <v>2821</v>
      </c>
      <c r="B164" s="2">
        <v>45551</v>
      </c>
      <c r="C164" s="3"/>
      <c r="D164" s="3"/>
      <c r="E164" s="4" t="s">
        <v>7</v>
      </c>
      <c r="F164" s="3"/>
      <c r="G164" s="3"/>
      <c r="H164" s="5"/>
      <c r="I164" s="5">
        <v>5</v>
      </c>
      <c r="J164" s="5"/>
      <c r="K164" s="6">
        <v>45555</v>
      </c>
      <c r="L164" s="5">
        <v>3</v>
      </c>
      <c r="M164" s="6">
        <v>45559</v>
      </c>
      <c r="N164" s="7"/>
      <c r="O164" s="7"/>
      <c r="P164" s="7"/>
      <c r="Q164" s="7" t="s">
        <v>4</v>
      </c>
    </row>
    <row r="165" spans="1:17" x14ac:dyDescent="0.25">
      <c r="A165" s="1">
        <v>3817</v>
      </c>
      <c r="B165" s="2">
        <v>45551</v>
      </c>
      <c r="C165" s="3"/>
      <c r="D165" s="3"/>
      <c r="E165" s="4" t="s">
        <v>7</v>
      </c>
      <c r="F165" s="3"/>
      <c r="G165" s="3"/>
      <c r="H165" s="5"/>
      <c r="I165" s="5">
        <v>5</v>
      </c>
      <c r="J165" s="5"/>
      <c r="K165" s="6">
        <v>45555</v>
      </c>
      <c r="L165" s="5">
        <v>3</v>
      </c>
      <c r="M165" s="6">
        <v>45559</v>
      </c>
      <c r="N165" s="7"/>
      <c r="O165" s="7"/>
      <c r="P165" s="7"/>
      <c r="Q165" s="7" t="s">
        <v>4</v>
      </c>
    </row>
    <row r="166" spans="1:17" x14ac:dyDescent="0.25">
      <c r="A166" s="1">
        <v>3155</v>
      </c>
      <c r="B166" s="2">
        <v>45552</v>
      </c>
      <c r="C166" s="3"/>
      <c r="D166" s="3"/>
      <c r="E166" s="4" t="s">
        <v>2</v>
      </c>
      <c r="F166" s="3"/>
      <c r="G166" s="3"/>
      <c r="H166" s="5"/>
      <c r="I166" s="5">
        <v>5</v>
      </c>
      <c r="J166" s="5"/>
      <c r="K166" s="6">
        <v>45556</v>
      </c>
      <c r="L166" s="5">
        <v>3</v>
      </c>
      <c r="M166" s="6">
        <v>45560</v>
      </c>
      <c r="N166" s="7"/>
      <c r="O166" s="7" t="s">
        <v>5</v>
      </c>
      <c r="P166" s="7"/>
      <c r="Q166" s="7" t="s">
        <v>4</v>
      </c>
    </row>
    <row r="167" spans="1:17" x14ac:dyDescent="0.25">
      <c r="A167" s="1">
        <v>2963</v>
      </c>
      <c r="B167" s="2">
        <v>45552</v>
      </c>
      <c r="C167" s="3"/>
      <c r="D167" s="3"/>
      <c r="E167" s="4" t="s">
        <v>2</v>
      </c>
      <c r="F167" s="3"/>
      <c r="G167" s="3"/>
      <c r="H167" s="5"/>
      <c r="I167" s="5">
        <v>5</v>
      </c>
      <c r="J167" s="5"/>
      <c r="K167" s="6">
        <v>45556</v>
      </c>
      <c r="L167" s="5">
        <v>3</v>
      </c>
      <c r="M167" s="6">
        <v>45560</v>
      </c>
      <c r="N167" s="7"/>
      <c r="O167" s="7" t="s">
        <v>5</v>
      </c>
      <c r="P167" s="7"/>
      <c r="Q167" s="7"/>
    </row>
    <row r="168" spans="1:17" x14ac:dyDescent="0.25">
      <c r="A168" s="1">
        <v>3324</v>
      </c>
      <c r="B168" s="2">
        <v>45552</v>
      </c>
      <c r="C168" s="3"/>
      <c r="D168" s="3"/>
      <c r="E168" s="4" t="s">
        <v>2</v>
      </c>
      <c r="F168" s="3"/>
      <c r="G168" s="3"/>
      <c r="H168" s="5"/>
      <c r="I168" s="5">
        <v>5</v>
      </c>
      <c r="J168" s="5"/>
      <c r="K168" s="6">
        <v>45556</v>
      </c>
      <c r="L168" s="5">
        <v>3</v>
      </c>
      <c r="M168" s="6">
        <v>45560</v>
      </c>
      <c r="N168" s="7"/>
      <c r="O168" s="7"/>
      <c r="P168" s="7" t="s">
        <v>1</v>
      </c>
      <c r="Q168" s="7" t="s">
        <v>4</v>
      </c>
    </row>
    <row r="169" spans="1:17" x14ac:dyDescent="0.25">
      <c r="A169" s="1">
        <v>3453</v>
      </c>
      <c r="B169" s="2">
        <v>45552</v>
      </c>
      <c r="C169" s="3"/>
      <c r="D169" s="3"/>
      <c r="E169" s="4" t="s">
        <v>17</v>
      </c>
      <c r="F169" s="3"/>
      <c r="G169" s="3"/>
      <c r="H169" s="5"/>
      <c r="I169" s="5">
        <v>3</v>
      </c>
      <c r="J169" s="5"/>
      <c r="K169" s="6">
        <v>45554</v>
      </c>
      <c r="L169" s="5">
        <v>6</v>
      </c>
      <c r="M169" s="6">
        <v>45561</v>
      </c>
      <c r="N169" s="7"/>
      <c r="O169" s="7"/>
      <c r="P169" s="7"/>
      <c r="Q169" s="7"/>
    </row>
    <row r="170" spans="1:17" x14ac:dyDescent="0.25">
      <c r="A170" s="1">
        <v>2745</v>
      </c>
      <c r="B170" s="2">
        <v>45552</v>
      </c>
      <c r="C170" s="3"/>
      <c r="D170" s="3"/>
      <c r="E170" s="4" t="s">
        <v>17</v>
      </c>
      <c r="F170" s="3"/>
      <c r="G170" s="3"/>
      <c r="H170" s="5"/>
      <c r="I170" s="5">
        <v>3</v>
      </c>
      <c r="J170" s="5"/>
      <c r="K170" s="6">
        <v>45554</v>
      </c>
      <c r="L170" s="5">
        <v>6</v>
      </c>
      <c r="M170" s="6">
        <v>45561</v>
      </c>
      <c r="N170" s="7" t="s">
        <v>3</v>
      </c>
      <c r="O170" s="7"/>
      <c r="P170" s="7"/>
      <c r="Q170" s="7"/>
    </row>
    <row r="171" spans="1:17" x14ac:dyDescent="0.25">
      <c r="A171" s="1">
        <v>3627</v>
      </c>
      <c r="B171" s="2">
        <v>45553</v>
      </c>
      <c r="C171" s="3"/>
      <c r="D171" s="3"/>
      <c r="E171" s="4" t="s">
        <v>7</v>
      </c>
      <c r="F171" s="3"/>
      <c r="G171" s="3"/>
      <c r="H171" s="5"/>
      <c r="I171" s="5">
        <v>7</v>
      </c>
      <c r="J171" s="5"/>
      <c r="K171" s="6">
        <v>45559</v>
      </c>
      <c r="L171" s="5">
        <v>3</v>
      </c>
      <c r="M171" s="6">
        <v>45563</v>
      </c>
      <c r="N171" s="7"/>
      <c r="O171" s="7" t="s">
        <v>5</v>
      </c>
      <c r="P171" s="7" t="s">
        <v>1</v>
      </c>
      <c r="Q171" s="7"/>
    </row>
    <row r="172" spans="1:17" x14ac:dyDescent="0.25">
      <c r="A172" s="1">
        <v>4402</v>
      </c>
      <c r="B172" s="2">
        <v>45553</v>
      </c>
      <c r="C172" s="3"/>
      <c r="D172" s="3"/>
      <c r="E172" s="4" t="s">
        <v>7</v>
      </c>
      <c r="F172" s="3"/>
      <c r="G172" s="3"/>
      <c r="H172" s="5"/>
      <c r="I172" s="5">
        <v>5</v>
      </c>
      <c r="J172" s="5"/>
      <c r="K172" s="6">
        <v>45557</v>
      </c>
      <c r="L172" s="5">
        <v>3</v>
      </c>
      <c r="M172" s="6">
        <v>45561</v>
      </c>
      <c r="N172" s="7"/>
      <c r="O172" s="7" t="s">
        <v>5</v>
      </c>
      <c r="P172" s="7"/>
      <c r="Q172" s="7"/>
    </row>
    <row r="173" spans="1:17" x14ac:dyDescent="0.25">
      <c r="A173" s="1">
        <v>3025</v>
      </c>
      <c r="B173" s="2">
        <v>45554</v>
      </c>
      <c r="C173" s="3"/>
      <c r="D173" s="3"/>
      <c r="E173" s="4" t="s">
        <v>7</v>
      </c>
      <c r="F173" s="3"/>
      <c r="G173" s="3"/>
      <c r="H173" s="5"/>
      <c r="I173" s="5">
        <v>5</v>
      </c>
      <c r="J173" s="5"/>
      <c r="K173" s="6">
        <v>45558</v>
      </c>
      <c r="L173" s="5">
        <v>3</v>
      </c>
      <c r="M173" s="6">
        <v>45562</v>
      </c>
      <c r="N173" s="7"/>
      <c r="O173" s="7" t="s">
        <v>5</v>
      </c>
      <c r="P173" s="7"/>
      <c r="Q173" s="7" t="s">
        <v>4</v>
      </c>
    </row>
    <row r="174" spans="1:17" x14ac:dyDescent="0.25">
      <c r="A174" s="1">
        <v>2278</v>
      </c>
      <c r="B174" s="2">
        <v>45554</v>
      </c>
      <c r="C174" s="3"/>
      <c r="D174" s="3"/>
      <c r="E174" s="4" t="s">
        <v>7</v>
      </c>
      <c r="F174" s="3"/>
      <c r="G174" s="3"/>
      <c r="H174" s="5"/>
      <c r="I174" s="5">
        <v>5</v>
      </c>
      <c r="J174" s="5"/>
      <c r="K174" s="6">
        <v>45558</v>
      </c>
      <c r="L174" s="5">
        <v>3</v>
      </c>
      <c r="M174" s="6">
        <v>45562</v>
      </c>
      <c r="N174" s="7"/>
      <c r="O174" s="7" t="s">
        <v>5</v>
      </c>
      <c r="P174" s="7"/>
      <c r="Q174" s="7"/>
    </row>
    <row r="175" spans="1:17" x14ac:dyDescent="0.25">
      <c r="A175" s="1">
        <v>2791</v>
      </c>
      <c r="B175" s="2">
        <v>45555</v>
      </c>
      <c r="C175" s="3"/>
      <c r="D175" s="3"/>
      <c r="E175" s="4" t="s">
        <v>15</v>
      </c>
      <c r="F175" s="3"/>
      <c r="G175" s="3"/>
      <c r="H175" s="5"/>
      <c r="I175" s="5">
        <v>5</v>
      </c>
      <c r="J175" s="5"/>
      <c r="K175" s="6">
        <v>45559</v>
      </c>
      <c r="L175" s="5">
        <v>3</v>
      </c>
      <c r="M175" s="6">
        <v>45569</v>
      </c>
      <c r="N175" s="7" t="s">
        <v>3</v>
      </c>
      <c r="O175" s="7"/>
      <c r="P175" s="7"/>
      <c r="Q175" s="7"/>
    </row>
    <row r="176" spans="1:17" x14ac:dyDescent="0.25">
      <c r="A176" s="1">
        <v>4257</v>
      </c>
      <c r="B176" s="2">
        <v>45555</v>
      </c>
      <c r="C176" s="3"/>
      <c r="D176" s="3"/>
      <c r="E176" s="4" t="s">
        <v>7</v>
      </c>
      <c r="F176" s="3"/>
      <c r="G176" s="3"/>
      <c r="H176" s="5"/>
      <c r="I176" s="5">
        <v>5</v>
      </c>
      <c r="J176" s="5"/>
      <c r="K176" s="6">
        <v>45559</v>
      </c>
      <c r="L176" s="5">
        <v>3</v>
      </c>
      <c r="M176" s="6">
        <v>45563</v>
      </c>
      <c r="N176" s="7"/>
      <c r="O176" s="7" t="s">
        <v>5</v>
      </c>
      <c r="P176" s="7" t="s">
        <v>1</v>
      </c>
      <c r="Q176" s="7" t="s">
        <v>4</v>
      </c>
    </row>
    <row r="177" spans="1:17" x14ac:dyDescent="0.25">
      <c r="A177" s="1">
        <v>3110</v>
      </c>
      <c r="B177" s="2">
        <v>45556</v>
      </c>
      <c r="C177" s="3"/>
      <c r="D177" s="3"/>
      <c r="E177" s="4" t="s">
        <v>7</v>
      </c>
      <c r="F177" s="3"/>
      <c r="G177" s="3"/>
      <c r="H177" s="5"/>
      <c r="I177" s="5">
        <v>5</v>
      </c>
      <c r="J177" s="5"/>
      <c r="K177" s="6">
        <v>45560</v>
      </c>
      <c r="L177" s="5">
        <v>3</v>
      </c>
      <c r="M177" s="6">
        <v>45564</v>
      </c>
      <c r="N177" s="7"/>
      <c r="O177" s="7" t="s">
        <v>5</v>
      </c>
      <c r="P177" s="7"/>
      <c r="Q177" s="7"/>
    </row>
    <row r="178" spans="1:17" x14ac:dyDescent="0.25">
      <c r="A178" s="1">
        <v>1749</v>
      </c>
      <c r="B178" s="2">
        <v>45556</v>
      </c>
      <c r="C178" s="3"/>
      <c r="D178" s="3"/>
      <c r="E178" s="4" t="s">
        <v>7</v>
      </c>
      <c r="F178" s="3"/>
      <c r="G178" s="3"/>
      <c r="H178" s="5"/>
      <c r="I178" s="5">
        <v>5</v>
      </c>
      <c r="J178" s="5"/>
      <c r="K178" s="6">
        <v>45560</v>
      </c>
      <c r="L178" s="5">
        <v>3</v>
      </c>
      <c r="M178" s="6">
        <v>45564</v>
      </c>
      <c r="N178" s="7" t="s">
        <v>3</v>
      </c>
      <c r="O178" s="7"/>
      <c r="P178" s="7" t="s">
        <v>1</v>
      </c>
      <c r="Q178" s="7"/>
    </row>
    <row r="179" spans="1:17" x14ac:dyDescent="0.25">
      <c r="A179" s="1">
        <v>1922</v>
      </c>
      <c r="B179" s="2">
        <v>45557</v>
      </c>
      <c r="C179" s="3"/>
      <c r="D179" s="3"/>
      <c r="E179" s="4" t="s">
        <v>7</v>
      </c>
      <c r="F179" s="3"/>
      <c r="G179" s="3"/>
      <c r="H179" s="5"/>
      <c r="I179" s="5">
        <v>5</v>
      </c>
      <c r="J179" s="5"/>
      <c r="K179" s="6">
        <v>45561</v>
      </c>
      <c r="L179" s="5">
        <v>3</v>
      </c>
      <c r="M179" s="6">
        <v>45565</v>
      </c>
      <c r="N179" s="7"/>
      <c r="O179" s="7" t="s">
        <v>5</v>
      </c>
      <c r="P179" s="7"/>
      <c r="Q179" s="7" t="s">
        <v>4</v>
      </c>
    </row>
    <row r="180" spans="1:17" x14ac:dyDescent="0.25">
      <c r="A180" s="1">
        <v>2584</v>
      </c>
      <c r="B180" s="2">
        <v>45557</v>
      </c>
      <c r="C180" s="3"/>
      <c r="D180" s="3"/>
      <c r="E180" s="4" t="s">
        <v>7</v>
      </c>
      <c r="F180" s="3"/>
      <c r="G180" s="3"/>
      <c r="H180" s="5"/>
      <c r="I180" s="5">
        <v>5</v>
      </c>
      <c r="J180" s="5"/>
      <c r="K180" s="6">
        <v>45561</v>
      </c>
      <c r="L180" s="5">
        <v>3</v>
      </c>
      <c r="M180" s="6">
        <v>45565</v>
      </c>
      <c r="N180" s="7" t="s">
        <v>3</v>
      </c>
      <c r="O180" s="7"/>
      <c r="P180" s="7"/>
      <c r="Q180" s="7"/>
    </row>
    <row r="181" spans="1:17" x14ac:dyDescent="0.25">
      <c r="A181" s="1">
        <v>2797</v>
      </c>
      <c r="B181" s="2">
        <v>45558</v>
      </c>
      <c r="C181" s="3"/>
      <c r="D181" s="3"/>
      <c r="E181" s="4" t="s">
        <v>13</v>
      </c>
      <c r="F181" s="3"/>
      <c r="G181" s="3"/>
      <c r="H181" s="5"/>
      <c r="I181" s="5">
        <v>5</v>
      </c>
      <c r="J181" s="5"/>
      <c r="K181" s="6">
        <v>45562</v>
      </c>
      <c r="L181" s="5">
        <v>5</v>
      </c>
      <c r="M181" s="6">
        <f>K181+L181+1</f>
        <v>45568</v>
      </c>
      <c r="N181" s="7"/>
      <c r="O181" s="7"/>
      <c r="P181" s="7" t="s">
        <v>1</v>
      </c>
      <c r="Q181" s="7"/>
    </row>
    <row r="182" spans="1:17" x14ac:dyDescent="0.25">
      <c r="A182" s="1">
        <v>2882</v>
      </c>
      <c r="B182" s="2">
        <v>45558</v>
      </c>
      <c r="C182" s="3"/>
      <c r="D182" s="3"/>
      <c r="E182" s="4" t="s">
        <v>7</v>
      </c>
      <c r="F182" s="3"/>
      <c r="G182" s="3"/>
      <c r="H182" s="5"/>
      <c r="I182" s="5">
        <v>5</v>
      </c>
      <c r="J182" s="5"/>
      <c r="K182" s="6">
        <v>45562</v>
      </c>
      <c r="L182" s="5">
        <v>3</v>
      </c>
      <c r="M182" s="6">
        <f t="shared" ref="M182:M192" si="0">K182+L182+1</f>
        <v>45566</v>
      </c>
      <c r="N182" s="7"/>
      <c r="O182" s="7"/>
      <c r="P182" s="7" t="s">
        <v>1</v>
      </c>
      <c r="Q182" s="7"/>
    </row>
    <row r="183" spans="1:17" x14ac:dyDescent="0.25">
      <c r="A183" s="1">
        <v>2636</v>
      </c>
      <c r="B183" s="2">
        <v>45559</v>
      </c>
      <c r="C183" s="3"/>
      <c r="D183" s="3"/>
      <c r="E183" s="4" t="s">
        <v>7</v>
      </c>
      <c r="F183" s="3"/>
      <c r="G183" s="3"/>
      <c r="H183" s="5"/>
      <c r="I183" s="5">
        <v>5</v>
      </c>
      <c r="J183" s="5"/>
      <c r="K183" s="6">
        <v>45563</v>
      </c>
      <c r="L183" s="5">
        <v>3</v>
      </c>
      <c r="M183" s="6">
        <f t="shared" si="0"/>
        <v>45567</v>
      </c>
      <c r="N183" s="7"/>
      <c r="O183" s="7"/>
      <c r="P183" s="7" t="s">
        <v>1</v>
      </c>
      <c r="Q183" s="7"/>
    </row>
    <row r="184" spans="1:17" x14ac:dyDescent="0.25">
      <c r="A184" s="1">
        <v>3206</v>
      </c>
      <c r="B184" s="2">
        <v>45559</v>
      </c>
      <c r="C184" s="3"/>
      <c r="D184" s="3"/>
      <c r="E184" s="4" t="s">
        <v>7</v>
      </c>
      <c r="F184" s="3"/>
      <c r="G184" s="3"/>
      <c r="H184" s="5"/>
      <c r="I184" s="5">
        <v>5</v>
      </c>
      <c r="J184" s="5"/>
      <c r="K184" s="6">
        <v>45563</v>
      </c>
      <c r="L184" s="5">
        <v>3</v>
      </c>
      <c r="M184" s="6">
        <f t="shared" si="0"/>
        <v>45567</v>
      </c>
      <c r="N184" s="7"/>
      <c r="O184" s="7" t="s">
        <v>5</v>
      </c>
      <c r="P184" s="7"/>
      <c r="Q184" s="7"/>
    </row>
    <row r="185" spans="1:17" x14ac:dyDescent="0.25">
      <c r="A185" s="1">
        <v>3186</v>
      </c>
      <c r="B185" s="2">
        <v>45559</v>
      </c>
      <c r="C185" s="3"/>
      <c r="D185" s="3"/>
      <c r="E185" s="4" t="s">
        <v>6</v>
      </c>
      <c r="F185" s="3"/>
      <c r="G185" s="3"/>
      <c r="H185" s="5"/>
      <c r="I185" s="5">
        <v>5</v>
      </c>
      <c r="J185" s="5"/>
      <c r="K185" s="6">
        <f>B185+I185</f>
        <v>45564</v>
      </c>
      <c r="L185" s="5">
        <v>5</v>
      </c>
      <c r="M185" s="6">
        <f t="shared" si="0"/>
        <v>45570</v>
      </c>
      <c r="N185" s="7"/>
      <c r="O185" s="7"/>
      <c r="P185" s="7"/>
      <c r="Q185" s="7" t="s">
        <v>4</v>
      </c>
    </row>
    <row r="186" spans="1:17" x14ac:dyDescent="0.25">
      <c r="A186" s="1">
        <v>3455</v>
      </c>
      <c r="B186" s="2">
        <v>45559</v>
      </c>
      <c r="C186" s="3"/>
      <c r="D186" s="3"/>
      <c r="E186" s="4" t="s">
        <v>15</v>
      </c>
      <c r="F186" s="3"/>
      <c r="G186" s="3"/>
      <c r="H186" s="5"/>
      <c r="I186" s="5">
        <v>5</v>
      </c>
      <c r="J186" s="5"/>
      <c r="K186" s="6">
        <f t="shared" ref="K186:K249" si="1">B186+I186</f>
        <v>45564</v>
      </c>
      <c r="L186" s="5">
        <v>9</v>
      </c>
      <c r="M186" s="6">
        <f t="shared" si="0"/>
        <v>45574</v>
      </c>
      <c r="N186" s="7"/>
      <c r="O186" s="7"/>
      <c r="P186" s="7" t="s">
        <v>1</v>
      </c>
      <c r="Q186" s="7"/>
    </row>
    <row r="187" spans="1:17" x14ac:dyDescent="0.25">
      <c r="A187" s="1">
        <v>3627</v>
      </c>
      <c r="B187" s="2">
        <v>45559</v>
      </c>
      <c r="C187" s="3"/>
      <c r="D187" s="3"/>
      <c r="E187" s="4" t="s">
        <v>15</v>
      </c>
      <c r="F187" s="3"/>
      <c r="G187" s="3"/>
      <c r="H187" s="5"/>
      <c r="I187" s="5">
        <v>5</v>
      </c>
      <c r="J187" s="5"/>
      <c r="K187" s="6">
        <f t="shared" si="1"/>
        <v>45564</v>
      </c>
      <c r="L187" s="5">
        <v>9</v>
      </c>
      <c r="M187" s="6">
        <f t="shared" si="0"/>
        <v>45574</v>
      </c>
      <c r="N187" s="7"/>
      <c r="O187" s="7" t="s">
        <v>5</v>
      </c>
      <c r="P187" s="7"/>
      <c r="Q187" s="7"/>
    </row>
    <row r="188" spans="1:17" x14ac:dyDescent="0.25">
      <c r="A188" s="1">
        <v>2821</v>
      </c>
      <c r="B188" s="2">
        <v>45560</v>
      </c>
      <c r="C188" s="3"/>
      <c r="D188" s="3"/>
      <c r="E188" s="4" t="s">
        <v>2</v>
      </c>
      <c r="F188" s="3"/>
      <c r="G188" s="3"/>
      <c r="H188" s="5"/>
      <c r="I188" s="5">
        <v>5</v>
      </c>
      <c r="J188" s="5"/>
      <c r="K188" s="6">
        <f t="shared" si="1"/>
        <v>45565</v>
      </c>
      <c r="L188" s="5">
        <v>3</v>
      </c>
      <c r="M188" s="6">
        <f t="shared" si="0"/>
        <v>45569</v>
      </c>
      <c r="N188" s="7"/>
      <c r="O188" s="7"/>
      <c r="P188" s="7"/>
      <c r="Q188" s="7" t="s">
        <v>4</v>
      </c>
    </row>
    <row r="189" spans="1:17" x14ac:dyDescent="0.25">
      <c r="A189" s="1">
        <v>2218</v>
      </c>
      <c r="B189" s="2">
        <v>45561</v>
      </c>
      <c r="C189" s="3"/>
      <c r="D189" s="3"/>
      <c r="E189" s="4" t="s">
        <v>7</v>
      </c>
      <c r="F189" s="3"/>
      <c r="G189" s="3"/>
      <c r="H189" s="5"/>
      <c r="I189" s="5">
        <v>5</v>
      </c>
      <c r="J189" s="5"/>
      <c r="K189" s="6">
        <f t="shared" si="1"/>
        <v>45566</v>
      </c>
      <c r="L189" s="5">
        <v>3</v>
      </c>
      <c r="M189" s="6">
        <f t="shared" si="0"/>
        <v>45570</v>
      </c>
      <c r="N189" s="7" t="s">
        <v>3</v>
      </c>
      <c r="O189" s="7"/>
      <c r="P189" s="7" t="s">
        <v>1</v>
      </c>
      <c r="Q189" s="7"/>
    </row>
    <row r="190" spans="1:17" x14ac:dyDescent="0.25">
      <c r="A190" s="1">
        <v>2960</v>
      </c>
      <c r="B190" s="2">
        <v>45561</v>
      </c>
      <c r="C190" s="3"/>
      <c r="D190" s="3"/>
      <c r="E190" s="4" t="s">
        <v>7</v>
      </c>
      <c r="F190" s="3"/>
      <c r="G190" s="3"/>
      <c r="H190" s="5"/>
      <c r="I190" s="5">
        <v>5</v>
      </c>
      <c r="J190" s="5"/>
      <c r="K190" s="6">
        <f t="shared" si="1"/>
        <v>45566</v>
      </c>
      <c r="L190" s="5">
        <v>3</v>
      </c>
      <c r="M190" s="6">
        <f t="shared" si="0"/>
        <v>45570</v>
      </c>
      <c r="N190" s="7"/>
      <c r="O190" s="7" t="s">
        <v>5</v>
      </c>
      <c r="P190" s="7"/>
      <c r="Q190" s="7"/>
    </row>
    <row r="191" spans="1:17" x14ac:dyDescent="0.25">
      <c r="A191" s="1">
        <v>3181</v>
      </c>
      <c r="B191" s="2">
        <v>45562</v>
      </c>
      <c r="C191" s="3"/>
      <c r="D191" s="3"/>
      <c r="E191" s="4" t="s">
        <v>6</v>
      </c>
      <c r="F191" s="3"/>
      <c r="G191" s="3"/>
      <c r="H191" s="5"/>
      <c r="I191" s="5">
        <v>5</v>
      </c>
      <c r="J191" s="5"/>
      <c r="K191" s="6">
        <f>B191+I191</f>
        <v>45567</v>
      </c>
      <c r="L191" s="5">
        <v>5</v>
      </c>
      <c r="M191" s="6">
        <f t="shared" si="0"/>
        <v>45573</v>
      </c>
      <c r="N191" s="7" t="s">
        <v>3</v>
      </c>
      <c r="O191" s="7" t="s">
        <v>5</v>
      </c>
      <c r="P191" s="7"/>
      <c r="Q191" s="7"/>
    </row>
    <row r="192" spans="1:17" x14ac:dyDescent="0.25">
      <c r="A192" s="1">
        <v>2229</v>
      </c>
      <c r="B192" s="2">
        <v>45563</v>
      </c>
      <c r="C192" s="3"/>
      <c r="D192" s="3"/>
      <c r="E192" s="4" t="s">
        <v>7</v>
      </c>
      <c r="F192" s="3"/>
      <c r="G192" s="3"/>
      <c r="H192" s="5"/>
      <c r="I192" s="5">
        <v>5</v>
      </c>
      <c r="J192" s="5"/>
      <c r="K192" s="6">
        <f t="shared" si="1"/>
        <v>45568</v>
      </c>
      <c r="L192" s="5">
        <v>3</v>
      </c>
      <c r="M192" s="6">
        <f t="shared" si="0"/>
        <v>45572</v>
      </c>
      <c r="N192" s="7" t="s">
        <v>3</v>
      </c>
      <c r="O192" s="7"/>
      <c r="P192" s="7"/>
      <c r="Q192" s="7"/>
    </row>
    <row r="193" spans="1:17" x14ac:dyDescent="0.25">
      <c r="A193" s="1">
        <v>3829</v>
      </c>
      <c r="B193" s="2">
        <v>45564</v>
      </c>
      <c r="C193" s="3"/>
      <c r="D193" s="3"/>
      <c r="E193" s="4" t="s">
        <v>7</v>
      </c>
      <c r="F193" s="3"/>
      <c r="G193" s="3"/>
      <c r="H193" s="5"/>
      <c r="I193" s="5">
        <v>5</v>
      </c>
      <c r="J193" s="5"/>
      <c r="K193" s="6">
        <f t="shared" si="1"/>
        <v>45569</v>
      </c>
      <c r="L193" s="5">
        <v>3</v>
      </c>
      <c r="M193" s="6">
        <f>K193+L193</f>
        <v>45572</v>
      </c>
      <c r="N193" s="7" t="s">
        <v>3</v>
      </c>
      <c r="O193" s="7"/>
      <c r="P193" s="7"/>
      <c r="Q193" s="7"/>
    </row>
    <row r="194" spans="1:17" x14ac:dyDescent="0.25">
      <c r="A194" s="1">
        <v>2882</v>
      </c>
      <c r="B194" s="2">
        <v>45564</v>
      </c>
      <c r="C194" s="3"/>
      <c r="D194" s="3"/>
      <c r="E194" s="4" t="s">
        <v>2</v>
      </c>
      <c r="F194" s="3"/>
      <c r="G194" s="3"/>
      <c r="H194" s="5"/>
      <c r="I194" s="5">
        <v>5</v>
      </c>
      <c r="J194" s="5"/>
      <c r="K194" s="6">
        <f t="shared" si="1"/>
        <v>45569</v>
      </c>
      <c r="L194" s="5">
        <v>3</v>
      </c>
      <c r="M194" s="6">
        <f t="shared" ref="M194:M256" si="2">K194+L194</f>
        <v>45572</v>
      </c>
      <c r="N194" s="7"/>
      <c r="O194" s="7"/>
      <c r="P194" s="7" t="s">
        <v>1</v>
      </c>
      <c r="Q194" s="7"/>
    </row>
    <row r="195" spans="1:17" x14ac:dyDescent="0.25">
      <c r="A195" s="1">
        <v>2636</v>
      </c>
      <c r="B195" s="2">
        <v>45564</v>
      </c>
      <c r="C195" s="3"/>
      <c r="D195" s="3"/>
      <c r="E195" s="4" t="s">
        <v>2</v>
      </c>
      <c r="F195" s="3"/>
      <c r="G195" s="3"/>
      <c r="H195" s="5"/>
      <c r="I195" s="5">
        <v>5</v>
      </c>
      <c r="J195" s="5"/>
      <c r="K195" s="6">
        <f t="shared" si="1"/>
        <v>45569</v>
      </c>
      <c r="L195" s="5">
        <v>3</v>
      </c>
      <c r="M195" s="6">
        <f t="shared" si="2"/>
        <v>45572</v>
      </c>
      <c r="N195" s="7"/>
      <c r="O195" s="7"/>
      <c r="P195" s="7" t="s">
        <v>1</v>
      </c>
      <c r="Q195" s="7"/>
    </row>
    <row r="196" spans="1:17" x14ac:dyDescent="0.25">
      <c r="A196" s="1">
        <v>4369</v>
      </c>
      <c r="B196" s="2">
        <v>45564</v>
      </c>
      <c r="C196" s="3"/>
      <c r="D196" s="3"/>
      <c r="E196" s="4" t="s">
        <v>7</v>
      </c>
      <c r="F196" s="3"/>
      <c r="G196" s="3"/>
      <c r="H196" s="5"/>
      <c r="I196" s="5">
        <v>5</v>
      </c>
      <c r="J196" s="5"/>
      <c r="K196" s="6">
        <f t="shared" si="1"/>
        <v>45569</v>
      </c>
      <c r="L196" s="5">
        <v>3</v>
      </c>
      <c r="M196" s="6">
        <f t="shared" si="2"/>
        <v>45572</v>
      </c>
      <c r="N196" s="7"/>
      <c r="O196" s="7"/>
      <c r="P196" s="7"/>
      <c r="Q196" s="7" t="s">
        <v>4</v>
      </c>
    </row>
    <row r="197" spans="1:17" x14ac:dyDescent="0.25">
      <c r="A197" s="1">
        <v>3420</v>
      </c>
      <c r="B197" s="2">
        <v>45565</v>
      </c>
      <c r="C197" s="3"/>
      <c r="D197" s="3"/>
      <c r="E197" s="4" t="s">
        <v>7</v>
      </c>
      <c r="F197" s="3"/>
      <c r="G197" s="3"/>
      <c r="H197" s="5"/>
      <c r="I197" s="5">
        <v>5</v>
      </c>
      <c r="J197" s="5"/>
      <c r="K197" s="6">
        <f t="shared" si="1"/>
        <v>45570</v>
      </c>
      <c r="L197" s="5">
        <v>3</v>
      </c>
      <c r="M197" s="6">
        <f t="shared" si="2"/>
        <v>45573</v>
      </c>
      <c r="N197" s="7"/>
      <c r="O197" s="7" t="s">
        <v>5</v>
      </c>
      <c r="P197" s="7"/>
      <c r="Q197" s="7"/>
    </row>
    <row r="198" spans="1:17" x14ac:dyDescent="0.25">
      <c r="A198" s="1">
        <v>4458</v>
      </c>
      <c r="B198" s="2">
        <v>45568</v>
      </c>
      <c r="C198" s="3"/>
      <c r="D198" s="3"/>
      <c r="E198" s="4" t="s">
        <v>18</v>
      </c>
      <c r="F198" s="3"/>
      <c r="G198" s="3"/>
      <c r="H198" s="5"/>
      <c r="I198" s="5">
        <v>7</v>
      </c>
      <c r="J198" s="5"/>
      <c r="K198" s="6">
        <f t="shared" si="1"/>
        <v>45575</v>
      </c>
      <c r="L198" s="5">
        <v>5</v>
      </c>
      <c r="M198" s="6">
        <f t="shared" si="2"/>
        <v>45580</v>
      </c>
      <c r="N198" s="7"/>
      <c r="O198" s="7"/>
      <c r="P198" s="7"/>
      <c r="Q198" s="7" t="s">
        <v>4</v>
      </c>
    </row>
    <row r="199" spans="1:17" x14ac:dyDescent="0.25">
      <c r="A199" s="1">
        <v>2583</v>
      </c>
      <c r="B199" s="2">
        <v>45568</v>
      </c>
      <c r="C199" s="3"/>
      <c r="D199" s="3"/>
      <c r="E199" s="4" t="s">
        <v>7</v>
      </c>
      <c r="F199" s="3"/>
      <c r="G199" s="3"/>
      <c r="H199" s="5"/>
      <c r="I199" s="5">
        <v>5</v>
      </c>
      <c r="J199" s="5"/>
      <c r="K199" s="6">
        <f t="shared" si="1"/>
        <v>45573</v>
      </c>
      <c r="L199" s="5">
        <v>3</v>
      </c>
      <c r="M199" s="6">
        <f t="shared" si="2"/>
        <v>45576</v>
      </c>
      <c r="N199" s="7" t="s">
        <v>3</v>
      </c>
      <c r="O199" s="7"/>
      <c r="P199" s="7"/>
      <c r="Q199" s="7"/>
    </row>
    <row r="200" spans="1:17" x14ac:dyDescent="0.25">
      <c r="A200" s="1">
        <v>3012</v>
      </c>
      <c r="B200" s="2">
        <v>45568</v>
      </c>
      <c r="C200" s="3"/>
      <c r="D200" s="3"/>
      <c r="E200" s="4" t="s">
        <v>6</v>
      </c>
      <c r="F200" s="3"/>
      <c r="G200" s="3"/>
      <c r="H200" s="5"/>
      <c r="I200" s="5">
        <v>7</v>
      </c>
      <c r="J200" s="5"/>
      <c r="K200" s="6">
        <f>B200+I200</f>
        <v>45575</v>
      </c>
      <c r="L200" s="5">
        <v>5</v>
      </c>
      <c r="M200" s="6">
        <f t="shared" si="2"/>
        <v>45580</v>
      </c>
      <c r="N200" s="7"/>
      <c r="O200" s="7" t="s">
        <v>5</v>
      </c>
      <c r="P200" s="7" t="s">
        <v>1</v>
      </c>
      <c r="Q200" s="7"/>
    </row>
    <row r="201" spans="1:17" x14ac:dyDescent="0.25">
      <c r="A201" s="1">
        <v>2315</v>
      </c>
      <c r="B201" s="2">
        <v>45568</v>
      </c>
      <c r="C201" s="3"/>
      <c r="D201" s="3"/>
      <c r="E201" s="4" t="s">
        <v>6</v>
      </c>
      <c r="F201" s="3"/>
      <c r="G201" s="3"/>
      <c r="H201" s="5"/>
      <c r="I201" s="5">
        <v>7</v>
      </c>
      <c r="J201" s="5"/>
      <c r="K201" s="6">
        <f t="shared" si="1"/>
        <v>45575</v>
      </c>
      <c r="L201" s="5">
        <v>5</v>
      </c>
      <c r="M201" s="6">
        <f t="shared" si="2"/>
        <v>45580</v>
      </c>
      <c r="N201" s="7" t="s">
        <v>3</v>
      </c>
      <c r="O201" s="7" t="s">
        <v>5</v>
      </c>
      <c r="P201" s="7"/>
      <c r="Q201" s="7"/>
    </row>
    <row r="202" spans="1:17" x14ac:dyDescent="0.25">
      <c r="A202" s="1">
        <v>3074</v>
      </c>
      <c r="B202" s="2">
        <v>45568</v>
      </c>
      <c r="C202" s="3"/>
      <c r="D202" s="3"/>
      <c r="E202" s="4" t="s">
        <v>6</v>
      </c>
      <c r="F202" s="3"/>
      <c r="G202" s="3"/>
      <c r="H202" s="5"/>
      <c r="I202" s="5">
        <v>7</v>
      </c>
      <c r="J202" s="5"/>
      <c r="K202" s="6">
        <f t="shared" si="1"/>
        <v>45575</v>
      </c>
      <c r="L202" s="5">
        <v>5</v>
      </c>
      <c r="M202" s="6">
        <f t="shared" si="2"/>
        <v>45580</v>
      </c>
      <c r="N202" s="7"/>
      <c r="O202" s="7" t="s">
        <v>5</v>
      </c>
      <c r="P202" s="7"/>
      <c r="Q202" s="7"/>
    </row>
    <row r="203" spans="1:17" x14ac:dyDescent="0.25">
      <c r="A203" s="1">
        <v>186</v>
      </c>
      <c r="B203" s="2">
        <v>45568</v>
      </c>
      <c r="C203" s="3"/>
      <c r="D203" s="3"/>
      <c r="E203" s="4" t="s">
        <v>6</v>
      </c>
      <c r="F203" s="3"/>
      <c r="G203" s="3"/>
      <c r="H203" s="5"/>
      <c r="I203" s="5">
        <v>7</v>
      </c>
      <c r="J203" s="5"/>
      <c r="K203" s="6">
        <f t="shared" si="1"/>
        <v>45575</v>
      </c>
      <c r="L203" s="5">
        <v>5</v>
      </c>
      <c r="M203" s="6">
        <f t="shared" si="2"/>
        <v>45580</v>
      </c>
      <c r="N203" s="7" t="s">
        <v>3</v>
      </c>
      <c r="O203" s="7" t="s">
        <v>5</v>
      </c>
      <c r="P203" s="7"/>
      <c r="Q203" s="7" t="s">
        <v>4</v>
      </c>
    </row>
    <row r="204" spans="1:17" x14ac:dyDescent="0.25">
      <c r="A204" s="1">
        <v>2696</v>
      </c>
      <c r="B204" s="2">
        <v>45568</v>
      </c>
      <c r="C204" s="3"/>
      <c r="D204" s="3"/>
      <c r="E204" s="4" t="s">
        <v>6</v>
      </c>
      <c r="F204" s="3"/>
      <c r="G204" s="3"/>
      <c r="H204" s="5"/>
      <c r="I204" s="5">
        <v>7</v>
      </c>
      <c r="J204" s="5"/>
      <c r="K204" s="6">
        <f t="shared" si="1"/>
        <v>45575</v>
      </c>
      <c r="L204" s="5">
        <v>5</v>
      </c>
      <c r="M204" s="6">
        <f t="shared" si="2"/>
        <v>45580</v>
      </c>
      <c r="N204" s="7"/>
      <c r="O204" s="7"/>
      <c r="P204" s="7"/>
      <c r="Q204" s="7" t="s">
        <v>4</v>
      </c>
    </row>
    <row r="205" spans="1:17" x14ac:dyDescent="0.25">
      <c r="A205" s="1">
        <v>3720</v>
      </c>
      <c r="B205" s="2">
        <v>45568</v>
      </c>
      <c r="C205" s="3"/>
      <c r="D205" s="3"/>
      <c r="E205" s="4" t="s">
        <v>6</v>
      </c>
      <c r="F205" s="3"/>
      <c r="G205" s="3"/>
      <c r="H205" s="5"/>
      <c r="I205" s="5">
        <v>7</v>
      </c>
      <c r="J205" s="5"/>
      <c r="K205" s="6">
        <f t="shared" si="1"/>
        <v>45575</v>
      </c>
      <c r="L205" s="5">
        <v>5</v>
      </c>
      <c r="M205" s="6">
        <f t="shared" si="2"/>
        <v>45580</v>
      </c>
      <c r="N205" s="7"/>
      <c r="O205" s="7" t="s">
        <v>5</v>
      </c>
      <c r="P205" s="7"/>
      <c r="Q205" s="7" t="s">
        <v>4</v>
      </c>
    </row>
    <row r="206" spans="1:17" x14ac:dyDescent="0.25">
      <c r="A206" s="1">
        <v>2960</v>
      </c>
      <c r="B206" s="2">
        <v>45568</v>
      </c>
      <c r="C206" s="3"/>
      <c r="D206" s="3"/>
      <c r="E206" s="4" t="s">
        <v>6</v>
      </c>
      <c r="F206" s="3"/>
      <c r="G206" s="3"/>
      <c r="H206" s="5"/>
      <c r="I206" s="5">
        <v>7</v>
      </c>
      <c r="J206" s="5"/>
      <c r="K206" s="6">
        <f t="shared" si="1"/>
        <v>45575</v>
      </c>
      <c r="L206" s="5">
        <v>5</v>
      </c>
      <c r="M206" s="6">
        <f t="shared" si="2"/>
        <v>45580</v>
      </c>
      <c r="N206" s="7"/>
      <c r="O206" s="7"/>
      <c r="P206" s="7"/>
      <c r="Q206" s="7" t="s">
        <v>4</v>
      </c>
    </row>
    <row r="207" spans="1:17" x14ac:dyDescent="0.25">
      <c r="A207" s="1">
        <v>3627</v>
      </c>
      <c r="B207" s="2">
        <v>45568</v>
      </c>
      <c r="C207" s="3"/>
      <c r="D207" s="3"/>
      <c r="E207" s="4" t="s">
        <v>2</v>
      </c>
      <c r="F207" s="3"/>
      <c r="G207" s="3"/>
      <c r="H207" s="5"/>
      <c r="I207" s="5">
        <v>5</v>
      </c>
      <c r="J207" s="5"/>
      <c r="K207" s="6">
        <f t="shared" si="1"/>
        <v>45573</v>
      </c>
      <c r="L207" s="5">
        <v>3</v>
      </c>
      <c r="M207" s="6">
        <f t="shared" si="2"/>
        <v>45576</v>
      </c>
      <c r="N207" s="7"/>
      <c r="O207" s="7" t="s">
        <v>5</v>
      </c>
      <c r="P207" s="7"/>
      <c r="Q207" s="7"/>
    </row>
    <row r="208" spans="1:17" x14ac:dyDescent="0.25">
      <c r="A208" s="1">
        <v>2636</v>
      </c>
      <c r="B208" s="2">
        <v>45568</v>
      </c>
      <c r="C208" s="3"/>
      <c r="D208" s="3"/>
      <c r="E208" s="4" t="s">
        <v>2</v>
      </c>
      <c r="F208" s="3"/>
      <c r="G208" s="3"/>
      <c r="H208" s="5"/>
      <c r="I208" s="5">
        <v>3</v>
      </c>
      <c r="J208" s="5"/>
      <c r="K208" s="6">
        <f t="shared" si="1"/>
        <v>45571</v>
      </c>
      <c r="L208" s="5">
        <v>3</v>
      </c>
      <c r="M208" s="6">
        <f t="shared" si="2"/>
        <v>45574</v>
      </c>
      <c r="N208" s="7"/>
      <c r="O208" s="7"/>
      <c r="P208" s="7" t="s">
        <v>1</v>
      </c>
      <c r="Q208" s="7"/>
    </row>
    <row r="209" spans="1:17" x14ac:dyDescent="0.25">
      <c r="A209" s="1">
        <v>2933</v>
      </c>
      <c r="B209" s="2">
        <v>45569</v>
      </c>
      <c r="C209" s="3"/>
      <c r="D209" s="3"/>
      <c r="E209" s="4" t="s">
        <v>6</v>
      </c>
      <c r="F209" s="3"/>
      <c r="G209" s="3"/>
      <c r="H209" s="5"/>
      <c r="I209" s="5">
        <v>7</v>
      </c>
      <c r="J209" s="5"/>
      <c r="K209" s="6">
        <f t="shared" si="1"/>
        <v>45576</v>
      </c>
      <c r="L209" s="5">
        <v>5</v>
      </c>
      <c r="M209" s="6">
        <f t="shared" si="2"/>
        <v>45581</v>
      </c>
      <c r="N209" s="7" t="s">
        <v>3</v>
      </c>
      <c r="O209" s="7"/>
      <c r="P209" s="7"/>
      <c r="Q209" s="7"/>
    </row>
    <row r="210" spans="1:17" x14ac:dyDescent="0.25">
      <c r="A210" s="1">
        <v>4177</v>
      </c>
      <c r="B210" s="2">
        <v>45569</v>
      </c>
      <c r="C210" s="3"/>
      <c r="D210" s="3"/>
      <c r="E210" s="4" t="s">
        <v>7</v>
      </c>
      <c r="F210" s="4" t="s">
        <v>7</v>
      </c>
      <c r="G210" s="4" t="s">
        <v>7</v>
      </c>
      <c r="H210" s="4" t="s">
        <v>7</v>
      </c>
      <c r="I210" s="5">
        <v>5</v>
      </c>
      <c r="J210" s="5"/>
      <c r="K210" s="6">
        <f t="shared" si="1"/>
        <v>45574</v>
      </c>
      <c r="L210" s="5">
        <v>3</v>
      </c>
      <c r="M210" s="6">
        <f t="shared" si="2"/>
        <v>45577</v>
      </c>
      <c r="N210" s="7"/>
      <c r="O210" s="7"/>
      <c r="P210" s="7"/>
      <c r="Q210" s="7" t="s">
        <v>4</v>
      </c>
    </row>
    <row r="211" spans="1:17" x14ac:dyDescent="0.25">
      <c r="A211" s="1">
        <v>2894</v>
      </c>
      <c r="B211" s="2">
        <v>45569</v>
      </c>
      <c r="C211" s="3"/>
      <c r="D211" s="3"/>
      <c r="E211" s="4" t="s">
        <v>7</v>
      </c>
      <c r="F211" s="4" t="s">
        <v>7</v>
      </c>
      <c r="G211" s="4" t="s">
        <v>7</v>
      </c>
      <c r="H211" s="4" t="s">
        <v>7</v>
      </c>
      <c r="I211" s="5">
        <v>5</v>
      </c>
      <c r="J211" s="5"/>
      <c r="K211" s="6">
        <f t="shared" si="1"/>
        <v>45574</v>
      </c>
      <c r="L211" s="5">
        <v>3</v>
      </c>
      <c r="M211" s="6">
        <f t="shared" si="2"/>
        <v>45577</v>
      </c>
      <c r="N211" s="7" t="s">
        <v>3</v>
      </c>
      <c r="O211" s="7"/>
      <c r="P211" s="7"/>
      <c r="Q211" s="7"/>
    </row>
    <row r="212" spans="1:17" x14ac:dyDescent="0.25">
      <c r="A212" s="1">
        <v>3007</v>
      </c>
      <c r="B212" s="2">
        <v>45569</v>
      </c>
      <c r="C212" s="3"/>
      <c r="D212" s="3"/>
      <c r="E212" s="4" t="s">
        <v>7</v>
      </c>
      <c r="F212" s="4" t="s">
        <v>7</v>
      </c>
      <c r="G212" s="4" t="s">
        <v>7</v>
      </c>
      <c r="H212" s="4" t="s">
        <v>7</v>
      </c>
      <c r="I212" s="5">
        <v>5</v>
      </c>
      <c r="J212" s="5"/>
      <c r="K212" s="6">
        <f t="shared" si="1"/>
        <v>45574</v>
      </c>
      <c r="L212" s="5">
        <v>3</v>
      </c>
      <c r="M212" s="6">
        <f t="shared" si="2"/>
        <v>45577</v>
      </c>
      <c r="N212" s="7" t="s">
        <v>3</v>
      </c>
      <c r="O212" s="7" t="s">
        <v>5</v>
      </c>
      <c r="P212" s="7" t="s">
        <v>1</v>
      </c>
      <c r="Q212" s="7" t="s">
        <v>4</v>
      </c>
    </row>
    <row r="213" spans="1:17" x14ac:dyDescent="0.25">
      <c r="A213" s="1">
        <v>3482</v>
      </c>
      <c r="B213" s="2">
        <v>45569</v>
      </c>
      <c r="C213" s="3"/>
      <c r="D213" s="3"/>
      <c r="E213" s="4" t="s">
        <v>7</v>
      </c>
      <c r="F213" s="4" t="s">
        <v>7</v>
      </c>
      <c r="G213" s="4" t="s">
        <v>7</v>
      </c>
      <c r="H213" s="4" t="s">
        <v>7</v>
      </c>
      <c r="I213" s="5">
        <v>5</v>
      </c>
      <c r="J213" s="5"/>
      <c r="K213" s="6">
        <f t="shared" si="1"/>
        <v>45574</v>
      </c>
      <c r="L213" s="5">
        <v>3</v>
      </c>
      <c r="M213" s="6">
        <f t="shared" si="2"/>
        <v>45577</v>
      </c>
      <c r="N213" s="7"/>
      <c r="O213" s="7"/>
      <c r="P213" s="7" t="s">
        <v>1</v>
      </c>
      <c r="Q213" s="7"/>
    </row>
    <row r="214" spans="1:17" x14ac:dyDescent="0.25">
      <c r="A214" s="1">
        <v>1196</v>
      </c>
      <c r="B214" s="2">
        <v>45570</v>
      </c>
      <c r="C214" s="3"/>
      <c r="D214" s="3"/>
      <c r="E214" s="4" t="s">
        <v>7</v>
      </c>
      <c r="F214" s="4" t="s">
        <v>7</v>
      </c>
      <c r="G214" s="4" t="s">
        <v>7</v>
      </c>
      <c r="H214" s="4" t="s">
        <v>7</v>
      </c>
      <c r="I214" s="5">
        <v>5</v>
      </c>
      <c r="J214" s="5"/>
      <c r="K214" s="6">
        <f t="shared" si="1"/>
        <v>45575</v>
      </c>
      <c r="L214" s="5">
        <v>3</v>
      </c>
      <c r="M214" s="6">
        <f t="shared" si="2"/>
        <v>45578</v>
      </c>
      <c r="N214" s="7" t="s">
        <v>3</v>
      </c>
      <c r="O214" s="7" t="s">
        <v>5</v>
      </c>
      <c r="P214" s="7"/>
      <c r="Q214" s="7"/>
    </row>
    <row r="215" spans="1:17" x14ac:dyDescent="0.25">
      <c r="A215" s="1">
        <v>3390</v>
      </c>
      <c r="B215" s="2">
        <v>45570</v>
      </c>
      <c r="C215" s="3"/>
      <c r="D215" s="3"/>
      <c r="E215" s="4" t="s">
        <v>7</v>
      </c>
      <c r="F215" s="4" t="s">
        <v>7</v>
      </c>
      <c r="G215" s="4" t="s">
        <v>7</v>
      </c>
      <c r="H215" s="4" t="s">
        <v>7</v>
      </c>
      <c r="I215" s="5">
        <v>5</v>
      </c>
      <c r="J215" s="5"/>
      <c r="K215" s="6">
        <f t="shared" si="1"/>
        <v>45575</v>
      </c>
      <c r="L215" s="5">
        <v>3</v>
      </c>
      <c r="M215" s="6">
        <f t="shared" si="2"/>
        <v>45578</v>
      </c>
      <c r="N215" s="7"/>
      <c r="O215" s="7" t="s">
        <v>5</v>
      </c>
      <c r="P215" s="7"/>
      <c r="Q215" s="7"/>
    </row>
    <row r="216" spans="1:17" x14ac:dyDescent="0.25">
      <c r="A216" s="1">
        <v>3255</v>
      </c>
      <c r="B216" s="2">
        <v>45570</v>
      </c>
      <c r="C216" s="3"/>
      <c r="D216" s="3"/>
      <c r="E216" s="4" t="s">
        <v>7</v>
      </c>
      <c r="F216" s="3"/>
      <c r="G216" s="3"/>
      <c r="H216" s="5"/>
      <c r="I216" s="5">
        <v>5</v>
      </c>
      <c r="J216" s="5"/>
      <c r="K216" s="6">
        <f t="shared" si="1"/>
        <v>45575</v>
      </c>
      <c r="L216" s="5">
        <v>3</v>
      </c>
      <c r="M216" s="6">
        <f t="shared" si="2"/>
        <v>45578</v>
      </c>
      <c r="N216" s="7"/>
      <c r="O216" s="7"/>
      <c r="P216" s="7" t="s">
        <v>1</v>
      </c>
      <c r="Q216" s="7"/>
    </row>
    <row r="217" spans="1:17" x14ac:dyDescent="0.25">
      <c r="A217" s="1">
        <v>3829</v>
      </c>
      <c r="B217" s="2">
        <v>45572</v>
      </c>
      <c r="C217" s="3"/>
      <c r="D217" s="3"/>
      <c r="E217" s="4" t="s">
        <v>2</v>
      </c>
      <c r="F217" s="3"/>
      <c r="G217" s="3"/>
      <c r="H217" s="5"/>
      <c r="I217" s="5">
        <v>5</v>
      </c>
      <c r="J217" s="5"/>
      <c r="K217" s="6">
        <f t="shared" si="1"/>
        <v>45577</v>
      </c>
      <c r="L217" s="5">
        <v>3</v>
      </c>
      <c r="M217" s="6">
        <f t="shared" si="2"/>
        <v>45580</v>
      </c>
      <c r="N217" s="7" t="s">
        <v>3</v>
      </c>
      <c r="O217" s="7"/>
      <c r="P217" s="7"/>
      <c r="Q217" s="7"/>
    </row>
    <row r="218" spans="1:17" x14ac:dyDescent="0.25">
      <c r="A218" s="1">
        <v>4177</v>
      </c>
      <c r="B218" s="2">
        <v>45572</v>
      </c>
      <c r="C218" s="3"/>
      <c r="D218" s="3"/>
      <c r="E218" s="4" t="s">
        <v>2</v>
      </c>
      <c r="F218" s="3"/>
      <c r="G218" s="3"/>
      <c r="H218" s="5"/>
      <c r="I218" s="5">
        <v>5</v>
      </c>
      <c r="J218" s="5"/>
      <c r="K218" s="6">
        <f t="shared" si="1"/>
        <v>45577</v>
      </c>
      <c r="L218" s="5">
        <v>3</v>
      </c>
      <c r="M218" s="6">
        <f t="shared" si="2"/>
        <v>45580</v>
      </c>
      <c r="N218" s="7"/>
      <c r="O218" s="11"/>
      <c r="P218" s="7" t="s">
        <v>1</v>
      </c>
      <c r="Q218" s="7"/>
    </row>
    <row r="219" spans="1:17" x14ac:dyDescent="0.25">
      <c r="A219" s="1">
        <v>3007</v>
      </c>
      <c r="B219" s="2">
        <v>45572</v>
      </c>
      <c r="C219" s="3"/>
      <c r="D219" s="3"/>
      <c r="E219" s="4" t="s">
        <v>2</v>
      </c>
      <c r="F219" s="3"/>
      <c r="G219" s="3"/>
      <c r="H219" s="5"/>
      <c r="I219" s="5">
        <v>5</v>
      </c>
      <c r="J219" s="5"/>
      <c r="K219" s="6">
        <f t="shared" si="1"/>
        <v>45577</v>
      </c>
      <c r="L219" s="5">
        <v>3</v>
      </c>
      <c r="M219" s="6">
        <f t="shared" si="2"/>
        <v>45580</v>
      </c>
      <c r="N219" s="7" t="s">
        <v>3</v>
      </c>
      <c r="O219" s="7" t="s">
        <v>5</v>
      </c>
      <c r="P219" s="7" t="s">
        <v>1</v>
      </c>
      <c r="Q219" s="7" t="s">
        <v>4</v>
      </c>
    </row>
    <row r="220" spans="1:17" x14ac:dyDescent="0.25">
      <c r="A220" s="1">
        <v>3572</v>
      </c>
      <c r="B220" s="2">
        <v>45573</v>
      </c>
      <c r="C220" s="3"/>
      <c r="D220" s="3"/>
      <c r="E220" s="4" t="s">
        <v>13</v>
      </c>
      <c r="F220" s="3"/>
      <c r="G220" s="3"/>
      <c r="H220" s="5"/>
      <c r="I220" s="5">
        <v>5</v>
      </c>
      <c r="J220" s="5"/>
      <c r="K220" s="6">
        <f t="shared" si="1"/>
        <v>45578</v>
      </c>
      <c r="L220" s="5">
        <v>5</v>
      </c>
      <c r="M220" s="6">
        <f t="shared" si="2"/>
        <v>45583</v>
      </c>
      <c r="N220" s="7" t="s">
        <v>3</v>
      </c>
      <c r="O220" s="7"/>
      <c r="P220" s="7"/>
      <c r="Q220" s="7"/>
    </row>
    <row r="221" spans="1:17" x14ac:dyDescent="0.25">
      <c r="A221" s="1">
        <v>2618</v>
      </c>
      <c r="B221" s="2">
        <v>45573</v>
      </c>
      <c r="C221" s="3"/>
      <c r="D221" s="3"/>
      <c r="E221" s="4" t="s">
        <v>13</v>
      </c>
      <c r="F221" s="3"/>
      <c r="G221" s="3"/>
      <c r="H221" s="5"/>
      <c r="I221" s="5">
        <v>5</v>
      </c>
      <c r="J221" s="5"/>
      <c r="K221" s="6">
        <f t="shared" si="1"/>
        <v>45578</v>
      </c>
      <c r="L221" s="5">
        <v>5</v>
      </c>
      <c r="M221" s="6">
        <f t="shared" si="2"/>
        <v>45583</v>
      </c>
      <c r="N221" s="7" t="s">
        <v>3</v>
      </c>
      <c r="O221" s="7" t="s">
        <v>5</v>
      </c>
      <c r="P221" s="7"/>
      <c r="Q221" s="7"/>
    </row>
    <row r="222" spans="1:17" x14ac:dyDescent="0.25">
      <c r="A222" s="1">
        <v>2248</v>
      </c>
      <c r="B222" s="2">
        <v>45573</v>
      </c>
      <c r="C222" s="3"/>
      <c r="D222" s="3"/>
      <c r="E222" s="4" t="s">
        <v>13</v>
      </c>
      <c r="F222" s="3"/>
      <c r="G222" s="3"/>
      <c r="H222" s="5"/>
      <c r="I222" s="5">
        <v>5</v>
      </c>
      <c r="J222" s="5"/>
      <c r="K222" s="6">
        <f t="shared" si="1"/>
        <v>45578</v>
      </c>
      <c r="L222" s="5">
        <v>5</v>
      </c>
      <c r="M222" s="6">
        <f t="shared" si="2"/>
        <v>45583</v>
      </c>
      <c r="N222" s="7" t="s">
        <v>3</v>
      </c>
      <c r="O222" s="7"/>
      <c r="P222" s="7" t="s">
        <v>1</v>
      </c>
      <c r="Q222" s="7" t="s">
        <v>4</v>
      </c>
    </row>
    <row r="223" spans="1:17" x14ac:dyDescent="0.25">
      <c r="A223" s="1">
        <v>3210</v>
      </c>
      <c r="B223" s="2">
        <v>45573</v>
      </c>
      <c r="C223" s="3"/>
      <c r="D223" s="3"/>
      <c r="E223" s="4" t="s">
        <v>13</v>
      </c>
      <c r="F223" s="3"/>
      <c r="G223" s="3"/>
      <c r="H223" s="5"/>
      <c r="I223" s="5">
        <v>5</v>
      </c>
      <c r="J223" s="5"/>
      <c r="K223" s="6">
        <f t="shared" si="1"/>
        <v>45578</v>
      </c>
      <c r="L223" s="5">
        <v>5</v>
      </c>
      <c r="M223" s="6">
        <f t="shared" si="2"/>
        <v>45583</v>
      </c>
      <c r="N223" s="7" t="s">
        <v>3</v>
      </c>
      <c r="O223" s="7"/>
      <c r="P223" s="7"/>
      <c r="Q223" s="7"/>
    </row>
    <row r="224" spans="1:17" x14ac:dyDescent="0.25">
      <c r="A224" s="1">
        <v>2914</v>
      </c>
      <c r="B224" s="2">
        <v>45573</v>
      </c>
      <c r="C224" s="3"/>
      <c r="D224" s="3"/>
      <c r="E224" s="4" t="s">
        <v>13</v>
      </c>
      <c r="F224" s="3"/>
      <c r="G224" s="3"/>
      <c r="H224" s="5"/>
      <c r="I224" s="5">
        <v>5</v>
      </c>
      <c r="J224" s="5"/>
      <c r="K224" s="6">
        <f t="shared" si="1"/>
        <v>45578</v>
      </c>
      <c r="L224" s="5">
        <v>5</v>
      </c>
      <c r="M224" s="6">
        <f t="shared" si="2"/>
        <v>45583</v>
      </c>
      <c r="N224" s="7" t="s">
        <v>3</v>
      </c>
      <c r="O224" s="7"/>
      <c r="P224" s="7"/>
      <c r="Q224" s="7" t="s">
        <v>4</v>
      </c>
    </row>
    <row r="225" spans="1:17" x14ac:dyDescent="0.25">
      <c r="A225" s="1">
        <v>2723</v>
      </c>
      <c r="B225" s="2">
        <v>45573</v>
      </c>
      <c r="C225" s="3"/>
      <c r="D225" s="3"/>
      <c r="E225" s="4" t="s">
        <v>13</v>
      </c>
      <c r="F225" s="3"/>
      <c r="G225" s="3"/>
      <c r="H225" s="5"/>
      <c r="I225" s="5">
        <v>5</v>
      </c>
      <c r="J225" s="5"/>
      <c r="K225" s="6">
        <f t="shared" si="1"/>
        <v>45578</v>
      </c>
      <c r="L225" s="5">
        <v>5</v>
      </c>
      <c r="M225" s="6">
        <f t="shared" si="2"/>
        <v>45583</v>
      </c>
      <c r="N225" s="7" t="s">
        <v>3</v>
      </c>
      <c r="O225" s="7"/>
      <c r="P225" s="7"/>
      <c r="Q225" s="7"/>
    </row>
    <row r="226" spans="1:17" x14ac:dyDescent="0.25">
      <c r="A226" s="1">
        <v>3113</v>
      </c>
      <c r="B226" s="2">
        <v>45573</v>
      </c>
      <c r="C226" s="3"/>
      <c r="D226" s="3"/>
      <c r="E226" s="4" t="s">
        <v>7</v>
      </c>
      <c r="F226" s="3"/>
      <c r="G226" s="3"/>
      <c r="H226" s="5"/>
      <c r="I226" s="5">
        <v>5</v>
      </c>
      <c r="J226" s="5"/>
      <c r="K226" s="6">
        <f t="shared" si="1"/>
        <v>45578</v>
      </c>
      <c r="L226" s="5">
        <v>3</v>
      </c>
      <c r="M226" s="6">
        <f t="shared" si="2"/>
        <v>45581</v>
      </c>
      <c r="N226" s="7"/>
      <c r="O226" s="7"/>
      <c r="P226" s="7" t="s">
        <v>1</v>
      </c>
      <c r="Q226" s="7"/>
    </row>
    <row r="227" spans="1:17" x14ac:dyDescent="0.25">
      <c r="A227" s="1">
        <v>3779</v>
      </c>
      <c r="B227" s="2">
        <v>45574</v>
      </c>
      <c r="C227" s="3"/>
      <c r="D227" s="3"/>
      <c r="E227" s="4" t="s">
        <v>2</v>
      </c>
      <c r="F227" s="3"/>
      <c r="G227" s="3"/>
      <c r="H227" s="5"/>
      <c r="I227" s="5">
        <v>5</v>
      </c>
      <c r="J227" s="5"/>
      <c r="K227" s="6">
        <f t="shared" si="1"/>
        <v>45579</v>
      </c>
      <c r="L227" s="5">
        <v>3</v>
      </c>
      <c r="M227" s="6">
        <f t="shared" si="2"/>
        <v>45582</v>
      </c>
      <c r="N227" s="7"/>
      <c r="O227" s="7" t="s">
        <v>5</v>
      </c>
      <c r="P227" s="7"/>
      <c r="Q227" s="7"/>
    </row>
    <row r="228" spans="1:17" x14ac:dyDescent="0.25">
      <c r="A228" s="1">
        <v>2933</v>
      </c>
      <c r="B228" s="2">
        <v>45575</v>
      </c>
      <c r="C228" s="3"/>
      <c r="D228" s="3"/>
      <c r="E228" s="4" t="s">
        <v>2</v>
      </c>
      <c r="F228" s="3"/>
      <c r="G228" s="3"/>
      <c r="H228" s="5"/>
      <c r="I228" s="5">
        <v>5</v>
      </c>
      <c r="J228" s="5"/>
      <c r="K228" s="6">
        <f t="shared" si="1"/>
        <v>45580</v>
      </c>
      <c r="L228" s="5">
        <v>3</v>
      </c>
      <c r="M228" s="6">
        <f t="shared" si="2"/>
        <v>45583</v>
      </c>
      <c r="N228" s="7" t="s">
        <v>3</v>
      </c>
      <c r="O228" s="7"/>
      <c r="P228" s="7" t="s">
        <v>1</v>
      </c>
      <c r="Q228" s="7"/>
    </row>
    <row r="229" spans="1:17" x14ac:dyDescent="0.25">
      <c r="A229" s="1">
        <v>3113</v>
      </c>
      <c r="B229" s="2">
        <v>45575</v>
      </c>
      <c r="C229" s="3"/>
      <c r="D229" s="3"/>
      <c r="E229" s="4" t="s">
        <v>13</v>
      </c>
      <c r="F229" s="3"/>
      <c r="G229" s="3"/>
      <c r="H229" s="5"/>
      <c r="I229" s="5">
        <v>5</v>
      </c>
      <c r="J229" s="5"/>
      <c r="K229" s="6">
        <f t="shared" si="1"/>
        <v>45580</v>
      </c>
      <c r="L229" s="5">
        <v>5</v>
      </c>
      <c r="M229" s="6">
        <f t="shared" si="2"/>
        <v>45585</v>
      </c>
      <c r="N229" s="7"/>
      <c r="O229" s="7"/>
      <c r="P229" s="7" t="s">
        <v>1</v>
      </c>
      <c r="Q229" s="7"/>
    </row>
    <row r="230" spans="1:17" x14ac:dyDescent="0.25">
      <c r="A230" s="1">
        <v>4537</v>
      </c>
      <c r="B230" s="2">
        <v>45576</v>
      </c>
      <c r="C230" s="3"/>
      <c r="D230" s="3"/>
      <c r="E230" s="4" t="s">
        <v>13</v>
      </c>
      <c r="F230" s="3"/>
      <c r="G230" s="3"/>
      <c r="H230" s="5"/>
      <c r="I230" s="5">
        <v>5</v>
      </c>
      <c r="J230" s="5"/>
      <c r="K230" s="6">
        <f t="shared" si="1"/>
        <v>45581</v>
      </c>
      <c r="L230" s="5">
        <v>5</v>
      </c>
      <c r="M230" s="6">
        <f t="shared" si="2"/>
        <v>45586</v>
      </c>
      <c r="N230" s="7" t="s">
        <v>3</v>
      </c>
      <c r="O230" s="7" t="s">
        <v>5</v>
      </c>
      <c r="P230" s="7" t="s">
        <v>1</v>
      </c>
      <c r="Q230" s="7" t="s">
        <v>4</v>
      </c>
    </row>
    <row r="231" spans="1:17" x14ac:dyDescent="0.25">
      <c r="A231" s="1">
        <v>3181</v>
      </c>
      <c r="B231" s="2">
        <v>45576</v>
      </c>
      <c r="C231" s="3"/>
      <c r="D231" s="3"/>
      <c r="E231" s="4" t="s">
        <v>7</v>
      </c>
      <c r="F231" s="3"/>
      <c r="G231" s="3"/>
      <c r="H231" s="5"/>
      <c r="I231" s="5">
        <v>5</v>
      </c>
      <c r="J231" s="5"/>
      <c r="K231" s="6">
        <f t="shared" si="1"/>
        <v>45581</v>
      </c>
      <c r="L231" s="5">
        <v>3</v>
      </c>
      <c r="M231" s="6">
        <f t="shared" si="2"/>
        <v>45584</v>
      </c>
      <c r="N231" s="7" t="s">
        <v>3</v>
      </c>
      <c r="O231" s="7" t="s">
        <v>5</v>
      </c>
      <c r="P231" s="7"/>
      <c r="Q231" s="7"/>
    </row>
    <row r="232" spans="1:17" x14ac:dyDescent="0.25">
      <c r="A232" s="1">
        <v>3528</v>
      </c>
      <c r="B232" s="2">
        <v>45577</v>
      </c>
      <c r="C232" s="3"/>
      <c r="D232" s="3"/>
      <c r="E232" s="4" t="s">
        <v>7</v>
      </c>
      <c r="F232" s="3"/>
      <c r="G232" s="3"/>
      <c r="H232" s="5"/>
      <c r="I232" s="5">
        <v>5</v>
      </c>
      <c r="J232" s="5"/>
      <c r="K232" s="6">
        <f t="shared" si="1"/>
        <v>45582</v>
      </c>
      <c r="L232" s="5">
        <v>3</v>
      </c>
      <c r="M232" s="6">
        <f t="shared" si="2"/>
        <v>45585</v>
      </c>
      <c r="N232" s="7"/>
      <c r="O232" s="7"/>
      <c r="P232" s="7" t="s">
        <v>1</v>
      </c>
      <c r="Q232" s="7"/>
    </row>
    <row r="233" spans="1:17" x14ac:dyDescent="0.25">
      <c r="A233" s="1">
        <v>3533</v>
      </c>
      <c r="B233" s="2">
        <v>45577</v>
      </c>
      <c r="C233" s="3"/>
      <c r="D233" s="3"/>
      <c r="E233" s="4" t="s">
        <v>7</v>
      </c>
      <c r="F233" s="3"/>
      <c r="G233" s="3"/>
      <c r="H233" s="5"/>
      <c r="I233" s="5">
        <v>5</v>
      </c>
      <c r="J233" s="5"/>
      <c r="K233" s="6">
        <f t="shared" si="1"/>
        <v>45582</v>
      </c>
      <c r="L233" s="5">
        <v>3</v>
      </c>
      <c r="M233" s="6">
        <f t="shared" si="2"/>
        <v>45585</v>
      </c>
      <c r="N233" s="7"/>
      <c r="O233" s="7" t="s">
        <v>5</v>
      </c>
      <c r="P233" s="7"/>
      <c r="Q233" s="7"/>
    </row>
    <row r="234" spans="1:17" x14ac:dyDescent="0.25">
      <c r="A234" s="1">
        <v>3548</v>
      </c>
      <c r="B234" s="2">
        <v>45577</v>
      </c>
      <c r="C234" s="3"/>
      <c r="D234" s="3"/>
      <c r="E234" s="4" t="s">
        <v>15</v>
      </c>
      <c r="F234" s="3"/>
      <c r="G234" s="3"/>
      <c r="H234" s="5"/>
      <c r="I234" s="5">
        <v>5</v>
      </c>
      <c r="J234" s="5"/>
      <c r="K234" s="6">
        <f t="shared" si="1"/>
        <v>45582</v>
      </c>
      <c r="L234" s="5">
        <v>3</v>
      </c>
      <c r="M234" s="6">
        <f t="shared" si="2"/>
        <v>45585</v>
      </c>
      <c r="N234" s="7"/>
      <c r="O234" s="7" t="s">
        <v>5</v>
      </c>
      <c r="P234" s="7"/>
      <c r="Q234" s="7" t="s">
        <v>4</v>
      </c>
    </row>
    <row r="235" spans="1:17" x14ac:dyDescent="0.25">
      <c r="A235" s="1">
        <v>2218</v>
      </c>
      <c r="B235" s="2">
        <v>45578</v>
      </c>
      <c r="C235" s="3"/>
      <c r="D235" s="3"/>
      <c r="E235" s="4" t="s">
        <v>7</v>
      </c>
      <c r="F235" s="3"/>
      <c r="G235" s="3"/>
      <c r="H235" s="5"/>
      <c r="I235" s="5">
        <v>5</v>
      </c>
      <c r="J235" s="5"/>
      <c r="K235" s="6">
        <f t="shared" si="1"/>
        <v>45583</v>
      </c>
      <c r="L235" s="5">
        <v>3</v>
      </c>
      <c r="M235" s="6">
        <f t="shared" si="2"/>
        <v>45586</v>
      </c>
      <c r="N235" s="7" t="s">
        <v>3</v>
      </c>
      <c r="O235" s="7"/>
      <c r="P235" s="7"/>
      <c r="Q235" s="7"/>
    </row>
    <row r="236" spans="1:17" x14ac:dyDescent="0.25">
      <c r="A236" s="1">
        <v>2312</v>
      </c>
      <c r="B236" s="2">
        <v>45579</v>
      </c>
      <c r="C236" s="3"/>
      <c r="D236" s="3"/>
      <c r="E236" s="4" t="s">
        <v>7</v>
      </c>
      <c r="F236" s="3"/>
      <c r="G236" s="3"/>
      <c r="H236" s="5"/>
      <c r="I236" s="5">
        <v>5</v>
      </c>
      <c r="J236" s="5"/>
      <c r="K236" s="6">
        <f t="shared" si="1"/>
        <v>45584</v>
      </c>
      <c r="L236" s="5">
        <v>3</v>
      </c>
      <c r="M236" s="6">
        <f t="shared" si="2"/>
        <v>45587</v>
      </c>
      <c r="N236" s="7" t="s">
        <v>3</v>
      </c>
      <c r="O236" s="7"/>
      <c r="P236" s="7"/>
      <c r="Q236" s="7"/>
    </row>
    <row r="237" spans="1:17" x14ac:dyDescent="0.25">
      <c r="A237" s="1">
        <v>1133</v>
      </c>
      <c r="B237" s="2">
        <v>45579</v>
      </c>
      <c r="C237" s="3"/>
      <c r="D237" s="3"/>
      <c r="E237" s="4" t="s">
        <v>7</v>
      </c>
      <c r="F237" s="3"/>
      <c r="G237" s="3"/>
      <c r="H237" s="5"/>
      <c r="I237" s="5">
        <v>5</v>
      </c>
      <c r="J237" s="5"/>
      <c r="K237" s="6">
        <f t="shared" si="1"/>
        <v>45584</v>
      </c>
      <c r="L237" s="5">
        <v>3</v>
      </c>
      <c r="M237" s="6">
        <f t="shared" si="2"/>
        <v>45587</v>
      </c>
      <c r="N237" s="7"/>
      <c r="O237" s="7"/>
      <c r="P237" s="7"/>
      <c r="Q237" s="7" t="s">
        <v>4</v>
      </c>
    </row>
    <row r="238" spans="1:17" x14ac:dyDescent="0.25">
      <c r="A238" s="1">
        <v>3548</v>
      </c>
      <c r="B238" s="2">
        <v>45580</v>
      </c>
      <c r="C238" s="3"/>
      <c r="D238" s="3"/>
      <c r="E238" s="4" t="s">
        <v>13</v>
      </c>
      <c r="F238" s="3"/>
      <c r="G238" s="3"/>
      <c r="H238" s="5"/>
      <c r="I238" s="5">
        <v>5</v>
      </c>
      <c r="J238" s="5"/>
      <c r="K238" s="6">
        <f t="shared" si="1"/>
        <v>45585</v>
      </c>
      <c r="L238" s="5">
        <v>5</v>
      </c>
      <c r="M238" s="6">
        <f t="shared" si="2"/>
        <v>45590</v>
      </c>
      <c r="N238" s="7"/>
      <c r="O238" s="7" t="s">
        <v>5</v>
      </c>
      <c r="P238" s="7"/>
      <c r="Q238" s="7" t="s">
        <v>4</v>
      </c>
    </row>
    <row r="239" spans="1:17" x14ac:dyDescent="0.25">
      <c r="A239" s="1">
        <v>2914</v>
      </c>
      <c r="B239" s="2">
        <v>45580</v>
      </c>
      <c r="C239" s="3"/>
      <c r="D239" s="3"/>
      <c r="E239" s="4" t="s">
        <v>15</v>
      </c>
      <c r="F239" s="3"/>
      <c r="G239" s="3"/>
      <c r="H239" s="5"/>
      <c r="I239" s="5">
        <v>5</v>
      </c>
      <c r="J239" s="5"/>
      <c r="K239" s="6">
        <f t="shared" si="1"/>
        <v>45585</v>
      </c>
      <c r="L239" s="5">
        <v>9</v>
      </c>
      <c r="M239" s="6">
        <f t="shared" si="2"/>
        <v>45594</v>
      </c>
      <c r="N239" s="7"/>
      <c r="O239" s="7" t="s">
        <v>5</v>
      </c>
      <c r="P239" s="7"/>
      <c r="Q239" s="7"/>
    </row>
    <row r="240" spans="1:17" x14ac:dyDescent="0.25">
      <c r="A240" s="1">
        <v>2933</v>
      </c>
      <c r="B240" s="2">
        <v>45580</v>
      </c>
      <c r="C240" s="3"/>
      <c r="D240" s="3"/>
      <c r="E240" s="4" t="s">
        <v>0</v>
      </c>
      <c r="F240" s="3"/>
      <c r="G240" s="3"/>
      <c r="H240" s="5"/>
      <c r="I240" s="5">
        <v>5</v>
      </c>
      <c r="J240" s="5"/>
      <c r="K240" s="6">
        <f t="shared" si="1"/>
        <v>45585</v>
      </c>
      <c r="L240" s="5">
        <v>3</v>
      </c>
      <c r="M240" s="6">
        <f t="shared" si="2"/>
        <v>45588</v>
      </c>
      <c r="N240" s="7" t="s">
        <v>3</v>
      </c>
      <c r="O240" s="7"/>
      <c r="P240" s="7" t="s">
        <v>1</v>
      </c>
      <c r="Q240" s="7"/>
    </row>
    <row r="241" spans="1:17" x14ac:dyDescent="0.25">
      <c r="A241" s="1">
        <v>2584</v>
      </c>
      <c r="B241" s="2">
        <v>45581</v>
      </c>
      <c r="C241" s="3"/>
      <c r="D241" s="3"/>
      <c r="E241" s="4" t="s">
        <v>7</v>
      </c>
      <c r="F241" s="3"/>
      <c r="G241" s="3"/>
      <c r="H241" s="5"/>
      <c r="I241" s="5">
        <v>5</v>
      </c>
      <c r="J241" s="5"/>
      <c r="K241" s="6">
        <f t="shared" si="1"/>
        <v>45586</v>
      </c>
      <c r="L241" s="5">
        <v>3</v>
      </c>
      <c r="M241" s="6">
        <f t="shared" si="2"/>
        <v>45589</v>
      </c>
      <c r="N241" s="7" t="s">
        <v>3</v>
      </c>
      <c r="O241" s="7"/>
      <c r="P241" s="7"/>
      <c r="Q241" s="7"/>
    </row>
    <row r="242" spans="1:17" x14ac:dyDescent="0.25">
      <c r="A242" s="1">
        <v>3493</v>
      </c>
      <c r="B242" s="2">
        <v>45581</v>
      </c>
      <c r="C242" s="2">
        <v>45582</v>
      </c>
      <c r="D242" s="2">
        <v>45583</v>
      </c>
      <c r="E242" s="4" t="s">
        <v>13</v>
      </c>
      <c r="F242" s="3"/>
      <c r="G242" s="3"/>
      <c r="H242" s="5"/>
      <c r="I242" s="5">
        <v>5</v>
      </c>
      <c r="J242" s="5"/>
      <c r="K242" s="6">
        <f t="shared" si="1"/>
        <v>45586</v>
      </c>
      <c r="L242" s="5">
        <v>5</v>
      </c>
      <c r="M242" s="6">
        <f t="shared" si="2"/>
        <v>45591</v>
      </c>
      <c r="N242" s="7" t="s">
        <v>3</v>
      </c>
      <c r="O242" s="7" t="s">
        <v>5</v>
      </c>
      <c r="P242" s="7" t="s">
        <v>1</v>
      </c>
      <c r="Q242" s="7"/>
    </row>
    <row r="243" spans="1:17" x14ac:dyDescent="0.25">
      <c r="A243" s="1">
        <v>2889</v>
      </c>
      <c r="B243" s="2">
        <v>45581</v>
      </c>
      <c r="C243" s="3"/>
      <c r="D243" s="3"/>
      <c r="E243" s="4" t="s">
        <v>13</v>
      </c>
      <c r="F243" s="3"/>
      <c r="G243" s="3"/>
      <c r="H243" s="5"/>
      <c r="I243" s="5">
        <v>5</v>
      </c>
      <c r="J243" s="5"/>
      <c r="K243" s="6">
        <f t="shared" si="1"/>
        <v>45586</v>
      </c>
      <c r="L243" s="5">
        <v>5</v>
      </c>
      <c r="M243" s="6">
        <f t="shared" si="2"/>
        <v>45591</v>
      </c>
      <c r="N243" s="7" t="s">
        <v>3</v>
      </c>
      <c r="O243" s="7"/>
      <c r="P243" s="7"/>
      <c r="Q243" s="7"/>
    </row>
    <row r="244" spans="1:17" x14ac:dyDescent="0.25">
      <c r="A244" s="1">
        <v>2463</v>
      </c>
      <c r="B244" s="2">
        <v>45581</v>
      </c>
      <c r="C244" s="3"/>
      <c r="D244" s="3"/>
      <c r="E244" s="4" t="s">
        <v>13</v>
      </c>
      <c r="F244" s="3"/>
      <c r="G244" s="3"/>
      <c r="H244" s="5"/>
      <c r="I244" s="5">
        <v>5</v>
      </c>
      <c r="J244" s="5"/>
      <c r="K244" s="6">
        <f t="shared" si="1"/>
        <v>45586</v>
      </c>
      <c r="L244" s="5">
        <v>5</v>
      </c>
      <c r="M244" s="6">
        <f t="shared" si="2"/>
        <v>45591</v>
      </c>
      <c r="N244" s="7"/>
      <c r="O244" s="7" t="s">
        <v>5</v>
      </c>
      <c r="P244" s="7"/>
      <c r="Q244" s="7"/>
    </row>
    <row r="245" spans="1:17" x14ac:dyDescent="0.25">
      <c r="A245" s="1">
        <v>4452</v>
      </c>
      <c r="B245" s="2">
        <v>45581</v>
      </c>
      <c r="C245" s="3"/>
      <c r="D245" s="3"/>
      <c r="E245" s="4" t="s">
        <v>13</v>
      </c>
      <c r="F245" s="3"/>
      <c r="G245" s="3"/>
      <c r="H245" s="5"/>
      <c r="I245" s="5">
        <v>7</v>
      </c>
      <c r="J245" s="5"/>
      <c r="K245" s="6">
        <f t="shared" si="1"/>
        <v>45588</v>
      </c>
      <c r="L245" s="5">
        <v>5</v>
      </c>
      <c r="M245" s="6">
        <f t="shared" si="2"/>
        <v>45593</v>
      </c>
      <c r="N245" s="7" t="s">
        <v>3</v>
      </c>
      <c r="O245" s="7" t="s">
        <v>5</v>
      </c>
      <c r="P245" s="7" t="s">
        <v>1</v>
      </c>
      <c r="Q245" s="7" t="s">
        <v>4</v>
      </c>
    </row>
    <row r="246" spans="1:17" x14ac:dyDescent="0.25">
      <c r="A246" s="1">
        <v>2723</v>
      </c>
      <c r="B246" s="2">
        <v>45581</v>
      </c>
      <c r="C246" s="3"/>
      <c r="D246" s="3"/>
      <c r="E246" s="4" t="s">
        <v>2</v>
      </c>
      <c r="F246" s="3"/>
      <c r="G246" s="3"/>
      <c r="H246" s="5"/>
      <c r="I246" s="5">
        <v>5</v>
      </c>
      <c r="J246" s="5"/>
      <c r="K246" s="6">
        <f t="shared" si="1"/>
        <v>45586</v>
      </c>
      <c r="L246" s="5">
        <v>3</v>
      </c>
      <c r="M246" s="6">
        <f t="shared" si="2"/>
        <v>45589</v>
      </c>
      <c r="N246" s="7" t="s">
        <v>3</v>
      </c>
      <c r="O246" s="7"/>
      <c r="P246" s="7"/>
      <c r="Q246" s="7"/>
    </row>
    <row r="247" spans="1:17" x14ac:dyDescent="0.25">
      <c r="A247" s="1">
        <v>3817</v>
      </c>
      <c r="B247" s="2">
        <v>45582</v>
      </c>
      <c r="C247" s="3"/>
      <c r="D247" s="3"/>
      <c r="E247" s="4" t="s">
        <v>8</v>
      </c>
      <c r="F247" s="3"/>
      <c r="G247" s="3"/>
      <c r="H247" s="5"/>
      <c r="I247" s="5">
        <v>5</v>
      </c>
      <c r="J247" s="5"/>
      <c r="K247" s="6">
        <f t="shared" si="1"/>
        <v>45587</v>
      </c>
      <c r="L247" s="5">
        <v>4</v>
      </c>
      <c r="M247" s="6">
        <f t="shared" si="2"/>
        <v>45591</v>
      </c>
      <c r="N247" s="7" t="s">
        <v>3</v>
      </c>
      <c r="O247" s="7"/>
      <c r="P247" s="7"/>
      <c r="Q247" s="7"/>
    </row>
    <row r="248" spans="1:17" x14ac:dyDescent="0.25">
      <c r="A248" s="1">
        <v>2584</v>
      </c>
      <c r="B248" s="2">
        <v>45583</v>
      </c>
      <c r="C248" s="3"/>
      <c r="D248" s="3"/>
      <c r="E248" s="4" t="s">
        <v>8</v>
      </c>
      <c r="F248" s="3"/>
      <c r="G248" s="3"/>
      <c r="H248" s="5"/>
      <c r="I248" s="5">
        <v>5</v>
      </c>
      <c r="J248" s="5"/>
      <c r="K248" s="6">
        <f t="shared" si="1"/>
        <v>45588</v>
      </c>
      <c r="L248" s="5">
        <v>4</v>
      </c>
      <c r="M248" s="6">
        <f t="shared" si="2"/>
        <v>45592</v>
      </c>
      <c r="N248" s="7" t="s">
        <v>3</v>
      </c>
      <c r="O248" s="7"/>
      <c r="P248" s="7"/>
      <c r="Q248" s="7"/>
    </row>
    <row r="249" spans="1:17" x14ac:dyDescent="0.25">
      <c r="A249" s="1">
        <v>2623</v>
      </c>
      <c r="B249" s="2">
        <v>45583</v>
      </c>
      <c r="C249" s="3"/>
      <c r="D249" s="3"/>
      <c r="E249" s="4" t="s">
        <v>8</v>
      </c>
      <c r="F249" s="3"/>
      <c r="G249" s="3"/>
      <c r="H249" s="5"/>
      <c r="I249" s="5">
        <v>5</v>
      </c>
      <c r="J249" s="5"/>
      <c r="K249" s="6">
        <f t="shared" si="1"/>
        <v>45588</v>
      </c>
      <c r="L249" s="5">
        <v>4</v>
      </c>
      <c r="M249" s="6">
        <f t="shared" si="2"/>
        <v>45592</v>
      </c>
      <c r="N249" s="7" t="s">
        <v>3</v>
      </c>
      <c r="O249" s="7" t="s">
        <v>5</v>
      </c>
      <c r="P249" s="7"/>
      <c r="Q249" s="7" t="s">
        <v>4</v>
      </c>
    </row>
    <row r="250" spans="1:17" x14ac:dyDescent="0.25">
      <c r="A250" s="1">
        <v>998</v>
      </c>
      <c r="B250" s="2">
        <v>45583</v>
      </c>
      <c r="C250" s="3"/>
      <c r="D250" s="3"/>
      <c r="E250" s="4" t="s">
        <v>8</v>
      </c>
      <c r="F250" s="3"/>
      <c r="G250" s="3"/>
      <c r="H250" s="5"/>
      <c r="I250" s="5">
        <v>5</v>
      </c>
      <c r="J250" s="5"/>
      <c r="K250" s="6">
        <f t="shared" ref="K250:K256" si="3">B250+I250</f>
        <v>45588</v>
      </c>
      <c r="L250" s="5">
        <v>4</v>
      </c>
      <c r="M250" s="6">
        <f t="shared" si="2"/>
        <v>45592</v>
      </c>
      <c r="N250" s="7"/>
      <c r="O250" s="7" t="s">
        <v>5</v>
      </c>
      <c r="P250" s="7"/>
      <c r="Q250" s="7"/>
    </row>
    <row r="251" spans="1:17" x14ac:dyDescent="0.25">
      <c r="A251" s="1">
        <v>2643</v>
      </c>
      <c r="B251" s="2">
        <v>45583</v>
      </c>
      <c r="C251" s="3"/>
      <c r="D251" s="3"/>
      <c r="E251" s="4" t="s">
        <v>8</v>
      </c>
      <c r="F251" s="3"/>
      <c r="G251" s="3"/>
      <c r="H251" s="5"/>
      <c r="I251" s="5">
        <v>5</v>
      </c>
      <c r="J251" s="5"/>
      <c r="K251" s="6">
        <f t="shared" si="3"/>
        <v>45588</v>
      </c>
      <c r="L251" s="5">
        <v>4</v>
      </c>
      <c r="M251" s="6">
        <f t="shared" si="2"/>
        <v>45592</v>
      </c>
      <c r="N251" s="7" t="s">
        <v>3</v>
      </c>
      <c r="O251" s="7"/>
      <c r="P251" s="7"/>
      <c r="Q251" s="7"/>
    </row>
    <row r="252" spans="1:17" x14ac:dyDescent="0.25">
      <c r="A252" s="1">
        <v>3289</v>
      </c>
      <c r="B252" s="2">
        <v>45583</v>
      </c>
      <c r="C252" s="3"/>
      <c r="D252" s="3"/>
      <c r="E252" s="4" t="s">
        <v>8</v>
      </c>
      <c r="F252" s="3"/>
      <c r="G252" s="3"/>
      <c r="H252" s="5"/>
      <c r="I252" s="5">
        <v>5</v>
      </c>
      <c r="J252" s="5"/>
      <c r="K252" s="6">
        <f t="shared" si="3"/>
        <v>45588</v>
      </c>
      <c r="L252" s="5">
        <v>4</v>
      </c>
      <c r="M252" s="6">
        <f t="shared" si="2"/>
        <v>45592</v>
      </c>
      <c r="N252" s="7" t="s">
        <v>3</v>
      </c>
      <c r="O252" s="7" t="s">
        <v>5</v>
      </c>
      <c r="P252" s="7" t="s">
        <v>1</v>
      </c>
      <c r="Q252" s="7" t="s">
        <v>4</v>
      </c>
    </row>
    <row r="253" spans="1:17" x14ac:dyDescent="0.25">
      <c r="A253" s="1">
        <v>3181</v>
      </c>
      <c r="B253" s="2">
        <v>45583</v>
      </c>
      <c r="C253" s="3"/>
      <c r="D253" s="3"/>
      <c r="E253" s="4" t="s">
        <v>15</v>
      </c>
      <c r="F253" s="3"/>
      <c r="G253" s="3"/>
      <c r="H253" s="5"/>
      <c r="I253" s="5">
        <v>5</v>
      </c>
      <c r="J253" s="5"/>
      <c r="K253" s="6">
        <f t="shared" si="3"/>
        <v>45588</v>
      </c>
      <c r="L253" s="5">
        <v>9</v>
      </c>
      <c r="M253" s="6">
        <f t="shared" si="2"/>
        <v>45597</v>
      </c>
      <c r="N253" s="7" t="s">
        <v>3</v>
      </c>
      <c r="O253" s="7" t="s">
        <v>5</v>
      </c>
      <c r="P253" s="7"/>
      <c r="Q253" s="7"/>
    </row>
    <row r="254" spans="1:17" x14ac:dyDescent="0.25">
      <c r="A254" s="1">
        <v>31113</v>
      </c>
      <c r="B254" s="2">
        <v>45583</v>
      </c>
      <c r="C254" s="3"/>
      <c r="D254" s="3"/>
      <c r="E254" s="4" t="s">
        <v>15</v>
      </c>
      <c r="F254" s="3"/>
      <c r="G254" s="3"/>
      <c r="H254" s="5"/>
      <c r="I254" s="5">
        <v>5</v>
      </c>
      <c r="J254" s="5"/>
      <c r="K254" s="6">
        <f t="shared" si="3"/>
        <v>45588</v>
      </c>
      <c r="L254" s="5">
        <v>9</v>
      </c>
      <c r="M254" s="6">
        <f t="shared" si="2"/>
        <v>45597</v>
      </c>
      <c r="N254" s="7"/>
      <c r="O254" s="7"/>
      <c r="P254" s="7" t="s">
        <v>1</v>
      </c>
      <c r="Q254" s="7"/>
    </row>
    <row r="255" spans="1:17" x14ac:dyDescent="0.25">
      <c r="A255" s="1">
        <v>1196</v>
      </c>
      <c r="B255" s="2">
        <v>45583</v>
      </c>
      <c r="C255" s="3"/>
      <c r="D255" s="3"/>
      <c r="E255" s="4" t="s">
        <v>13</v>
      </c>
      <c r="F255" s="3"/>
      <c r="G255" s="3"/>
      <c r="H255" s="5"/>
      <c r="I255" s="5">
        <v>5</v>
      </c>
      <c r="J255" s="5"/>
      <c r="K255" s="6">
        <f t="shared" si="3"/>
        <v>45588</v>
      </c>
      <c r="L255" s="5">
        <v>5</v>
      </c>
      <c r="M255" s="6">
        <f t="shared" si="2"/>
        <v>45593</v>
      </c>
      <c r="N255" s="7" t="s">
        <v>3</v>
      </c>
      <c r="O255" s="7" t="s">
        <v>5</v>
      </c>
      <c r="P255" s="7"/>
      <c r="Q255" s="7"/>
    </row>
    <row r="256" spans="1:17" x14ac:dyDescent="0.25">
      <c r="A256" s="1">
        <v>2790</v>
      </c>
      <c r="B256" s="2">
        <v>45583</v>
      </c>
      <c r="C256" s="3"/>
      <c r="D256" s="3"/>
      <c r="E256" s="4" t="s">
        <v>7</v>
      </c>
      <c r="F256" s="3"/>
      <c r="G256" s="3"/>
      <c r="H256" s="5"/>
      <c r="I256" s="5">
        <v>5</v>
      </c>
      <c r="J256" s="5"/>
      <c r="K256" s="6">
        <f t="shared" si="3"/>
        <v>45588</v>
      </c>
      <c r="L256" s="5">
        <v>3</v>
      </c>
      <c r="M256" s="6">
        <f t="shared" si="2"/>
        <v>45591</v>
      </c>
      <c r="N256" s="7" t="s">
        <v>3</v>
      </c>
      <c r="O256" s="7"/>
      <c r="P256" s="7"/>
      <c r="Q256" s="7"/>
    </row>
    <row r="257" spans="1:17" x14ac:dyDescent="0.25">
      <c r="A257" s="1">
        <v>2979</v>
      </c>
      <c r="B257" s="2">
        <v>45584</v>
      </c>
      <c r="C257" s="3"/>
      <c r="D257" s="3"/>
      <c r="E257" s="4" t="s">
        <v>7</v>
      </c>
      <c r="F257" s="3"/>
      <c r="G257" s="3"/>
      <c r="H257" s="5"/>
      <c r="I257" s="5">
        <v>5</v>
      </c>
      <c r="J257" s="5"/>
      <c r="K257" s="6">
        <f>B257+I257-1</f>
        <v>45588</v>
      </c>
      <c r="L257" s="5">
        <v>3</v>
      </c>
      <c r="M257" s="6">
        <f>K257+L257+1</f>
        <v>45592</v>
      </c>
      <c r="N257" s="7"/>
      <c r="O257" s="7" t="s">
        <v>1</v>
      </c>
      <c r="P257" s="7"/>
      <c r="Q257" s="7" t="s">
        <v>4</v>
      </c>
    </row>
    <row r="258" spans="1:17" x14ac:dyDescent="0.25">
      <c r="A258" s="1">
        <v>2925</v>
      </c>
      <c r="B258" s="2">
        <v>45586</v>
      </c>
      <c r="C258" s="3"/>
      <c r="D258" s="3"/>
      <c r="E258" s="4" t="s">
        <v>7</v>
      </c>
      <c r="F258" s="3"/>
      <c r="G258" s="3"/>
      <c r="H258" s="5"/>
      <c r="I258" s="5">
        <v>5</v>
      </c>
      <c r="J258" s="5"/>
      <c r="K258" s="6">
        <f t="shared" ref="K258:K321" si="4">B258+I258-1</f>
        <v>45590</v>
      </c>
      <c r="L258" s="5">
        <v>3</v>
      </c>
      <c r="M258" s="6">
        <f t="shared" ref="M258:M321" si="5">K258+L258+1</f>
        <v>45594</v>
      </c>
      <c r="N258" s="7" t="s">
        <v>3</v>
      </c>
      <c r="O258" s="7" t="s">
        <v>5</v>
      </c>
      <c r="P258" s="7"/>
      <c r="Q258" s="7"/>
    </row>
    <row r="259" spans="1:17" x14ac:dyDescent="0.25">
      <c r="A259" s="1">
        <v>2928</v>
      </c>
      <c r="B259" s="2">
        <v>45587</v>
      </c>
      <c r="C259" s="3"/>
      <c r="D259" s="3"/>
      <c r="E259" s="4" t="s">
        <v>7</v>
      </c>
      <c r="F259" s="3"/>
      <c r="G259" s="3"/>
      <c r="H259" s="5"/>
      <c r="I259" s="5">
        <v>5</v>
      </c>
      <c r="J259" s="5"/>
      <c r="K259" s="6">
        <f t="shared" si="4"/>
        <v>45591</v>
      </c>
      <c r="L259" s="5">
        <v>3</v>
      </c>
      <c r="M259" s="6">
        <f t="shared" si="5"/>
        <v>45595</v>
      </c>
      <c r="N259" s="7" t="s">
        <v>3</v>
      </c>
      <c r="O259" s="7"/>
      <c r="P259" s="7"/>
      <c r="Q259" s="7"/>
    </row>
    <row r="260" spans="1:17" x14ac:dyDescent="0.25">
      <c r="A260" s="1">
        <v>3055</v>
      </c>
      <c r="B260" s="2">
        <v>45587</v>
      </c>
      <c r="C260" s="3"/>
      <c r="D260" s="3"/>
      <c r="E260" s="4" t="s">
        <v>17</v>
      </c>
      <c r="F260" s="3"/>
      <c r="G260" s="3"/>
      <c r="H260" s="5"/>
      <c r="I260" s="5">
        <v>5</v>
      </c>
      <c r="J260" s="5"/>
      <c r="K260" s="6">
        <f t="shared" si="4"/>
        <v>45591</v>
      </c>
      <c r="L260" s="5">
        <v>6</v>
      </c>
      <c r="M260" s="6">
        <f t="shared" si="5"/>
        <v>45598</v>
      </c>
      <c r="N260" s="7"/>
      <c r="O260" s="7"/>
      <c r="P260" s="7"/>
      <c r="Q260" s="7" t="s">
        <v>4</v>
      </c>
    </row>
    <row r="261" spans="1:17" x14ac:dyDescent="0.25">
      <c r="A261" s="1">
        <v>3171</v>
      </c>
      <c r="B261" s="2">
        <v>45588</v>
      </c>
      <c r="C261" s="3"/>
      <c r="D261" s="3"/>
      <c r="E261" s="4" t="s">
        <v>7</v>
      </c>
      <c r="F261" s="3"/>
      <c r="G261" s="3"/>
      <c r="H261" s="5"/>
      <c r="I261" s="5">
        <v>5</v>
      </c>
      <c r="J261" s="5"/>
      <c r="K261" s="6">
        <f t="shared" si="4"/>
        <v>45592</v>
      </c>
      <c r="L261" s="5">
        <v>3</v>
      </c>
      <c r="M261" s="6">
        <f t="shared" si="5"/>
        <v>45596</v>
      </c>
      <c r="N261" s="7"/>
      <c r="O261" s="7" t="s">
        <v>5</v>
      </c>
      <c r="P261" s="7"/>
      <c r="Q261" s="7"/>
    </row>
    <row r="262" spans="1:17" x14ac:dyDescent="0.25">
      <c r="A262" s="1">
        <v>2979</v>
      </c>
      <c r="B262" s="2">
        <v>45588</v>
      </c>
      <c r="C262" s="3"/>
      <c r="D262" s="3"/>
      <c r="E262" s="4" t="s">
        <v>15</v>
      </c>
      <c r="F262" s="3"/>
      <c r="G262" s="3"/>
      <c r="H262" s="5"/>
      <c r="I262" s="5">
        <v>5</v>
      </c>
      <c r="J262" s="5"/>
      <c r="K262" s="6">
        <f t="shared" si="4"/>
        <v>45592</v>
      </c>
      <c r="L262" s="5">
        <v>9</v>
      </c>
      <c r="M262" s="6">
        <f t="shared" si="5"/>
        <v>45602</v>
      </c>
      <c r="N262" s="7"/>
      <c r="O262" s="7" t="s">
        <v>5</v>
      </c>
      <c r="P262" s="7"/>
      <c r="Q262" s="7" t="s">
        <v>4</v>
      </c>
    </row>
    <row r="263" spans="1:17" x14ac:dyDescent="0.25">
      <c r="A263" s="1">
        <v>2321</v>
      </c>
      <c r="B263" s="2">
        <v>45589</v>
      </c>
      <c r="C263" s="3"/>
      <c r="D263" s="3"/>
      <c r="E263" s="4" t="s">
        <v>7</v>
      </c>
      <c r="F263" s="3"/>
      <c r="G263" s="3"/>
      <c r="H263" s="5"/>
      <c r="I263" s="5">
        <v>5</v>
      </c>
      <c r="J263" s="5"/>
      <c r="K263" s="6">
        <f t="shared" si="4"/>
        <v>45593</v>
      </c>
      <c r="L263" s="5">
        <v>3</v>
      </c>
      <c r="M263" s="6">
        <f t="shared" si="5"/>
        <v>45597</v>
      </c>
      <c r="N263" s="7" t="s">
        <v>3</v>
      </c>
      <c r="O263" s="7"/>
      <c r="P263" s="7"/>
      <c r="Q263" s="7"/>
    </row>
    <row r="264" spans="1:17" x14ac:dyDescent="0.25">
      <c r="A264" s="1">
        <v>3255</v>
      </c>
      <c r="B264" s="2">
        <v>45589</v>
      </c>
      <c r="C264" s="3"/>
      <c r="D264" s="3"/>
      <c r="E264" s="4" t="s">
        <v>7</v>
      </c>
      <c r="F264" s="3"/>
      <c r="G264" s="3"/>
      <c r="H264" s="5"/>
      <c r="I264" s="5">
        <v>5</v>
      </c>
      <c r="J264" s="5"/>
      <c r="K264" s="6">
        <f t="shared" si="4"/>
        <v>45593</v>
      </c>
      <c r="L264" s="5">
        <v>3</v>
      </c>
      <c r="M264" s="6">
        <f t="shared" si="5"/>
        <v>45597</v>
      </c>
      <c r="N264" s="7"/>
      <c r="O264" s="7"/>
      <c r="P264" s="7" t="s">
        <v>1</v>
      </c>
      <c r="Q264" s="7"/>
    </row>
    <row r="265" spans="1:17" x14ac:dyDescent="0.25">
      <c r="A265" s="1">
        <v>3289</v>
      </c>
      <c r="B265" s="2">
        <v>45589</v>
      </c>
      <c r="C265" s="3"/>
      <c r="D265" s="3"/>
      <c r="E265" s="4" t="s">
        <v>0</v>
      </c>
      <c r="F265" s="3"/>
      <c r="G265" s="3"/>
      <c r="H265" s="5"/>
      <c r="I265" s="5">
        <v>5</v>
      </c>
      <c r="J265" s="5"/>
      <c r="K265" s="6">
        <f t="shared" si="4"/>
        <v>45593</v>
      </c>
      <c r="L265" s="5">
        <v>3</v>
      </c>
      <c r="M265" s="6">
        <f t="shared" si="5"/>
        <v>45597</v>
      </c>
      <c r="N265" s="7" t="s">
        <v>3</v>
      </c>
      <c r="O265" s="7" t="s">
        <v>5</v>
      </c>
      <c r="P265" s="7" t="s">
        <v>1</v>
      </c>
      <c r="Q265" s="7" t="s">
        <v>4</v>
      </c>
    </row>
    <row r="266" spans="1:17" x14ac:dyDescent="0.25">
      <c r="A266" s="1">
        <v>2449</v>
      </c>
      <c r="B266" s="2">
        <v>45589</v>
      </c>
      <c r="C266" s="3"/>
      <c r="D266" s="3"/>
      <c r="E266" s="4" t="s">
        <v>7</v>
      </c>
      <c r="F266" s="3"/>
      <c r="G266" s="3"/>
      <c r="H266" s="5"/>
      <c r="I266" s="5">
        <v>5</v>
      </c>
      <c r="J266" s="5"/>
      <c r="K266" s="6">
        <f t="shared" si="4"/>
        <v>45593</v>
      </c>
      <c r="L266" s="5">
        <v>3</v>
      </c>
      <c r="M266" s="6">
        <f t="shared" si="5"/>
        <v>45597</v>
      </c>
      <c r="N266" s="7" t="s">
        <v>3</v>
      </c>
      <c r="O266" s="7"/>
      <c r="P266" s="7"/>
      <c r="Q266" s="7"/>
    </row>
    <row r="267" spans="1:17" x14ac:dyDescent="0.25">
      <c r="A267" s="1">
        <v>3817</v>
      </c>
      <c r="B267" s="2">
        <v>45590</v>
      </c>
      <c r="C267" s="3"/>
      <c r="D267" s="3"/>
      <c r="E267" s="4" t="s">
        <v>13</v>
      </c>
      <c r="F267" s="3"/>
      <c r="G267" s="3"/>
      <c r="H267" s="5"/>
      <c r="I267" s="5">
        <v>5</v>
      </c>
      <c r="J267" s="5"/>
      <c r="K267" s="6">
        <f t="shared" si="4"/>
        <v>45594</v>
      </c>
      <c r="L267" s="5">
        <v>3</v>
      </c>
      <c r="M267" s="6">
        <f t="shared" si="5"/>
        <v>45598</v>
      </c>
      <c r="N267" s="7" t="s">
        <v>3</v>
      </c>
      <c r="O267" s="7"/>
      <c r="P267" s="7"/>
      <c r="Q267" s="7"/>
    </row>
    <row r="268" spans="1:17" x14ac:dyDescent="0.25">
      <c r="A268" s="1">
        <v>2791</v>
      </c>
      <c r="B268" s="2">
        <v>45591</v>
      </c>
      <c r="C268" s="3"/>
      <c r="D268" s="3"/>
      <c r="E268" s="4" t="s">
        <v>10</v>
      </c>
      <c r="F268" s="3"/>
      <c r="G268" s="3"/>
      <c r="H268" s="5"/>
      <c r="I268" s="5">
        <v>5</v>
      </c>
      <c r="J268" s="5"/>
      <c r="K268" s="6">
        <f t="shared" si="4"/>
        <v>45595</v>
      </c>
      <c r="L268" s="5">
        <v>3</v>
      </c>
      <c r="M268" s="6">
        <f t="shared" si="5"/>
        <v>45599</v>
      </c>
      <c r="N268" s="7" t="s">
        <v>3</v>
      </c>
      <c r="O268" s="7"/>
      <c r="P268" s="7"/>
      <c r="Q268" s="7"/>
    </row>
    <row r="269" spans="1:17" x14ac:dyDescent="0.25">
      <c r="A269" s="1">
        <v>4023</v>
      </c>
      <c r="B269" s="2">
        <v>45591</v>
      </c>
      <c r="C269" s="3"/>
      <c r="D269" s="3"/>
      <c r="E269" s="4" t="s">
        <v>10</v>
      </c>
      <c r="F269" s="3"/>
      <c r="G269" s="3"/>
      <c r="H269" s="5"/>
      <c r="I269" s="5">
        <v>5</v>
      </c>
      <c r="J269" s="5"/>
      <c r="K269" s="6">
        <f t="shared" si="4"/>
        <v>45595</v>
      </c>
      <c r="L269" s="5">
        <v>3</v>
      </c>
      <c r="M269" s="6">
        <f t="shared" si="5"/>
        <v>45599</v>
      </c>
      <c r="N269" s="7" t="s">
        <v>3</v>
      </c>
      <c r="O269" s="7"/>
      <c r="P269" s="7"/>
      <c r="Q269" s="7"/>
    </row>
    <row r="270" spans="1:17" x14ac:dyDescent="0.25">
      <c r="A270" s="1">
        <v>1867</v>
      </c>
      <c r="B270" s="2">
        <v>45591</v>
      </c>
      <c r="C270" s="3"/>
      <c r="D270" s="3"/>
      <c r="E270" s="4" t="s">
        <v>10</v>
      </c>
      <c r="F270" s="3"/>
      <c r="G270" s="3"/>
      <c r="H270" s="5"/>
      <c r="I270" s="5">
        <v>5</v>
      </c>
      <c r="J270" s="5"/>
      <c r="K270" s="6">
        <f t="shared" si="4"/>
        <v>45595</v>
      </c>
      <c r="L270" s="5">
        <v>3</v>
      </c>
      <c r="M270" s="6">
        <f t="shared" si="5"/>
        <v>45599</v>
      </c>
      <c r="N270" s="7"/>
      <c r="O270" s="7" t="s">
        <v>5</v>
      </c>
      <c r="P270" s="7"/>
      <c r="Q270" s="7"/>
    </row>
    <row r="271" spans="1:17" x14ac:dyDescent="0.25">
      <c r="A271" s="1">
        <v>2513</v>
      </c>
      <c r="B271" s="2">
        <v>45591</v>
      </c>
      <c r="C271" s="3"/>
      <c r="D271" s="3"/>
      <c r="E271" s="4" t="s">
        <v>10</v>
      </c>
      <c r="F271" s="3"/>
      <c r="G271" s="3"/>
      <c r="H271" s="5"/>
      <c r="I271" s="5">
        <v>5</v>
      </c>
      <c r="J271" s="5"/>
      <c r="K271" s="6">
        <f t="shared" si="4"/>
        <v>45595</v>
      </c>
      <c r="L271" s="5">
        <v>3</v>
      </c>
      <c r="M271" s="6">
        <f t="shared" si="5"/>
        <v>45599</v>
      </c>
      <c r="N271" s="7" t="s">
        <v>3</v>
      </c>
      <c r="O271" s="7"/>
      <c r="P271" s="7"/>
      <c r="Q271" s="7"/>
    </row>
    <row r="272" spans="1:17" x14ac:dyDescent="0.25">
      <c r="A272" s="1">
        <v>2191</v>
      </c>
      <c r="B272" s="2">
        <v>45591</v>
      </c>
      <c r="C272" s="3"/>
      <c r="D272" s="3"/>
      <c r="E272" s="4" t="s">
        <v>10</v>
      </c>
      <c r="F272" s="3"/>
      <c r="G272" s="3"/>
      <c r="H272" s="5"/>
      <c r="I272" s="5">
        <v>5</v>
      </c>
      <c r="J272" s="5"/>
      <c r="K272" s="6">
        <f t="shared" si="4"/>
        <v>45595</v>
      </c>
      <c r="L272" s="5">
        <v>3</v>
      </c>
      <c r="M272" s="6">
        <f t="shared" si="5"/>
        <v>45599</v>
      </c>
      <c r="N272" s="7"/>
      <c r="O272" s="7"/>
      <c r="P272" s="7" t="s">
        <v>1</v>
      </c>
      <c r="Q272" s="7"/>
    </row>
    <row r="273" spans="1:17" x14ac:dyDescent="0.25">
      <c r="A273" s="1">
        <v>873</v>
      </c>
      <c r="B273" s="2">
        <v>45591</v>
      </c>
      <c r="C273" s="3"/>
      <c r="D273" s="3"/>
      <c r="E273" s="4" t="s">
        <v>10</v>
      </c>
      <c r="F273" s="3"/>
      <c r="G273" s="3"/>
      <c r="H273" s="5"/>
      <c r="I273" s="5">
        <v>5</v>
      </c>
      <c r="J273" s="5"/>
      <c r="K273" s="6">
        <f t="shared" si="4"/>
        <v>45595</v>
      </c>
      <c r="L273" s="5">
        <v>3</v>
      </c>
      <c r="M273" s="6">
        <f t="shared" si="5"/>
        <v>45599</v>
      </c>
      <c r="N273" s="7" t="s">
        <v>3</v>
      </c>
      <c r="O273" s="7"/>
      <c r="P273" s="7"/>
      <c r="Q273" s="7"/>
    </row>
    <row r="274" spans="1:17" x14ac:dyDescent="0.25">
      <c r="A274" s="1">
        <v>1983</v>
      </c>
      <c r="B274" s="2">
        <v>45591</v>
      </c>
      <c r="C274" s="3"/>
      <c r="D274" s="3"/>
      <c r="E274" s="4" t="s">
        <v>10</v>
      </c>
      <c r="F274" s="3"/>
      <c r="G274" s="3"/>
      <c r="H274" s="5"/>
      <c r="I274" s="5">
        <v>5</v>
      </c>
      <c r="J274" s="5"/>
      <c r="K274" s="6">
        <f t="shared" si="4"/>
        <v>45595</v>
      </c>
      <c r="L274" s="5">
        <v>3</v>
      </c>
      <c r="M274" s="6">
        <f t="shared" si="5"/>
        <v>45599</v>
      </c>
      <c r="N274" s="7"/>
      <c r="O274" s="7"/>
      <c r="P274" s="7" t="s">
        <v>1</v>
      </c>
      <c r="Q274" s="7"/>
    </row>
    <row r="275" spans="1:17" x14ac:dyDescent="0.25">
      <c r="A275" s="1">
        <v>3144</v>
      </c>
      <c r="B275" s="2">
        <v>45591</v>
      </c>
      <c r="C275" s="3"/>
      <c r="D275" s="3"/>
      <c r="E275" s="4" t="s">
        <v>10</v>
      </c>
      <c r="F275" s="3"/>
      <c r="G275" s="3"/>
      <c r="H275" s="5"/>
      <c r="I275" s="5">
        <v>5</v>
      </c>
      <c r="J275" s="5"/>
      <c r="K275" s="6">
        <f t="shared" si="4"/>
        <v>45595</v>
      </c>
      <c r="L275" s="5">
        <v>3</v>
      </c>
      <c r="M275" s="6">
        <f t="shared" si="5"/>
        <v>45599</v>
      </c>
      <c r="N275" s="7" t="s">
        <v>3</v>
      </c>
      <c r="O275" s="7" t="s">
        <v>5</v>
      </c>
      <c r="P275" s="7" t="s">
        <v>1</v>
      </c>
      <c r="Q275" s="7" t="s">
        <v>4</v>
      </c>
    </row>
    <row r="276" spans="1:17" x14ac:dyDescent="0.25">
      <c r="A276" s="1">
        <v>1036</v>
      </c>
      <c r="B276" s="2">
        <v>45591</v>
      </c>
      <c r="C276" s="3"/>
      <c r="D276" s="3"/>
      <c r="E276" s="4" t="s">
        <v>7</v>
      </c>
      <c r="F276" s="3"/>
      <c r="G276" s="3"/>
      <c r="H276" s="5"/>
      <c r="I276" s="5">
        <v>5</v>
      </c>
      <c r="J276" s="5"/>
      <c r="K276" s="6">
        <f t="shared" si="4"/>
        <v>45595</v>
      </c>
      <c r="L276" s="5">
        <v>3</v>
      </c>
      <c r="M276" s="6">
        <f t="shared" si="5"/>
        <v>45599</v>
      </c>
      <c r="N276" s="7" t="s">
        <v>3</v>
      </c>
      <c r="O276" s="7" t="s">
        <v>5</v>
      </c>
      <c r="P276" s="7"/>
      <c r="Q276" s="7"/>
    </row>
    <row r="277" spans="1:17" x14ac:dyDescent="0.25">
      <c r="A277" s="1">
        <v>2979</v>
      </c>
      <c r="B277" s="2">
        <v>45591</v>
      </c>
      <c r="C277" s="3"/>
      <c r="D277" s="3"/>
      <c r="E277" s="4" t="s">
        <v>6</v>
      </c>
      <c r="F277" s="3"/>
      <c r="G277" s="3"/>
      <c r="H277" s="5"/>
      <c r="I277" s="5">
        <v>5</v>
      </c>
      <c r="J277" s="5"/>
      <c r="K277" s="6">
        <f t="shared" si="4"/>
        <v>45595</v>
      </c>
      <c r="L277" s="5">
        <v>5</v>
      </c>
      <c r="M277" s="6">
        <f t="shared" si="5"/>
        <v>45601</v>
      </c>
      <c r="N277" s="7"/>
      <c r="O277" s="7" t="s">
        <v>5</v>
      </c>
      <c r="P277" s="7"/>
      <c r="Q277" s="7" t="s">
        <v>4</v>
      </c>
    </row>
    <row r="278" spans="1:17" x14ac:dyDescent="0.25">
      <c r="A278" s="1">
        <v>3540</v>
      </c>
      <c r="B278" s="2">
        <v>45593</v>
      </c>
      <c r="C278" s="3"/>
      <c r="D278" s="3"/>
      <c r="E278" s="4" t="s">
        <v>7</v>
      </c>
      <c r="F278" s="3"/>
      <c r="G278" s="3"/>
      <c r="H278" s="5"/>
      <c r="I278" s="5">
        <v>5</v>
      </c>
      <c r="J278" s="5"/>
      <c r="K278" s="6">
        <f t="shared" si="4"/>
        <v>45597</v>
      </c>
      <c r="L278" s="5">
        <v>3</v>
      </c>
      <c r="M278" s="6">
        <f t="shared" si="5"/>
        <v>45601</v>
      </c>
      <c r="N278" s="7"/>
      <c r="O278" s="7"/>
      <c r="P278" s="7" t="s">
        <v>1</v>
      </c>
      <c r="Q278" s="7" t="s">
        <v>4</v>
      </c>
    </row>
    <row r="279" spans="1:17" x14ac:dyDescent="0.25">
      <c r="A279" s="1">
        <v>3171</v>
      </c>
      <c r="B279" s="2">
        <v>45594</v>
      </c>
      <c r="C279" s="3"/>
      <c r="D279" s="3"/>
      <c r="E279" s="4" t="s">
        <v>10</v>
      </c>
      <c r="F279" s="3"/>
      <c r="G279" s="3"/>
      <c r="H279" s="5"/>
      <c r="I279" s="5">
        <v>5</v>
      </c>
      <c r="J279" s="5"/>
      <c r="K279" s="6">
        <f t="shared" si="4"/>
        <v>45598</v>
      </c>
      <c r="L279" s="5">
        <v>3</v>
      </c>
      <c r="M279" s="6">
        <f t="shared" si="5"/>
        <v>45602</v>
      </c>
      <c r="N279" s="7"/>
      <c r="O279" s="7" t="s">
        <v>5</v>
      </c>
      <c r="P279" s="7"/>
      <c r="Q279" s="7"/>
    </row>
    <row r="280" spans="1:17" x14ac:dyDescent="0.25">
      <c r="A280" s="1">
        <v>3096</v>
      </c>
      <c r="B280" s="2">
        <v>45594</v>
      </c>
      <c r="C280" s="3"/>
      <c r="D280" s="3"/>
      <c r="E280" s="4" t="s">
        <v>7</v>
      </c>
      <c r="F280" s="3"/>
      <c r="G280" s="3"/>
      <c r="H280" s="5"/>
      <c r="I280" s="5">
        <v>5</v>
      </c>
      <c r="J280" s="5"/>
      <c r="K280" s="6">
        <f t="shared" si="4"/>
        <v>45598</v>
      </c>
      <c r="L280" s="5">
        <v>3</v>
      </c>
      <c r="M280" s="6">
        <f t="shared" si="5"/>
        <v>45602</v>
      </c>
      <c r="N280" s="7"/>
      <c r="O280" s="7" t="s">
        <v>5</v>
      </c>
      <c r="P280" s="7"/>
      <c r="Q280" s="7"/>
    </row>
    <row r="281" spans="1:17" x14ac:dyDescent="0.25">
      <c r="A281" s="1">
        <v>1036</v>
      </c>
      <c r="B281" s="2">
        <v>45594</v>
      </c>
      <c r="C281" s="3"/>
      <c r="D281" s="3"/>
      <c r="E281" s="4" t="s">
        <v>0</v>
      </c>
      <c r="F281" s="3"/>
      <c r="G281" s="3"/>
      <c r="H281" s="5"/>
      <c r="I281" s="5">
        <v>5</v>
      </c>
      <c r="J281" s="5"/>
      <c r="K281" s="6">
        <f t="shared" si="4"/>
        <v>45598</v>
      </c>
      <c r="L281" s="5">
        <v>3</v>
      </c>
      <c r="M281" s="6">
        <f t="shared" si="5"/>
        <v>45602</v>
      </c>
      <c r="N281" s="7" t="s">
        <v>3</v>
      </c>
      <c r="O281" s="7" t="s">
        <v>5</v>
      </c>
      <c r="P281" s="7"/>
      <c r="Q281" s="7"/>
    </row>
    <row r="282" spans="1:17" x14ac:dyDescent="0.25">
      <c r="A282" s="1">
        <v>657</v>
      </c>
      <c r="B282" s="2">
        <v>45595</v>
      </c>
      <c r="C282" s="3"/>
      <c r="D282" s="3"/>
      <c r="E282" s="4" t="s">
        <v>7</v>
      </c>
      <c r="F282" s="3"/>
      <c r="G282" s="3"/>
      <c r="H282" s="5"/>
      <c r="I282" s="5">
        <v>5</v>
      </c>
      <c r="J282" s="5"/>
      <c r="K282" s="6">
        <f t="shared" si="4"/>
        <v>45599</v>
      </c>
      <c r="L282" s="5">
        <v>3</v>
      </c>
      <c r="M282" s="6">
        <f t="shared" si="5"/>
        <v>45603</v>
      </c>
      <c r="N282" s="7"/>
      <c r="O282" s="7"/>
      <c r="P282" s="7" t="s">
        <v>1</v>
      </c>
      <c r="Q282" s="7"/>
    </row>
    <row r="283" spans="1:17" x14ac:dyDescent="0.25">
      <c r="A283" s="1">
        <v>2477</v>
      </c>
      <c r="B283" s="2">
        <v>45595</v>
      </c>
      <c r="C283" s="3"/>
      <c r="D283" s="3"/>
      <c r="E283" s="4" t="s">
        <v>7</v>
      </c>
      <c r="F283" s="3"/>
      <c r="G283" s="3"/>
      <c r="H283" s="5"/>
      <c r="I283" s="5">
        <v>5</v>
      </c>
      <c r="J283" s="5"/>
      <c r="K283" s="6">
        <f t="shared" si="4"/>
        <v>45599</v>
      </c>
      <c r="L283" s="5">
        <v>3</v>
      </c>
      <c r="M283" s="6">
        <f t="shared" si="5"/>
        <v>45603</v>
      </c>
      <c r="N283" s="7" t="s">
        <v>3</v>
      </c>
      <c r="O283" s="7" t="s">
        <v>5</v>
      </c>
      <c r="P283" s="7"/>
      <c r="Q283" s="7"/>
    </row>
    <row r="284" spans="1:17" x14ac:dyDescent="0.25">
      <c r="A284" s="1">
        <v>647</v>
      </c>
      <c r="B284" s="2">
        <v>45596</v>
      </c>
      <c r="C284" s="3"/>
      <c r="D284" s="3"/>
      <c r="E284" s="4" t="s">
        <v>7</v>
      </c>
      <c r="F284" s="3"/>
      <c r="G284" s="3"/>
      <c r="H284" s="5"/>
      <c r="I284" s="5">
        <v>5</v>
      </c>
      <c r="J284" s="5"/>
      <c r="K284" s="6">
        <f t="shared" si="4"/>
        <v>45600</v>
      </c>
      <c r="L284" s="5">
        <v>3</v>
      </c>
      <c r="M284" s="6">
        <f t="shared" si="5"/>
        <v>45604</v>
      </c>
      <c r="N284" s="7"/>
      <c r="O284" s="7" t="s">
        <v>5</v>
      </c>
      <c r="P284" s="7"/>
      <c r="Q284" s="7" t="s">
        <v>4</v>
      </c>
    </row>
    <row r="285" spans="1:17" x14ac:dyDescent="0.25">
      <c r="A285" s="1">
        <v>2087</v>
      </c>
      <c r="B285" s="2">
        <v>45596</v>
      </c>
      <c r="C285" s="3"/>
      <c r="D285" s="3"/>
      <c r="E285" s="4" t="s">
        <v>7</v>
      </c>
      <c r="F285" s="3"/>
      <c r="G285" s="3"/>
      <c r="H285" s="5"/>
      <c r="I285" s="5">
        <v>5</v>
      </c>
      <c r="J285" s="5"/>
      <c r="K285" s="6">
        <f t="shared" si="4"/>
        <v>45600</v>
      </c>
      <c r="L285" s="5">
        <v>3</v>
      </c>
      <c r="M285" s="6">
        <f t="shared" si="5"/>
        <v>45604</v>
      </c>
      <c r="N285" s="7" t="s">
        <v>3</v>
      </c>
      <c r="O285" s="7" t="s">
        <v>5</v>
      </c>
      <c r="P285" s="7"/>
      <c r="Q285" s="7"/>
    </row>
    <row r="286" spans="1:17" x14ac:dyDescent="0.25">
      <c r="A286" s="1">
        <v>2882</v>
      </c>
      <c r="B286" s="2">
        <v>45596</v>
      </c>
      <c r="C286" s="3"/>
      <c r="D286" s="3"/>
      <c r="E286" s="4" t="s">
        <v>10</v>
      </c>
      <c r="F286" s="3"/>
      <c r="G286" s="3"/>
      <c r="H286" s="5"/>
      <c r="I286" s="5">
        <v>5</v>
      </c>
      <c r="J286" s="5"/>
      <c r="K286" s="6">
        <f t="shared" si="4"/>
        <v>45600</v>
      </c>
      <c r="L286" s="5">
        <v>3</v>
      </c>
      <c r="M286" s="6">
        <f t="shared" si="5"/>
        <v>45604</v>
      </c>
      <c r="N286" s="7" t="s">
        <v>3</v>
      </c>
      <c r="O286" s="7"/>
      <c r="P286" s="7" t="s">
        <v>1</v>
      </c>
      <c r="Q286" s="7"/>
    </row>
    <row r="287" spans="1:17" x14ac:dyDescent="0.25">
      <c r="A287" s="1">
        <v>3200</v>
      </c>
      <c r="B287" s="2">
        <v>45596</v>
      </c>
      <c r="C287" s="3"/>
      <c r="D287" s="3"/>
      <c r="E287" s="4" t="s">
        <v>7</v>
      </c>
      <c r="F287" s="3"/>
      <c r="G287" s="3"/>
      <c r="H287" s="5"/>
      <c r="I287" s="5">
        <v>5</v>
      </c>
      <c r="J287" s="5"/>
      <c r="K287" s="6">
        <f t="shared" si="4"/>
        <v>45600</v>
      </c>
      <c r="L287" s="5">
        <v>3</v>
      </c>
      <c r="M287" s="6">
        <f t="shared" si="5"/>
        <v>45604</v>
      </c>
      <c r="N287" s="7"/>
      <c r="O287" s="7"/>
      <c r="P287" s="7"/>
      <c r="Q287" s="7" t="s">
        <v>4</v>
      </c>
    </row>
    <row r="288" spans="1:17" x14ac:dyDescent="0.25">
      <c r="A288" s="1">
        <v>3055</v>
      </c>
      <c r="B288" s="2">
        <v>45596</v>
      </c>
      <c r="C288" s="3"/>
      <c r="D288" s="3"/>
      <c r="E288" s="4" t="s">
        <v>13</v>
      </c>
      <c r="F288" s="3"/>
      <c r="G288" s="3"/>
      <c r="H288" s="5"/>
      <c r="I288" s="5">
        <v>5</v>
      </c>
      <c r="J288" s="5"/>
      <c r="K288" s="6">
        <f t="shared" si="4"/>
        <v>45600</v>
      </c>
      <c r="L288" s="5">
        <v>3</v>
      </c>
      <c r="M288" s="6">
        <f t="shared" si="5"/>
        <v>45604</v>
      </c>
      <c r="N288" s="7"/>
      <c r="O288" s="7"/>
      <c r="P288" s="7"/>
      <c r="Q288" s="7" t="s">
        <v>4</v>
      </c>
    </row>
    <row r="289" spans="1:17" x14ac:dyDescent="0.25">
      <c r="A289" s="1">
        <v>2218</v>
      </c>
      <c r="B289" s="2">
        <v>45597</v>
      </c>
      <c r="C289" s="3"/>
      <c r="D289" s="3"/>
      <c r="E289" s="4" t="s">
        <v>7</v>
      </c>
      <c r="F289" s="3"/>
      <c r="G289" s="3"/>
      <c r="H289" s="5"/>
      <c r="I289" s="5">
        <v>5</v>
      </c>
      <c r="J289" s="5"/>
      <c r="K289" s="6">
        <f t="shared" si="4"/>
        <v>45601</v>
      </c>
      <c r="L289" s="5">
        <v>3</v>
      </c>
      <c r="M289" s="6">
        <f t="shared" si="5"/>
        <v>45605</v>
      </c>
      <c r="N289" s="7"/>
      <c r="O289" s="7"/>
      <c r="P289" s="7"/>
      <c r="Q289" s="7" t="s">
        <v>4</v>
      </c>
    </row>
    <row r="290" spans="1:17" x14ac:dyDescent="0.25">
      <c r="A290" s="1">
        <v>2665</v>
      </c>
      <c r="B290" s="2">
        <v>45597</v>
      </c>
      <c r="C290" s="3"/>
      <c r="D290" s="3"/>
      <c r="E290" s="4" t="s">
        <v>7</v>
      </c>
      <c r="F290" s="3"/>
      <c r="G290" s="3"/>
      <c r="H290" s="5"/>
      <c r="I290" s="5">
        <v>5</v>
      </c>
      <c r="J290" s="5"/>
      <c r="K290" s="6">
        <f t="shared" si="4"/>
        <v>45601</v>
      </c>
      <c r="L290" s="5">
        <v>3</v>
      </c>
      <c r="M290" s="6">
        <f t="shared" si="5"/>
        <v>45605</v>
      </c>
      <c r="N290" s="7"/>
      <c r="O290" s="7"/>
      <c r="P290" s="7"/>
      <c r="Q290" s="7" t="s">
        <v>4</v>
      </c>
    </row>
    <row r="291" spans="1:17" x14ac:dyDescent="0.25">
      <c r="A291" s="1">
        <v>3211</v>
      </c>
      <c r="B291" s="2">
        <v>45597</v>
      </c>
      <c r="C291" s="3"/>
      <c r="D291" s="3"/>
      <c r="E291" s="4" t="s">
        <v>7</v>
      </c>
      <c r="F291" s="3"/>
      <c r="G291" s="3"/>
      <c r="H291" s="5"/>
      <c r="I291" s="5">
        <v>5</v>
      </c>
      <c r="J291" s="5"/>
      <c r="K291" s="6">
        <f t="shared" si="4"/>
        <v>45601</v>
      </c>
      <c r="L291" s="5">
        <v>3</v>
      </c>
      <c r="M291" s="6">
        <f t="shared" si="5"/>
        <v>45605</v>
      </c>
      <c r="N291" s="7" t="s">
        <v>3</v>
      </c>
      <c r="O291" s="7" t="s">
        <v>5</v>
      </c>
      <c r="P291" s="7" t="s">
        <v>1</v>
      </c>
      <c r="Q291" s="7"/>
    </row>
    <row r="292" spans="1:17" x14ac:dyDescent="0.25">
      <c r="A292" s="1">
        <v>3847</v>
      </c>
      <c r="B292" s="2">
        <v>45597</v>
      </c>
      <c r="C292" s="3"/>
      <c r="D292" s="3"/>
      <c r="E292" s="4" t="s">
        <v>7</v>
      </c>
      <c r="F292" s="3"/>
      <c r="G292" s="3"/>
      <c r="H292" s="5"/>
      <c r="I292" s="5">
        <v>5</v>
      </c>
      <c r="J292" s="5"/>
      <c r="K292" s="6">
        <f t="shared" si="4"/>
        <v>45601</v>
      </c>
      <c r="L292" s="5">
        <v>3</v>
      </c>
      <c r="M292" s="6">
        <f t="shared" si="5"/>
        <v>45605</v>
      </c>
      <c r="N292" s="7"/>
      <c r="O292" s="7"/>
      <c r="P292" s="7" t="s">
        <v>1</v>
      </c>
      <c r="Q292" s="7" t="s">
        <v>4</v>
      </c>
    </row>
    <row r="293" spans="1:17" x14ac:dyDescent="0.25">
      <c r="A293" s="1">
        <v>2321</v>
      </c>
      <c r="B293" s="2">
        <v>45598</v>
      </c>
      <c r="C293" s="3"/>
      <c r="D293" s="3"/>
      <c r="E293" s="4" t="s">
        <v>7</v>
      </c>
      <c r="F293" s="3"/>
      <c r="G293" s="3"/>
      <c r="H293" s="5"/>
      <c r="I293" s="5">
        <v>5</v>
      </c>
      <c r="J293" s="5"/>
      <c r="K293" s="6">
        <f t="shared" si="4"/>
        <v>45602</v>
      </c>
      <c r="L293" s="5">
        <v>3</v>
      </c>
      <c r="M293" s="6">
        <f t="shared" si="5"/>
        <v>45606</v>
      </c>
      <c r="N293" s="7"/>
      <c r="O293" s="7" t="s">
        <v>5</v>
      </c>
      <c r="P293" s="7"/>
      <c r="Q293" s="7"/>
    </row>
    <row r="294" spans="1:17" x14ac:dyDescent="0.25">
      <c r="A294" s="1">
        <v>3528</v>
      </c>
      <c r="B294" s="2">
        <v>45598</v>
      </c>
      <c r="C294" s="3"/>
      <c r="D294" s="3"/>
      <c r="E294" s="4" t="s">
        <v>7</v>
      </c>
      <c r="F294" s="3"/>
      <c r="G294" s="3"/>
      <c r="H294" s="5"/>
      <c r="I294" s="5">
        <v>5</v>
      </c>
      <c r="J294" s="5"/>
      <c r="K294" s="6">
        <f t="shared" si="4"/>
        <v>45602</v>
      </c>
      <c r="L294" s="5">
        <v>3</v>
      </c>
      <c r="M294" s="6">
        <f t="shared" si="5"/>
        <v>45606</v>
      </c>
      <c r="N294" s="7"/>
      <c r="O294" s="7" t="s">
        <v>5</v>
      </c>
      <c r="P294" s="7" t="s">
        <v>1</v>
      </c>
      <c r="Q294" s="7" t="s">
        <v>4</v>
      </c>
    </row>
    <row r="295" spans="1:17" x14ac:dyDescent="0.25">
      <c r="A295" s="1">
        <v>1738</v>
      </c>
      <c r="B295" s="2">
        <v>45598</v>
      </c>
      <c r="C295" s="3"/>
      <c r="D295" s="3"/>
      <c r="E295" s="4" t="s">
        <v>7</v>
      </c>
      <c r="F295" s="3"/>
      <c r="G295" s="3"/>
      <c r="H295" s="5"/>
      <c r="I295" s="5">
        <v>5</v>
      </c>
      <c r="J295" s="5"/>
      <c r="K295" s="6">
        <f t="shared" si="4"/>
        <v>45602</v>
      </c>
      <c r="L295" s="5">
        <v>3</v>
      </c>
      <c r="M295" s="6">
        <f t="shared" si="5"/>
        <v>45606</v>
      </c>
      <c r="N295" s="7"/>
      <c r="O295" s="7" t="s">
        <v>5</v>
      </c>
      <c r="P295" s="7"/>
      <c r="Q295" s="7"/>
    </row>
    <row r="296" spans="1:17" x14ac:dyDescent="0.25">
      <c r="A296" s="1">
        <v>2979</v>
      </c>
      <c r="B296" s="2">
        <v>45598</v>
      </c>
      <c r="C296" s="3"/>
      <c r="D296" s="3"/>
      <c r="E296" s="4" t="s">
        <v>7</v>
      </c>
      <c r="F296" s="3"/>
      <c r="G296" s="3"/>
      <c r="H296" s="5"/>
      <c r="I296" s="5">
        <v>5</v>
      </c>
      <c r="J296" s="5"/>
      <c r="K296" s="6">
        <f t="shared" si="4"/>
        <v>45602</v>
      </c>
      <c r="L296" s="5">
        <v>3</v>
      </c>
      <c r="M296" s="6">
        <f t="shared" si="5"/>
        <v>45606</v>
      </c>
      <c r="N296" s="7"/>
      <c r="O296" s="7" t="s">
        <v>5</v>
      </c>
      <c r="P296" s="7"/>
      <c r="Q296" s="7"/>
    </row>
    <row r="297" spans="1:17" x14ac:dyDescent="0.25">
      <c r="A297" s="1">
        <v>2513</v>
      </c>
      <c r="B297" s="2">
        <v>45598</v>
      </c>
      <c r="C297" s="3"/>
      <c r="D297" s="3"/>
      <c r="E297" s="4" t="s">
        <v>17</v>
      </c>
      <c r="F297" s="3"/>
      <c r="G297" s="3"/>
      <c r="H297" s="5"/>
      <c r="I297" s="5">
        <v>5</v>
      </c>
      <c r="J297" s="5"/>
      <c r="K297" s="6">
        <f t="shared" si="4"/>
        <v>45602</v>
      </c>
      <c r="L297" s="5">
        <v>3</v>
      </c>
      <c r="M297" s="6">
        <f t="shared" si="5"/>
        <v>45606</v>
      </c>
      <c r="N297" s="7"/>
      <c r="O297" s="7"/>
      <c r="P297" s="7" t="s">
        <v>1</v>
      </c>
      <c r="Q297" s="7" t="s">
        <v>4</v>
      </c>
    </row>
    <row r="298" spans="1:17" x14ac:dyDescent="0.25">
      <c r="A298" s="1">
        <v>1915</v>
      </c>
      <c r="B298" s="2">
        <v>45599</v>
      </c>
      <c r="C298" s="3"/>
      <c r="D298" s="3"/>
      <c r="E298" s="4" t="s">
        <v>7</v>
      </c>
      <c r="F298" s="3"/>
      <c r="G298" s="3"/>
      <c r="H298" s="5"/>
      <c r="I298" s="5">
        <v>5</v>
      </c>
      <c r="J298" s="5"/>
      <c r="K298" s="6">
        <f t="shared" si="4"/>
        <v>45603</v>
      </c>
      <c r="L298" s="5">
        <v>3</v>
      </c>
      <c r="M298" s="6">
        <f t="shared" si="5"/>
        <v>45607</v>
      </c>
      <c r="N298" s="7" t="s">
        <v>3</v>
      </c>
      <c r="O298" s="7" t="s">
        <v>5</v>
      </c>
      <c r="P298" s="7" t="s">
        <v>1</v>
      </c>
      <c r="Q298" s="7" t="s">
        <v>4</v>
      </c>
    </row>
    <row r="299" spans="1:17" x14ac:dyDescent="0.25">
      <c r="A299" s="1">
        <v>3533</v>
      </c>
      <c r="B299" s="2">
        <v>45599</v>
      </c>
      <c r="C299" s="3"/>
      <c r="D299" s="3"/>
      <c r="E299" s="4" t="s">
        <v>0</v>
      </c>
      <c r="F299" s="3"/>
      <c r="G299" s="3"/>
      <c r="H299" s="5"/>
      <c r="I299" s="5">
        <v>5</v>
      </c>
      <c r="J299" s="5"/>
      <c r="K299" s="6">
        <f t="shared" si="4"/>
        <v>45603</v>
      </c>
      <c r="L299" s="5">
        <v>5</v>
      </c>
      <c r="M299" s="6">
        <f t="shared" si="5"/>
        <v>45609</v>
      </c>
      <c r="N299" s="7"/>
      <c r="O299" s="7" t="s">
        <v>5</v>
      </c>
      <c r="P299" s="7"/>
      <c r="Q299" s="7"/>
    </row>
    <row r="300" spans="1:17" x14ac:dyDescent="0.25">
      <c r="A300" s="1">
        <v>3235</v>
      </c>
      <c r="B300" s="2">
        <v>45600</v>
      </c>
      <c r="C300" s="3"/>
      <c r="D300" s="3"/>
      <c r="E300" s="4" t="s">
        <v>7</v>
      </c>
      <c r="F300" s="3"/>
      <c r="G300" s="3"/>
      <c r="H300" s="5"/>
      <c r="I300" s="5">
        <v>5</v>
      </c>
      <c r="J300" s="5"/>
      <c r="K300" s="6">
        <f t="shared" si="4"/>
        <v>45604</v>
      </c>
      <c r="L300" s="5">
        <v>3</v>
      </c>
      <c r="M300" s="6">
        <f t="shared" si="5"/>
        <v>45608</v>
      </c>
      <c r="N300" s="7"/>
      <c r="O300" s="7"/>
      <c r="P300" s="7"/>
      <c r="Q300" s="7" t="s">
        <v>4</v>
      </c>
    </row>
    <row r="301" spans="1:17" x14ac:dyDescent="0.25">
      <c r="A301" s="1">
        <v>871</v>
      </c>
      <c r="B301" s="2">
        <v>45601</v>
      </c>
      <c r="C301" s="3"/>
      <c r="D301" s="3"/>
      <c r="E301" s="4" t="s">
        <v>7</v>
      </c>
      <c r="F301" s="3"/>
      <c r="G301" s="3"/>
      <c r="H301" s="5"/>
      <c r="I301" s="5">
        <v>5</v>
      </c>
      <c r="J301" s="5"/>
      <c r="K301" s="6">
        <f t="shared" si="4"/>
        <v>45605</v>
      </c>
      <c r="L301" s="5">
        <v>3</v>
      </c>
      <c r="M301" s="6">
        <f t="shared" si="5"/>
        <v>45609</v>
      </c>
      <c r="N301" s="7"/>
      <c r="O301" s="7"/>
      <c r="P301" s="7"/>
      <c r="Q301" s="7" t="s">
        <v>4</v>
      </c>
    </row>
    <row r="302" spans="1:17" x14ac:dyDescent="0.25">
      <c r="A302" s="1">
        <v>2665</v>
      </c>
      <c r="B302" s="2">
        <v>45601</v>
      </c>
      <c r="C302" s="3"/>
      <c r="D302" s="3"/>
      <c r="E302" s="4" t="s">
        <v>17</v>
      </c>
      <c r="F302" s="3"/>
      <c r="G302" s="3"/>
      <c r="H302" s="5"/>
      <c r="I302" s="5">
        <v>5</v>
      </c>
      <c r="J302" s="5"/>
      <c r="K302" s="6">
        <f t="shared" si="4"/>
        <v>45605</v>
      </c>
      <c r="L302" s="5">
        <v>6</v>
      </c>
      <c r="M302" s="6">
        <f t="shared" si="5"/>
        <v>45612</v>
      </c>
      <c r="N302" s="7"/>
      <c r="O302" s="7"/>
      <c r="P302" s="7"/>
      <c r="Q302" s="7" t="s">
        <v>4</v>
      </c>
    </row>
    <row r="303" spans="1:17" x14ac:dyDescent="0.25">
      <c r="A303" s="1">
        <v>4023</v>
      </c>
      <c r="B303" s="2">
        <v>45601</v>
      </c>
      <c r="C303" s="3"/>
      <c r="D303" s="3"/>
      <c r="E303" s="4" t="s">
        <v>7</v>
      </c>
      <c r="F303" s="3"/>
      <c r="G303" s="3"/>
      <c r="H303" s="5"/>
      <c r="I303" s="5">
        <v>5</v>
      </c>
      <c r="J303" s="5"/>
      <c r="K303" s="6">
        <f t="shared" si="4"/>
        <v>45605</v>
      </c>
      <c r="L303" s="5">
        <v>3</v>
      </c>
      <c r="M303" s="6">
        <f t="shared" si="5"/>
        <v>45609</v>
      </c>
      <c r="N303" s="7" t="s">
        <v>3</v>
      </c>
      <c r="O303" s="7"/>
      <c r="P303" s="7"/>
      <c r="Q303" s="7"/>
    </row>
    <row r="304" spans="1:17" x14ac:dyDescent="0.25">
      <c r="A304" s="1">
        <v>2439</v>
      </c>
      <c r="B304" s="2">
        <v>45601</v>
      </c>
      <c r="C304" s="3"/>
      <c r="D304" s="3"/>
      <c r="E304" s="4" t="s">
        <v>7</v>
      </c>
      <c r="F304" s="3"/>
      <c r="G304" s="3"/>
      <c r="H304" s="5"/>
      <c r="I304" s="5">
        <v>5</v>
      </c>
      <c r="J304" s="5"/>
      <c r="K304" s="6">
        <f t="shared" si="4"/>
        <v>45605</v>
      </c>
      <c r="L304" s="5">
        <v>3</v>
      </c>
      <c r="M304" s="6">
        <f t="shared" si="5"/>
        <v>45609</v>
      </c>
      <c r="N304" s="7"/>
      <c r="O304" s="7" t="s">
        <v>5</v>
      </c>
      <c r="P304" s="7"/>
      <c r="Q304" s="7"/>
    </row>
    <row r="305" spans="1:17" x14ac:dyDescent="0.25">
      <c r="A305" s="1">
        <v>3629</v>
      </c>
      <c r="B305" s="2">
        <v>45601</v>
      </c>
      <c r="C305" s="3"/>
      <c r="D305" s="3"/>
      <c r="E305" s="4" t="s">
        <v>7</v>
      </c>
      <c r="F305" s="3"/>
      <c r="G305" s="3"/>
      <c r="H305" s="5"/>
      <c r="I305" s="5">
        <v>5</v>
      </c>
      <c r="J305" s="5"/>
      <c r="K305" s="6">
        <f t="shared" si="4"/>
        <v>45605</v>
      </c>
      <c r="L305" s="5">
        <v>3</v>
      </c>
      <c r="M305" s="6">
        <f t="shared" si="5"/>
        <v>45609</v>
      </c>
      <c r="N305" s="7"/>
      <c r="O305" s="7" t="s">
        <v>5</v>
      </c>
      <c r="P305" s="7"/>
      <c r="Q305" s="7"/>
    </row>
    <row r="306" spans="1:17" x14ac:dyDescent="0.25">
      <c r="A306" s="1">
        <v>2324</v>
      </c>
      <c r="B306" s="2">
        <v>45602</v>
      </c>
      <c r="C306" s="3"/>
      <c r="D306" s="3"/>
      <c r="E306" s="4" t="s">
        <v>7</v>
      </c>
      <c r="F306" s="3"/>
      <c r="G306" s="3"/>
      <c r="H306" s="5"/>
      <c r="I306" s="5">
        <v>5</v>
      </c>
      <c r="J306" s="5"/>
      <c r="K306" s="6">
        <f t="shared" si="4"/>
        <v>45606</v>
      </c>
      <c r="L306" s="5">
        <v>3</v>
      </c>
      <c r="M306" s="6">
        <f t="shared" si="5"/>
        <v>45610</v>
      </c>
      <c r="N306" s="7"/>
      <c r="O306" s="7"/>
      <c r="P306" s="7"/>
      <c r="Q306" s="7" t="s">
        <v>4</v>
      </c>
    </row>
    <row r="307" spans="1:17" x14ac:dyDescent="0.25">
      <c r="A307" s="1">
        <v>3540</v>
      </c>
      <c r="B307" s="2">
        <v>45602</v>
      </c>
      <c r="C307" s="3"/>
      <c r="D307" s="3"/>
      <c r="E307" s="4" t="s">
        <v>7</v>
      </c>
      <c r="F307" s="3"/>
      <c r="G307" s="3"/>
      <c r="H307" s="5"/>
      <c r="I307" s="5">
        <v>5</v>
      </c>
      <c r="J307" s="5"/>
      <c r="K307" s="6">
        <f t="shared" si="4"/>
        <v>45606</v>
      </c>
      <c r="L307" s="5">
        <v>3</v>
      </c>
      <c r="M307" s="6">
        <f t="shared" si="5"/>
        <v>45610</v>
      </c>
      <c r="N307" s="7"/>
      <c r="O307" s="7"/>
      <c r="P307" s="7" t="s">
        <v>1</v>
      </c>
      <c r="Q307" s="7" t="s">
        <v>4</v>
      </c>
    </row>
    <row r="308" spans="1:17" x14ac:dyDescent="0.25">
      <c r="A308" s="1">
        <v>2118</v>
      </c>
      <c r="B308" s="2">
        <v>45602</v>
      </c>
      <c r="C308" s="3"/>
      <c r="D308" s="3"/>
      <c r="E308" s="4" t="s">
        <v>7</v>
      </c>
      <c r="F308" s="3"/>
      <c r="G308" s="3"/>
      <c r="H308" s="5"/>
      <c r="I308" s="5">
        <v>5</v>
      </c>
      <c r="J308" s="5"/>
      <c r="K308" s="6">
        <f t="shared" si="4"/>
        <v>45606</v>
      </c>
      <c r="L308" s="5">
        <v>3</v>
      </c>
      <c r="M308" s="6">
        <f t="shared" si="5"/>
        <v>45610</v>
      </c>
      <c r="N308" s="7"/>
      <c r="O308" s="7" t="s">
        <v>5</v>
      </c>
      <c r="P308" s="7"/>
      <c r="Q308" s="7" t="s">
        <v>4</v>
      </c>
    </row>
    <row r="309" spans="1:17" x14ac:dyDescent="0.25">
      <c r="A309" s="1">
        <v>2511</v>
      </c>
      <c r="B309" s="2">
        <v>45603</v>
      </c>
      <c r="C309" s="3"/>
      <c r="D309" s="3"/>
      <c r="E309" s="4" t="s">
        <v>7</v>
      </c>
      <c r="F309" s="3"/>
      <c r="G309" s="3"/>
      <c r="H309" s="5"/>
      <c r="I309" s="5">
        <v>5</v>
      </c>
      <c r="J309" s="5"/>
      <c r="K309" s="6">
        <f t="shared" si="4"/>
        <v>45607</v>
      </c>
      <c r="L309" s="5">
        <v>3</v>
      </c>
      <c r="M309" s="6">
        <f t="shared" si="5"/>
        <v>45611</v>
      </c>
      <c r="N309" s="7" t="s">
        <v>3</v>
      </c>
      <c r="O309" s="7"/>
      <c r="P309" s="7"/>
      <c r="Q309" s="7" t="s">
        <v>4</v>
      </c>
    </row>
    <row r="310" spans="1:17" x14ac:dyDescent="0.25">
      <c r="A310" s="1">
        <v>3235</v>
      </c>
      <c r="B310" s="2">
        <v>45603</v>
      </c>
      <c r="C310" s="3"/>
      <c r="D310" s="3"/>
      <c r="E310" s="4" t="s">
        <v>15</v>
      </c>
      <c r="F310" s="3"/>
      <c r="G310" s="3"/>
      <c r="H310" s="5"/>
      <c r="I310" s="5">
        <v>5</v>
      </c>
      <c r="J310" s="5"/>
      <c r="K310" s="6">
        <f t="shared" si="4"/>
        <v>45607</v>
      </c>
      <c r="L310" s="5">
        <v>9</v>
      </c>
      <c r="M310" s="6">
        <f t="shared" si="5"/>
        <v>45617</v>
      </c>
      <c r="N310" s="7" t="s">
        <v>3</v>
      </c>
      <c r="O310" s="7" t="s">
        <v>5</v>
      </c>
      <c r="P310" s="7" t="s">
        <v>1</v>
      </c>
      <c r="Q310" s="7" t="s">
        <v>4</v>
      </c>
    </row>
    <row r="311" spans="1:17" x14ac:dyDescent="0.25">
      <c r="A311" s="1">
        <v>873</v>
      </c>
      <c r="B311" s="2">
        <v>45603</v>
      </c>
      <c r="C311" s="3"/>
      <c r="D311" s="3"/>
      <c r="E311" s="4" t="s">
        <v>7</v>
      </c>
      <c r="F311" s="3"/>
      <c r="G311" s="3"/>
      <c r="H311" s="5"/>
      <c r="I311" s="5">
        <v>5</v>
      </c>
      <c r="J311" s="5"/>
      <c r="K311" s="6">
        <f t="shared" si="4"/>
        <v>45607</v>
      </c>
      <c r="L311" s="5">
        <v>3</v>
      </c>
      <c r="M311" s="6">
        <f t="shared" si="5"/>
        <v>45611</v>
      </c>
      <c r="N311" s="7" t="s">
        <v>3</v>
      </c>
      <c r="O311" s="7"/>
      <c r="P311" s="7"/>
      <c r="Q311" s="7"/>
    </row>
    <row r="312" spans="1:17" x14ac:dyDescent="0.25">
      <c r="A312" s="1">
        <v>3528</v>
      </c>
      <c r="B312" s="2">
        <v>45604</v>
      </c>
      <c r="C312" s="3"/>
      <c r="D312" s="3"/>
      <c r="E312" s="4" t="s">
        <v>7</v>
      </c>
      <c r="F312" s="3"/>
      <c r="G312" s="3"/>
      <c r="H312" s="5"/>
      <c r="I312" s="5">
        <v>5</v>
      </c>
      <c r="J312" s="5"/>
      <c r="K312" s="6">
        <f t="shared" si="4"/>
        <v>45608</v>
      </c>
      <c r="L312" s="5">
        <v>2</v>
      </c>
      <c r="M312" s="6">
        <f t="shared" si="5"/>
        <v>45611</v>
      </c>
      <c r="N312" s="7"/>
      <c r="O312" s="7" t="s">
        <v>5</v>
      </c>
      <c r="P312" s="7"/>
      <c r="Q312" s="7"/>
    </row>
    <row r="313" spans="1:17" x14ac:dyDescent="0.25">
      <c r="A313" s="1">
        <v>2439</v>
      </c>
      <c r="B313" s="2">
        <v>45604</v>
      </c>
      <c r="C313" s="3"/>
      <c r="D313" s="3"/>
      <c r="E313" s="4" t="s">
        <v>7</v>
      </c>
      <c r="F313" s="3"/>
      <c r="G313" s="3"/>
      <c r="H313" s="5"/>
      <c r="I313" s="5">
        <v>5</v>
      </c>
      <c r="J313" s="5"/>
      <c r="K313" s="6">
        <f t="shared" si="4"/>
        <v>45608</v>
      </c>
      <c r="L313" s="5">
        <v>2</v>
      </c>
      <c r="M313" s="6">
        <f t="shared" si="5"/>
        <v>45611</v>
      </c>
      <c r="N313" s="7"/>
      <c r="O313" s="7" t="s">
        <v>5</v>
      </c>
      <c r="P313" s="7"/>
      <c r="Q313" s="7"/>
    </row>
    <row r="314" spans="1:17" x14ac:dyDescent="0.25">
      <c r="A314" s="1">
        <v>2791</v>
      </c>
      <c r="B314" s="2">
        <v>45604</v>
      </c>
      <c r="C314" s="3"/>
      <c r="D314" s="3"/>
      <c r="E314" s="4" t="s">
        <v>7</v>
      </c>
      <c r="F314" s="3"/>
      <c r="G314" s="3"/>
      <c r="H314" s="5"/>
      <c r="I314" s="5">
        <v>5</v>
      </c>
      <c r="J314" s="5"/>
      <c r="K314" s="6">
        <f t="shared" si="4"/>
        <v>45608</v>
      </c>
      <c r="L314" s="5">
        <v>3</v>
      </c>
      <c r="M314" s="6">
        <f t="shared" si="5"/>
        <v>45612</v>
      </c>
      <c r="N314" s="7" t="s">
        <v>3</v>
      </c>
      <c r="O314" s="7"/>
      <c r="P314" s="7"/>
      <c r="Q314" s="7"/>
    </row>
    <row r="315" spans="1:17" x14ac:dyDescent="0.25">
      <c r="A315" s="1">
        <v>4039</v>
      </c>
      <c r="B315" s="2">
        <v>45605</v>
      </c>
      <c r="C315" s="3"/>
      <c r="D315" s="3"/>
      <c r="E315" s="4" t="s">
        <v>7</v>
      </c>
      <c r="F315" s="3"/>
      <c r="G315" s="3"/>
      <c r="H315" s="5"/>
      <c r="I315" s="5">
        <v>5</v>
      </c>
      <c r="J315" s="5"/>
      <c r="K315" s="6">
        <f t="shared" si="4"/>
        <v>45609</v>
      </c>
      <c r="L315" s="5">
        <v>3</v>
      </c>
      <c r="M315" s="6">
        <f t="shared" si="5"/>
        <v>45613</v>
      </c>
      <c r="N315" s="7"/>
      <c r="O315" s="7"/>
      <c r="P315" s="7" t="s">
        <v>1</v>
      </c>
      <c r="Q315" s="7"/>
    </row>
    <row r="316" spans="1:17" x14ac:dyDescent="0.25">
      <c r="A316" s="1">
        <v>3540</v>
      </c>
      <c r="B316" s="2">
        <v>45605</v>
      </c>
      <c r="C316" s="3"/>
      <c r="D316" s="3"/>
      <c r="E316" s="4" t="s">
        <v>0</v>
      </c>
      <c r="F316" s="3"/>
      <c r="G316" s="3"/>
      <c r="H316" s="5"/>
      <c r="I316" s="5">
        <v>5</v>
      </c>
      <c r="J316" s="5"/>
      <c r="K316" s="6">
        <f t="shared" si="4"/>
        <v>45609</v>
      </c>
      <c r="L316" s="5">
        <v>5</v>
      </c>
      <c r="M316" s="6">
        <f t="shared" si="5"/>
        <v>45615</v>
      </c>
      <c r="N316" s="7"/>
      <c r="O316" s="7"/>
      <c r="P316" s="7" t="s">
        <v>1</v>
      </c>
      <c r="Q316" s="7"/>
    </row>
    <row r="317" spans="1:17" x14ac:dyDescent="0.25">
      <c r="A317" s="1">
        <v>2211</v>
      </c>
      <c r="B317" s="2">
        <v>45606</v>
      </c>
      <c r="C317" s="3"/>
      <c r="D317" s="3"/>
      <c r="E317" s="4" t="s">
        <v>7</v>
      </c>
      <c r="F317" s="3"/>
      <c r="G317" s="3"/>
      <c r="H317" s="5"/>
      <c r="I317" s="5">
        <v>5</v>
      </c>
      <c r="J317" s="5"/>
      <c r="K317" s="6">
        <f t="shared" si="4"/>
        <v>45610</v>
      </c>
      <c r="L317" s="5">
        <v>3</v>
      </c>
      <c r="M317" s="6">
        <f t="shared" si="5"/>
        <v>45614</v>
      </c>
      <c r="N317" s="7" t="s">
        <v>3</v>
      </c>
      <c r="O317" s="7" t="s">
        <v>5</v>
      </c>
      <c r="P317" s="7"/>
      <c r="Q317" s="7"/>
    </row>
    <row r="318" spans="1:17" x14ac:dyDescent="0.25">
      <c r="A318" s="1">
        <v>2799</v>
      </c>
      <c r="B318" s="2">
        <v>45606</v>
      </c>
      <c r="C318" s="3"/>
      <c r="D318" s="3"/>
      <c r="E318" s="4" t="s">
        <v>7</v>
      </c>
      <c r="F318" s="3"/>
      <c r="G318" s="3"/>
      <c r="H318" s="5"/>
      <c r="I318" s="5">
        <v>5</v>
      </c>
      <c r="J318" s="5"/>
      <c r="K318" s="6">
        <f t="shared" si="4"/>
        <v>45610</v>
      </c>
      <c r="L318" s="5">
        <v>3</v>
      </c>
      <c r="M318" s="6">
        <f t="shared" si="5"/>
        <v>45614</v>
      </c>
      <c r="N318" s="7"/>
      <c r="O318" s="7"/>
      <c r="P318" s="7" t="s">
        <v>1</v>
      </c>
      <c r="Q318" s="7"/>
    </row>
    <row r="319" spans="1:17" x14ac:dyDescent="0.25">
      <c r="A319" s="1">
        <v>3666</v>
      </c>
      <c r="B319" s="2">
        <v>45606</v>
      </c>
      <c r="C319" s="3"/>
      <c r="D319" s="3"/>
      <c r="E319" s="4" t="s">
        <v>7</v>
      </c>
      <c r="F319" s="3"/>
      <c r="G319" s="3"/>
      <c r="H319" s="5"/>
      <c r="I319" s="5">
        <v>5</v>
      </c>
      <c r="J319" s="5"/>
      <c r="K319" s="6">
        <f t="shared" si="4"/>
        <v>45610</v>
      </c>
      <c r="L319" s="5">
        <v>3</v>
      </c>
      <c r="M319" s="6">
        <f t="shared" si="5"/>
        <v>45614</v>
      </c>
      <c r="N319" s="7"/>
      <c r="O319" s="7" t="s">
        <v>5</v>
      </c>
      <c r="P319" s="7"/>
      <c r="Q319" s="7"/>
    </row>
    <row r="320" spans="1:17" x14ac:dyDescent="0.25">
      <c r="A320" s="1">
        <v>3075</v>
      </c>
      <c r="B320" s="2">
        <v>45606</v>
      </c>
      <c r="C320" s="3"/>
      <c r="D320" s="3"/>
      <c r="E320" s="4" t="s">
        <v>7</v>
      </c>
      <c r="F320" s="3"/>
      <c r="G320" s="3"/>
      <c r="H320" s="5"/>
      <c r="I320" s="5">
        <v>5</v>
      </c>
      <c r="J320" s="5"/>
      <c r="K320" s="6">
        <f t="shared" si="4"/>
        <v>45610</v>
      </c>
      <c r="L320" s="5">
        <v>3</v>
      </c>
      <c r="M320" s="6">
        <f t="shared" si="5"/>
        <v>45614</v>
      </c>
      <c r="N320" s="7" t="s">
        <v>3</v>
      </c>
      <c r="O320" s="7"/>
      <c r="P320" s="7"/>
      <c r="Q320" s="7"/>
    </row>
    <row r="321" spans="1:17" x14ac:dyDescent="0.25">
      <c r="A321" s="1">
        <v>1066</v>
      </c>
      <c r="B321" s="2">
        <v>45607</v>
      </c>
      <c r="C321" s="3"/>
      <c r="D321" s="3"/>
      <c r="E321" s="4" t="s">
        <v>7</v>
      </c>
      <c r="F321" s="3"/>
      <c r="G321" s="3"/>
      <c r="H321" s="5"/>
      <c r="I321" s="5">
        <v>5</v>
      </c>
      <c r="J321" s="5"/>
      <c r="K321" s="6">
        <f t="shared" si="4"/>
        <v>45611</v>
      </c>
      <c r="L321" s="5">
        <v>3</v>
      </c>
      <c r="M321" s="6">
        <f t="shared" si="5"/>
        <v>45615</v>
      </c>
      <c r="N321" s="7" t="s">
        <v>3</v>
      </c>
      <c r="O321" s="7" t="s">
        <v>5</v>
      </c>
      <c r="P321" s="7" t="s">
        <v>1</v>
      </c>
      <c r="Q321" s="7" t="s">
        <v>4</v>
      </c>
    </row>
    <row r="322" spans="1:17" x14ac:dyDescent="0.25">
      <c r="A322" s="1">
        <v>3522</v>
      </c>
      <c r="B322" s="2">
        <v>45607</v>
      </c>
      <c r="C322" s="3"/>
      <c r="D322" s="3"/>
      <c r="E322" s="4" t="s">
        <v>7</v>
      </c>
      <c r="F322" s="3"/>
      <c r="G322" s="3"/>
      <c r="H322" s="5"/>
      <c r="I322" s="5">
        <v>5</v>
      </c>
      <c r="J322" s="5"/>
      <c r="K322" s="6">
        <f t="shared" ref="K322:K385" si="6">B322+I322-1</f>
        <v>45611</v>
      </c>
      <c r="L322" s="5">
        <v>3</v>
      </c>
      <c r="M322" s="6">
        <f t="shared" ref="M322:M385" si="7">K322+L322+1</f>
        <v>45615</v>
      </c>
      <c r="N322" s="7" t="s">
        <v>3</v>
      </c>
      <c r="O322" s="7"/>
      <c r="P322" s="7"/>
      <c r="Q322" s="7" t="s">
        <v>4</v>
      </c>
    </row>
    <row r="323" spans="1:17" x14ac:dyDescent="0.25">
      <c r="A323" s="1">
        <v>2191</v>
      </c>
      <c r="B323" s="2">
        <v>45607</v>
      </c>
      <c r="C323" s="3"/>
      <c r="D323" s="3"/>
      <c r="E323" s="4" t="s">
        <v>7</v>
      </c>
      <c r="F323" s="3"/>
      <c r="G323" s="3"/>
      <c r="H323" s="5"/>
      <c r="I323" s="5">
        <v>5</v>
      </c>
      <c r="J323" s="5"/>
      <c r="K323" s="6">
        <f t="shared" si="6"/>
        <v>45611</v>
      </c>
      <c r="L323" s="5">
        <v>3</v>
      </c>
      <c r="M323" s="6">
        <f t="shared" si="7"/>
        <v>45615</v>
      </c>
      <c r="N323" s="7"/>
      <c r="O323" s="7"/>
      <c r="P323" s="7" t="s">
        <v>1</v>
      </c>
      <c r="Q323" s="7"/>
    </row>
    <row r="324" spans="1:17" x14ac:dyDescent="0.25">
      <c r="A324" s="1">
        <v>2705</v>
      </c>
      <c r="B324" s="2">
        <v>45607</v>
      </c>
      <c r="C324" s="3"/>
      <c r="D324" s="3"/>
      <c r="E324" s="4" t="s">
        <v>7</v>
      </c>
      <c r="F324" s="3"/>
      <c r="G324" s="3"/>
      <c r="H324" s="5"/>
      <c r="I324" s="5">
        <v>5</v>
      </c>
      <c r="J324" s="5"/>
      <c r="K324" s="6">
        <f t="shared" si="6"/>
        <v>45611</v>
      </c>
      <c r="L324" s="5">
        <v>3</v>
      </c>
      <c r="M324" s="6">
        <f t="shared" si="7"/>
        <v>45615</v>
      </c>
      <c r="N324" s="7"/>
      <c r="O324" s="7" t="s">
        <v>5</v>
      </c>
      <c r="P324" s="7"/>
      <c r="Q324" s="7"/>
    </row>
    <row r="325" spans="1:17" x14ac:dyDescent="0.25">
      <c r="A325" s="1">
        <v>4364</v>
      </c>
      <c r="B325" s="2">
        <v>45609</v>
      </c>
      <c r="C325" s="3"/>
      <c r="D325" s="3"/>
      <c r="E325" s="4" t="s">
        <v>7</v>
      </c>
      <c r="F325" s="3"/>
      <c r="G325" s="3"/>
      <c r="H325" s="5"/>
      <c r="I325" s="5">
        <v>5</v>
      </c>
      <c r="J325" s="5"/>
      <c r="K325" s="6">
        <f t="shared" si="6"/>
        <v>45613</v>
      </c>
      <c r="L325" s="5">
        <v>3</v>
      </c>
      <c r="M325" s="6">
        <f t="shared" si="7"/>
        <v>45617</v>
      </c>
      <c r="N325" s="7"/>
      <c r="O325" s="7"/>
      <c r="P325" s="7" t="s">
        <v>1</v>
      </c>
      <c r="Q325" s="7"/>
    </row>
    <row r="326" spans="1:17" x14ac:dyDescent="0.25">
      <c r="A326" s="1">
        <v>2250</v>
      </c>
      <c r="B326" s="2">
        <v>45609</v>
      </c>
      <c r="C326" s="3"/>
      <c r="D326" s="3"/>
      <c r="E326" s="4" t="s">
        <v>7</v>
      </c>
      <c r="F326" s="3"/>
      <c r="G326" s="3"/>
      <c r="H326" s="5"/>
      <c r="I326" s="5">
        <v>5</v>
      </c>
      <c r="J326" s="5"/>
      <c r="K326" s="6">
        <f t="shared" si="6"/>
        <v>45613</v>
      </c>
      <c r="L326" s="5">
        <v>3</v>
      </c>
      <c r="M326" s="6">
        <f t="shared" si="7"/>
        <v>45617</v>
      </c>
      <c r="N326" s="7" t="s">
        <v>3</v>
      </c>
      <c r="O326" s="7"/>
      <c r="P326" s="7"/>
      <c r="Q326" s="7"/>
    </row>
    <row r="327" spans="1:17" x14ac:dyDescent="0.25">
      <c r="A327" s="1">
        <v>3225</v>
      </c>
      <c r="B327" s="2">
        <v>45609</v>
      </c>
      <c r="C327" s="3"/>
      <c r="D327" s="3"/>
      <c r="E327" s="4" t="s">
        <v>2</v>
      </c>
      <c r="F327" s="3"/>
      <c r="G327" s="3"/>
      <c r="H327" s="5"/>
      <c r="I327" s="5">
        <v>5</v>
      </c>
      <c r="J327" s="5"/>
      <c r="K327" s="6">
        <f t="shared" si="6"/>
        <v>45613</v>
      </c>
      <c r="L327" s="5">
        <v>3</v>
      </c>
      <c r="M327" s="6">
        <f t="shared" si="7"/>
        <v>45617</v>
      </c>
      <c r="N327" s="7"/>
      <c r="O327" s="7"/>
      <c r="P327" s="7"/>
      <c r="Q327" s="7" t="s">
        <v>4</v>
      </c>
    </row>
    <row r="328" spans="1:17" x14ac:dyDescent="0.25">
      <c r="A328" s="1">
        <v>2979</v>
      </c>
      <c r="B328" s="2">
        <v>45610</v>
      </c>
      <c r="C328" s="3"/>
      <c r="D328" s="3"/>
      <c r="E328" s="4" t="s">
        <v>2</v>
      </c>
      <c r="F328" s="3"/>
      <c r="G328" s="3"/>
      <c r="H328" s="5"/>
      <c r="I328" s="5">
        <v>5</v>
      </c>
      <c r="J328" s="5"/>
      <c r="K328" s="6">
        <f t="shared" si="6"/>
        <v>45614</v>
      </c>
      <c r="L328" s="5">
        <v>3</v>
      </c>
      <c r="M328" s="6">
        <f t="shared" si="7"/>
        <v>45618</v>
      </c>
      <c r="N328" s="7"/>
      <c r="O328" s="7"/>
      <c r="P328" s="7"/>
      <c r="Q328" s="7" t="s">
        <v>4</v>
      </c>
    </row>
    <row r="329" spans="1:17" x14ac:dyDescent="0.25">
      <c r="A329" s="1">
        <v>4542</v>
      </c>
      <c r="B329" s="2">
        <v>45610</v>
      </c>
      <c r="C329" s="3"/>
      <c r="D329" s="3"/>
      <c r="E329" s="4" t="s">
        <v>7</v>
      </c>
      <c r="F329" s="3"/>
      <c r="G329" s="3"/>
      <c r="H329" s="5"/>
      <c r="I329" s="5">
        <v>5</v>
      </c>
      <c r="J329" s="5"/>
      <c r="K329" s="6">
        <f t="shared" si="6"/>
        <v>45614</v>
      </c>
      <c r="L329" s="5">
        <v>3</v>
      </c>
      <c r="M329" s="6">
        <f t="shared" si="7"/>
        <v>45618</v>
      </c>
      <c r="N329" s="7"/>
      <c r="O329" s="7" t="s">
        <v>5</v>
      </c>
      <c r="P329" s="7" t="s">
        <v>1</v>
      </c>
      <c r="Q329" s="7" t="s">
        <v>4</v>
      </c>
    </row>
    <row r="330" spans="1:17" x14ac:dyDescent="0.25">
      <c r="A330" s="1">
        <v>2102</v>
      </c>
      <c r="B330" s="2">
        <v>45611</v>
      </c>
      <c r="C330" s="3"/>
      <c r="D330" s="3"/>
      <c r="E330" s="4" t="s">
        <v>7</v>
      </c>
      <c r="F330" s="3"/>
      <c r="G330" s="3"/>
      <c r="H330" s="5"/>
      <c r="I330" s="5">
        <v>5</v>
      </c>
      <c r="J330" s="5"/>
      <c r="K330" s="6">
        <f t="shared" si="6"/>
        <v>45615</v>
      </c>
      <c r="L330" s="5">
        <v>3</v>
      </c>
      <c r="M330" s="6">
        <f t="shared" si="7"/>
        <v>45619</v>
      </c>
      <c r="N330" s="7" t="s">
        <v>3</v>
      </c>
      <c r="O330" s="7" t="s">
        <v>5</v>
      </c>
      <c r="P330" s="7" t="s">
        <v>1</v>
      </c>
      <c r="Q330" s="7" t="s">
        <v>4</v>
      </c>
    </row>
    <row r="331" spans="1:17" x14ac:dyDescent="0.25">
      <c r="A331" s="1">
        <v>3390</v>
      </c>
      <c r="B331" s="2">
        <v>45612</v>
      </c>
      <c r="C331" s="3"/>
      <c r="D331" s="3"/>
      <c r="E331" s="4" t="s">
        <v>7</v>
      </c>
      <c r="F331" s="3"/>
      <c r="G331" s="3"/>
      <c r="H331" s="5"/>
      <c r="I331" s="5">
        <v>5</v>
      </c>
      <c r="J331" s="5"/>
      <c r="K331" s="6">
        <f t="shared" si="6"/>
        <v>45616</v>
      </c>
      <c r="L331" s="5">
        <v>3</v>
      </c>
      <c r="M331" s="6">
        <f t="shared" si="7"/>
        <v>45620</v>
      </c>
      <c r="N331" s="7" t="s">
        <v>3</v>
      </c>
      <c r="O331" s="7"/>
      <c r="P331" s="7"/>
      <c r="Q331" s="7"/>
    </row>
    <row r="332" spans="1:17" x14ac:dyDescent="0.25">
      <c r="A332" s="1">
        <v>3152</v>
      </c>
      <c r="B332" s="2">
        <v>45612</v>
      </c>
      <c r="C332" s="3"/>
      <c r="D332" s="3"/>
      <c r="E332" s="4" t="s">
        <v>13</v>
      </c>
      <c r="F332" s="3"/>
      <c r="G332" s="3"/>
      <c r="H332" s="5"/>
      <c r="I332" s="5">
        <v>5</v>
      </c>
      <c r="J332" s="5"/>
      <c r="K332" s="6">
        <f t="shared" si="6"/>
        <v>45616</v>
      </c>
      <c r="L332" s="5">
        <v>5</v>
      </c>
      <c r="M332" s="6">
        <f t="shared" si="7"/>
        <v>45622</v>
      </c>
      <c r="N332" s="7"/>
      <c r="O332" s="7"/>
      <c r="P332" s="7"/>
      <c r="Q332" s="7" t="s">
        <v>4</v>
      </c>
    </row>
    <row r="333" spans="1:17" x14ac:dyDescent="0.25">
      <c r="A333" s="1">
        <v>1178</v>
      </c>
      <c r="B333" s="2">
        <v>45612</v>
      </c>
      <c r="C333" s="3"/>
      <c r="D333" s="3"/>
      <c r="E333" s="4" t="s">
        <v>13</v>
      </c>
      <c r="F333" s="3"/>
      <c r="G333" s="3"/>
      <c r="H333" s="5"/>
      <c r="I333" s="5">
        <v>5</v>
      </c>
      <c r="J333" s="5"/>
      <c r="K333" s="6">
        <f t="shared" si="6"/>
        <v>45616</v>
      </c>
      <c r="L333" s="5">
        <v>5</v>
      </c>
      <c r="M333" s="6">
        <f t="shared" si="7"/>
        <v>45622</v>
      </c>
      <c r="N333" s="7" t="s">
        <v>3</v>
      </c>
      <c r="O333" s="7"/>
      <c r="P333" s="7" t="s">
        <v>1</v>
      </c>
      <c r="Q333" s="7"/>
    </row>
    <row r="334" spans="1:17" x14ac:dyDescent="0.25">
      <c r="A334" s="1">
        <v>3096</v>
      </c>
      <c r="B334" s="2">
        <v>45612</v>
      </c>
      <c r="C334" s="3"/>
      <c r="D334" s="3"/>
      <c r="E334" s="4" t="s">
        <v>13</v>
      </c>
      <c r="F334" s="3"/>
      <c r="G334" s="3"/>
      <c r="H334" s="5"/>
      <c r="I334" s="5">
        <v>5</v>
      </c>
      <c r="J334" s="5"/>
      <c r="K334" s="6">
        <f t="shared" si="6"/>
        <v>45616</v>
      </c>
      <c r="L334" s="5">
        <v>5</v>
      </c>
      <c r="M334" s="6">
        <f t="shared" si="7"/>
        <v>45622</v>
      </c>
      <c r="N334" s="7"/>
      <c r="O334" s="7" t="s">
        <v>5</v>
      </c>
      <c r="P334" s="7"/>
      <c r="Q334" s="7"/>
    </row>
    <row r="335" spans="1:17" x14ac:dyDescent="0.25">
      <c r="A335" s="1">
        <v>3306</v>
      </c>
      <c r="B335" s="2">
        <v>45612</v>
      </c>
      <c r="C335" s="3"/>
      <c r="D335" s="3"/>
      <c r="E335" s="4" t="s">
        <v>13</v>
      </c>
      <c r="F335" s="3"/>
      <c r="G335" s="3"/>
      <c r="H335" s="5"/>
      <c r="I335" s="5">
        <v>5</v>
      </c>
      <c r="J335" s="5"/>
      <c r="K335" s="6">
        <f t="shared" si="6"/>
        <v>45616</v>
      </c>
      <c r="L335" s="5">
        <v>5</v>
      </c>
      <c r="M335" s="6">
        <f t="shared" si="7"/>
        <v>45622</v>
      </c>
      <c r="N335" s="7"/>
      <c r="O335" s="7"/>
      <c r="P335" s="7"/>
      <c r="Q335" s="7" t="s">
        <v>4</v>
      </c>
    </row>
    <row r="336" spans="1:17" x14ac:dyDescent="0.25">
      <c r="A336" s="1">
        <v>2250</v>
      </c>
      <c r="B336" s="2">
        <v>45613</v>
      </c>
      <c r="C336" s="3"/>
      <c r="D336" s="3"/>
      <c r="E336" s="4" t="s">
        <v>2</v>
      </c>
      <c r="F336" s="3"/>
      <c r="G336" s="3"/>
      <c r="H336" s="5"/>
      <c r="I336" s="5">
        <v>5</v>
      </c>
      <c r="J336" s="5"/>
      <c r="K336" s="6">
        <f t="shared" si="6"/>
        <v>45617</v>
      </c>
      <c r="L336" s="5">
        <v>3</v>
      </c>
      <c r="M336" s="6">
        <f t="shared" si="7"/>
        <v>45621</v>
      </c>
      <c r="N336" s="7" t="s">
        <v>3</v>
      </c>
      <c r="O336" s="7"/>
      <c r="P336" s="7"/>
      <c r="Q336" s="7"/>
    </row>
    <row r="337" spans="1:17" x14ac:dyDescent="0.25">
      <c r="A337" s="1">
        <v>2191</v>
      </c>
      <c r="B337" s="2">
        <v>45613</v>
      </c>
      <c r="C337" s="3"/>
      <c r="D337" s="3"/>
      <c r="E337" s="4" t="s">
        <v>2</v>
      </c>
      <c r="F337" s="3"/>
      <c r="G337" s="3"/>
      <c r="H337" s="5"/>
      <c r="I337" s="5">
        <v>5</v>
      </c>
      <c r="J337" s="5"/>
      <c r="K337" s="6">
        <f t="shared" si="6"/>
        <v>45617</v>
      </c>
      <c r="L337" s="5">
        <v>3</v>
      </c>
      <c r="M337" s="6">
        <f t="shared" si="7"/>
        <v>45621</v>
      </c>
      <c r="N337" s="7"/>
      <c r="O337" s="7"/>
      <c r="P337" s="7" t="s">
        <v>4</v>
      </c>
      <c r="Q337" s="7"/>
    </row>
    <row r="338" spans="1:17" x14ac:dyDescent="0.25">
      <c r="A338" s="1">
        <v>3666</v>
      </c>
      <c r="B338" s="2">
        <v>45613</v>
      </c>
      <c r="C338" s="3"/>
      <c r="D338" s="3"/>
      <c r="E338" s="4" t="s">
        <v>2</v>
      </c>
      <c r="F338" s="3"/>
      <c r="G338" s="3"/>
      <c r="H338" s="5"/>
      <c r="I338" s="5">
        <v>5</v>
      </c>
      <c r="J338" s="5"/>
      <c r="K338" s="6">
        <f t="shared" si="6"/>
        <v>45617</v>
      </c>
      <c r="L338" s="5">
        <v>3</v>
      </c>
      <c r="M338" s="6">
        <f t="shared" si="7"/>
        <v>45621</v>
      </c>
      <c r="N338" s="7"/>
      <c r="O338" s="7" t="s">
        <v>5</v>
      </c>
      <c r="P338" s="7"/>
      <c r="Q338" s="7"/>
    </row>
    <row r="339" spans="1:17" x14ac:dyDescent="0.25">
      <c r="A339" s="1">
        <v>4041</v>
      </c>
      <c r="B339" s="2">
        <v>45613</v>
      </c>
      <c r="C339" s="3"/>
      <c r="D339" s="3"/>
      <c r="E339" s="4" t="s">
        <v>7</v>
      </c>
      <c r="F339" s="3"/>
      <c r="G339" s="3"/>
      <c r="H339" s="5"/>
      <c r="I339" s="5">
        <v>5</v>
      </c>
      <c r="J339" s="5"/>
      <c r="K339" s="6">
        <f t="shared" si="6"/>
        <v>45617</v>
      </c>
      <c r="L339" s="5">
        <v>3</v>
      </c>
      <c r="M339" s="6">
        <f t="shared" si="7"/>
        <v>45621</v>
      </c>
      <c r="N339" s="7"/>
      <c r="O339" s="7" t="s">
        <v>5</v>
      </c>
      <c r="P339" s="7"/>
      <c r="Q339" s="7"/>
    </row>
    <row r="340" spans="1:17" x14ac:dyDescent="0.25">
      <c r="A340" s="1">
        <v>3629</v>
      </c>
      <c r="B340" s="2">
        <v>45613</v>
      </c>
      <c r="C340" s="3"/>
      <c r="D340" s="3"/>
      <c r="E340" s="4" t="s">
        <v>7</v>
      </c>
      <c r="F340" s="3"/>
      <c r="G340" s="3"/>
      <c r="H340" s="5"/>
      <c r="I340" s="5">
        <v>5</v>
      </c>
      <c r="J340" s="5"/>
      <c r="K340" s="6">
        <f t="shared" si="6"/>
        <v>45617</v>
      </c>
      <c r="L340" s="5">
        <v>3</v>
      </c>
      <c r="M340" s="6">
        <f t="shared" si="7"/>
        <v>45621</v>
      </c>
      <c r="N340" s="7"/>
      <c r="O340" s="7"/>
      <c r="P340" s="7" t="s">
        <v>1</v>
      </c>
      <c r="Q340" s="7"/>
    </row>
    <row r="341" spans="1:17" x14ac:dyDescent="0.25">
      <c r="A341" s="1">
        <v>1915</v>
      </c>
      <c r="B341" s="2">
        <v>45614</v>
      </c>
      <c r="C341" s="3"/>
      <c r="D341" s="3"/>
      <c r="E341" s="4" t="s">
        <v>7</v>
      </c>
      <c r="F341" s="3"/>
      <c r="G341" s="3"/>
      <c r="H341" s="5"/>
      <c r="I341" s="5">
        <v>5</v>
      </c>
      <c r="J341" s="5"/>
      <c r="K341" s="6">
        <f t="shared" si="6"/>
        <v>45618</v>
      </c>
      <c r="L341" s="5">
        <v>3</v>
      </c>
      <c r="M341" s="6">
        <f t="shared" si="7"/>
        <v>45622</v>
      </c>
      <c r="N341" s="7"/>
      <c r="O341" s="7"/>
      <c r="P341" s="7" t="s">
        <v>1</v>
      </c>
      <c r="Q341" s="7" t="s">
        <v>4</v>
      </c>
    </row>
    <row r="342" spans="1:17" x14ac:dyDescent="0.25">
      <c r="A342" s="1">
        <v>2398</v>
      </c>
      <c r="B342" s="2">
        <v>45614</v>
      </c>
      <c r="C342" s="3"/>
      <c r="D342" s="3"/>
      <c r="E342" s="4" t="s">
        <v>7</v>
      </c>
      <c r="F342" s="3"/>
      <c r="G342" s="3"/>
      <c r="H342" s="5"/>
      <c r="I342" s="5">
        <v>5</v>
      </c>
      <c r="J342" s="5"/>
      <c r="K342" s="6">
        <f t="shared" si="6"/>
        <v>45618</v>
      </c>
      <c r="L342" s="5">
        <v>3</v>
      </c>
      <c r="M342" s="6">
        <f t="shared" si="7"/>
        <v>45622</v>
      </c>
      <c r="N342" s="7"/>
      <c r="O342" s="7"/>
      <c r="P342" s="7" t="s">
        <v>1</v>
      </c>
      <c r="Q342" s="7"/>
    </row>
    <row r="343" spans="1:17" x14ac:dyDescent="0.25">
      <c r="A343" s="1">
        <v>3528</v>
      </c>
      <c r="B343" s="2">
        <v>45615</v>
      </c>
      <c r="C343" s="3"/>
      <c r="D343" s="3"/>
      <c r="E343" s="4" t="s">
        <v>7</v>
      </c>
      <c r="F343" s="3"/>
      <c r="G343" s="3"/>
      <c r="H343" s="5"/>
      <c r="I343" s="5">
        <v>5</v>
      </c>
      <c r="J343" s="5"/>
      <c r="K343" s="6">
        <f t="shared" si="6"/>
        <v>45619</v>
      </c>
      <c r="L343" s="5">
        <v>3</v>
      </c>
      <c r="M343" s="6">
        <f t="shared" si="7"/>
        <v>45623</v>
      </c>
      <c r="N343" s="7"/>
      <c r="O343" s="7" t="s">
        <v>5</v>
      </c>
      <c r="P343" s="7"/>
      <c r="Q343" s="7" t="s">
        <v>4</v>
      </c>
    </row>
    <row r="344" spans="1:17" x14ac:dyDescent="0.25">
      <c r="A344" s="1">
        <v>2979</v>
      </c>
      <c r="B344" s="2">
        <v>45615</v>
      </c>
      <c r="C344" s="3"/>
      <c r="D344" s="3"/>
      <c r="E344" s="4" t="s">
        <v>15</v>
      </c>
      <c r="F344" s="3"/>
      <c r="G344" s="3"/>
      <c r="H344" s="5"/>
      <c r="I344" s="5">
        <v>5</v>
      </c>
      <c r="J344" s="5"/>
      <c r="K344" s="6">
        <f t="shared" si="6"/>
        <v>45619</v>
      </c>
      <c r="L344" s="5">
        <v>9</v>
      </c>
      <c r="M344" s="6">
        <f t="shared" si="7"/>
        <v>45629</v>
      </c>
      <c r="N344" s="7"/>
      <c r="O344" s="7" t="s">
        <v>5</v>
      </c>
      <c r="P344" s="7"/>
      <c r="Q344" s="7" t="s">
        <v>4</v>
      </c>
    </row>
    <row r="345" spans="1:17" x14ac:dyDescent="0.25">
      <c r="A345" s="1">
        <v>2398</v>
      </c>
      <c r="B345" s="2">
        <v>45615</v>
      </c>
      <c r="C345" s="3"/>
      <c r="D345" s="3"/>
      <c r="E345" s="4" t="s">
        <v>15</v>
      </c>
      <c r="F345" s="3"/>
      <c r="G345" s="3"/>
      <c r="H345" s="5"/>
      <c r="I345" s="5">
        <v>5</v>
      </c>
      <c r="J345" s="5"/>
      <c r="K345" s="6">
        <f t="shared" si="6"/>
        <v>45619</v>
      </c>
      <c r="L345" s="5">
        <v>9</v>
      </c>
      <c r="M345" s="6">
        <f t="shared" si="7"/>
        <v>45629</v>
      </c>
      <c r="N345" s="7" t="s">
        <v>3</v>
      </c>
      <c r="O345" s="7" t="s">
        <v>5</v>
      </c>
      <c r="P345" s="7" t="s">
        <v>1</v>
      </c>
      <c r="Q345" s="7" t="s">
        <v>4</v>
      </c>
    </row>
    <row r="346" spans="1:17" x14ac:dyDescent="0.25">
      <c r="A346" s="1">
        <v>3148</v>
      </c>
      <c r="B346" s="2">
        <v>45616</v>
      </c>
      <c r="C346" s="3"/>
      <c r="D346" s="3"/>
      <c r="E346" s="4" t="s">
        <v>7</v>
      </c>
      <c r="F346" s="3"/>
      <c r="G346" s="3"/>
      <c r="H346" s="5"/>
      <c r="I346" s="5">
        <v>5</v>
      </c>
      <c r="J346" s="5"/>
      <c r="K346" s="6">
        <f t="shared" si="6"/>
        <v>45620</v>
      </c>
      <c r="L346" s="5">
        <v>3</v>
      </c>
      <c r="M346" s="6">
        <f t="shared" si="7"/>
        <v>45624</v>
      </c>
      <c r="N346" s="7"/>
      <c r="O346" s="7"/>
      <c r="P346" s="7" t="s">
        <v>1</v>
      </c>
      <c r="Q346" s="7"/>
    </row>
    <row r="347" spans="1:17" x14ac:dyDescent="0.25">
      <c r="A347" s="1">
        <v>3428</v>
      </c>
      <c r="B347" s="2">
        <v>45616</v>
      </c>
      <c r="C347" s="3"/>
      <c r="D347" s="3"/>
      <c r="E347" s="4" t="s">
        <v>7</v>
      </c>
      <c r="F347" s="3"/>
      <c r="G347" s="3"/>
      <c r="H347" s="5"/>
      <c r="I347" s="5">
        <v>5</v>
      </c>
      <c r="J347" s="5"/>
      <c r="K347" s="6">
        <f t="shared" si="6"/>
        <v>45620</v>
      </c>
      <c r="L347" s="5">
        <v>3</v>
      </c>
      <c r="M347" s="6">
        <f t="shared" si="7"/>
        <v>45624</v>
      </c>
      <c r="N347" s="7"/>
      <c r="O347" s="7"/>
      <c r="P347" s="7"/>
      <c r="Q347" s="7" t="s">
        <v>4</v>
      </c>
    </row>
    <row r="348" spans="1:17" x14ac:dyDescent="0.25">
      <c r="A348" s="1">
        <v>3289</v>
      </c>
      <c r="B348" s="2">
        <v>45616</v>
      </c>
      <c r="C348" s="3"/>
      <c r="D348" s="3"/>
      <c r="E348" s="4" t="s">
        <v>13</v>
      </c>
      <c r="F348" s="3"/>
      <c r="G348" s="3"/>
      <c r="H348" s="5"/>
      <c r="I348" s="5">
        <v>5</v>
      </c>
      <c r="J348" s="5"/>
      <c r="K348" s="6">
        <f t="shared" si="6"/>
        <v>45620</v>
      </c>
      <c r="L348" s="5">
        <v>5</v>
      </c>
      <c r="M348" s="6">
        <f t="shared" si="7"/>
        <v>45626</v>
      </c>
      <c r="N348" s="7" t="s">
        <v>3</v>
      </c>
      <c r="O348" s="7" t="s">
        <v>5</v>
      </c>
      <c r="P348" s="7" t="s">
        <v>1</v>
      </c>
      <c r="Q348" s="7" t="s">
        <v>4</v>
      </c>
    </row>
    <row r="349" spans="1:17" x14ac:dyDescent="0.25">
      <c r="A349" s="1">
        <v>4419</v>
      </c>
      <c r="B349" s="2">
        <v>45617</v>
      </c>
      <c r="C349" s="3"/>
      <c r="D349" s="3"/>
      <c r="E349" s="4" t="s">
        <v>7</v>
      </c>
      <c r="F349" s="3"/>
      <c r="G349" s="3"/>
      <c r="H349" s="5"/>
      <c r="I349" s="5">
        <v>5</v>
      </c>
      <c r="J349" s="5"/>
      <c r="K349" s="6">
        <f t="shared" si="6"/>
        <v>45621</v>
      </c>
      <c r="L349" s="5">
        <v>3</v>
      </c>
      <c r="M349" s="6">
        <f t="shared" si="7"/>
        <v>45625</v>
      </c>
      <c r="N349" s="7"/>
      <c r="O349" s="7"/>
      <c r="P349" s="7"/>
      <c r="Q349" s="7" t="s">
        <v>4</v>
      </c>
    </row>
    <row r="350" spans="1:17" x14ac:dyDescent="0.25">
      <c r="A350" s="1">
        <v>3148</v>
      </c>
      <c r="B350" s="2">
        <v>45618</v>
      </c>
      <c r="C350" s="3"/>
      <c r="D350" s="3"/>
      <c r="E350" s="4" t="s">
        <v>10</v>
      </c>
      <c r="F350" s="3"/>
      <c r="G350" s="3"/>
      <c r="H350" s="5"/>
      <c r="I350" s="5">
        <v>5</v>
      </c>
      <c r="J350" s="5"/>
      <c r="K350" s="6">
        <f t="shared" si="6"/>
        <v>45622</v>
      </c>
      <c r="L350" s="5">
        <v>3</v>
      </c>
      <c r="M350" s="6">
        <f t="shared" si="7"/>
        <v>45626</v>
      </c>
      <c r="N350" s="7"/>
      <c r="O350" s="7"/>
      <c r="P350" s="7" t="s">
        <v>1</v>
      </c>
      <c r="Q350" s="7"/>
    </row>
    <row r="351" spans="1:17" x14ac:dyDescent="0.25">
      <c r="A351" s="1">
        <v>4415</v>
      </c>
      <c r="B351" s="2">
        <v>45618</v>
      </c>
      <c r="C351" s="3"/>
      <c r="D351" s="3"/>
      <c r="E351" s="4" t="s">
        <v>7</v>
      </c>
      <c r="F351" s="3"/>
      <c r="G351" s="3"/>
      <c r="H351" s="5"/>
      <c r="I351" s="5">
        <v>5</v>
      </c>
      <c r="J351" s="5"/>
      <c r="K351" s="6">
        <f t="shared" si="6"/>
        <v>45622</v>
      </c>
      <c r="L351" s="5">
        <v>3</v>
      </c>
      <c r="M351" s="6">
        <f t="shared" si="7"/>
        <v>45626</v>
      </c>
      <c r="N351" s="7"/>
      <c r="O351" s="7"/>
      <c r="P351" s="7" t="s">
        <v>1</v>
      </c>
      <c r="Q351" s="7"/>
    </row>
    <row r="352" spans="1:17" x14ac:dyDescent="0.25">
      <c r="A352" s="1">
        <v>2118</v>
      </c>
      <c r="B352" s="2">
        <v>45618</v>
      </c>
      <c r="C352" s="3"/>
      <c r="D352" s="3"/>
      <c r="E352" s="4" t="s">
        <v>7</v>
      </c>
      <c r="F352" s="3"/>
      <c r="G352" s="3"/>
      <c r="H352" s="5"/>
      <c r="I352" s="5">
        <v>5</v>
      </c>
      <c r="J352" s="5"/>
      <c r="K352" s="6">
        <f t="shared" si="6"/>
        <v>45622</v>
      </c>
      <c r="L352" s="5">
        <v>2</v>
      </c>
      <c r="M352" s="6">
        <f t="shared" si="7"/>
        <v>45625</v>
      </c>
      <c r="N352" s="7"/>
      <c r="O352" s="7"/>
      <c r="P352" s="7" t="s">
        <v>1</v>
      </c>
      <c r="Q352" s="7" t="s">
        <v>4</v>
      </c>
    </row>
    <row r="353" spans="1:17" x14ac:dyDescent="0.25">
      <c r="A353" s="1">
        <v>3629</v>
      </c>
      <c r="B353" s="2">
        <v>45618</v>
      </c>
      <c r="C353" s="3"/>
      <c r="D353" s="3"/>
      <c r="E353" s="4" t="s">
        <v>2</v>
      </c>
      <c r="F353" s="3"/>
      <c r="G353" s="3"/>
      <c r="H353" s="5"/>
      <c r="I353" s="5">
        <v>5</v>
      </c>
      <c r="J353" s="5"/>
      <c r="K353" s="6">
        <f t="shared" si="6"/>
        <v>45622</v>
      </c>
      <c r="L353" s="5">
        <v>3</v>
      </c>
      <c r="M353" s="6">
        <f t="shared" si="7"/>
        <v>45626</v>
      </c>
      <c r="N353" s="7"/>
      <c r="O353" s="7"/>
      <c r="P353" s="7" t="s">
        <v>1</v>
      </c>
      <c r="Q353" s="7"/>
    </row>
    <row r="354" spans="1:17" x14ac:dyDescent="0.25">
      <c r="A354" s="1">
        <v>3096</v>
      </c>
      <c r="B354" s="2">
        <v>45618</v>
      </c>
      <c r="C354" s="3"/>
      <c r="D354" s="3"/>
      <c r="E354" s="4" t="s">
        <v>2</v>
      </c>
      <c r="F354" s="3"/>
      <c r="G354" s="3"/>
      <c r="H354" s="5"/>
      <c r="I354" s="5">
        <v>5</v>
      </c>
      <c r="J354" s="5"/>
      <c r="K354" s="6">
        <f t="shared" si="6"/>
        <v>45622</v>
      </c>
      <c r="L354" s="5">
        <v>3</v>
      </c>
      <c r="M354" s="6">
        <f t="shared" si="7"/>
        <v>45626</v>
      </c>
      <c r="N354" s="7"/>
      <c r="O354" s="7"/>
      <c r="P354" s="7"/>
      <c r="Q354" s="7"/>
    </row>
    <row r="355" spans="1:17" x14ac:dyDescent="0.25">
      <c r="A355" s="1">
        <v>2877</v>
      </c>
      <c r="B355" s="2">
        <v>45618</v>
      </c>
      <c r="C355" s="3"/>
      <c r="D355" s="3"/>
      <c r="E355" s="4" t="s">
        <v>7</v>
      </c>
      <c r="F355" s="3"/>
      <c r="G355" s="3"/>
      <c r="H355" s="5"/>
      <c r="I355" s="5">
        <v>5</v>
      </c>
      <c r="J355" s="5"/>
      <c r="K355" s="6">
        <f t="shared" si="6"/>
        <v>45622</v>
      </c>
      <c r="L355" s="5">
        <v>3</v>
      </c>
      <c r="M355" s="6">
        <f t="shared" si="7"/>
        <v>45626</v>
      </c>
      <c r="N355" s="7"/>
      <c r="O355" s="7"/>
      <c r="P355" s="7" t="s">
        <v>1</v>
      </c>
      <c r="Q355" s="7"/>
    </row>
    <row r="356" spans="1:17" x14ac:dyDescent="0.25">
      <c r="A356" s="1">
        <v>3200</v>
      </c>
      <c r="B356" s="2">
        <v>45619</v>
      </c>
      <c r="C356" s="3"/>
      <c r="D356" s="3"/>
      <c r="E356" s="4" t="s">
        <v>7</v>
      </c>
      <c r="F356" s="3"/>
      <c r="G356" s="3"/>
      <c r="H356" s="5"/>
      <c r="I356" s="5">
        <v>5</v>
      </c>
      <c r="J356" s="5"/>
      <c r="K356" s="6">
        <f t="shared" si="6"/>
        <v>45623</v>
      </c>
      <c r="L356" s="5">
        <v>3</v>
      </c>
      <c r="M356" s="6">
        <f t="shared" si="7"/>
        <v>45627</v>
      </c>
      <c r="N356" s="7"/>
      <c r="O356" s="7"/>
      <c r="P356" s="7" t="s">
        <v>1</v>
      </c>
      <c r="Q356" s="7"/>
    </row>
    <row r="357" spans="1:17" x14ac:dyDescent="0.25">
      <c r="A357" s="1">
        <v>2513</v>
      </c>
      <c r="B357" s="2">
        <v>45619</v>
      </c>
      <c r="C357" s="3"/>
      <c r="D357" s="3"/>
      <c r="E357" s="4" t="s">
        <v>10</v>
      </c>
      <c r="F357" s="3"/>
      <c r="G357" s="3"/>
      <c r="H357" s="5"/>
      <c r="I357" s="5">
        <v>5</v>
      </c>
      <c r="J357" s="5"/>
      <c r="K357" s="6">
        <f t="shared" si="6"/>
        <v>45623</v>
      </c>
      <c r="L357" s="5">
        <v>3</v>
      </c>
      <c r="M357" s="6">
        <f t="shared" si="7"/>
        <v>45627</v>
      </c>
      <c r="N357" s="7"/>
      <c r="O357" s="7"/>
      <c r="P357" s="7"/>
      <c r="Q357" s="7" t="s">
        <v>4</v>
      </c>
    </row>
    <row r="358" spans="1:17" x14ac:dyDescent="0.25">
      <c r="A358" s="1">
        <v>3075</v>
      </c>
      <c r="B358" s="2">
        <v>45619</v>
      </c>
      <c r="C358" s="3"/>
      <c r="D358" s="3"/>
      <c r="E358" s="4" t="s">
        <v>7</v>
      </c>
      <c r="F358" s="3"/>
      <c r="G358" s="3"/>
      <c r="H358" s="5"/>
      <c r="I358" s="5">
        <v>5</v>
      </c>
      <c r="J358" s="5"/>
      <c r="K358" s="6">
        <f t="shared" si="6"/>
        <v>45623</v>
      </c>
      <c r="L358" s="5">
        <v>3</v>
      </c>
      <c r="M358" s="6">
        <f t="shared" si="7"/>
        <v>45627</v>
      </c>
      <c r="N358" s="7"/>
      <c r="O358" s="7"/>
      <c r="P358" s="7" t="s">
        <v>1</v>
      </c>
      <c r="Q358" s="7"/>
    </row>
    <row r="359" spans="1:17" x14ac:dyDescent="0.25">
      <c r="A359" s="1">
        <v>2755</v>
      </c>
      <c r="B359" s="2">
        <v>45619</v>
      </c>
      <c r="C359" s="3"/>
      <c r="D359" s="3"/>
      <c r="E359" s="4" t="s">
        <v>7</v>
      </c>
      <c r="F359" s="3"/>
      <c r="G359" s="3"/>
      <c r="H359" s="5"/>
      <c r="I359" s="5">
        <v>5</v>
      </c>
      <c r="J359" s="5"/>
      <c r="K359" s="6">
        <f t="shared" si="6"/>
        <v>45623</v>
      </c>
      <c r="L359" s="5">
        <v>3</v>
      </c>
      <c r="M359" s="6">
        <f t="shared" si="7"/>
        <v>45627</v>
      </c>
      <c r="N359" s="7" t="s">
        <v>3</v>
      </c>
      <c r="O359" s="7" t="s">
        <v>5</v>
      </c>
      <c r="P359" s="7" t="s">
        <v>1</v>
      </c>
      <c r="Q359" s="7" t="s">
        <v>4</v>
      </c>
    </row>
    <row r="360" spans="1:17" x14ac:dyDescent="0.25">
      <c r="A360" s="1">
        <v>1586</v>
      </c>
      <c r="B360" s="2">
        <v>45619</v>
      </c>
      <c r="C360" s="3"/>
      <c r="D360" s="3"/>
      <c r="E360" s="4" t="s">
        <v>7</v>
      </c>
      <c r="F360" s="3"/>
      <c r="G360" s="3"/>
      <c r="H360" s="5"/>
      <c r="I360" s="5">
        <v>5</v>
      </c>
      <c r="J360" s="5"/>
      <c r="K360" s="6">
        <f t="shared" si="6"/>
        <v>45623</v>
      </c>
      <c r="L360" s="5">
        <v>3</v>
      </c>
      <c r="M360" s="6">
        <f t="shared" si="7"/>
        <v>45627</v>
      </c>
      <c r="N360" s="7"/>
      <c r="O360" s="7" t="s">
        <v>5</v>
      </c>
      <c r="P360" s="7"/>
      <c r="Q360" s="7"/>
    </row>
    <row r="361" spans="1:17" x14ac:dyDescent="0.25">
      <c r="A361" s="1">
        <v>657</v>
      </c>
      <c r="B361" s="2">
        <v>45620</v>
      </c>
      <c r="C361" s="3"/>
      <c r="D361" s="3"/>
      <c r="E361" s="4" t="s">
        <v>7</v>
      </c>
      <c r="F361" s="3"/>
      <c r="G361" s="3"/>
      <c r="H361" s="5"/>
      <c r="I361" s="5">
        <v>5</v>
      </c>
      <c r="J361" s="5"/>
      <c r="K361" s="6">
        <f t="shared" si="6"/>
        <v>45624</v>
      </c>
      <c r="L361" s="5">
        <v>3</v>
      </c>
      <c r="M361" s="6">
        <f t="shared" si="7"/>
        <v>45628</v>
      </c>
      <c r="N361" s="7"/>
      <c r="O361" s="7"/>
      <c r="P361" s="7" t="s">
        <v>1</v>
      </c>
      <c r="Q361" s="7"/>
    </row>
    <row r="362" spans="1:17" x14ac:dyDescent="0.25">
      <c r="A362" s="1">
        <v>2650</v>
      </c>
      <c r="B362" s="2">
        <v>45620</v>
      </c>
      <c r="C362" s="3"/>
      <c r="D362" s="3"/>
      <c r="E362" s="4" t="s">
        <v>10</v>
      </c>
      <c r="F362" s="3"/>
      <c r="G362" s="3"/>
      <c r="H362" s="5"/>
      <c r="I362" s="5">
        <v>5</v>
      </c>
      <c r="J362" s="5"/>
      <c r="K362" s="6">
        <f t="shared" si="6"/>
        <v>45624</v>
      </c>
      <c r="L362" s="5">
        <v>3</v>
      </c>
      <c r="M362" s="6">
        <f t="shared" si="7"/>
        <v>45628</v>
      </c>
      <c r="N362" s="7"/>
      <c r="O362" s="7"/>
      <c r="P362" s="7" t="s">
        <v>1</v>
      </c>
      <c r="Q362" s="7"/>
    </row>
    <row r="363" spans="1:17" x14ac:dyDescent="0.25">
      <c r="A363" s="1">
        <v>2877</v>
      </c>
      <c r="B363" s="2">
        <v>45620</v>
      </c>
      <c r="C363" s="3"/>
      <c r="D363" s="3"/>
      <c r="E363" s="4" t="s">
        <v>15</v>
      </c>
      <c r="F363" s="3"/>
      <c r="G363" s="3"/>
      <c r="H363" s="5"/>
      <c r="I363" s="5">
        <v>3</v>
      </c>
      <c r="J363" s="5"/>
      <c r="K363" s="6">
        <f t="shared" si="6"/>
        <v>45622</v>
      </c>
      <c r="L363" s="5">
        <v>9</v>
      </c>
      <c r="M363" s="6">
        <f t="shared" si="7"/>
        <v>45632</v>
      </c>
      <c r="N363" s="7"/>
      <c r="O363" s="7"/>
      <c r="P363" s="7" t="s">
        <v>1</v>
      </c>
      <c r="Q363" s="7"/>
    </row>
    <row r="364" spans="1:17" x14ac:dyDescent="0.25">
      <c r="A364" s="1">
        <v>3478</v>
      </c>
      <c r="B364" s="2">
        <v>45621</v>
      </c>
      <c r="C364" s="3"/>
      <c r="D364" s="3"/>
      <c r="E364" s="4" t="s">
        <v>7</v>
      </c>
      <c r="F364" s="3"/>
      <c r="G364" s="3"/>
      <c r="H364" s="5"/>
      <c r="I364" s="5">
        <v>5</v>
      </c>
      <c r="J364" s="5"/>
      <c r="K364" s="6">
        <f t="shared" si="6"/>
        <v>45625</v>
      </c>
      <c r="L364" s="5">
        <v>3</v>
      </c>
      <c r="M364" s="6">
        <f t="shared" si="7"/>
        <v>45629</v>
      </c>
      <c r="N364" s="7"/>
      <c r="O364" s="7" t="s">
        <v>5</v>
      </c>
      <c r="P364" s="7"/>
      <c r="Q364" s="7"/>
    </row>
    <row r="365" spans="1:17" x14ac:dyDescent="0.25">
      <c r="A365" s="1">
        <v>3528</v>
      </c>
      <c r="B365" s="2">
        <v>45621</v>
      </c>
      <c r="C365" s="3"/>
      <c r="D365" s="3"/>
      <c r="E365" s="4" t="s">
        <v>2</v>
      </c>
      <c r="F365" s="3"/>
      <c r="G365" s="3"/>
      <c r="H365" s="5"/>
      <c r="I365" s="5">
        <v>5</v>
      </c>
      <c r="J365" s="5"/>
      <c r="K365" s="6">
        <f t="shared" si="6"/>
        <v>45625</v>
      </c>
      <c r="L365" s="5">
        <v>3</v>
      </c>
      <c r="M365" s="6">
        <f t="shared" si="7"/>
        <v>45629</v>
      </c>
      <c r="N365" s="7" t="s">
        <v>3</v>
      </c>
      <c r="O365" s="7" t="s">
        <v>5</v>
      </c>
      <c r="P365" s="7" t="s">
        <v>1</v>
      </c>
      <c r="Q365" s="7" t="s">
        <v>4</v>
      </c>
    </row>
    <row r="366" spans="1:17" x14ac:dyDescent="0.25">
      <c r="A366" s="1">
        <v>154</v>
      </c>
      <c r="B366" s="2">
        <v>45621</v>
      </c>
      <c r="C366" s="3"/>
      <c r="D366" s="3"/>
      <c r="E366" s="4" t="s">
        <v>7</v>
      </c>
      <c r="F366" s="3"/>
      <c r="G366" s="3"/>
      <c r="H366" s="5"/>
      <c r="I366" s="5">
        <v>5</v>
      </c>
      <c r="J366" s="5"/>
      <c r="K366" s="6">
        <f t="shared" si="6"/>
        <v>45625</v>
      </c>
      <c r="L366" s="5">
        <v>3</v>
      </c>
      <c r="M366" s="6">
        <f t="shared" si="7"/>
        <v>45629</v>
      </c>
      <c r="N366" s="7" t="s">
        <v>3</v>
      </c>
      <c r="O366" s="7" t="s">
        <v>5</v>
      </c>
      <c r="P366" s="7" t="s">
        <v>1</v>
      </c>
      <c r="Q366" s="7" t="s">
        <v>4</v>
      </c>
    </row>
    <row r="367" spans="1:17" x14ac:dyDescent="0.25">
      <c r="A367" s="1">
        <v>2398</v>
      </c>
      <c r="B367" s="2">
        <v>45621</v>
      </c>
      <c r="C367" s="3"/>
      <c r="D367" s="3"/>
      <c r="E367" s="4" t="s">
        <v>2</v>
      </c>
      <c r="F367" s="3"/>
      <c r="G367" s="3"/>
      <c r="H367" s="5"/>
      <c r="I367" s="5">
        <v>5</v>
      </c>
      <c r="J367" s="5"/>
      <c r="K367" s="6">
        <f t="shared" si="6"/>
        <v>45625</v>
      </c>
      <c r="L367" s="5">
        <v>3</v>
      </c>
      <c r="M367" s="6">
        <f t="shared" si="7"/>
        <v>45629</v>
      </c>
      <c r="N367" s="7" t="s">
        <v>3</v>
      </c>
      <c r="O367" s="7" t="s">
        <v>5</v>
      </c>
      <c r="P367" s="7" t="s">
        <v>1</v>
      </c>
      <c r="Q367" s="7" t="s">
        <v>4</v>
      </c>
    </row>
    <row r="368" spans="1:17" x14ac:dyDescent="0.25">
      <c r="A368" s="1">
        <v>2379</v>
      </c>
      <c r="B368" s="2">
        <v>45622</v>
      </c>
      <c r="C368" s="3"/>
      <c r="D368" s="3"/>
      <c r="E368" s="4" t="s">
        <v>7</v>
      </c>
      <c r="F368" s="3"/>
      <c r="G368" s="3"/>
      <c r="H368" s="5"/>
      <c r="I368" s="5">
        <v>5</v>
      </c>
      <c r="J368" s="5"/>
      <c r="K368" s="6">
        <f t="shared" si="6"/>
        <v>45626</v>
      </c>
      <c r="L368" s="5">
        <v>3</v>
      </c>
      <c r="M368" s="6">
        <f t="shared" si="7"/>
        <v>45630</v>
      </c>
      <c r="N368" s="7" t="s">
        <v>3</v>
      </c>
      <c r="O368" s="7" t="s">
        <v>5</v>
      </c>
      <c r="P368" s="7"/>
      <c r="Q368" s="7" t="s">
        <v>4</v>
      </c>
    </row>
    <row r="369" spans="1:17" x14ac:dyDescent="0.25">
      <c r="A369" s="1">
        <v>3096</v>
      </c>
      <c r="B369" s="2">
        <v>45622</v>
      </c>
      <c r="C369" s="3"/>
      <c r="D369" s="3"/>
      <c r="E369" s="4" t="s">
        <v>6</v>
      </c>
      <c r="F369" s="3"/>
      <c r="G369" s="3"/>
      <c r="H369" s="5"/>
      <c r="I369" s="5">
        <v>5</v>
      </c>
      <c r="J369" s="5"/>
      <c r="K369" s="6">
        <f t="shared" si="6"/>
        <v>45626</v>
      </c>
      <c r="L369" s="5">
        <v>5</v>
      </c>
      <c r="M369" s="6">
        <f t="shared" si="7"/>
        <v>45632</v>
      </c>
      <c r="N369" s="7"/>
      <c r="O369" s="7" t="s">
        <v>5</v>
      </c>
      <c r="P369" s="7"/>
      <c r="Q369" s="7"/>
    </row>
    <row r="370" spans="1:17" x14ac:dyDescent="0.25">
      <c r="A370" s="1">
        <v>2612</v>
      </c>
      <c r="B370" s="2">
        <v>45622</v>
      </c>
      <c r="C370" s="3"/>
      <c r="D370" s="3"/>
      <c r="E370" s="4" t="s">
        <v>6</v>
      </c>
      <c r="F370" s="3"/>
      <c r="G370" s="3"/>
      <c r="H370" s="5"/>
      <c r="I370" s="5">
        <v>5</v>
      </c>
      <c r="J370" s="5"/>
      <c r="K370" s="6">
        <f t="shared" si="6"/>
        <v>45626</v>
      </c>
      <c r="L370" s="5">
        <v>5</v>
      </c>
      <c r="M370" s="6">
        <f t="shared" si="7"/>
        <v>45632</v>
      </c>
      <c r="N370" s="7" t="s">
        <v>3</v>
      </c>
      <c r="O370" s="7" t="s">
        <v>5</v>
      </c>
      <c r="P370" s="7"/>
      <c r="Q370" s="7"/>
    </row>
    <row r="371" spans="1:17" x14ac:dyDescent="0.25">
      <c r="A371" s="1">
        <v>3148</v>
      </c>
      <c r="B371" s="2">
        <v>45622</v>
      </c>
      <c r="C371" s="3"/>
      <c r="D371" s="3"/>
      <c r="E371" s="4" t="s">
        <v>6</v>
      </c>
      <c r="F371" s="3"/>
      <c r="G371" s="3"/>
      <c r="H371" s="5"/>
      <c r="I371" s="5">
        <v>5</v>
      </c>
      <c r="J371" s="5"/>
      <c r="K371" s="6">
        <f t="shared" si="6"/>
        <v>45626</v>
      </c>
      <c r="L371" s="5">
        <v>5</v>
      </c>
      <c r="M371" s="6">
        <f t="shared" si="7"/>
        <v>45632</v>
      </c>
      <c r="N371" s="7" t="s">
        <v>3</v>
      </c>
      <c r="O371" s="7"/>
      <c r="P371" s="7" t="s">
        <v>1</v>
      </c>
      <c r="Q371" s="7"/>
    </row>
    <row r="372" spans="1:17" x14ac:dyDescent="0.25">
      <c r="A372" s="1">
        <v>2191</v>
      </c>
      <c r="B372" s="2">
        <v>45622</v>
      </c>
      <c r="C372" s="3"/>
      <c r="D372" s="3"/>
      <c r="E372" s="4" t="s">
        <v>6</v>
      </c>
      <c r="F372" s="3"/>
      <c r="G372" s="3"/>
      <c r="H372" s="5"/>
      <c r="I372" s="5">
        <v>5</v>
      </c>
      <c r="J372" s="5"/>
      <c r="K372" s="6">
        <f t="shared" si="6"/>
        <v>45626</v>
      </c>
      <c r="L372" s="5">
        <v>5</v>
      </c>
      <c r="M372" s="6">
        <f t="shared" si="7"/>
        <v>45632</v>
      </c>
      <c r="N372" s="7" t="s">
        <v>3</v>
      </c>
      <c r="O372" s="7"/>
      <c r="P372" s="7" t="s">
        <v>1</v>
      </c>
      <c r="Q372" s="7"/>
    </row>
    <row r="373" spans="1:17" x14ac:dyDescent="0.25">
      <c r="A373" s="1">
        <v>3629</v>
      </c>
      <c r="B373" s="2">
        <v>45622</v>
      </c>
      <c r="C373" s="3"/>
      <c r="D373" s="3"/>
      <c r="E373" s="4" t="s">
        <v>15</v>
      </c>
      <c r="F373" s="3"/>
      <c r="G373" s="3"/>
      <c r="H373" s="5"/>
      <c r="I373" s="5">
        <v>5</v>
      </c>
      <c r="J373" s="5"/>
      <c r="K373" s="6">
        <f t="shared" si="6"/>
        <v>45626</v>
      </c>
      <c r="L373" s="5">
        <v>9</v>
      </c>
      <c r="M373" s="6">
        <f t="shared" si="7"/>
        <v>45636</v>
      </c>
      <c r="N373" s="7"/>
      <c r="O373" s="7"/>
      <c r="P373" s="7" t="s">
        <v>1</v>
      </c>
      <c r="Q373" s="7"/>
    </row>
    <row r="374" spans="1:17" x14ac:dyDescent="0.25">
      <c r="A374" s="1">
        <v>3289</v>
      </c>
      <c r="B374" s="2">
        <v>45622</v>
      </c>
      <c r="C374" s="3"/>
      <c r="D374" s="3"/>
      <c r="E374" s="4" t="s">
        <v>15</v>
      </c>
      <c r="F374" s="3"/>
      <c r="G374" s="3"/>
      <c r="H374" s="5"/>
      <c r="I374" s="5">
        <v>5</v>
      </c>
      <c r="J374" s="5"/>
      <c r="K374" s="6">
        <f t="shared" si="6"/>
        <v>45626</v>
      </c>
      <c r="L374" s="5">
        <v>5</v>
      </c>
      <c r="M374" s="6">
        <f t="shared" si="7"/>
        <v>45632</v>
      </c>
      <c r="N374" s="7" t="s">
        <v>3</v>
      </c>
      <c r="O374" s="7" t="s">
        <v>5</v>
      </c>
      <c r="P374" s="7"/>
      <c r="Q374" s="7"/>
    </row>
    <row r="375" spans="1:17" x14ac:dyDescent="0.25">
      <c r="A375" s="1">
        <v>3235</v>
      </c>
      <c r="B375" s="2">
        <v>45622</v>
      </c>
      <c r="C375" s="3"/>
      <c r="D375" s="3"/>
      <c r="E375" s="4" t="s">
        <v>15</v>
      </c>
      <c r="F375" s="3"/>
      <c r="G375" s="3"/>
      <c r="H375" s="5"/>
      <c r="I375" s="5">
        <v>5</v>
      </c>
      <c r="J375" s="5"/>
      <c r="K375" s="6">
        <f t="shared" si="6"/>
        <v>45626</v>
      </c>
      <c r="L375" s="5">
        <v>5</v>
      </c>
      <c r="M375" s="6">
        <f t="shared" si="7"/>
        <v>45632</v>
      </c>
      <c r="N375" s="7"/>
      <c r="O375" s="7"/>
      <c r="P375" s="7"/>
      <c r="Q375" s="7" t="s">
        <v>4</v>
      </c>
    </row>
    <row r="376" spans="1:17" x14ac:dyDescent="0.25">
      <c r="A376" s="1">
        <v>4202</v>
      </c>
      <c r="B376" s="2">
        <v>45622</v>
      </c>
      <c r="C376" s="3"/>
      <c r="D376" s="3"/>
      <c r="E376" s="4" t="s">
        <v>15</v>
      </c>
      <c r="F376" s="3"/>
      <c r="G376" s="3"/>
      <c r="H376" s="5"/>
      <c r="I376" s="5">
        <v>5</v>
      </c>
      <c r="J376" s="5"/>
      <c r="K376" s="6">
        <f t="shared" si="6"/>
        <v>45626</v>
      </c>
      <c r="L376" s="5">
        <v>5</v>
      </c>
      <c r="M376" s="6">
        <f t="shared" si="7"/>
        <v>45632</v>
      </c>
      <c r="N376" s="7" t="s">
        <v>3</v>
      </c>
      <c r="O376" s="7"/>
      <c r="P376" s="7"/>
      <c r="Q376" s="7"/>
    </row>
    <row r="377" spans="1:17" x14ac:dyDescent="0.25">
      <c r="A377" s="1">
        <v>4542</v>
      </c>
      <c r="B377" s="2">
        <v>45624</v>
      </c>
      <c r="C377" s="3"/>
      <c r="D377" s="3"/>
      <c r="E377" s="4" t="s">
        <v>13</v>
      </c>
      <c r="F377" s="3"/>
      <c r="G377" s="3"/>
      <c r="H377" s="5"/>
      <c r="I377" s="5">
        <v>5</v>
      </c>
      <c r="J377" s="5"/>
      <c r="K377" s="6">
        <f t="shared" si="6"/>
        <v>45628</v>
      </c>
      <c r="L377" s="5">
        <v>5</v>
      </c>
      <c r="M377" s="6">
        <f t="shared" si="7"/>
        <v>45634</v>
      </c>
      <c r="N377" s="7"/>
      <c r="O377" s="7"/>
      <c r="P377" s="7" t="s">
        <v>1</v>
      </c>
      <c r="Q377" s="7"/>
    </row>
    <row r="378" spans="1:17" x14ac:dyDescent="0.25">
      <c r="A378" s="1">
        <v>3378</v>
      </c>
      <c r="B378" s="2">
        <v>45623</v>
      </c>
      <c r="C378" s="3"/>
      <c r="D378" s="3"/>
      <c r="E378" s="4" t="s">
        <v>7</v>
      </c>
      <c r="F378" s="3"/>
      <c r="G378" s="3"/>
      <c r="H378" s="5"/>
      <c r="I378" s="5">
        <v>5</v>
      </c>
      <c r="J378" s="5"/>
      <c r="K378" s="6">
        <f t="shared" si="6"/>
        <v>45627</v>
      </c>
      <c r="L378" s="5">
        <v>3</v>
      </c>
      <c r="M378" s="6">
        <f t="shared" si="7"/>
        <v>45631</v>
      </c>
      <c r="N378" s="7"/>
      <c r="O378" s="7" t="s">
        <v>5</v>
      </c>
      <c r="P378" s="7"/>
      <c r="Q378" s="7"/>
    </row>
    <row r="379" spans="1:17" x14ac:dyDescent="0.25">
      <c r="A379" s="1">
        <v>2102</v>
      </c>
      <c r="B379" s="2">
        <v>45624</v>
      </c>
      <c r="C379" s="3"/>
      <c r="D379" s="3"/>
      <c r="E379" s="4" t="s">
        <v>13</v>
      </c>
      <c r="F379" s="3"/>
      <c r="G379" s="3"/>
      <c r="H379" s="5"/>
      <c r="I379" s="5">
        <v>5</v>
      </c>
      <c r="J379" s="5"/>
      <c r="K379" s="6">
        <f t="shared" si="6"/>
        <v>45628</v>
      </c>
      <c r="L379" s="5">
        <v>5</v>
      </c>
      <c r="M379" s="6">
        <f t="shared" si="7"/>
        <v>45634</v>
      </c>
      <c r="N379" s="7" t="s">
        <v>3</v>
      </c>
      <c r="O379" s="7"/>
      <c r="P379" s="7" t="s">
        <v>1</v>
      </c>
      <c r="Q379" s="7"/>
    </row>
    <row r="380" spans="1:17" x14ac:dyDescent="0.25">
      <c r="A380" s="1">
        <v>2877</v>
      </c>
      <c r="B380" s="2">
        <v>45624</v>
      </c>
      <c r="C380" s="3"/>
      <c r="D380" s="3"/>
      <c r="E380" s="4" t="s">
        <v>6</v>
      </c>
      <c r="F380" s="3"/>
      <c r="G380" s="3"/>
      <c r="H380" s="5"/>
      <c r="I380" s="5">
        <v>5</v>
      </c>
      <c r="J380" s="5"/>
      <c r="K380" s="6">
        <f t="shared" si="6"/>
        <v>45628</v>
      </c>
      <c r="L380" s="5">
        <v>5</v>
      </c>
      <c r="M380" s="6">
        <f t="shared" si="7"/>
        <v>45634</v>
      </c>
      <c r="N380" s="7" t="s">
        <v>3</v>
      </c>
      <c r="O380" s="7" t="s">
        <v>5</v>
      </c>
      <c r="P380" s="7" t="s">
        <v>1</v>
      </c>
      <c r="Q380" s="7" t="s">
        <v>4</v>
      </c>
    </row>
    <row r="381" spans="1:17" x14ac:dyDescent="0.25">
      <c r="A381" s="1">
        <v>2118</v>
      </c>
      <c r="B381" s="2">
        <v>45624</v>
      </c>
      <c r="C381" s="3"/>
      <c r="D381" s="3"/>
      <c r="E381" s="4" t="s">
        <v>6</v>
      </c>
      <c r="F381" s="3"/>
      <c r="G381" s="3"/>
      <c r="H381" s="5"/>
      <c r="I381" s="5">
        <v>5</v>
      </c>
      <c r="J381" s="5"/>
      <c r="K381" s="6">
        <f t="shared" si="6"/>
        <v>45628</v>
      </c>
      <c r="L381" s="5">
        <v>5</v>
      </c>
      <c r="M381" s="6">
        <f t="shared" si="7"/>
        <v>45634</v>
      </c>
      <c r="N381" s="7"/>
      <c r="O381" s="7"/>
      <c r="P381" s="7"/>
      <c r="Q381" s="7" t="s">
        <v>4</v>
      </c>
    </row>
    <row r="382" spans="1:17" x14ac:dyDescent="0.25">
      <c r="A382" s="1">
        <v>2814</v>
      </c>
      <c r="B382" s="2">
        <v>45624</v>
      </c>
      <c r="C382" s="3"/>
      <c r="D382" s="3"/>
      <c r="E382" s="4" t="s">
        <v>7</v>
      </c>
      <c r="F382" s="3"/>
      <c r="G382" s="3"/>
      <c r="H382" s="5"/>
      <c r="I382" s="5">
        <v>5</v>
      </c>
      <c r="J382" s="5"/>
      <c r="K382" s="6">
        <f t="shared" si="6"/>
        <v>45628</v>
      </c>
      <c r="L382" s="5">
        <v>3</v>
      </c>
      <c r="M382" s="6">
        <f t="shared" si="7"/>
        <v>45632</v>
      </c>
      <c r="N382" s="7"/>
      <c r="O382" s="7" t="s">
        <v>5</v>
      </c>
      <c r="P382" s="7"/>
      <c r="Q382" s="7"/>
    </row>
    <row r="383" spans="1:17" x14ac:dyDescent="0.25">
      <c r="A383" s="1">
        <v>657</v>
      </c>
      <c r="B383" s="2">
        <v>45625</v>
      </c>
      <c r="C383" s="3"/>
      <c r="D383" s="3"/>
      <c r="E383" s="4" t="s">
        <v>13</v>
      </c>
      <c r="F383" s="3"/>
      <c r="G383" s="3"/>
      <c r="H383" s="5"/>
      <c r="I383" s="5">
        <v>5</v>
      </c>
      <c r="J383" s="5"/>
      <c r="K383" s="6">
        <f t="shared" si="6"/>
        <v>45629</v>
      </c>
      <c r="L383" s="5">
        <v>5</v>
      </c>
      <c r="M383" s="6">
        <f t="shared" si="7"/>
        <v>45635</v>
      </c>
      <c r="N383" s="7"/>
      <c r="O383" s="7"/>
      <c r="P383" s="7" t="s">
        <v>1</v>
      </c>
      <c r="Q383" s="7"/>
    </row>
    <row r="384" spans="1:17" x14ac:dyDescent="0.25">
      <c r="A384" s="1">
        <v>2650</v>
      </c>
      <c r="B384" s="2">
        <v>45626</v>
      </c>
      <c r="C384" s="3"/>
      <c r="D384" s="3"/>
      <c r="E384" s="4" t="s">
        <v>15</v>
      </c>
      <c r="F384" s="3"/>
      <c r="G384" s="3"/>
      <c r="H384" s="5"/>
      <c r="I384" s="5">
        <v>5</v>
      </c>
      <c r="J384" s="5"/>
      <c r="K384" s="6">
        <f t="shared" si="6"/>
        <v>45630</v>
      </c>
      <c r="L384" s="5">
        <v>9</v>
      </c>
      <c r="M384" s="6">
        <f t="shared" si="7"/>
        <v>45640</v>
      </c>
      <c r="N384" s="7" t="s">
        <v>3</v>
      </c>
      <c r="O384" s="7"/>
      <c r="P384" s="7" t="s">
        <v>1</v>
      </c>
      <c r="Q384" s="7"/>
    </row>
    <row r="385" spans="1:17" x14ac:dyDescent="0.25">
      <c r="A385" s="1">
        <v>3096</v>
      </c>
      <c r="B385" s="2">
        <v>45626</v>
      </c>
      <c r="C385" s="3"/>
      <c r="D385" s="3"/>
      <c r="E385" s="4" t="s">
        <v>15</v>
      </c>
      <c r="F385" s="3"/>
      <c r="G385" s="3"/>
      <c r="H385" s="5"/>
      <c r="I385" s="5">
        <v>5</v>
      </c>
      <c r="J385" s="5"/>
      <c r="K385" s="6">
        <f t="shared" si="6"/>
        <v>45630</v>
      </c>
      <c r="L385" s="5">
        <v>9</v>
      </c>
      <c r="M385" s="6">
        <f t="shared" si="7"/>
        <v>45640</v>
      </c>
      <c r="N385" s="7"/>
      <c r="O385" s="7" t="s">
        <v>5</v>
      </c>
      <c r="P385" s="7"/>
      <c r="Q385" s="7"/>
    </row>
    <row r="386" spans="1:17" x14ac:dyDescent="0.25">
      <c r="A386" s="1">
        <v>2979</v>
      </c>
      <c r="B386" s="2">
        <v>45626</v>
      </c>
      <c r="C386" s="3"/>
      <c r="D386" s="3"/>
      <c r="E386" s="4" t="s">
        <v>6</v>
      </c>
      <c r="F386" s="3"/>
      <c r="G386" s="3"/>
      <c r="H386" s="5"/>
      <c r="I386" s="5">
        <v>5</v>
      </c>
      <c r="J386" s="5"/>
      <c r="K386" s="6">
        <f t="shared" ref="K386:K449" si="8">B386+I386-1</f>
        <v>45630</v>
      </c>
      <c r="L386" s="5">
        <v>5</v>
      </c>
      <c r="M386" s="6">
        <f t="shared" ref="M386:M449" si="9">K386+L386+1</f>
        <v>45636</v>
      </c>
      <c r="N386" s="7"/>
      <c r="O386" s="7"/>
      <c r="P386" s="7"/>
      <c r="Q386" s="7" t="s">
        <v>4</v>
      </c>
    </row>
    <row r="387" spans="1:17" x14ac:dyDescent="0.25">
      <c r="A387" s="1">
        <v>1746</v>
      </c>
      <c r="B387" s="2">
        <v>45626</v>
      </c>
      <c r="C387" s="3"/>
      <c r="D387" s="3"/>
      <c r="E387" s="4" t="s">
        <v>7</v>
      </c>
      <c r="F387" s="3"/>
      <c r="G387" s="3"/>
      <c r="H387" s="5"/>
      <c r="I387" s="5">
        <v>5</v>
      </c>
      <c r="J387" s="5"/>
      <c r="K387" s="6">
        <f t="shared" si="8"/>
        <v>45630</v>
      </c>
      <c r="L387" s="5">
        <v>3</v>
      </c>
      <c r="M387" s="6">
        <f t="shared" si="9"/>
        <v>45634</v>
      </c>
      <c r="N387" s="7" t="s">
        <v>3</v>
      </c>
      <c r="O387" s="7"/>
      <c r="P387" s="7" t="s">
        <v>1</v>
      </c>
      <c r="Q387" s="7"/>
    </row>
    <row r="388" spans="1:17" x14ac:dyDescent="0.25">
      <c r="A388" s="1">
        <v>4134</v>
      </c>
      <c r="B388" s="2">
        <v>45626</v>
      </c>
      <c r="C388" s="3"/>
      <c r="D388" s="3"/>
      <c r="E388" s="4" t="s">
        <v>7</v>
      </c>
      <c r="F388" s="3"/>
      <c r="G388" s="3"/>
      <c r="H388" s="5"/>
      <c r="I388" s="5">
        <v>5</v>
      </c>
      <c r="J388" s="5"/>
      <c r="K388" s="6">
        <f t="shared" si="8"/>
        <v>45630</v>
      </c>
      <c r="L388" s="5">
        <v>3</v>
      </c>
      <c r="M388" s="6">
        <f t="shared" si="9"/>
        <v>45634</v>
      </c>
      <c r="N388" s="7"/>
      <c r="O388" s="7" t="s">
        <v>5</v>
      </c>
      <c r="P388" s="7"/>
      <c r="Q388" s="7" t="s">
        <v>4</v>
      </c>
    </row>
    <row r="389" spans="1:17" x14ac:dyDescent="0.25">
      <c r="A389" s="1">
        <v>2787</v>
      </c>
      <c r="B389" s="2">
        <v>45626</v>
      </c>
      <c r="C389" s="3"/>
      <c r="D389" s="3"/>
      <c r="E389" s="4" t="s">
        <v>7</v>
      </c>
      <c r="F389" s="3"/>
      <c r="G389" s="3"/>
      <c r="H389" s="5"/>
      <c r="I389" s="5">
        <v>5</v>
      </c>
      <c r="J389" s="5"/>
      <c r="K389" s="6">
        <f t="shared" si="8"/>
        <v>45630</v>
      </c>
      <c r="L389" s="5">
        <v>3</v>
      </c>
      <c r="M389" s="6">
        <f t="shared" si="9"/>
        <v>45634</v>
      </c>
      <c r="N389" s="7"/>
      <c r="O389" s="7"/>
      <c r="P389" s="7"/>
      <c r="Q389" s="7" t="s">
        <v>4</v>
      </c>
    </row>
    <row r="390" spans="1:17" x14ac:dyDescent="0.25">
      <c r="A390" s="1">
        <v>2877</v>
      </c>
      <c r="B390" s="2">
        <v>45627</v>
      </c>
      <c r="C390" s="3"/>
      <c r="D390" s="3"/>
      <c r="E390" s="4" t="s">
        <v>15</v>
      </c>
      <c r="F390" s="3"/>
      <c r="G390" s="3"/>
      <c r="H390" s="5"/>
      <c r="I390" s="5">
        <v>5</v>
      </c>
      <c r="J390" s="5"/>
      <c r="K390" s="6">
        <f t="shared" si="8"/>
        <v>45631</v>
      </c>
      <c r="L390" s="5">
        <v>9</v>
      </c>
      <c r="M390" s="6">
        <f t="shared" si="9"/>
        <v>45641</v>
      </c>
      <c r="N390" s="7"/>
      <c r="O390" s="7" t="s">
        <v>5</v>
      </c>
      <c r="P390" s="7" t="s">
        <v>1</v>
      </c>
      <c r="Q390" s="7"/>
    </row>
    <row r="391" spans="1:17" x14ac:dyDescent="0.25">
      <c r="A391" s="1">
        <v>2164</v>
      </c>
      <c r="B391" s="2">
        <v>45629</v>
      </c>
      <c r="C391" s="3"/>
      <c r="D391" s="3"/>
      <c r="E391" s="4" t="s">
        <v>7</v>
      </c>
      <c r="F391" s="3"/>
      <c r="G391" s="3"/>
      <c r="H391" s="5"/>
      <c r="I391" s="5">
        <v>5</v>
      </c>
      <c r="J391" s="5"/>
      <c r="K391" s="6">
        <f t="shared" si="8"/>
        <v>45633</v>
      </c>
      <c r="L391" s="5">
        <v>3</v>
      </c>
      <c r="M391" s="6">
        <f t="shared" si="9"/>
        <v>45637</v>
      </c>
      <c r="N391" s="7"/>
      <c r="O391" s="7"/>
      <c r="P391" s="7" t="s">
        <v>1</v>
      </c>
      <c r="Q391" s="7"/>
    </row>
    <row r="392" spans="1:17" x14ac:dyDescent="0.25">
      <c r="A392" s="1">
        <v>2595</v>
      </c>
      <c r="B392" s="2">
        <v>45629</v>
      </c>
      <c r="C392" s="3"/>
      <c r="D392" s="3"/>
      <c r="E392" s="4" t="s">
        <v>7</v>
      </c>
      <c r="F392" s="3"/>
      <c r="G392" s="3"/>
      <c r="H392" s="5"/>
      <c r="I392" s="5">
        <v>5</v>
      </c>
      <c r="J392" s="5"/>
      <c r="K392" s="6">
        <f t="shared" si="8"/>
        <v>45633</v>
      </c>
      <c r="L392" s="5">
        <v>3</v>
      </c>
      <c r="M392" s="6">
        <f t="shared" si="9"/>
        <v>45637</v>
      </c>
      <c r="N392" s="7" t="s">
        <v>3</v>
      </c>
      <c r="O392" s="7"/>
      <c r="P392" s="7"/>
      <c r="Q392" s="7"/>
    </row>
    <row r="393" spans="1:17" x14ac:dyDescent="0.25">
      <c r="A393" s="1">
        <v>2969</v>
      </c>
      <c r="B393" s="2">
        <v>45629</v>
      </c>
      <c r="C393" s="3"/>
      <c r="D393" s="3"/>
      <c r="E393" s="4" t="s">
        <v>7</v>
      </c>
      <c r="F393" s="3"/>
      <c r="G393" s="3"/>
      <c r="H393" s="5"/>
      <c r="I393" s="5">
        <v>5</v>
      </c>
      <c r="J393" s="5"/>
      <c r="K393" s="6">
        <f t="shared" si="8"/>
        <v>45633</v>
      </c>
      <c r="L393" s="5">
        <v>3</v>
      </c>
      <c r="M393" s="6">
        <f t="shared" si="9"/>
        <v>45637</v>
      </c>
      <c r="N393" s="7"/>
      <c r="O393" s="7" t="s">
        <v>5</v>
      </c>
      <c r="P393" s="7"/>
      <c r="Q393" s="7"/>
    </row>
    <row r="394" spans="1:17" x14ac:dyDescent="0.25">
      <c r="A394" s="1">
        <v>2449</v>
      </c>
      <c r="B394" s="2">
        <v>45629</v>
      </c>
      <c r="C394" s="3"/>
      <c r="D394" s="3"/>
      <c r="E394" s="4" t="s">
        <v>7</v>
      </c>
      <c r="F394" s="3"/>
      <c r="G394" s="3"/>
      <c r="H394" s="5"/>
      <c r="I394" s="5">
        <v>5</v>
      </c>
      <c r="J394" s="5"/>
      <c r="K394" s="6">
        <f t="shared" si="8"/>
        <v>45633</v>
      </c>
      <c r="L394" s="5">
        <v>3</v>
      </c>
      <c r="M394" s="6">
        <f t="shared" si="9"/>
        <v>45637</v>
      </c>
      <c r="N394" s="7" t="s">
        <v>3</v>
      </c>
      <c r="O394" s="7"/>
      <c r="P394" s="7"/>
      <c r="Q394" s="7"/>
    </row>
    <row r="395" spans="1:17" x14ac:dyDescent="0.25">
      <c r="A395" s="1">
        <v>3456</v>
      </c>
      <c r="B395" s="2">
        <v>45629</v>
      </c>
      <c r="C395" s="3"/>
      <c r="D395" s="3"/>
      <c r="E395" s="4" t="s">
        <v>6</v>
      </c>
      <c r="F395" s="3"/>
      <c r="G395" s="3"/>
      <c r="H395" s="5"/>
      <c r="I395" s="5">
        <v>5</v>
      </c>
      <c r="J395" s="5"/>
      <c r="K395" s="6">
        <f t="shared" si="8"/>
        <v>45633</v>
      </c>
      <c r="L395" s="5">
        <v>5</v>
      </c>
      <c r="M395" s="6">
        <f t="shared" si="9"/>
        <v>45639</v>
      </c>
      <c r="N395" s="7"/>
      <c r="O395" s="7" t="s">
        <v>5</v>
      </c>
      <c r="P395" s="7"/>
      <c r="Q395" s="7"/>
    </row>
    <row r="396" spans="1:17" x14ac:dyDescent="0.25">
      <c r="A396" s="1">
        <v>3194</v>
      </c>
      <c r="B396" s="2">
        <v>45630</v>
      </c>
      <c r="C396" s="3"/>
      <c r="D396" s="3"/>
      <c r="E396" s="4" t="s">
        <v>7</v>
      </c>
      <c r="F396" s="3"/>
      <c r="G396" s="3"/>
      <c r="H396" s="5"/>
      <c r="I396" s="5">
        <v>5</v>
      </c>
      <c r="J396" s="5"/>
      <c r="K396" s="6">
        <f t="shared" si="8"/>
        <v>45634</v>
      </c>
      <c r="L396" s="5">
        <v>3</v>
      </c>
      <c r="M396" s="6">
        <f t="shared" si="9"/>
        <v>45638</v>
      </c>
      <c r="N396" s="7" t="s">
        <v>3</v>
      </c>
      <c r="O396" s="7"/>
      <c r="P396" s="7" t="s">
        <v>1</v>
      </c>
      <c r="Q396" s="7"/>
    </row>
    <row r="397" spans="1:17" x14ac:dyDescent="0.25">
      <c r="A397" s="1">
        <v>3135</v>
      </c>
      <c r="B397" s="2">
        <v>45630</v>
      </c>
      <c r="C397" s="3"/>
      <c r="D397" s="3"/>
      <c r="E397" s="4" t="s">
        <v>7</v>
      </c>
      <c r="F397" s="3"/>
      <c r="G397" s="3"/>
      <c r="H397" s="5"/>
      <c r="I397" s="5">
        <v>5</v>
      </c>
      <c r="J397" s="5"/>
      <c r="K397" s="6">
        <f t="shared" si="8"/>
        <v>45634</v>
      </c>
      <c r="L397" s="5">
        <v>3</v>
      </c>
      <c r="M397" s="6">
        <f t="shared" si="9"/>
        <v>45638</v>
      </c>
      <c r="N397" s="7" t="s">
        <v>3</v>
      </c>
      <c r="O397" s="7"/>
      <c r="P397" s="7"/>
      <c r="Q397" s="7"/>
    </row>
    <row r="398" spans="1:17" x14ac:dyDescent="0.25">
      <c r="A398" s="1">
        <v>2791</v>
      </c>
      <c r="B398" s="2">
        <v>45631</v>
      </c>
      <c r="C398" s="3"/>
      <c r="D398" s="3"/>
      <c r="E398" s="4" t="s">
        <v>6</v>
      </c>
      <c r="F398" s="3"/>
      <c r="G398" s="3"/>
      <c r="H398" s="5"/>
      <c r="I398" s="5">
        <v>5</v>
      </c>
      <c r="J398" s="5"/>
      <c r="K398" s="6">
        <f t="shared" si="8"/>
        <v>45635</v>
      </c>
      <c r="L398" s="5">
        <v>5</v>
      </c>
      <c r="M398" s="6">
        <f t="shared" si="9"/>
        <v>45641</v>
      </c>
      <c r="N398" s="7" t="s">
        <v>3</v>
      </c>
      <c r="O398" s="7"/>
      <c r="P398" s="7"/>
      <c r="Q398" s="7"/>
    </row>
    <row r="399" spans="1:17" x14ac:dyDescent="0.25">
      <c r="A399" s="1">
        <v>4134</v>
      </c>
      <c r="B399" s="2">
        <v>45631</v>
      </c>
      <c r="C399" s="3"/>
      <c r="D399" s="3"/>
      <c r="E399" s="4" t="s">
        <v>19</v>
      </c>
      <c r="F399" s="3"/>
      <c r="G399" s="3"/>
      <c r="H399" s="5"/>
      <c r="I399" s="5">
        <v>3</v>
      </c>
      <c r="J399" s="5"/>
      <c r="K399" s="6">
        <f t="shared" si="8"/>
        <v>45633</v>
      </c>
      <c r="L399" s="5">
        <v>9</v>
      </c>
      <c r="M399" s="6">
        <f t="shared" si="9"/>
        <v>45643</v>
      </c>
      <c r="N399" s="7"/>
      <c r="O399" s="7"/>
      <c r="P399" s="7"/>
      <c r="Q399" s="7" t="s">
        <v>4</v>
      </c>
    </row>
    <row r="400" spans="1:17" x14ac:dyDescent="0.25">
      <c r="A400" s="1">
        <v>4320</v>
      </c>
      <c r="B400" s="2">
        <v>45632</v>
      </c>
      <c r="C400" s="3"/>
      <c r="D400" s="3"/>
      <c r="E400" s="4" t="s">
        <v>7</v>
      </c>
      <c r="F400" s="3"/>
      <c r="G400" s="3"/>
      <c r="H400" s="5"/>
      <c r="I400" s="5">
        <v>5</v>
      </c>
      <c r="J400" s="5"/>
      <c r="K400" s="6">
        <f t="shared" si="8"/>
        <v>45636</v>
      </c>
      <c r="L400" s="5">
        <v>3</v>
      </c>
      <c r="M400" s="6">
        <f t="shared" si="9"/>
        <v>45640</v>
      </c>
      <c r="N400" s="7"/>
      <c r="O400" s="7" t="s">
        <v>5</v>
      </c>
      <c r="P400" s="7"/>
      <c r="Q400" s="7"/>
    </row>
    <row r="401" spans="1:17" x14ac:dyDescent="0.25">
      <c r="A401" s="1">
        <v>2927</v>
      </c>
      <c r="B401" s="2">
        <v>45633</v>
      </c>
      <c r="C401" s="3"/>
      <c r="D401" s="3"/>
      <c r="E401" s="4" t="s">
        <v>7</v>
      </c>
      <c r="F401" s="3"/>
      <c r="G401" s="3"/>
      <c r="H401" s="5"/>
      <c r="I401" s="5">
        <v>5</v>
      </c>
      <c r="J401" s="5"/>
      <c r="K401" s="6">
        <f t="shared" si="8"/>
        <v>45637</v>
      </c>
      <c r="L401" s="5">
        <v>3</v>
      </c>
      <c r="M401" s="6">
        <f t="shared" si="9"/>
        <v>45641</v>
      </c>
      <c r="N401" s="7"/>
      <c r="O401" s="7" t="s">
        <v>5</v>
      </c>
      <c r="P401" s="7"/>
      <c r="Q401" s="7"/>
    </row>
    <row r="402" spans="1:17" x14ac:dyDescent="0.25">
      <c r="A402" s="1">
        <v>3423</v>
      </c>
      <c r="B402" s="2">
        <v>45633</v>
      </c>
      <c r="C402" s="3"/>
      <c r="D402" s="3"/>
      <c r="E402" s="4" t="s">
        <v>7</v>
      </c>
      <c r="F402" s="3"/>
      <c r="G402" s="3"/>
      <c r="H402" s="5"/>
      <c r="I402" s="5">
        <v>5</v>
      </c>
      <c r="J402" s="5"/>
      <c r="K402" s="6">
        <f t="shared" si="8"/>
        <v>45637</v>
      </c>
      <c r="L402" s="5">
        <v>3</v>
      </c>
      <c r="M402" s="6">
        <f t="shared" si="9"/>
        <v>45641</v>
      </c>
      <c r="N402" s="7"/>
      <c r="O402" s="7"/>
      <c r="P402" s="7"/>
      <c r="Q402" s="7" t="s">
        <v>4</v>
      </c>
    </row>
    <row r="403" spans="1:17" x14ac:dyDescent="0.25">
      <c r="A403" s="1">
        <v>3321</v>
      </c>
      <c r="B403" s="2">
        <v>45634</v>
      </c>
      <c r="C403" s="3"/>
      <c r="D403" s="3"/>
      <c r="E403" s="4" t="s">
        <v>7</v>
      </c>
      <c r="F403" s="3"/>
      <c r="G403" s="3"/>
      <c r="H403" s="5"/>
      <c r="I403" s="5">
        <v>5</v>
      </c>
      <c r="J403" s="5"/>
      <c r="K403" s="6">
        <f t="shared" si="8"/>
        <v>45638</v>
      </c>
      <c r="L403" s="5">
        <v>3</v>
      </c>
      <c r="M403" s="6">
        <f t="shared" si="9"/>
        <v>45642</v>
      </c>
      <c r="N403" s="7"/>
      <c r="O403" s="7"/>
      <c r="P403" s="7"/>
      <c r="Q403" s="7" t="s">
        <v>4</v>
      </c>
    </row>
    <row r="404" spans="1:17" x14ac:dyDescent="0.25">
      <c r="A404" s="1">
        <v>3199</v>
      </c>
      <c r="B404" s="2">
        <v>45634</v>
      </c>
      <c r="C404" s="3"/>
      <c r="D404" s="3"/>
      <c r="E404" s="4" t="s">
        <v>7</v>
      </c>
      <c r="F404" s="3"/>
      <c r="G404" s="3"/>
      <c r="H404" s="5"/>
      <c r="I404" s="5">
        <v>5</v>
      </c>
      <c r="J404" s="5"/>
      <c r="K404" s="6">
        <f t="shared" si="8"/>
        <v>45638</v>
      </c>
      <c r="L404" s="5">
        <v>3</v>
      </c>
      <c r="M404" s="6">
        <f t="shared" si="9"/>
        <v>45642</v>
      </c>
      <c r="N404" s="7"/>
      <c r="O404" s="7"/>
      <c r="P404" s="7" t="s">
        <v>1</v>
      </c>
      <c r="Q404" s="7"/>
    </row>
    <row r="405" spans="1:17" x14ac:dyDescent="0.25">
      <c r="A405" s="1">
        <v>3985</v>
      </c>
      <c r="B405" s="2">
        <v>45634</v>
      </c>
      <c r="C405" s="3"/>
      <c r="D405" s="3"/>
      <c r="E405" s="4" t="s">
        <v>7</v>
      </c>
      <c r="F405" s="3"/>
      <c r="G405" s="3"/>
      <c r="H405" s="5"/>
      <c r="I405" s="5">
        <v>5</v>
      </c>
      <c r="J405" s="5"/>
      <c r="K405" s="6">
        <f t="shared" si="8"/>
        <v>45638</v>
      </c>
      <c r="L405" s="5">
        <v>3</v>
      </c>
      <c r="M405" s="6">
        <f t="shared" si="9"/>
        <v>45642</v>
      </c>
      <c r="N405" s="7"/>
      <c r="O405" s="7" t="s">
        <v>5</v>
      </c>
      <c r="P405" s="7"/>
      <c r="Q405" s="7"/>
    </row>
    <row r="406" spans="1:17" x14ac:dyDescent="0.25">
      <c r="A406" s="1">
        <v>4189</v>
      </c>
      <c r="B406" s="2">
        <v>45635</v>
      </c>
      <c r="C406" s="3"/>
      <c r="D406" s="3"/>
      <c r="E406" s="4" t="s">
        <v>7</v>
      </c>
      <c r="F406" s="3"/>
      <c r="G406" s="3"/>
      <c r="H406" s="5"/>
      <c r="I406" s="5">
        <v>5</v>
      </c>
      <c r="J406" s="5"/>
      <c r="K406" s="6">
        <f t="shared" si="8"/>
        <v>45639</v>
      </c>
      <c r="L406" s="5">
        <v>3</v>
      </c>
      <c r="M406" s="6">
        <f t="shared" si="9"/>
        <v>45643</v>
      </c>
      <c r="N406" s="7"/>
      <c r="O406" s="7"/>
      <c r="P406" s="7" t="s">
        <v>1</v>
      </c>
      <c r="Q406" s="7"/>
    </row>
    <row r="407" spans="1:17" x14ac:dyDescent="0.25">
      <c r="A407" s="1">
        <v>3119</v>
      </c>
      <c r="B407" s="2">
        <v>45635</v>
      </c>
      <c r="C407" s="3"/>
      <c r="D407" s="3"/>
      <c r="E407" s="4" t="s">
        <v>7</v>
      </c>
      <c r="F407" s="3"/>
      <c r="G407" s="3"/>
      <c r="H407" s="5"/>
      <c r="I407" s="5">
        <v>5</v>
      </c>
      <c r="J407" s="5"/>
      <c r="K407" s="6">
        <f t="shared" si="8"/>
        <v>45639</v>
      </c>
      <c r="L407" s="5">
        <v>3</v>
      </c>
      <c r="M407" s="6">
        <f t="shared" si="9"/>
        <v>45643</v>
      </c>
      <c r="N407" s="7"/>
      <c r="O407" s="7"/>
      <c r="P407" s="7"/>
      <c r="Q407" s="7" t="s">
        <v>4</v>
      </c>
    </row>
    <row r="408" spans="1:17" x14ac:dyDescent="0.25">
      <c r="A408" s="1">
        <v>4478</v>
      </c>
      <c r="B408" s="2">
        <v>45635</v>
      </c>
      <c r="C408" s="3"/>
      <c r="D408" s="3"/>
      <c r="E408" s="4" t="s">
        <v>7</v>
      </c>
      <c r="F408" s="3"/>
      <c r="G408" s="3"/>
      <c r="H408" s="5"/>
      <c r="I408" s="5">
        <v>5</v>
      </c>
      <c r="J408" s="5"/>
      <c r="K408" s="6">
        <f t="shared" si="8"/>
        <v>45639</v>
      </c>
      <c r="L408" s="5">
        <v>3</v>
      </c>
      <c r="M408" s="6">
        <f t="shared" si="9"/>
        <v>45643</v>
      </c>
      <c r="N408" s="7"/>
      <c r="O408" s="7"/>
      <c r="P408" s="7"/>
      <c r="Q408" s="7" t="s">
        <v>4</v>
      </c>
    </row>
    <row r="409" spans="1:17" x14ac:dyDescent="0.25">
      <c r="A409" s="1">
        <v>4067</v>
      </c>
      <c r="B409" s="2">
        <v>45635</v>
      </c>
      <c r="C409" s="3"/>
      <c r="D409" s="3"/>
      <c r="E409" s="4" t="s">
        <v>7</v>
      </c>
      <c r="F409" s="3"/>
      <c r="G409" s="3"/>
      <c r="H409" s="5"/>
      <c r="I409" s="5">
        <v>5</v>
      </c>
      <c r="J409" s="5"/>
      <c r="K409" s="6">
        <f t="shared" si="8"/>
        <v>45639</v>
      </c>
      <c r="L409" s="5">
        <v>3</v>
      </c>
      <c r="M409" s="6">
        <f t="shared" si="9"/>
        <v>45643</v>
      </c>
      <c r="N409" s="7"/>
      <c r="O409" s="7"/>
      <c r="P409" s="7" t="s">
        <v>1</v>
      </c>
      <c r="Q409" s="7"/>
    </row>
    <row r="410" spans="1:17" x14ac:dyDescent="0.25">
      <c r="A410" s="1">
        <v>1746</v>
      </c>
      <c r="B410" s="2">
        <v>45635</v>
      </c>
      <c r="C410" s="3"/>
      <c r="D410" s="3"/>
      <c r="E410" s="4" t="s">
        <v>15</v>
      </c>
      <c r="F410" s="3"/>
      <c r="G410" s="3"/>
      <c r="H410" s="5"/>
      <c r="I410" s="5">
        <v>5</v>
      </c>
      <c r="J410" s="5"/>
      <c r="K410" s="6">
        <f t="shared" si="8"/>
        <v>45639</v>
      </c>
      <c r="L410" s="5">
        <v>9</v>
      </c>
      <c r="M410" s="6">
        <f t="shared" si="9"/>
        <v>45649</v>
      </c>
      <c r="N410" s="7"/>
      <c r="O410" s="7"/>
      <c r="P410" s="7" t="s">
        <v>1</v>
      </c>
      <c r="Q410" s="7"/>
    </row>
    <row r="411" spans="1:17" x14ac:dyDescent="0.25">
      <c r="A411" s="1">
        <v>2595</v>
      </c>
      <c r="B411" s="2">
        <v>45636</v>
      </c>
      <c r="C411" s="3"/>
      <c r="D411" s="3"/>
      <c r="E411" s="4" t="s">
        <v>9</v>
      </c>
      <c r="F411" s="3"/>
      <c r="G411" s="3"/>
      <c r="H411" s="5"/>
      <c r="I411" s="5">
        <v>5</v>
      </c>
      <c r="J411" s="5"/>
      <c r="K411" s="6">
        <f t="shared" si="8"/>
        <v>45640</v>
      </c>
      <c r="L411" s="5">
        <v>2</v>
      </c>
      <c r="M411" s="6">
        <f t="shared" si="9"/>
        <v>45643</v>
      </c>
      <c r="N411" s="7" t="s">
        <v>3</v>
      </c>
      <c r="O411" s="7" t="s">
        <v>5</v>
      </c>
      <c r="P411" s="7"/>
      <c r="Q411" s="7"/>
    </row>
    <row r="412" spans="1:17" x14ac:dyDescent="0.25">
      <c r="A412" s="1">
        <v>3194</v>
      </c>
      <c r="B412" s="2">
        <v>45636</v>
      </c>
      <c r="C412" s="3"/>
      <c r="D412" s="3"/>
      <c r="E412" s="4" t="s">
        <v>15</v>
      </c>
      <c r="F412" s="3"/>
      <c r="G412" s="3"/>
      <c r="H412" s="5"/>
      <c r="I412" s="5">
        <v>5</v>
      </c>
      <c r="J412" s="5"/>
      <c r="K412" s="6">
        <f t="shared" si="8"/>
        <v>45640</v>
      </c>
      <c r="L412" s="5">
        <v>9</v>
      </c>
      <c r="M412" s="6">
        <f t="shared" si="9"/>
        <v>45650</v>
      </c>
      <c r="N412" s="7" t="s">
        <v>3</v>
      </c>
      <c r="O412" s="7"/>
      <c r="P412" s="7"/>
      <c r="Q412" s="7" t="s">
        <v>4</v>
      </c>
    </row>
    <row r="413" spans="1:17" x14ac:dyDescent="0.25">
      <c r="A413" s="1">
        <v>4134</v>
      </c>
      <c r="B413" s="2">
        <v>45636</v>
      </c>
      <c r="C413" s="3"/>
      <c r="D413" s="3"/>
      <c r="E413" s="4" t="s">
        <v>6</v>
      </c>
      <c r="F413" s="3"/>
      <c r="G413" s="3"/>
      <c r="H413" s="5"/>
      <c r="I413" s="5">
        <v>5</v>
      </c>
      <c r="J413" s="5"/>
      <c r="K413" s="6">
        <f t="shared" si="8"/>
        <v>45640</v>
      </c>
      <c r="L413" s="5">
        <v>5</v>
      </c>
      <c r="M413" s="6">
        <f t="shared" si="9"/>
        <v>45646</v>
      </c>
      <c r="N413" s="7"/>
      <c r="O413" s="7"/>
      <c r="P413" s="7"/>
      <c r="Q413" s="7" t="s">
        <v>4</v>
      </c>
    </row>
    <row r="414" spans="1:17" x14ac:dyDescent="0.25">
      <c r="A414" s="1">
        <v>296</v>
      </c>
      <c r="B414" s="2">
        <v>45637</v>
      </c>
      <c r="C414" s="3"/>
      <c r="D414" s="3"/>
      <c r="E414" s="4" t="s">
        <v>7</v>
      </c>
      <c r="F414" s="3"/>
      <c r="G414" s="3"/>
      <c r="H414" s="5"/>
      <c r="I414" s="5">
        <v>5</v>
      </c>
      <c r="J414" s="5"/>
      <c r="K414" s="6">
        <f t="shared" si="8"/>
        <v>45641</v>
      </c>
      <c r="L414" s="5">
        <v>3</v>
      </c>
      <c r="M414" s="6">
        <f t="shared" si="9"/>
        <v>45645</v>
      </c>
      <c r="N414" s="7" t="s">
        <v>3</v>
      </c>
      <c r="O414" s="7"/>
      <c r="P414" s="7" t="s">
        <v>1</v>
      </c>
      <c r="Q414" s="7"/>
    </row>
    <row r="415" spans="1:17" x14ac:dyDescent="0.25">
      <c r="A415" s="1">
        <v>3428</v>
      </c>
      <c r="B415" s="2">
        <v>45637</v>
      </c>
      <c r="C415" s="3"/>
      <c r="D415" s="3"/>
      <c r="E415" s="4" t="s">
        <v>15</v>
      </c>
      <c r="F415" s="3"/>
      <c r="G415" s="3"/>
      <c r="H415" s="5"/>
      <c r="I415" s="5">
        <v>5</v>
      </c>
      <c r="J415" s="5"/>
      <c r="K415" s="6">
        <f t="shared" si="8"/>
        <v>45641</v>
      </c>
      <c r="L415" s="5">
        <v>9</v>
      </c>
      <c r="M415" s="6">
        <f t="shared" si="9"/>
        <v>45651</v>
      </c>
      <c r="N415" s="7"/>
      <c r="O415" s="7"/>
      <c r="P415" s="7" t="s">
        <v>1</v>
      </c>
      <c r="Q415" s="7"/>
    </row>
    <row r="416" spans="1:17" x14ac:dyDescent="0.25">
      <c r="A416" s="1">
        <v>2650</v>
      </c>
      <c r="B416" s="2">
        <v>45637</v>
      </c>
      <c r="C416" s="3"/>
      <c r="D416" s="3"/>
      <c r="E416" s="4" t="s">
        <v>7</v>
      </c>
      <c r="F416" s="3"/>
      <c r="G416" s="3"/>
      <c r="H416" s="5"/>
      <c r="I416" s="5">
        <v>5</v>
      </c>
      <c r="J416" s="5"/>
      <c r="K416" s="6">
        <f t="shared" si="8"/>
        <v>45641</v>
      </c>
      <c r="L416" s="5">
        <v>3</v>
      </c>
      <c r="M416" s="6">
        <f t="shared" si="9"/>
        <v>45645</v>
      </c>
      <c r="N416" s="7" t="s">
        <v>3</v>
      </c>
      <c r="O416" s="7"/>
      <c r="P416" s="7"/>
      <c r="Q416" s="7"/>
    </row>
    <row r="417" spans="1:17" x14ac:dyDescent="0.25">
      <c r="A417" s="1">
        <v>3791</v>
      </c>
      <c r="B417" s="2">
        <v>45637</v>
      </c>
      <c r="C417" s="3"/>
      <c r="D417" s="3"/>
      <c r="E417" s="4" t="s">
        <v>7</v>
      </c>
      <c r="F417" s="3"/>
      <c r="G417" s="3"/>
      <c r="H417" s="5"/>
      <c r="I417" s="5">
        <v>5</v>
      </c>
      <c r="J417" s="5"/>
      <c r="K417" s="6">
        <f t="shared" si="8"/>
        <v>45641</v>
      </c>
      <c r="L417" s="5">
        <v>3</v>
      </c>
      <c r="M417" s="6">
        <f t="shared" si="9"/>
        <v>45645</v>
      </c>
      <c r="N417" s="7" t="s">
        <v>3</v>
      </c>
      <c r="O417" s="7" t="s">
        <v>5</v>
      </c>
      <c r="P417" s="7"/>
      <c r="Q417" s="7"/>
    </row>
    <row r="418" spans="1:17" x14ac:dyDescent="0.25">
      <c r="A418" s="1">
        <v>3886</v>
      </c>
      <c r="B418" s="2">
        <v>45637</v>
      </c>
      <c r="C418" s="3"/>
      <c r="D418" s="3"/>
      <c r="E418" s="4" t="s">
        <v>9</v>
      </c>
      <c r="F418" s="3"/>
      <c r="G418" s="3"/>
      <c r="H418" s="5"/>
      <c r="I418" s="5">
        <v>5</v>
      </c>
      <c r="J418" s="5"/>
      <c r="K418" s="6">
        <f t="shared" si="8"/>
        <v>45641</v>
      </c>
      <c r="L418" s="5">
        <v>2</v>
      </c>
      <c r="M418" s="6">
        <f t="shared" si="9"/>
        <v>45644</v>
      </c>
      <c r="N418" s="7"/>
      <c r="O418" s="7" t="s">
        <v>5</v>
      </c>
      <c r="P418" s="7"/>
      <c r="Q418" s="7"/>
    </row>
    <row r="419" spans="1:17" x14ac:dyDescent="0.25">
      <c r="A419" s="1">
        <v>2924</v>
      </c>
      <c r="B419" s="2">
        <v>45639</v>
      </c>
      <c r="C419" s="3"/>
      <c r="D419" s="3"/>
      <c r="E419" s="4" t="s">
        <v>7</v>
      </c>
      <c r="F419" s="3"/>
      <c r="G419" s="3"/>
      <c r="H419" s="5"/>
      <c r="I419" s="5">
        <v>5</v>
      </c>
      <c r="J419" s="5"/>
      <c r="K419" s="6">
        <f t="shared" si="8"/>
        <v>45643</v>
      </c>
      <c r="L419" s="5">
        <v>3</v>
      </c>
      <c r="M419" s="6">
        <f t="shared" si="9"/>
        <v>45647</v>
      </c>
      <c r="N419" s="7"/>
      <c r="O419" s="7" t="s">
        <v>5</v>
      </c>
      <c r="P419" s="7"/>
      <c r="Q419" s="7"/>
    </row>
    <row r="420" spans="1:17" x14ac:dyDescent="0.25">
      <c r="A420" s="1">
        <v>154</v>
      </c>
      <c r="B420" s="2">
        <v>45639</v>
      </c>
      <c r="C420" s="3"/>
      <c r="D420" s="3"/>
      <c r="E420" s="4" t="s">
        <v>7</v>
      </c>
      <c r="F420" s="3"/>
      <c r="G420" s="3"/>
      <c r="H420" s="5"/>
      <c r="I420" s="5">
        <v>5</v>
      </c>
      <c r="J420" s="5"/>
      <c r="K420" s="6">
        <f t="shared" si="8"/>
        <v>45643</v>
      </c>
      <c r="L420" s="5">
        <v>3</v>
      </c>
      <c r="M420" s="6">
        <f t="shared" si="9"/>
        <v>45647</v>
      </c>
      <c r="N420" s="7"/>
      <c r="O420" s="7"/>
      <c r="P420" s="7" t="s">
        <v>1</v>
      </c>
      <c r="Q420" s="7"/>
    </row>
    <row r="421" spans="1:17" x14ac:dyDescent="0.25">
      <c r="A421" s="1">
        <v>3146</v>
      </c>
      <c r="B421" s="2">
        <v>45639</v>
      </c>
      <c r="C421" s="3"/>
      <c r="D421" s="3"/>
      <c r="E421" s="4" t="s">
        <v>7</v>
      </c>
      <c r="F421" s="3"/>
      <c r="G421" s="3"/>
      <c r="H421" s="5"/>
      <c r="I421" s="5">
        <v>5</v>
      </c>
      <c r="J421" s="5"/>
      <c r="K421" s="6">
        <f t="shared" si="8"/>
        <v>45643</v>
      </c>
      <c r="L421" s="5">
        <v>3</v>
      </c>
      <c r="M421" s="6">
        <f t="shared" si="9"/>
        <v>45647</v>
      </c>
      <c r="N421" s="7"/>
      <c r="O421" s="7" t="s">
        <v>5</v>
      </c>
      <c r="P421" s="7"/>
      <c r="Q421" s="7" t="s">
        <v>4</v>
      </c>
    </row>
    <row r="422" spans="1:17" x14ac:dyDescent="0.25">
      <c r="A422" s="1">
        <v>2564</v>
      </c>
      <c r="B422" s="2">
        <v>45639</v>
      </c>
      <c r="C422" s="3"/>
      <c r="D422" s="3"/>
      <c r="E422" s="4" t="s">
        <v>7</v>
      </c>
      <c r="F422" s="3"/>
      <c r="G422" s="3"/>
      <c r="H422" s="5"/>
      <c r="I422" s="5">
        <v>5</v>
      </c>
      <c r="J422" s="5"/>
      <c r="K422" s="6">
        <f t="shared" si="8"/>
        <v>45643</v>
      </c>
      <c r="L422" s="5">
        <v>3</v>
      </c>
      <c r="M422" s="6">
        <f t="shared" si="9"/>
        <v>45647</v>
      </c>
      <c r="N422" s="7" t="s">
        <v>3</v>
      </c>
      <c r="O422" s="7"/>
      <c r="P422" s="7"/>
      <c r="Q422" s="7"/>
    </row>
    <row r="423" spans="1:17" x14ac:dyDescent="0.25">
      <c r="A423" s="1">
        <v>3303</v>
      </c>
      <c r="B423" s="2">
        <v>45640</v>
      </c>
      <c r="C423" s="3"/>
      <c r="D423" s="3"/>
      <c r="E423" s="4" t="s">
        <v>7</v>
      </c>
      <c r="F423" s="3"/>
      <c r="G423" s="3"/>
      <c r="H423" s="5"/>
      <c r="I423" s="5">
        <v>5</v>
      </c>
      <c r="J423" s="5"/>
      <c r="K423" s="6">
        <f t="shared" si="8"/>
        <v>45644</v>
      </c>
      <c r="L423" s="5">
        <v>3</v>
      </c>
      <c r="M423" s="6">
        <f t="shared" si="9"/>
        <v>45648</v>
      </c>
      <c r="N423" s="7" t="s">
        <v>3</v>
      </c>
      <c r="O423" s="7"/>
      <c r="P423" s="7" t="s">
        <v>1</v>
      </c>
      <c r="Q423" s="7" t="s">
        <v>4</v>
      </c>
    </row>
    <row r="424" spans="1:17" x14ac:dyDescent="0.25">
      <c r="A424" s="1">
        <v>4591</v>
      </c>
      <c r="B424" s="2">
        <v>45640</v>
      </c>
      <c r="C424" s="3"/>
      <c r="D424" s="3"/>
      <c r="E424" s="4" t="s">
        <v>7</v>
      </c>
      <c r="F424" s="3"/>
      <c r="G424" s="3"/>
      <c r="H424" s="5"/>
      <c r="I424" s="5">
        <v>5</v>
      </c>
      <c r="J424" s="5"/>
      <c r="K424" s="6">
        <f t="shared" si="8"/>
        <v>45644</v>
      </c>
      <c r="L424" s="5">
        <v>3</v>
      </c>
      <c r="M424" s="6">
        <f t="shared" si="9"/>
        <v>45648</v>
      </c>
      <c r="N424" s="7"/>
      <c r="O424" s="7" t="s">
        <v>5</v>
      </c>
      <c r="P424" s="7"/>
      <c r="Q424" s="7" t="s">
        <v>4</v>
      </c>
    </row>
    <row r="425" spans="1:17" x14ac:dyDescent="0.25">
      <c r="A425" s="1">
        <v>3119</v>
      </c>
      <c r="B425" s="2">
        <v>45640</v>
      </c>
      <c r="C425" s="3"/>
      <c r="D425" s="3"/>
      <c r="E425" s="4" t="s">
        <v>15</v>
      </c>
      <c r="F425" s="3"/>
      <c r="G425" s="3"/>
      <c r="H425" s="5"/>
      <c r="I425" s="5">
        <v>5</v>
      </c>
      <c r="J425" s="5"/>
      <c r="K425" s="6">
        <f t="shared" si="8"/>
        <v>45644</v>
      </c>
      <c r="L425" s="5">
        <v>9</v>
      </c>
      <c r="M425" s="6">
        <f t="shared" si="9"/>
        <v>45654</v>
      </c>
      <c r="N425" s="7"/>
      <c r="O425" s="7"/>
      <c r="P425" s="7"/>
      <c r="Q425" s="7" t="s">
        <v>4</v>
      </c>
    </row>
    <row r="426" spans="1:17" x14ac:dyDescent="0.25">
      <c r="A426" s="1">
        <v>3423</v>
      </c>
      <c r="B426" s="2">
        <v>45640</v>
      </c>
      <c r="C426" s="3"/>
      <c r="D426" s="3"/>
      <c r="E426" s="4" t="s">
        <v>15</v>
      </c>
      <c r="F426" s="3"/>
      <c r="G426" s="3"/>
      <c r="H426" s="5"/>
      <c r="I426" s="5">
        <v>5</v>
      </c>
      <c r="J426" s="5"/>
      <c r="K426" s="6">
        <f t="shared" si="8"/>
        <v>45644</v>
      </c>
      <c r="L426" s="5">
        <v>9</v>
      </c>
      <c r="M426" s="6">
        <f t="shared" si="9"/>
        <v>45654</v>
      </c>
      <c r="N426" s="7"/>
      <c r="O426" s="7" t="s">
        <v>5</v>
      </c>
      <c r="P426" s="7"/>
      <c r="Q426" s="7"/>
    </row>
    <row r="427" spans="1:17" x14ac:dyDescent="0.25">
      <c r="A427" s="1">
        <v>2927</v>
      </c>
      <c r="B427" s="2">
        <v>45640</v>
      </c>
      <c r="C427" s="3"/>
      <c r="D427" s="3"/>
      <c r="E427" s="4" t="s">
        <v>6</v>
      </c>
      <c r="F427" s="3"/>
      <c r="G427" s="3"/>
      <c r="H427" s="5"/>
      <c r="I427" s="5">
        <v>5</v>
      </c>
      <c r="J427" s="5"/>
      <c r="K427" s="6">
        <f t="shared" si="8"/>
        <v>45644</v>
      </c>
      <c r="L427" s="5">
        <v>3</v>
      </c>
      <c r="M427" s="6">
        <f t="shared" si="9"/>
        <v>45648</v>
      </c>
      <c r="N427" s="7"/>
      <c r="O427" s="7"/>
      <c r="P427" s="7" t="s">
        <v>1</v>
      </c>
      <c r="Q427" s="7"/>
    </row>
    <row r="428" spans="1:17" x14ac:dyDescent="0.25">
      <c r="A428" s="1">
        <v>3671</v>
      </c>
      <c r="B428" s="2">
        <v>45641</v>
      </c>
      <c r="C428" s="3"/>
      <c r="D428" s="3"/>
      <c r="E428" s="4" t="s">
        <v>7</v>
      </c>
      <c r="F428" s="3"/>
      <c r="G428" s="3"/>
      <c r="H428" s="5"/>
      <c r="I428" s="5">
        <v>5</v>
      </c>
      <c r="J428" s="5"/>
      <c r="K428" s="6">
        <f t="shared" si="8"/>
        <v>45645</v>
      </c>
      <c r="L428" s="5">
        <v>3</v>
      </c>
      <c r="M428" s="6">
        <f t="shared" si="9"/>
        <v>45649</v>
      </c>
      <c r="N428" s="7"/>
      <c r="O428" s="7" t="s">
        <v>5</v>
      </c>
      <c r="P428" s="7"/>
      <c r="Q428" s="7"/>
    </row>
    <row r="429" spans="1:17" x14ac:dyDescent="0.25">
      <c r="A429" s="1">
        <v>2567</v>
      </c>
      <c r="B429" s="2">
        <v>45642</v>
      </c>
      <c r="C429" s="3"/>
      <c r="D429" s="3"/>
      <c r="E429" s="4" t="s">
        <v>15</v>
      </c>
      <c r="F429" s="3"/>
      <c r="G429" s="3"/>
      <c r="H429" s="5"/>
      <c r="I429" s="5">
        <v>5</v>
      </c>
      <c r="J429" s="5"/>
      <c r="K429" s="6">
        <f t="shared" si="8"/>
        <v>45646</v>
      </c>
      <c r="L429" s="5">
        <v>3</v>
      </c>
      <c r="M429" s="6">
        <f t="shared" si="9"/>
        <v>45650</v>
      </c>
      <c r="N429" s="7" t="s">
        <v>3</v>
      </c>
      <c r="O429" s="7"/>
      <c r="P429" s="7"/>
      <c r="Q429" s="7"/>
    </row>
    <row r="430" spans="1:17" x14ac:dyDescent="0.25">
      <c r="A430" s="1">
        <v>3148</v>
      </c>
      <c r="B430" s="2">
        <v>45642</v>
      </c>
      <c r="C430" s="3"/>
      <c r="D430" s="3"/>
      <c r="E430" s="4" t="s">
        <v>7</v>
      </c>
      <c r="F430" s="3"/>
      <c r="G430" s="3"/>
      <c r="H430" s="5"/>
      <c r="I430" s="5">
        <v>5</v>
      </c>
      <c r="J430" s="5"/>
      <c r="K430" s="6">
        <f t="shared" si="8"/>
        <v>45646</v>
      </c>
      <c r="L430" s="5">
        <v>3</v>
      </c>
      <c r="M430" s="6">
        <f t="shared" si="9"/>
        <v>45650</v>
      </c>
      <c r="N430" s="7" t="s">
        <v>3</v>
      </c>
      <c r="O430" s="7"/>
      <c r="P430" s="7"/>
      <c r="Q430" s="7"/>
    </row>
    <row r="431" spans="1:17" x14ac:dyDescent="0.25">
      <c r="A431" s="1">
        <v>2877</v>
      </c>
      <c r="B431" s="2">
        <v>45642</v>
      </c>
      <c r="C431" s="3"/>
      <c r="D431" s="3"/>
      <c r="E431" s="4" t="s">
        <v>7</v>
      </c>
      <c r="F431" s="3"/>
      <c r="G431" s="3"/>
      <c r="H431" s="5"/>
      <c r="I431" s="5">
        <v>5</v>
      </c>
      <c r="J431" s="5"/>
      <c r="K431" s="6">
        <f t="shared" si="8"/>
        <v>45646</v>
      </c>
      <c r="L431" s="5">
        <v>3</v>
      </c>
      <c r="M431" s="6">
        <f t="shared" si="9"/>
        <v>45650</v>
      </c>
      <c r="N431" s="7"/>
      <c r="O431" s="7"/>
      <c r="P431" s="7"/>
      <c r="Q431" s="7" t="s">
        <v>4</v>
      </c>
    </row>
    <row r="432" spans="1:17" x14ac:dyDescent="0.25">
      <c r="A432" s="1">
        <v>3221</v>
      </c>
      <c r="B432" s="2">
        <v>45642</v>
      </c>
      <c r="C432" s="3"/>
      <c r="D432" s="3"/>
      <c r="E432" s="4" t="s">
        <v>7</v>
      </c>
      <c r="F432" s="3"/>
      <c r="G432" s="3"/>
      <c r="H432" s="5"/>
      <c r="I432" s="5">
        <v>5</v>
      </c>
      <c r="J432" s="5"/>
      <c r="K432" s="6">
        <f t="shared" si="8"/>
        <v>45646</v>
      </c>
      <c r="L432" s="5">
        <v>3</v>
      </c>
      <c r="M432" s="6">
        <f t="shared" si="9"/>
        <v>45650</v>
      </c>
      <c r="N432" s="7"/>
      <c r="O432" s="7"/>
      <c r="P432" s="7"/>
      <c r="Q432" s="7" t="s">
        <v>4</v>
      </c>
    </row>
    <row r="433" spans="1:17" x14ac:dyDescent="0.25">
      <c r="A433" s="1">
        <v>2595</v>
      </c>
      <c r="B433" s="2">
        <v>45643</v>
      </c>
      <c r="C433" s="3"/>
      <c r="D433" s="3"/>
      <c r="E433" s="4" t="s">
        <v>8</v>
      </c>
      <c r="F433" s="3"/>
      <c r="G433" s="3"/>
      <c r="H433" s="5"/>
      <c r="I433" s="5">
        <v>5</v>
      </c>
      <c r="J433" s="5"/>
      <c r="K433" s="6">
        <f t="shared" si="8"/>
        <v>45647</v>
      </c>
      <c r="L433" s="5">
        <v>4</v>
      </c>
      <c r="M433" s="6">
        <f t="shared" si="9"/>
        <v>45652</v>
      </c>
      <c r="N433" s="7"/>
      <c r="O433" s="7" t="s">
        <v>5</v>
      </c>
      <c r="P433" s="7"/>
      <c r="Q433" s="7"/>
    </row>
    <row r="434" spans="1:17" x14ac:dyDescent="0.25">
      <c r="A434" s="1">
        <v>296</v>
      </c>
      <c r="B434" s="2">
        <v>45643</v>
      </c>
      <c r="C434" s="3"/>
      <c r="D434" s="3"/>
      <c r="E434" s="4" t="s">
        <v>8</v>
      </c>
      <c r="F434" s="3"/>
      <c r="G434" s="3"/>
      <c r="H434" s="5"/>
      <c r="I434" s="5">
        <v>5</v>
      </c>
      <c r="J434" s="5"/>
      <c r="K434" s="6">
        <f t="shared" si="8"/>
        <v>45647</v>
      </c>
      <c r="L434" s="5">
        <v>4</v>
      </c>
      <c r="M434" s="6">
        <f t="shared" si="9"/>
        <v>45652</v>
      </c>
      <c r="N434" s="7"/>
      <c r="O434" s="7" t="s">
        <v>5</v>
      </c>
      <c r="P434" s="7" t="s">
        <v>1</v>
      </c>
      <c r="Q434" s="7" t="s">
        <v>4</v>
      </c>
    </row>
    <row r="435" spans="1:17" x14ac:dyDescent="0.25">
      <c r="A435" s="1">
        <v>3791</v>
      </c>
      <c r="B435" s="2">
        <v>45643</v>
      </c>
      <c r="C435" s="3"/>
      <c r="D435" s="3"/>
      <c r="E435" s="4" t="s">
        <v>8</v>
      </c>
      <c r="F435" s="3"/>
      <c r="G435" s="3"/>
      <c r="H435" s="5"/>
      <c r="I435" s="5">
        <v>5</v>
      </c>
      <c r="J435" s="5"/>
      <c r="K435" s="6">
        <f t="shared" si="8"/>
        <v>45647</v>
      </c>
      <c r="L435" s="5">
        <v>4</v>
      </c>
      <c r="M435" s="6">
        <f t="shared" si="9"/>
        <v>45652</v>
      </c>
      <c r="N435" s="7" t="s">
        <v>3</v>
      </c>
      <c r="O435" s="7"/>
      <c r="P435" s="7"/>
      <c r="Q435" s="7"/>
    </row>
    <row r="436" spans="1:17" x14ac:dyDescent="0.25">
      <c r="A436" s="1">
        <v>2567</v>
      </c>
      <c r="B436" s="2">
        <v>45643</v>
      </c>
      <c r="C436" s="3"/>
      <c r="D436" s="3"/>
      <c r="E436" s="4" t="s">
        <v>8</v>
      </c>
      <c r="F436" s="3"/>
      <c r="G436" s="3"/>
      <c r="H436" s="5"/>
      <c r="I436" s="5">
        <v>5</v>
      </c>
      <c r="J436" s="5"/>
      <c r="K436" s="6">
        <f t="shared" si="8"/>
        <v>45647</v>
      </c>
      <c r="L436" s="5">
        <v>4</v>
      </c>
      <c r="M436" s="6">
        <f t="shared" si="9"/>
        <v>45652</v>
      </c>
      <c r="N436" s="7" t="s">
        <v>3</v>
      </c>
      <c r="O436" s="7" t="s">
        <v>5</v>
      </c>
      <c r="P436" s="7" t="s">
        <v>1</v>
      </c>
      <c r="Q436" s="7" t="s">
        <v>4</v>
      </c>
    </row>
    <row r="437" spans="1:17" x14ac:dyDescent="0.25">
      <c r="A437" s="1">
        <v>2879</v>
      </c>
      <c r="B437" s="2">
        <v>45643</v>
      </c>
      <c r="C437" s="3"/>
      <c r="D437" s="3"/>
      <c r="E437" s="4" t="s">
        <v>7</v>
      </c>
      <c r="F437" s="3"/>
      <c r="G437" s="3"/>
      <c r="H437" s="5"/>
      <c r="I437" s="5">
        <v>5</v>
      </c>
      <c r="J437" s="5"/>
      <c r="K437" s="6">
        <f t="shared" si="8"/>
        <v>45647</v>
      </c>
      <c r="L437" s="5">
        <v>3</v>
      </c>
      <c r="M437" s="6">
        <f t="shared" si="9"/>
        <v>45651</v>
      </c>
      <c r="N437" s="7"/>
      <c r="O437" s="7"/>
      <c r="P437" s="7" t="s">
        <v>1</v>
      </c>
      <c r="Q437" s="7"/>
    </row>
    <row r="438" spans="1:17" x14ac:dyDescent="0.25">
      <c r="A438" s="1">
        <v>3754</v>
      </c>
      <c r="B438" s="2">
        <v>45643</v>
      </c>
      <c r="C438" s="3"/>
      <c r="D438" s="3"/>
      <c r="E438" s="4" t="s">
        <v>7</v>
      </c>
      <c r="F438" s="3"/>
      <c r="G438" s="3"/>
      <c r="H438" s="5"/>
      <c r="I438" s="5">
        <v>4</v>
      </c>
      <c r="J438" s="5"/>
      <c r="K438" s="6">
        <f t="shared" si="8"/>
        <v>45646</v>
      </c>
      <c r="L438" s="5">
        <v>3</v>
      </c>
      <c r="M438" s="6">
        <f t="shared" si="9"/>
        <v>45650</v>
      </c>
      <c r="N438" s="7"/>
      <c r="O438" s="7"/>
      <c r="P438" s="7"/>
      <c r="Q438" s="7" t="s">
        <v>4</v>
      </c>
    </row>
    <row r="439" spans="1:17" x14ac:dyDescent="0.25">
      <c r="A439" s="1">
        <v>2567</v>
      </c>
      <c r="B439" s="2">
        <v>45644</v>
      </c>
      <c r="C439" s="3"/>
      <c r="D439" s="3"/>
      <c r="E439" s="4" t="s">
        <v>15</v>
      </c>
      <c r="F439" s="3"/>
      <c r="G439" s="3"/>
      <c r="H439" s="5"/>
      <c r="I439" s="5">
        <v>5</v>
      </c>
      <c r="J439" s="5"/>
      <c r="K439" s="6">
        <f t="shared" si="8"/>
        <v>45648</v>
      </c>
      <c r="L439" s="5">
        <v>9</v>
      </c>
      <c r="M439" s="6">
        <f t="shared" si="9"/>
        <v>45658</v>
      </c>
      <c r="N439" s="7" t="s">
        <v>3</v>
      </c>
      <c r="O439" s="7"/>
      <c r="P439" s="7"/>
      <c r="Q439" s="7"/>
    </row>
    <row r="440" spans="1:17" x14ac:dyDescent="0.25">
      <c r="A440" s="1">
        <v>3787</v>
      </c>
      <c r="B440" s="2">
        <v>45644</v>
      </c>
      <c r="C440" s="3"/>
      <c r="D440" s="3"/>
      <c r="E440" s="4" t="s">
        <v>7</v>
      </c>
      <c r="F440" s="3"/>
      <c r="G440" s="3"/>
      <c r="H440" s="5"/>
      <c r="I440" s="5">
        <v>5</v>
      </c>
      <c r="J440" s="5"/>
      <c r="K440" s="6">
        <f t="shared" si="8"/>
        <v>45648</v>
      </c>
      <c r="L440" s="5">
        <v>3</v>
      </c>
      <c r="M440" s="6">
        <f t="shared" si="9"/>
        <v>45652</v>
      </c>
      <c r="N440" s="7"/>
      <c r="O440" s="7" t="s">
        <v>5</v>
      </c>
      <c r="P440" s="7"/>
      <c r="Q440" s="7"/>
    </row>
    <row r="441" spans="1:17" x14ac:dyDescent="0.25">
      <c r="A441" s="1">
        <v>2248</v>
      </c>
      <c r="B441" s="2">
        <v>45644</v>
      </c>
      <c r="C441" s="3"/>
      <c r="D441" s="3"/>
      <c r="E441" s="4" t="s">
        <v>7</v>
      </c>
      <c r="F441" s="3"/>
      <c r="G441" s="3"/>
      <c r="H441" s="5"/>
      <c r="I441" s="5">
        <v>5</v>
      </c>
      <c r="J441" s="5"/>
      <c r="K441" s="6">
        <f t="shared" si="8"/>
        <v>45648</v>
      </c>
      <c r="L441" s="5">
        <v>3</v>
      </c>
      <c r="M441" s="6">
        <f t="shared" si="9"/>
        <v>45652</v>
      </c>
      <c r="N441" s="7"/>
      <c r="O441" s="7" t="s">
        <v>5</v>
      </c>
      <c r="P441" s="7"/>
      <c r="Q441" s="7"/>
    </row>
    <row r="442" spans="1:17" x14ac:dyDescent="0.25">
      <c r="A442" s="1">
        <v>2225</v>
      </c>
      <c r="B442" s="2">
        <v>45644</v>
      </c>
      <c r="C442" s="3"/>
      <c r="D442" s="3"/>
      <c r="E442" s="4" t="s">
        <v>7</v>
      </c>
      <c r="F442" s="3"/>
      <c r="G442" s="3"/>
      <c r="H442" s="5"/>
      <c r="I442" s="5">
        <v>5</v>
      </c>
      <c r="J442" s="5"/>
      <c r="K442" s="6">
        <f t="shared" si="8"/>
        <v>45648</v>
      </c>
      <c r="L442" s="5">
        <v>3</v>
      </c>
      <c r="M442" s="6">
        <f t="shared" si="9"/>
        <v>45652</v>
      </c>
      <c r="N442" s="7"/>
      <c r="O442" s="7"/>
      <c r="P442" s="7" t="s">
        <v>1</v>
      </c>
      <c r="Q442" s="7"/>
    </row>
    <row r="443" spans="1:17" x14ac:dyDescent="0.25">
      <c r="A443" s="1">
        <v>2238</v>
      </c>
      <c r="B443" s="2">
        <v>45645</v>
      </c>
      <c r="C443" s="3"/>
      <c r="D443" s="3"/>
      <c r="E443" s="4" t="s">
        <v>7</v>
      </c>
      <c r="F443" s="3"/>
      <c r="G443" s="3"/>
      <c r="H443" s="5"/>
      <c r="I443" s="5">
        <v>5</v>
      </c>
      <c r="J443" s="5"/>
      <c r="K443" s="6">
        <f t="shared" si="8"/>
        <v>45649</v>
      </c>
      <c r="L443" s="5">
        <v>3</v>
      </c>
      <c r="M443" s="6">
        <f t="shared" si="9"/>
        <v>45653</v>
      </c>
      <c r="N443" s="7"/>
      <c r="O443" s="7"/>
      <c r="P443" s="7" t="s">
        <v>1</v>
      </c>
      <c r="Q443" s="7"/>
    </row>
    <row r="444" spans="1:17" x14ac:dyDescent="0.25">
      <c r="A444" s="1">
        <v>254</v>
      </c>
      <c r="B444" s="2">
        <v>45645</v>
      </c>
      <c r="C444" s="3"/>
      <c r="D444" s="3"/>
      <c r="E444" s="4" t="s">
        <v>6</v>
      </c>
      <c r="F444" s="3"/>
      <c r="G444" s="3"/>
      <c r="H444" s="5"/>
      <c r="I444" s="5">
        <v>5</v>
      </c>
      <c r="J444" s="5"/>
      <c r="K444" s="6">
        <f t="shared" si="8"/>
        <v>45649</v>
      </c>
      <c r="L444" s="5">
        <v>5</v>
      </c>
      <c r="M444" s="6">
        <f t="shared" si="9"/>
        <v>45655</v>
      </c>
      <c r="N444" s="7"/>
      <c r="O444" s="7"/>
      <c r="P444" s="7" t="s">
        <v>1</v>
      </c>
      <c r="Q444" s="7"/>
    </row>
    <row r="445" spans="1:17" x14ac:dyDescent="0.25">
      <c r="A445" s="1">
        <v>3791</v>
      </c>
      <c r="B445" s="2">
        <v>45645</v>
      </c>
      <c r="C445" s="3"/>
      <c r="D445" s="3"/>
      <c r="E445" s="4" t="s">
        <v>15</v>
      </c>
      <c r="F445" s="3"/>
      <c r="G445" s="3"/>
      <c r="H445" s="5"/>
      <c r="I445" s="5">
        <v>5</v>
      </c>
      <c r="J445" s="5"/>
      <c r="K445" s="6">
        <f t="shared" si="8"/>
        <v>45649</v>
      </c>
      <c r="L445" s="5">
        <v>9</v>
      </c>
      <c r="M445" s="6">
        <f t="shared" si="9"/>
        <v>45659</v>
      </c>
      <c r="N445" s="7" t="s">
        <v>3</v>
      </c>
      <c r="O445" s="7"/>
      <c r="P445" s="7"/>
      <c r="Q445" s="7"/>
    </row>
    <row r="446" spans="1:17" x14ac:dyDescent="0.25">
      <c r="A446" s="1">
        <v>3402</v>
      </c>
      <c r="B446" s="2">
        <v>45646</v>
      </c>
      <c r="C446" s="3"/>
      <c r="D446" s="3"/>
      <c r="E446" s="4" t="s">
        <v>7</v>
      </c>
      <c r="F446" s="3"/>
      <c r="G446" s="3"/>
      <c r="H446" s="5"/>
      <c r="I446" s="5">
        <v>5</v>
      </c>
      <c r="J446" s="5"/>
      <c r="K446" s="6">
        <f t="shared" si="8"/>
        <v>45650</v>
      </c>
      <c r="L446" s="5">
        <v>3</v>
      </c>
      <c r="M446" s="6">
        <f t="shared" si="9"/>
        <v>45654</v>
      </c>
      <c r="N446" s="7"/>
      <c r="O446" s="7" t="s">
        <v>5</v>
      </c>
      <c r="P446" s="7"/>
      <c r="Q446" s="7"/>
    </row>
    <row r="447" spans="1:17" x14ac:dyDescent="0.25">
      <c r="A447" s="1">
        <v>1193</v>
      </c>
      <c r="B447" s="2">
        <v>45646</v>
      </c>
      <c r="C447" s="3"/>
      <c r="D447" s="3"/>
      <c r="E447" s="4" t="s">
        <v>7</v>
      </c>
      <c r="F447" s="3"/>
      <c r="G447" s="3"/>
      <c r="H447" s="5"/>
      <c r="I447" s="5">
        <v>5</v>
      </c>
      <c r="J447" s="5"/>
      <c r="K447" s="6">
        <f t="shared" si="8"/>
        <v>45650</v>
      </c>
      <c r="L447" s="5">
        <v>3</v>
      </c>
      <c r="M447" s="6">
        <f t="shared" si="9"/>
        <v>45654</v>
      </c>
      <c r="N447" s="7"/>
      <c r="O447" s="7" t="s">
        <v>5</v>
      </c>
      <c r="P447" s="7" t="s">
        <v>1</v>
      </c>
      <c r="Q447" s="7"/>
    </row>
    <row r="448" spans="1:17" x14ac:dyDescent="0.25">
      <c r="A448" s="1">
        <v>2225</v>
      </c>
      <c r="B448" s="2">
        <v>45646</v>
      </c>
      <c r="C448" s="3"/>
      <c r="D448" s="3"/>
      <c r="E448" s="4" t="s">
        <v>9</v>
      </c>
      <c r="F448" s="3"/>
      <c r="G448" s="3"/>
      <c r="H448" s="5"/>
      <c r="I448" s="5">
        <v>5</v>
      </c>
      <c r="J448" s="5"/>
      <c r="K448" s="6">
        <f t="shared" si="8"/>
        <v>45650</v>
      </c>
      <c r="L448" s="5">
        <v>2</v>
      </c>
      <c r="M448" s="6">
        <f t="shared" si="9"/>
        <v>45653</v>
      </c>
      <c r="N448" s="7"/>
      <c r="O448" s="7" t="s">
        <v>5</v>
      </c>
      <c r="P448" s="7"/>
      <c r="Q448" s="7"/>
    </row>
    <row r="449" spans="1:17" x14ac:dyDescent="0.25">
      <c r="A449" s="1">
        <v>2879</v>
      </c>
      <c r="B449" s="2">
        <v>45646</v>
      </c>
      <c r="C449" s="3"/>
      <c r="D449" s="3"/>
      <c r="E449" s="4" t="s">
        <v>9</v>
      </c>
      <c r="F449" s="3"/>
      <c r="G449" s="3"/>
      <c r="H449" s="5"/>
      <c r="I449" s="5">
        <v>5</v>
      </c>
      <c r="J449" s="5"/>
      <c r="K449" s="6">
        <f t="shared" si="8"/>
        <v>45650</v>
      </c>
      <c r="L449" s="5">
        <v>2</v>
      </c>
      <c r="M449" s="6">
        <f t="shared" si="9"/>
        <v>45653</v>
      </c>
      <c r="N449" s="7"/>
      <c r="O449" s="7"/>
      <c r="P449" s="7"/>
      <c r="Q449" s="7" t="s">
        <v>4</v>
      </c>
    </row>
    <row r="450" spans="1:17" x14ac:dyDescent="0.25">
      <c r="A450" s="1">
        <v>3194</v>
      </c>
      <c r="B450" s="2">
        <v>45646</v>
      </c>
      <c r="C450" s="3"/>
      <c r="D450" s="3"/>
      <c r="E450" s="4" t="s">
        <v>6</v>
      </c>
      <c r="F450" s="3"/>
      <c r="G450" s="3"/>
      <c r="H450" s="5"/>
      <c r="I450" s="5">
        <v>5</v>
      </c>
      <c r="J450" s="5"/>
      <c r="K450" s="6">
        <f t="shared" ref="K450:K509" si="10">B450+I450-1</f>
        <v>45650</v>
      </c>
      <c r="L450" s="5">
        <v>5</v>
      </c>
      <c r="M450" s="6">
        <f t="shared" ref="M450:M481" si="11">K450+L450+1</f>
        <v>45656</v>
      </c>
      <c r="N450" s="7" t="s">
        <v>3</v>
      </c>
      <c r="O450" s="7"/>
      <c r="P450" s="7"/>
      <c r="Q450" s="7"/>
    </row>
    <row r="451" spans="1:17" x14ac:dyDescent="0.25">
      <c r="A451" s="1">
        <v>3423</v>
      </c>
      <c r="B451" s="2">
        <v>45646</v>
      </c>
      <c r="C451" s="3"/>
      <c r="D451" s="3"/>
      <c r="E451" s="4" t="s">
        <v>6</v>
      </c>
      <c r="F451" s="3"/>
      <c r="G451" s="3"/>
      <c r="H451" s="5"/>
      <c r="I451" s="5">
        <v>5</v>
      </c>
      <c r="J451" s="5"/>
      <c r="K451" s="6">
        <f t="shared" si="10"/>
        <v>45650</v>
      </c>
      <c r="L451" s="5">
        <v>5</v>
      </c>
      <c r="M451" s="6">
        <f t="shared" si="11"/>
        <v>45656</v>
      </c>
      <c r="N451" s="7"/>
      <c r="O451" s="7"/>
      <c r="P451" s="7"/>
      <c r="Q451" s="7" t="s">
        <v>4</v>
      </c>
    </row>
    <row r="452" spans="1:17" x14ac:dyDescent="0.25">
      <c r="A452" s="1">
        <v>2877</v>
      </c>
      <c r="B452" s="2">
        <v>45646</v>
      </c>
      <c r="C452" s="3"/>
      <c r="D452" s="3"/>
      <c r="E452" s="4" t="s">
        <v>6</v>
      </c>
      <c r="F452" s="3"/>
      <c r="G452" s="3"/>
      <c r="H452" s="5"/>
      <c r="I452" s="5">
        <v>5</v>
      </c>
      <c r="J452" s="5"/>
      <c r="K452" s="6">
        <f t="shared" si="10"/>
        <v>45650</v>
      </c>
      <c r="L452" s="5">
        <v>5</v>
      </c>
      <c r="M452" s="6">
        <f t="shared" si="11"/>
        <v>45656</v>
      </c>
      <c r="N452" s="7"/>
      <c r="O452" s="7"/>
      <c r="P452" s="7" t="s">
        <v>1</v>
      </c>
      <c r="Q452" s="7"/>
    </row>
    <row r="453" spans="1:17" x14ac:dyDescent="0.25">
      <c r="A453" s="1">
        <v>3148</v>
      </c>
      <c r="B453" s="2">
        <v>45646</v>
      </c>
      <c r="C453" s="3"/>
      <c r="D453" s="3"/>
      <c r="E453" s="4" t="s">
        <v>6</v>
      </c>
      <c r="F453" s="3"/>
      <c r="G453" s="3"/>
      <c r="H453" s="5"/>
      <c r="I453" s="5">
        <v>5</v>
      </c>
      <c r="J453" s="5"/>
      <c r="K453" s="6">
        <f t="shared" si="10"/>
        <v>45650</v>
      </c>
      <c r="L453" s="5">
        <v>5</v>
      </c>
      <c r="M453" s="6">
        <f t="shared" si="11"/>
        <v>45656</v>
      </c>
      <c r="N453" s="7"/>
      <c r="O453" s="7"/>
      <c r="P453" s="7" t="s">
        <v>1</v>
      </c>
      <c r="Q453" s="7"/>
    </row>
    <row r="454" spans="1:17" x14ac:dyDescent="0.25">
      <c r="A454" s="1">
        <v>3119</v>
      </c>
      <c r="B454" s="2">
        <v>45646</v>
      </c>
      <c r="C454" s="3"/>
      <c r="D454" s="3"/>
      <c r="E454" s="4" t="s">
        <v>6</v>
      </c>
      <c r="F454" s="3"/>
      <c r="G454" s="3"/>
      <c r="H454" s="5"/>
      <c r="I454" s="5">
        <v>5</v>
      </c>
      <c r="J454" s="5"/>
      <c r="K454" s="6">
        <f t="shared" si="10"/>
        <v>45650</v>
      </c>
      <c r="L454" s="5">
        <v>5</v>
      </c>
      <c r="M454" s="6">
        <f t="shared" si="11"/>
        <v>45656</v>
      </c>
      <c r="N454" s="7"/>
      <c r="O454" s="7"/>
      <c r="P454" s="7"/>
      <c r="Q454" s="7" t="s">
        <v>4</v>
      </c>
    </row>
    <row r="455" spans="1:17" x14ac:dyDescent="0.25">
      <c r="A455" s="1">
        <v>4071</v>
      </c>
      <c r="B455" s="2">
        <v>45647</v>
      </c>
      <c r="C455" s="3"/>
      <c r="D455" s="3"/>
      <c r="E455" s="4" t="s">
        <v>7</v>
      </c>
      <c r="F455" s="3"/>
      <c r="G455" s="3"/>
      <c r="H455" s="5"/>
      <c r="I455" s="5">
        <v>5</v>
      </c>
      <c r="J455" s="5"/>
      <c r="K455" s="6">
        <f t="shared" si="10"/>
        <v>45651</v>
      </c>
      <c r="L455" s="5">
        <v>3</v>
      </c>
      <c r="M455" s="6">
        <f t="shared" si="11"/>
        <v>45655</v>
      </c>
      <c r="N455" s="7"/>
      <c r="O455" s="7"/>
      <c r="P455" s="7"/>
      <c r="Q455" s="7" t="s">
        <v>4</v>
      </c>
    </row>
    <row r="456" spans="1:17" x14ac:dyDescent="0.25">
      <c r="A456" s="1">
        <v>3743</v>
      </c>
      <c r="B456" s="2">
        <v>45648</v>
      </c>
      <c r="C456" s="3"/>
      <c r="D456" s="3"/>
      <c r="E456" s="4" t="s">
        <v>7</v>
      </c>
      <c r="F456" s="3"/>
      <c r="G456" s="3"/>
      <c r="H456" s="5"/>
      <c r="I456" s="5">
        <v>5</v>
      </c>
      <c r="J456" s="5"/>
      <c r="K456" s="6">
        <f t="shared" si="10"/>
        <v>45652</v>
      </c>
      <c r="L456" s="5">
        <v>5</v>
      </c>
      <c r="M456" s="6">
        <f t="shared" si="11"/>
        <v>45658</v>
      </c>
      <c r="N456" s="7"/>
      <c r="O456" s="7"/>
      <c r="P456" s="7"/>
      <c r="Q456" s="7" t="s">
        <v>4</v>
      </c>
    </row>
    <row r="457" spans="1:17" x14ac:dyDescent="0.25">
      <c r="A457" s="1">
        <v>154</v>
      </c>
      <c r="B457" s="2">
        <v>45648</v>
      </c>
      <c r="C457" s="3"/>
      <c r="D457" s="3"/>
      <c r="E457" s="4" t="s">
        <v>6</v>
      </c>
      <c r="F457" s="3"/>
      <c r="G457" s="3"/>
      <c r="H457" s="5"/>
      <c r="I457" s="5">
        <v>5</v>
      </c>
      <c r="J457" s="5"/>
      <c r="K457" s="6">
        <f t="shared" si="10"/>
        <v>45652</v>
      </c>
      <c r="L457" s="5">
        <v>3</v>
      </c>
      <c r="M457" s="6">
        <f t="shared" si="11"/>
        <v>45656</v>
      </c>
      <c r="N457" s="7"/>
      <c r="O457" s="7"/>
      <c r="P457" s="7"/>
      <c r="Q457" s="7"/>
    </row>
    <row r="458" spans="1:17" x14ac:dyDescent="0.25">
      <c r="A458" s="1">
        <v>2879</v>
      </c>
      <c r="B458" s="2">
        <v>45648</v>
      </c>
      <c r="C458" s="3"/>
      <c r="D458" s="3"/>
      <c r="E458" s="4" t="s">
        <v>6</v>
      </c>
      <c r="F458" s="3"/>
      <c r="G458" s="3"/>
      <c r="H458" s="5"/>
      <c r="I458" s="5">
        <v>5</v>
      </c>
      <c r="J458" s="5"/>
      <c r="K458" s="6">
        <f t="shared" si="10"/>
        <v>45652</v>
      </c>
      <c r="L458" s="5">
        <v>5</v>
      </c>
      <c r="M458" s="6">
        <f t="shared" si="11"/>
        <v>45658</v>
      </c>
      <c r="N458" s="7"/>
      <c r="O458" s="7"/>
      <c r="P458" s="7" t="s">
        <v>1</v>
      </c>
      <c r="Q458" s="7" t="s">
        <v>4</v>
      </c>
    </row>
    <row r="459" spans="1:17" x14ac:dyDescent="0.25">
      <c r="A459" s="1">
        <v>3754</v>
      </c>
      <c r="B459" s="2">
        <v>45648</v>
      </c>
      <c r="C459" s="3"/>
      <c r="D459" s="3"/>
      <c r="E459" s="4" t="s">
        <v>6</v>
      </c>
      <c r="F459" s="3"/>
      <c r="G459" s="3"/>
      <c r="H459" s="5"/>
      <c r="I459" s="5">
        <v>5</v>
      </c>
      <c r="J459" s="5"/>
      <c r="K459" s="6">
        <f t="shared" si="10"/>
        <v>45652</v>
      </c>
      <c r="L459" s="5">
        <v>5</v>
      </c>
      <c r="M459" s="6">
        <f t="shared" si="11"/>
        <v>45658</v>
      </c>
      <c r="N459" s="7" t="s">
        <v>3</v>
      </c>
      <c r="O459" s="7"/>
      <c r="P459" s="7"/>
      <c r="Q459" s="7"/>
    </row>
    <row r="460" spans="1:17" x14ac:dyDescent="0.25">
      <c r="A460" s="1">
        <v>3515</v>
      </c>
      <c r="B460" s="2">
        <v>45649</v>
      </c>
      <c r="C460" s="3"/>
      <c r="D460" s="3"/>
      <c r="E460" s="4" t="s">
        <v>7</v>
      </c>
      <c r="F460" s="3"/>
      <c r="G460" s="3"/>
      <c r="H460" s="5"/>
      <c r="I460" s="5">
        <v>5</v>
      </c>
      <c r="J460" s="5"/>
      <c r="K460" s="6">
        <f t="shared" si="10"/>
        <v>45653</v>
      </c>
      <c r="L460" s="5">
        <v>3</v>
      </c>
      <c r="M460" s="6">
        <f t="shared" si="11"/>
        <v>45657</v>
      </c>
      <c r="N460" s="7"/>
      <c r="O460" s="7" t="s">
        <v>5</v>
      </c>
      <c r="P460" s="7"/>
      <c r="Q460" s="7"/>
    </row>
    <row r="461" spans="1:17" x14ac:dyDescent="0.25">
      <c r="A461" s="1">
        <v>2845</v>
      </c>
      <c r="B461" s="2">
        <v>45651</v>
      </c>
      <c r="C461" s="3"/>
      <c r="D461" s="3"/>
      <c r="E461" s="4" t="s">
        <v>7</v>
      </c>
      <c r="F461" s="3"/>
      <c r="G461" s="3"/>
      <c r="H461" s="5"/>
      <c r="I461" s="5">
        <v>5</v>
      </c>
      <c r="J461" s="5"/>
      <c r="K461" s="6">
        <f t="shared" si="10"/>
        <v>45655</v>
      </c>
      <c r="L461" s="5">
        <v>3</v>
      </c>
      <c r="M461" s="6">
        <f t="shared" si="11"/>
        <v>45659</v>
      </c>
      <c r="N461" s="7"/>
      <c r="O461" s="7" t="s">
        <v>5</v>
      </c>
      <c r="P461" s="7"/>
      <c r="Q461" s="7"/>
    </row>
    <row r="462" spans="1:17" x14ac:dyDescent="0.25">
      <c r="A462" s="1">
        <v>296</v>
      </c>
      <c r="B462" s="2">
        <v>45651</v>
      </c>
      <c r="C462" s="3"/>
      <c r="D462" s="3"/>
      <c r="E462" s="4" t="s">
        <v>7</v>
      </c>
      <c r="F462" s="3"/>
      <c r="G462" s="3"/>
      <c r="H462" s="5"/>
      <c r="I462" s="5">
        <v>5</v>
      </c>
      <c r="J462" s="5"/>
      <c r="K462" s="6">
        <f t="shared" si="10"/>
        <v>45655</v>
      </c>
      <c r="L462" s="5">
        <v>3</v>
      </c>
      <c r="M462" s="6">
        <f t="shared" si="11"/>
        <v>45659</v>
      </c>
      <c r="N462" s="7"/>
      <c r="O462" s="7"/>
      <c r="P462" s="7" t="s">
        <v>1</v>
      </c>
      <c r="Q462" s="7"/>
    </row>
    <row r="463" spans="1:17" x14ac:dyDescent="0.25">
      <c r="A463" s="1">
        <v>3321</v>
      </c>
      <c r="B463" s="2">
        <v>45651</v>
      </c>
      <c r="C463" s="3"/>
      <c r="D463" s="3"/>
      <c r="E463" s="4" t="s">
        <v>7</v>
      </c>
      <c r="F463" s="3"/>
      <c r="G463" s="3"/>
      <c r="H463" s="5"/>
      <c r="I463" s="5">
        <v>5</v>
      </c>
      <c r="J463" s="5"/>
      <c r="K463" s="6">
        <f t="shared" si="10"/>
        <v>45655</v>
      </c>
      <c r="L463" s="5">
        <v>3</v>
      </c>
      <c r="M463" s="6">
        <f t="shared" si="11"/>
        <v>45659</v>
      </c>
      <c r="N463" s="7"/>
      <c r="O463" s="7" t="s">
        <v>5</v>
      </c>
      <c r="P463" s="7"/>
      <c r="Q463" s="7" t="s">
        <v>4</v>
      </c>
    </row>
    <row r="464" spans="1:17" x14ac:dyDescent="0.25">
      <c r="A464" s="1">
        <v>3421</v>
      </c>
      <c r="B464" s="2">
        <v>45651</v>
      </c>
      <c r="C464" s="3"/>
      <c r="D464" s="3"/>
      <c r="E464" s="4" t="s">
        <v>7</v>
      </c>
      <c r="F464" s="3"/>
      <c r="G464" s="3"/>
      <c r="H464" s="5"/>
      <c r="I464" s="5">
        <v>5</v>
      </c>
      <c r="J464" s="5"/>
      <c r="K464" s="6">
        <f t="shared" si="10"/>
        <v>45655</v>
      </c>
      <c r="L464" s="5">
        <v>3</v>
      </c>
      <c r="M464" s="6">
        <f t="shared" si="11"/>
        <v>45659</v>
      </c>
      <c r="N464" s="7"/>
      <c r="O464" s="7"/>
      <c r="P464" s="7" t="s">
        <v>1</v>
      </c>
      <c r="Q464" s="7"/>
    </row>
    <row r="465" spans="1:17" x14ac:dyDescent="0.25">
      <c r="A465" s="1">
        <v>2234</v>
      </c>
      <c r="B465" s="2">
        <v>45652</v>
      </c>
      <c r="C465" s="3"/>
      <c r="D465" s="3"/>
      <c r="E465" s="4" t="s">
        <v>7</v>
      </c>
      <c r="F465" s="3"/>
      <c r="G465" s="3"/>
      <c r="H465" s="5"/>
      <c r="I465" s="5">
        <v>5</v>
      </c>
      <c r="J465" s="5"/>
      <c r="K465" s="6">
        <f t="shared" si="10"/>
        <v>45656</v>
      </c>
      <c r="L465" s="5">
        <v>3</v>
      </c>
      <c r="M465" s="6">
        <f t="shared" si="11"/>
        <v>45660</v>
      </c>
      <c r="N465" s="7"/>
      <c r="O465" s="7"/>
      <c r="P465" s="7" t="s">
        <v>1</v>
      </c>
      <c r="Q465" s="7"/>
    </row>
    <row r="466" spans="1:17" x14ac:dyDescent="0.25">
      <c r="A466" s="1">
        <v>3621</v>
      </c>
      <c r="B466" s="2">
        <v>45652</v>
      </c>
      <c r="C466" s="3"/>
      <c r="D466" s="3"/>
      <c r="E466" s="4" t="s">
        <v>15</v>
      </c>
      <c r="F466" s="3"/>
      <c r="G466" s="3"/>
      <c r="H466" s="5"/>
      <c r="I466" s="5">
        <v>5</v>
      </c>
      <c r="J466" s="5"/>
      <c r="K466" s="6">
        <f t="shared" si="10"/>
        <v>45656</v>
      </c>
      <c r="L466" s="5">
        <v>9</v>
      </c>
      <c r="M466" s="6">
        <f t="shared" si="11"/>
        <v>45666</v>
      </c>
      <c r="N466" s="7"/>
      <c r="O466" s="7"/>
      <c r="P466" s="7" t="s">
        <v>1</v>
      </c>
      <c r="Q466" s="7"/>
    </row>
    <row r="467" spans="1:17" x14ac:dyDescent="0.25">
      <c r="A467" s="1">
        <v>3238</v>
      </c>
      <c r="B467" s="2">
        <v>45652</v>
      </c>
      <c r="C467" s="3"/>
      <c r="D467" s="3"/>
      <c r="E467" s="4" t="s">
        <v>7</v>
      </c>
      <c r="F467" s="3"/>
      <c r="G467" s="3"/>
      <c r="H467" s="5"/>
      <c r="I467" s="5">
        <v>5</v>
      </c>
      <c r="J467" s="5"/>
      <c r="K467" s="6">
        <f t="shared" si="10"/>
        <v>45656</v>
      </c>
      <c r="L467" s="5">
        <v>3</v>
      </c>
      <c r="M467" s="6">
        <f t="shared" si="11"/>
        <v>45660</v>
      </c>
      <c r="N467" s="7"/>
      <c r="O467" s="7"/>
      <c r="P467" s="7"/>
      <c r="Q467" s="7" t="s">
        <v>4</v>
      </c>
    </row>
    <row r="468" spans="1:17" x14ac:dyDescent="0.25">
      <c r="A468" s="1">
        <v>2050</v>
      </c>
      <c r="B468" s="2">
        <v>45652</v>
      </c>
      <c r="C468" s="3"/>
      <c r="D468" s="3"/>
      <c r="E468" s="4" t="s">
        <v>7</v>
      </c>
      <c r="F468" s="3"/>
      <c r="G468" s="3"/>
      <c r="H468" s="5"/>
      <c r="I468" s="5">
        <v>5</v>
      </c>
      <c r="J468" s="5"/>
      <c r="K468" s="6">
        <f t="shared" si="10"/>
        <v>45656</v>
      </c>
      <c r="L468" s="5">
        <v>3</v>
      </c>
      <c r="M468" s="6">
        <f t="shared" si="11"/>
        <v>45660</v>
      </c>
      <c r="N468" s="7" t="s">
        <v>3</v>
      </c>
      <c r="O468" s="7" t="s">
        <v>5</v>
      </c>
      <c r="P468" s="7"/>
      <c r="Q468" s="7"/>
    </row>
    <row r="469" spans="1:17" x14ac:dyDescent="0.25">
      <c r="A469" s="1">
        <v>3476</v>
      </c>
      <c r="B469" s="2">
        <v>45653</v>
      </c>
      <c r="C469" s="3"/>
      <c r="D469" s="3"/>
      <c r="E469" s="4" t="s">
        <v>7</v>
      </c>
      <c r="F469" s="3"/>
      <c r="G469" s="3"/>
      <c r="H469" s="5"/>
      <c r="I469" s="5">
        <v>5</v>
      </c>
      <c r="J469" s="5"/>
      <c r="K469" s="6">
        <f t="shared" si="10"/>
        <v>45657</v>
      </c>
      <c r="L469" s="5">
        <v>3</v>
      </c>
      <c r="M469" s="6">
        <f t="shared" si="11"/>
        <v>45661</v>
      </c>
      <c r="N469" s="7"/>
      <c r="O469" s="7" t="s">
        <v>5</v>
      </c>
      <c r="P469" s="7"/>
      <c r="Q469" s="7" t="s">
        <v>4</v>
      </c>
    </row>
    <row r="470" spans="1:17" x14ac:dyDescent="0.25">
      <c r="A470" s="1">
        <v>2050</v>
      </c>
      <c r="B470" s="2">
        <v>45655</v>
      </c>
      <c r="C470" s="3"/>
      <c r="D470" s="3"/>
      <c r="E470" s="4" t="s">
        <v>15</v>
      </c>
      <c r="F470" s="3"/>
      <c r="G470" s="3"/>
      <c r="H470" s="5"/>
      <c r="I470" s="5">
        <v>5</v>
      </c>
      <c r="J470" s="5"/>
      <c r="K470" s="6">
        <f t="shared" si="10"/>
        <v>45659</v>
      </c>
      <c r="L470" s="5">
        <v>9</v>
      </c>
      <c r="M470" s="6">
        <f t="shared" si="11"/>
        <v>45669</v>
      </c>
      <c r="N470" s="7"/>
      <c r="O470" s="7" t="s">
        <v>5</v>
      </c>
      <c r="P470" s="7"/>
      <c r="Q470" s="7" t="s">
        <v>4</v>
      </c>
    </row>
    <row r="471" spans="1:17" x14ac:dyDescent="0.25">
      <c r="A471" s="1">
        <v>2845</v>
      </c>
      <c r="B471" s="2">
        <v>45655</v>
      </c>
      <c r="C471" s="3"/>
      <c r="D471" s="3"/>
      <c r="E471" s="4" t="s">
        <v>15</v>
      </c>
      <c r="F471" s="3"/>
      <c r="G471" s="3"/>
      <c r="H471" s="5"/>
      <c r="I471" s="5">
        <v>5</v>
      </c>
      <c r="J471" s="5"/>
      <c r="K471" s="6">
        <f t="shared" si="10"/>
        <v>45659</v>
      </c>
      <c r="L471" s="5">
        <v>9</v>
      </c>
      <c r="M471" s="6">
        <f t="shared" si="11"/>
        <v>45669</v>
      </c>
      <c r="N471" s="7"/>
      <c r="O471" s="7" t="s">
        <v>5</v>
      </c>
      <c r="P471" s="7" t="s">
        <v>1</v>
      </c>
      <c r="Q471" s="7"/>
    </row>
    <row r="472" spans="1:17" x14ac:dyDescent="0.25">
      <c r="A472" s="1">
        <v>4320</v>
      </c>
      <c r="B472" s="2">
        <v>45655</v>
      </c>
      <c r="C472" s="3"/>
      <c r="D472" s="3"/>
      <c r="E472" s="4" t="s">
        <v>6</v>
      </c>
      <c r="F472" s="3"/>
      <c r="G472" s="3"/>
      <c r="H472" s="5"/>
      <c r="I472" s="5">
        <v>5</v>
      </c>
      <c r="J472" s="5"/>
      <c r="K472" s="6">
        <f t="shared" si="10"/>
        <v>45659</v>
      </c>
      <c r="L472" s="5">
        <v>5</v>
      </c>
      <c r="M472" s="6">
        <f t="shared" si="11"/>
        <v>45665</v>
      </c>
      <c r="N472" s="7"/>
      <c r="O472" s="7"/>
      <c r="P472" s="7"/>
      <c r="Q472" s="7" t="s">
        <v>4</v>
      </c>
    </row>
    <row r="473" spans="1:17" x14ac:dyDescent="0.25">
      <c r="A473" s="1">
        <v>3194</v>
      </c>
      <c r="B473" s="2">
        <v>45655</v>
      </c>
      <c r="C473" s="3"/>
      <c r="D473" s="3"/>
      <c r="E473" s="4" t="s">
        <v>7</v>
      </c>
      <c r="F473" s="3"/>
      <c r="G473" s="3"/>
      <c r="H473" s="5"/>
      <c r="I473" s="5">
        <v>5</v>
      </c>
      <c r="J473" s="5"/>
      <c r="K473" s="6">
        <f t="shared" si="10"/>
        <v>45659</v>
      </c>
      <c r="L473" s="5">
        <v>3</v>
      </c>
      <c r="M473" s="6">
        <f t="shared" si="11"/>
        <v>45663</v>
      </c>
      <c r="N473" s="7"/>
      <c r="O473" s="7"/>
      <c r="P473" s="7" t="s">
        <v>1</v>
      </c>
      <c r="Q473" s="7"/>
    </row>
    <row r="474" spans="1:17" x14ac:dyDescent="0.25">
      <c r="A474" s="1">
        <v>2882</v>
      </c>
      <c r="B474" s="2">
        <v>45656</v>
      </c>
      <c r="C474" s="3"/>
      <c r="D474" s="3"/>
      <c r="E474" s="4" t="s">
        <v>7</v>
      </c>
      <c r="F474" s="3"/>
      <c r="G474" s="3"/>
      <c r="H474" s="5"/>
      <c r="I474" s="5">
        <v>5</v>
      </c>
      <c r="J474" s="5"/>
      <c r="K474" s="6">
        <f t="shared" si="10"/>
        <v>45660</v>
      </c>
      <c r="L474" s="5">
        <v>3</v>
      </c>
      <c r="M474" s="6">
        <f t="shared" si="11"/>
        <v>45664</v>
      </c>
      <c r="N474" s="7" t="s">
        <v>3</v>
      </c>
      <c r="O474" s="7" t="s">
        <v>5</v>
      </c>
      <c r="P474" s="7" t="s">
        <v>1</v>
      </c>
      <c r="Q474" s="7"/>
    </row>
    <row r="475" spans="1:17" x14ac:dyDescent="0.25">
      <c r="A475" s="1">
        <v>2949</v>
      </c>
      <c r="B475" s="2">
        <v>45656</v>
      </c>
      <c r="C475" s="3"/>
      <c r="D475" s="3"/>
      <c r="E475" s="4" t="s">
        <v>7</v>
      </c>
      <c r="F475" s="3"/>
      <c r="G475" s="3"/>
      <c r="H475" s="5"/>
      <c r="I475" s="5">
        <v>5</v>
      </c>
      <c r="J475" s="5"/>
      <c r="K475" s="6">
        <f t="shared" si="10"/>
        <v>45660</v>
      </c>
      <c r="L475" s="5">
        <v>3</v>
      </c>
      <c r="M475" s="6">
        <f t="shared" si="11"/>
        <v>45664</v>
      </c>
      <c r="N475" s="7"/>
      <c r="O475" s="7"/>
      <c r="P475" s="7" t="s">
        <v>1</v>
      </c>
      <c r="Q475" s="7"/>
    </row>
    <row r="476" spans="1:17" x14ac:dyDescent="0.25">
      <c r="A476" s="1">
        <v>3194</v>
      </c>
      <c r="B476" s="2">
        <v>45657</v>
      </c>
      <c r="C476" s="3"/>
      <c r="D476" s="3"/>
      <c r="E476" s="4" t="s">
        <v>15</v>
      </c>
      <c r="F476" s="3"/>
      <c r="G476" s="3"/>
      <c r="H476" s="5"/>
      <c r="I476" s="5">
        <v>5</v>
      </c>
      <c r="J476" s="5"/>
      <c r="K476" s="6">
        <f t="shared" si="10"/>
        <v>45661</v>
      </c>
      <c r="L476" s="5">
        <v>9</v>
      </c>
      <c r="M476" s="6">
        <f t="shared" si="11"/>
        <v>45671</v>
      </c>
      <c r="N476" s="7"/>
      <c r="O476" s="7"/>
      <c r="P476" s="7" t="s">
        <v>1</v>
      </c>
      <c r="Q476" s="7"/>
    </row>
    <row r="477" spans="1:17" x14ac:dyDescent="0.25">
      <c r="A477" s="1">
        <v>3476</v>
      </c>
      <c r="B477" s="2">
        <v>45657</v>
      </c>
      <c r="C477" s="3"/>
      <c r="D477" s="3"/>
      <c r="E477" s="4" t="s">
        <v>15</v>
      </c>
      <c r="F477" s="3"/>
      <c r="G477" s="3"/>
      <c r="H477" s="5"/>
      <c r="I477" s="5">
        <v>5</v>
      </c>
      <c r="J477" s="5"/>
      <c r="K477" s="6">
        <f t="shared" si="10"/>
        <v>45661</v>
      </c>
      <c r="L477" s="5">
        <v>9</v>
      </c>
      <c r="M477" s="6">
        <f t="shared" si="11"/>
        <v>45671</v>
      </c>
      <c r="N477" s="7"/>
      <c r="O477" s="7"/>
      <c r="P477" s="7"/>
      <c r="Q477" s="7" t="s">
        <v>4</v>
      </c>
    </row>
    <row r="478" spans="1:17" x14ac:dyDescent="0.25">
      <c r="A478" s="1">
        <v>1867</v>
      </c>
      <c r="B478" s="2">
        <v>45657</v>
      </c>
      <c r="C478" s="3"/>
      <c r="D478" s="3"/>
      <c r="E478" s="4" t="s">
        <v>6</v>
      </c>
      <c r="F478" s="3"/>
      <c r="G478" s="3"/>
      <c r="H478" s="5"/>
      <c r="I478" s="5">
        <v>5</v>
      </c>
      <c r="J478" s="5"/>
      <c r="K478" s="6">
        <f t="shared" si="10"/>
        <v>45661</v>
      </c>
      <c r="L478" s="5">
        <v>5</v>
      </c>
      <c r="M478" s="6">
        <f t="shared" si="11"/>
        <v>45667</v>
      </c>
      <c r="N478" s="7"/>
      <c r="O478" s="7" t="s">
        <v>5</v>
      </c>
      <c r="P478" s="7" t="s">
        <v>4</v>
      </c>
      <c r="Q478" s="7"/>
    </row>
    <row r="479" spans="1:17" x14ac:dyDescent="0.25">
      <c r="A479" s="1">
        <v>3304</v>
      </c>
      <c r="B479" s="2">
        <v>45657</v>
      </c>
      <c r="C479" s="3"/>
      <c r="D479" s="3"/>
      <c r="E479" s="4" t="s">
        <v>7</v>
      </c>
      <c r="F479" s="3"/>
      <c r="G479" s="3"/>
      <c r="H479" s="5"/>
      <c r="I479" s="5">
        <v>5</v>
      </c>
      <c r="J479" s="5"/>
      <c r="K479" s="6">
        <f t="shared" si="10"/>
        <v>45661</v>
      </c>
      <c r="L479" s="5">
        <v>3</v>
      </c>
      <c r="M479" s="6">
        <f t="shared" si="11"/>
        <v>45665</v>
      </c>
      <c r="N479" s="7" t="s">
        <v>3</v>
      </c>
      <c r="O479" s="7"/>
      <c r="P479" s="7"/>
      <c r="Q479" s="7"/>
    </row>
    <row r="480" spans="1:17" x14ac:dyDescent="0.25">
      <c r="A480" s="1">
        <v>4419</v>
      </c>
      <c r="B480" s="2">
        <v>45657</v>
      </c>
      <c r="C480" s="3"/>
      <c r="D480" s="3"/>
      <c r="E480" s="4" t="s">
        <v>6</v>
      </c>
      <c r="F480" s="3"/>
      <c r="G480" s="3"/>
      <c r="H480" s="5"/>
      <c r="I480" s="5">
        <v>5</v>
      </c>
      <c r="J480" s="5"/>
      <c r="K480" s="6">
        <f t="shared" si="10"/>
        <v>45661</v>
      </c>
      <c r="L480" s="5">
        <v>5</v>
      </c>
      <c r="M480" s="6">
        <f t="shared" si="11"/>
        <v>45667</v>
      </c>
      <c r="N480" s="7"/>
      <c r="O480" s="7"/>
      <c r="P480" s="7"/>
      <c r="Q480" s="7" t="s">
        <v>4</v>
      </c>
    </row>
    <row r="481" spans="1:17" x14ac:dyDescent="0.25">
      <c r="A481" s="1">
        <v>3836</v>
      </c>
      <c r="B481" s="2">
        <v>45657</v>
      </c>
      <c r="C481" s="3"/>
      <c r="D481" s="3"/>
      <c r="E481" s="4" t="s">
        <v>7</v>
      </c>
      <c r="F481" s="3"/>
      <c r="G481" s="3"/>
      <c r="H481" s="5"/>
      <c r="I481" s="5">
        <v>5</v>
      </c>
      <c r="J481" s="5"/>
      <c r="K481" s="6">
        <f t="shared" si="10"/>
        <v>45661</v>
      </c>
      <c r="L481" s="5">
        <v>3</v>
      </c>
      <c r="M481" s="6">
        <f t="shared" si="11"/>
        <v>45665</v>
      </c>
      <c r="N481" s="7"/>
      <c r="O481" s="7"/>
      <c r="P481" s="7" t="s">
        <v>1</v>
      </c>
      <c r="Q481" s="7"/>
    </row>
    <row r="482" spans="1:17" x14ac:dyDescent="0.25">
      <c r="A482" s="12">
        <v>2025</v>
      </c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6"/>
      <c r="N482" s="13"/>
      <c r="O482" s="13"/>
      <c r="P482" s="13"/>
      <c r="Q482" s="13"/>
    </row>
    <row r="483" spans="1:17" x14ac:dyDescent="0.25">
      <c r="A483" s="1">
        <v>3677</v>
      </c>
      <c r="B483" s="2">
        <v>45658</v>
      </c>
      <c r="C483" s="3"/>
      <c r="D483" s="3"/>
      <c r="E483" s="4" t="s">
        <v>7</v>
      </c>
      <c r="F483" s="3"/>
      <c r="G483" s="3"/>
      <c r="H483" s="5"/>
      <c r="I483" s="5">
        <v>5</v>
      </c>
      <c r="J483" s="5"/>
      <c r="K483" s="6">
        <f t="shared" si="10"/>
        <v>45662</v>
      </c>
      <c r="L483" s="5">
        <v>3</v>
      </c>
      <c r="M483" s="6">
        <f t="shared" ref="M483:M509" si="12">K483+L483+1</f>
        <v>45666</v>
      </c>
      <c r="N483" s="7" t="s">
        <v>3</v>
      </c>
      <c r="O483" s="7"/>
      <c r="P483" s="7"/>
      <c r="Q483" s="7"/>
    </row>
    <row r="484" spans="1:17" x14ac:dyDescent="0.25">
      <c r="A484" s="1">
        <v>3705</v>
      </c>
      <c r="B484" s="2">
        <v>45659</v>
      </c>
      <c r="C484" s="3"/>
      <c r="D484" s="3"/>
      <c r="E484" s="4" t="s">
        <v>7</v>
      </c>
      <c r="F484" s="3"/>
      <c r="G484" s="3"/>
      <c r="H484" s="5"/>
      <c r="I484" s="5">
        <v>5</v>
      </c>
      <c r="J484" s="5"/>
      <c r="K484" s="6">
        <f t="shared" si="10"/>
        <v>45663</v>
      </c>
      <c r="L484" s="5">
        <v>3</v>
      </c>
      <c r="M484" s="6">
        <f t="shared" si="12"/>
        <v>45667</v>
      </c>
      <c r="N484" s="7"/>
      <c r="O484" s="7"/>
      <c r="P484" s="7" t="s">
        <v>1</v>
      </c>
      <c r="Q484" s="7"/>
    </row>
    <row r="485" spans="1:17" x14ac:dyDescent="0.25">
      <c r="A485" s="1">
        <v>3863</v>
      </c>
      <c r="B485" s="2">
        <v>1</v>
      </c>
      <c r="C485" s="3"/>
      <c r="D485" s="3"/>
      <c r="E485" s="4" t="s">
        <v>7</v>
      </c>
      <c r="F485" s="3"/>
      <c r="G485" s="3"/>
      <c r="H485" s="5"/>
      <c r="I485" s="5">
        <v>5</v>
      </c>
      <c r="J485" s="5"/>
      <c r="K485" s="6">
        <f t="shared" si="10"/>
        <v>5</v>
      </c>
      <c r="L485" s="5">
        <v>3</v>
      </c>
      <c r="M485" s="6">
        <f t="shared" si="12"/>
        <v>9</v>
      </c>
      <c r="N485" s="7" t="s">
        <v>3</v>
      </c>
      <c r="O485" s="7"/>
      <c r="P485" s="7"/>
      <c r="Q485" s="7"/>
    </row>
    <row r="486" spans="1:17" x14ac:dyDescent="0.25">
      <c r="A486" s="1">
        <v>2193</v>
      </c>
      <c r="B486" s="2">
        <v>45660</v>
      </c>
      <c r="C486" s="3"/>
      <c r="D486" s="3"/>
      <c r="E486" s="4" t="s">
        <v>15</v>
      </c>
      <c r="F486" s="3"/>
      <c r="G486" s="3"/>
      <c r="H486" s="5"/>
      <c r="I486" s="5">
        <v>5</v>
      </c>
      <c r="J486" s="5"/>
      <c r="K486" s="6">
        <f t="shared" si="10"/>
        <v>45664</v>
      </c>
      <c r="L486" s="5">
        <v>9</v>
      </c>
      <c r="M486" s="6">
        <f t="shared" si="12"/>
        <v>45674</v>
      </c>
      <c r="N486" s="7"/>
      <c r="O486" s="7" t="s">
        <v>5</v>
      </c>
      <c r="P486" s="7"/>
      <c r="Q486" s="7"/>
    </row>
    <row r="487" spans="1:17" x14ac:dyDescent="0.25">
      <c r="A487" s="1">
        <v>3211</v>
      </c>
      <c r="B487" s="2">
        <v>45661</v>
      </c>
      <c r="C487" s="3"/>
      <c r="D487" s="3"/>
      <c r="E487" s="4" t="s">
        <v>15</v>
      </c>
      <c r="F487" s="3"/>
      <c r="G487" s="3"/>
      <c r="H487" s="5"/>
      <c r="I487" s="5">
        <v>5</v>
      </c>
      <c r="J487" s="5"/>
      <c r="K487" s="6">
        <f t="shared" si="10"/>
        <v>45665</v>
      </c>
      <c r="L487" s="5">
        <v>9</v>
      </c>
      <c r="M487" s="6">
        <f t="shared" si="12"/>
        <v>45675</v>
      </c>
      <c r="N487" s="7" t="s">
        <v>3</v>
      </c>
      <c r="O487" s="7"/>
      <c r="P487" s="7"/>
      <c r="Q487" s="7"/>
    </row>
    <row r="488" spans="1:17" x14ac:dyDescent="0.25">
      <c r="A488" s="1">
        <v>1738</v>
      </c>
      <c r="B488" s="2">
        <v>45662</v>
      </c>
      <c r="C488" s="3"/>
      <c r="D488" s="3"/>
      <c r="E488" s="4" t="s">
        <v>7</v>
      </c>
      <c r="F488" s="3"/>
      <c r="G488" s="3"/>
      <c r="H488" s="5"/>
      <c r="I488" s="5">
        <v>5</v>
      </c>
      <c r="J488" s="5"/>
      <c r="K488" s="6">
        <f t="shared" si="10"/>
        <v>45666</v>
      </c>
      <c r="L488" s="5">
        <v>3</v>
      </c>
      <c r="M488" s="6">
        <f t="shared" si="12"/>
        <v>45670</v>
      </c>
      <c r="N488" s="7"/>
      <c r="O488" s="7" t="s">
        <v>5</v>
      </c>
      <c r="P488" s="7"/>
      <c r="Q488" s="7"/>
    </row>
    <row r="489" spans="1:17" x14ac:dyDescent="0.25">
      <c r="A489" s="1">
        <v>3677</v>
      </c>
      <c r="B489" s="2">
        <v>45663</v>
      </c>
      <c r="C489" s="3"/>
      <c r="D489" s="3"/>
      <c r="E489" s="4" t="s">
        <v>15</v>
      </c>
      <c r="F489" s="3"/>
      <c r="G489" s="3"/>
      <c r="H489" s="5"/>
      <c r="I489" s="5">
        <v>5</v>
      </c>
      <c r="J489" s="5"/>
      <c r="K489" s="6">
        <f t="shared" si="10"/>
        <v>45667</v>
      </c>
      <c r="L489" s="5">
        <v>9</v>
      </c>
      <c r="M489" s="6">
        <f t="shared" si="12"/>
        <v>45677</v>
      </c>
      <c r="N489" s="7"/>
      <c r="O489" s="7"/>
      <c r="P489" s="7" t="s">
        <v>1</v>
      </c>
      <c r="Q489" s="7"/>
    </row>
    <row r="490" spans="1:17" x14ac:dyDescent="0.25">
      <c r="A490" s="1">
        <v>3745</v>
      </c>
      <c r="B490" s="2">
        <v>45663</v>
      </c>
      <c r="C490" s="3"/>
      <c r="D490" s="3"/>
      <c r="E490" s="4" t="s">
        <v>7</v>
      </c>
      <c r="F490" s="3"/>
      <c r="G490" s="3"/>
      <c r="H490" s="5"/>
      <c r="I490" s="5">
        <v>5</v>
      </c>
      <c r="J490" s="5"/>
      <c r="K490" s="6">
        <f t="shared" si="10"/>
        <v>45667</v>
      </c>
      <c r="L490" s="5">
        <v>3</v>
      </c>
      <c r="M490" s="6">
        <f t="shared" si="12"/>
        <v>45671</v>
      </c>
      <c r="N490" s="7"/>
      <c r="O490" s="7"/>
      <c r="P490" s="7" t="s">
        <v>1</v>
      </c>
      <c r="Q490" s="7"/>
    </row>
    <row r="491" spans="1:17" x14ac:dyDescent="0.25">
      <c r="A491" s="1">
        <v>3787</v>
      </c>
      <c r="B491" s="2">
        <v>45664</v>
      </c>
      <c r="C491" s="3"/>
      <c r="D491" s="3"/>
      <c r="E491" s="4" t="s">
        <v>7</v>
      </c>
      <c r="F491" s="3"/>
      <c r="G491" s="3"/>
      <c r="H491" s="5"/>
      <c r="I491" s="5">
        <v>5</v>
      </c>
      <c r="J491" s="5"/>
      <c r="K491" s="6">
        <f t="shared" si="10"/>
        <v>45668</v>
      </c>
      <c r="L491" s="5">
        <v>3</v>
      </c>
      <c r="M491" s="6">
        <f t="shared" si="12"/>
        <v>45672</v>
      </c>
      <c r="N491" s="7" t="s">
        <v>3</v>
      </c>
      <c r="O491" s="7"/>
      <c r="P491" s="7"/>
      <c r="Q491" s="7"/>
    </row>
    <row r="492" spans="1:17" x14ac:dyDescent="0.25">
      <c r="A492" s="1">
        <v>3754</v>
      </c>
      <c r="B492" s="2">
        <v>45664</v>
      </c>
      <c r="C492" s="3"/>
      <c r="D492" s="3"/>
      <c r="E492" s="4" t="s">
        <v>6</v>
      </c>
      <c r="F492" s="3"/>
      <c r="G492" s="3"/>
      <c r="H492" s="5"/>
      <c r="I492" s="5">
        <v>5</v>
      </c>
      <c r="J492" s="5"/>
      <c r="K492" s="6">
        <f t="shared" si="10"/>
        <v>45668</v>
      </c>
      <c r="L492" s="5">
        <v>5</v>
      </c>
      <c r="M492" s="6">
        <f t="shared" si="12"/>
        <v>45674</v>
      </c>
      <c r="N492" s="7" t="s">
        <v>3</v>
      </c>
      <c r="O492" s="7"/>
      <c r="P492" s="7"/>
      <c r="Q492" s="7"/>
    </row>
    <row r="493" spans="1:17" x14ac:dyDescent="0.25">
      <c r="A493" s="1">
        <v>3621</v>
      </c>
      <c r="B493" s="2">
        <v>45664</v>
      </c>
      <c r="C493" s="3"/>
      <c r="D493" s="3"/>
      <c r="E493" s="4" t="s">
        <v>6</v>
      </c>
      <c r="F493" s="3"/>
      <c r="G493" s="3"/>
      <c r="H493" s="5"/>
      <c r="I493" s="5">
        <v>5</v>
      </c>
      <c r="J493" s="5"/>
      <c r="K493" s="6">
        <f t="shared" si="10"/>
        <v>45668</v>
      </c>
      <c r="L493" s="5">
        <v>5</v>
      </c>
      <c r="M493" s="6">
        <f t="shared" si="12"/>
        <v>45674</v>
      </c>
      <c r="N493" s="7"/>
      <c r="O493" s="7" t="s">
        <v>5</v>
      </c>
      <c r="P493" s="7"/>
      <c r="Q493" s="7"/>
    </row>
    <row r="494" spans="1:17" x14ac:dyDescent="0.25">
      <c r="A494" s="1">
        <v>2949</v>
      </c>
      <c r="B494" s="2">
        <v>45664</v>
      </c>
      <c r="C494" s="3"/>
      <c r="D494" s="3"/>
      <c r="E494" s="4" t="s">
        <v>6</v>
      </c>
      <c r="F494" s="3"/>
      <c r="G494" s="3"/>
      <c r="H494" s="5"/>
      <c r="I494" s="5">
        <v>5</v>
      </c>
      <c r="J494" s="5"/>
      <c r="K494" s="6">
        <f t="shared" si="10"/>
        <v>45668</v>
      </c>
      <c r="L494" s="5">
        <v>5</v>
      </c>
      <c r="M494" s="6">
        <f t="shared" si="12"/>
        <v>45674</v>
      </c>
      <c r="N494" s="7" t="s">
        <v>3</v>
      </c>
      <c r="O494" s="7"/>
      <c r="P494" s="7" t="s">
        <v>1</v>
      </c>
      <c r="Q494" s="7"/>
    </row>
    <row r="495" spans="1:17" x14ac:dyDescent="0.25">
      <c r="A495" s="1">
        <v>296</v>
      </c>
      <c r="B495" s="2">
        <v>45664</v>
      </c>
      <c r="C495" s="3"/>
      <c r="D495" s="3"/>
      <c r="E495" s="4" t="s">
        <v>6</v>
      </c>
      <c r="F495" s="3"/>
      <c r="G495" s="3"/>
      <c r="H495" s="5"/>
      <c r="I495" s="5">
        <v>5</v>
      </c>
      <c r="J495" s="5"/>
      <c r="K495" s="6">
        <f t="shared" si="10"/>
        <v>45668</v>
      </c>
      <c r="L495" s="5">
        <v>5</v>
      </c>
      <c r="M495" s="6">
        <f t="shared" si="12"/>
        <v>45674</v>
      </c>
      <c r="N495" s="7"/>
      <c r="O495" s="7"/>
      <c r="P495" s="7" t="s">
        <v>1</v>
      </c>
      <c r="Q495" s="7"/>
    </row>
    <row r="496" spans="1:17" x14ac:dyDescent="0.25">
      <c r="A496" s="1">
        <v>2906</v>
      </c>
      <c r="B496" s="2">
        <v>45665</v>
      </c>
      <c r="C496" s="3"/>
      <c r="D496" s="3"/>
      <c r="E496" s="4" t="s">
        <v>7</v>
      </c>
      <c r="F496" s="3"/>
      <c r="G496" s="3"/>
      <c r="H496" s="5"/>
      <c r="I496" s="5">
        <v>5</v>
      </c>
      <c r="J496" s="5"/>
      <c r="K496" s="6">
        <f t="shared" si="10"/>
        <v>45669</v>
      </c>
      <c r="L496" s="5">
        <v>3</v>
      </c>
      <c r="M496" s="6">
        <f t="shared" si="12"/>
        <v>45673</v>
      </c>
      <c r="N496" s="7" t="s">
        <v>3</v>
      </c>
      <c r="O496" s="7"/>
      <c r="P496" s="7"/>
      <c r="Q496" s="7"/>
    </row>
    <row r="497" spans="1:17" x14ac:dyDescent="0.25">
      <c r="A497" s="1">
        <v>3787</v>
      </c>
      <c r="B497" s="2">
        <v>45665</v>
      </c>
      <c r="C497" s="3"/>
      <c r="D497" s="3"/>
      <c r="E497" s="4" t="s">
        <v>6</v>
      </c>
      <c r="F497" s="3"/>
      <c r="G497" s="3"/>
      <c r="H497" s="5"/>
      <c r="I497" s="5">
        <v>5</v>
      </c>
      <c r="J497" s="5"/>
      <c r="K497" s="6">
        <f t="shared" si="10"/>
        <v>45669</v>
      </c>
      <c r="L497" s="5">
        <v>5</v>
      </c>
      <c r="M497" s="6">
        <f t="shared" si="12"/>
        <v>45675</v>
      </c>
      <c r="N497" s="7"/>
      <c r="O497" s="7" t="s">
        <v>5</v>
      </c>
      <c r="P497" s="7"/>
      <c r="Q497" s="7"/>
    </row>
    <row r="498" spans="1:17" x14ac:dyDescent="0.25">
      <c r="A498" s="1">
        <v>2696</v>
      </c>
      <c r="B498" s="2">
        <v>45666</v>
      </c>
      <c r="C498" s="3"/>
      <c r="D498" s="3"/>
      <c r="E498" s="4" t="s">
        <v>6</v>
      </c>
      <c r="F498" s="3"/>
      <c r="G498" s="3"/>
      <c r="H498" s="5"/>
      <c r="I498" s="5">
        <v>5</v>
      </c>
      <c r="J498" s="5"/>
      <c r="K498" s="6">
        <f t="shared" si="10"/>
        <v>45670</v>
      </c>
      <c r="L498" s="5">
        <v>5</v>
      </c>
      <c r="M498" s="6">
        <f t="shared" si="12"/>
        <v>45676</v>
      </c>
      <c r="N498" s="7"/>
      <c r="O498" s="7"/>
      <c r="P498" s="7"/>
      <c r="Q498" s="7" t="s">
        <v>4</v>
      </c>
    </row>
    <row r="499" spans="1:17" x14ac:dyDescent="0.25">
      <c r="A499" s="1">
        <v>1185</v>
      </c>
      <c r="B499" s="2">
        <v>45668</v>
      </c>
      <c r="C499" s="3"/>
      <c r="D499" s="3"/>
      <c r="E499" s="4" t="s">
        <v>7</v>
      </c>
      <c r="F499" s="3"/>
      <c r="G499" s="3"/>
      <c r="H499" s="5"/>
      <c r="I499" s="5">
        <v>5</v>
      </c>
      <c r="J499" s="5"/>
      <c r="K499" s="6">
        <f t="shared" si="10"/>
        <v>45672</v>
      </c>
      <c r="L499" s="5">
        <v>3</v>
      </c>
      <c r="M499" s="6">
        <f t="shared" si="12"/>
        <v>45676</v>
      </c>
      <c r="N499" s="7" t="s">
        <v>3</v>
      </c>
      <c r="O499" s="7" t="s">
        <v>5</v>
      </c>
      <c r="P499" s="7"/>
      <c r="Q499" s="7"/>
    </row>
    <row r="500" spans="1:17" x14ac:dyDescent="0.25">
      <c r="A500" s="1">
        <v>3304</v>
      </c>
      <c r="B500" s="2">
        <v>45668</v>
      </c>
      <c r="C500" s="3"/>
      <c r="D500" s="3"/>
      <c r="E500" s="4" t="s">
        <v>20</v>
      </c>
      <c r="F500" s="3"/>
      <c r="G500" s="3"/>
      <c r="H500" s="5"/>
      <c r="I500" s="5">
        <v>5</v>
      </c>
      <c r="J500" s="5"/>
      <c r="K500" s="6">
        <f t="shared" si="10"/>
        <v>45672</v>
      </c>
      <c r="L500" s="5">
        <v>9</v>
      </c>
      <c r="M500" s="6">
        <f t="shared" si="12"/>
        <v>45682</v>
      </c>
      <c r="N500" s="7" t="s">
        <v>3</v>
      </c>
      <c r="O500" s="7"/>
      <c r="P500" s="7" t="s">
        <v>1</v>
      </c>
      <c r="Q500" s="7"/>
    </row>
    <row r="501" spans="1:17" x14ac:dyDescent="0.25">
      <c r="A501" s="1">
        <v>2238</v>
      </c>
      <c r="B501" s="2">
        <v>45669</v>
      </c>
      <c r="C501" s="3"/>
      <c r="D501" s="3"/>
      <c r="E501" s="4" t="s">
        <v>18</v>
      </c>
      <c r="F501" s="3"/>
      <c r="G501" s="3"/>
      <c r="H501" s="5"/>
      <c r="I501" s="5">
        <v>5</v>
      </c>
      <c r="J501" s="5"/>
      <c r="K501" s="6">
        <f t="shared" si="10"/>
        <v>45673</v>
      </c>
      <c r="L501" s="5">
        <v>3</v>
      </c>
      <c r="M501" s="6">
        <f t="shared" si="12"/>
        <v>45677</v>
      </c>
      <c r="N501" s="7" t="s">
        <v>3</v>
      </c>
      <c r="O501" s="7"/>
      <c r="P501" s="7" t="s">
        <v>1</v>
      </c>
      <c r="Q501" s="7" t="s">
        <v>4</v>
      </c>
    </row>
    <row r="502" spans="1:17" x14ac:dyDescent="0.25">
      <c r="A502" s="1">
        <v>4192</v>
      </c>
      <c r="B502" s="2">
        <v>45670</v>
      </c>
      <c r="C502" s="3"/>
      <c r="D502" s="3"/>
      <c r="E502" s="4" t="s">
        <v>7</v>
      </c>
      <c r="F502" s="3"/>
      <c r="G502" s="3"/>
      <c r="H502" s="5"/>
      <c r="I502" s="5">
        <v>5</v>
      </c>
      <c r="J502" s="5"/>
      <c r="K502" s="6">
        <f t="shared" si="10"/>
        <v>45674</v>
      </c>
      <c r="L502" s="5">
        <v>3</v>
      </c>
      <c r="M502" s="6">
        <f t="shared" si="12"/>
        <v>45678</v>
      </c>
      <c r="N502" s="7"/>
      <c r="O502" s="7"/>
      <c r="P502" s="7"/>
      <c r="Q502" s="7" t="s">
        <v>4</v>
      </c>
    </row>
    <row r="503" spans="1:17" x14ac:dyDescent="0.25">
      <c r="A503" s="1">
        <v>1119</v>
      </c>
      <c r="B503" s="2">
        <v>45670</v>
      </c>
      <c r="C503" s="3"/>
      <c r="D503" s="3"/>
      <c r="E503" s="4" t="s">
        <v>7</v>
      </c>
      <c r="F503" s="3"/>
      <c r="G503" s="3"/>
      <c r="H503" s="5"/>
      <c r="I503" s="5">
        <v>5</v>
      </c>
      <c r="J503" s="5"/>
      <c r="K503" s="6">
        <f t="shared" si="10"/>
        <v>45674</v>
      </c>
      <c r="L503" s="5">
        <v>3</v>
      </c>
      <c r="M503" s="6">
        <f t="shared" si="12"/>
        <v>45678</v>
      </c>
      <c r="N503" s="7"/>
      <c r="O503" s="7"/>
      <c r="P503" s="7" t="s">
        <v>1</v>
      </c>
      <c r="Q503" s="7" t="s">
        <v>4</v>
      </c>
    </row>
    <row r="504" spans="1:17" x14ac:dyDescent="0.25">
      <c r="A504" s="1">
        <v>4202</v>
      </c>
      <c r="B504" s="2">
        <v>45670</v>
      </c>
      <c r="C504" s="3"/>
      <c r="D504" s="3"/>
      <c r="E504" s="4" t="s">
        <v>7</v>
      </c>
      <c r="F504" s="3"/>
      <c r="G504" s="3"/>
      <c r="H504" s="5"/>
      <c r="I504" s="5">
        <v>5</v>
      </c>
      <c r="J504" s="5"/>
      <c r="K504" s="6">
        <f t="shared" si="10"/>
        <v>45674</v>
      </c>
      <c r="L504" s="5">
        <v>3</v>
      </c>
      <c r="M504" s="6">
        <f t="shared" si="12"/>
        <v>45678</v>
      </c>
      <c r="N504" s="7" t="s">
        <v>3</v>
      </c>
      <c r="O504" s="7"/>
      <c r="P504" s="7"/>
      <c r="Q504" s="7"/>
    </row>
    <row r="505" spans="1:17" x14ac:dyDescent="0.25">
      <c r="A505" s="1">
        <v>3278</v>
      </c>
      <c r="B505" s="2">
        <v>45671</v>
      </c>
      <c r="C505" s="3"/>
      <c r="D505" s="3"/>
      <c r="E505" s="4" t="s">
        <v>7</v>
      </c>
      <c r="F505" s="3"/>
      <c r="G505" s="3"/>
      <c r="H505" s="5"/>
      <c r="I505" s="5">
        <v>5</v>
      </c>
      <c r="J505" s="5"/>
      <c r="K505" s="6">
        <f t="shared" si="10"/>
        <v>45675</v>
      </c>
      <c r="L505" s="5">
        <v>3</v>
      </c>
      <c r="M505" s="6">
        <f t="shared" si="12"/>
        <v>45679</v>
      </c>
      <c r="N505" s="7"/>
      <c r="O505" s="7" t="s">
        <v>5</v>
      </c>
      <c r="P505" s="7"/>
      <c r="Q505" s="7"/>
    </row>
    <row r="506" spans="1:17" x14ac:dyDescent="0.25">
      <c r="A506" s="1">
        <v>4206</v>
      </c>
      <c r="B506" s="2">
        <v>45671</v>
      </c>
      <c r="C506" s="3"/>
      <c r="D506" s="3"/>
      <c r="E506" s="4" t="s">
        <v>7</v>
      </c>
      <c r="F506" s="3"/>
      <c r="G506" s="3"/>
      <c r="H506" s="5"/>
      <c r="I506" s="5">
        <v>5</v>
      </c>
      <c r="J506" s="5"/>
      <c r="K506" s="6">
        <f t="shared" si="10"/>
        <v>45675</v>
      </c>
      <c r="L506" s="5">
        <v>3</v>
      </c>
      <c r="M506" s="6">
        <f t="shared" si="12"/>
        <v>45679</v>
      </c>
      <c r="N506" s="7"/>
      <c r="O506" s="7"/>
      <c r="P506" s="7" t="s">
        <v>1</v>
      </c>
      <c r="Q506" s="7"/>
    </row>
    <row r="507" spans="1:17" x14ac:dyDescent="0.25">
      <c r="A507" s="1">
        <v>1749</v>
      </c>
      <c r="B507" s="2">
        <v>45672</v>
      </c>
      <c r="C507" s="3"/>
      <c r="D507" s="3"/>
      <c r="E507" s="4" t="s">
        <v>6</v>
      </c>
      <c r="F507" s="3"/>
      <c r="G507" s="3"/>
      <c r="H507" s="5"/>
      <c r="I507" s="5">
        <v>5</v>
      </c>
      <c r="J507" s="5"/>
      <c r="K507" s="6">
        <f t="shared" si="10"/>
        <v>45676</v>
      </c>
      <c r="L507" s="5">
        <v>5</v>
      </c>
      <c r="M507" s="6">
        <f t="shared" si="12"/>
        <v>45682</v>
      </c>
      <c r="N507" s="7"/>
      <c r="O507" s="7"/>
      <c r="P507" s="7"/>
      <c r="Q507" s="7" t="s">
        <v>4</v>
      </c>
    </row>
    <row r="508" spans="1:17" x14ac:dyDescent="0.25">
      <c r="A508" s="1">
        <v>3617</v>
      </c>
      <c r="B508" s="2">
        <v>45672</v>
      </c>
      <c r="C508" s="3"/>
      <c r="D508" s="3"/>
      <c r="E508" s="4" t="s">
        <v>7</v>
      </c>
      <c r="F508" s="3"/>
      <c r="G508" s="3"/>
      <c r="H508" s="5"/>
      <c r="I508" s="5">
        <v>5</v>
      </c>
      <c r="J508" s="5"/>
      <c r="K508" s="6">
        <f t="shared" si="10"/>
        <v>45676</v>
      </c>
      <c r="L508" s="5">
        <v>3</v>
      </c>
      <c r="M508" s="6">
        <f t="shared" si="12"/>
        <v>45680</v>
      </c>
      <c r="N508" s="7"/>
      <c r="O508" s="7"/>
      <c r="P508" s="7" t="s">
        <v>1</v>
      </c>
      <c r="Q508" s="7"/>
    </row>
    <row r="509" spans="1:17" x14ac:dyDescent="0.25">
      <c r="A509" s="1">
        <v>3512</v>
      </c>
      <c r="B509" s="2">
        <v>45674</v>
      </c>
      <c r="C509" s="3"/>
      <c r="D509" s="3"/>
      <c r="E509" s="4" t="s">
        <v>7</v>
      </c>
      <c r="F509" s="3"/>
      <c r="G509" s="3"/>
      <c r="H509" s="5"/>
      <c r="I509" s="5">
        <v>5</v>
      </c>
      <c r="J509" s="5"/>
      <c r="K509" s="6">
        <f t="shared" si="10"/>
        <v>45678</v>
      </c>
      <c r="L509" s="5">
        <v>3</v>
      </c>
      <c r="M509" s="6">
        <f t="shared" si="12"/>
        <v>45682</v>
      </c>
      <c r="N509" s="7" t="s">
        <v>3</v>
      </c>
      <c r="O509" s="7"/>
      <c r="P509" s="7"/>
      <c r="Q509" s="7"/>
    </row>
    <row r="510" spans="1:17" x14ac:dyDescent="0.25">
      <c r="A510" s="14">
        <v>1180</v>
      </c>
      <c r="B510" s="15">
        <v>45673</v>
      </c>
      <c r="E510" s="16" t="s">
        <v>7</v>
      </c>
      <c r="I510" s="17">
        <v>5</v>
      </c>
      <c r="K510" s="18">
        <f t="shared" ref="K510:K541" si="13">B510+I510-1</f>
        <v>45677</v>
      </c>
      <c r="L510" s="17">
        <v>3</v>
      </c>
      <c r="M510" s="18">
        <f t="shared" ref="M510:M541" si="14">K510+L510+1</f>
        <v>45681</v>
      </c>
      <c r="N510" t="s">
        <v>3</v>
      </c>
    </row>
    <row r="511" spans="1:17" x14ac:dyDescent="0.25">
      <c r="A511" s="14">
        <v>3051</v>
      </c>
      <c r="B511" s="19">
        <v>45673</v>
      </c>
      <c r="E511" s="16" t="s">
        <v>7</v>
      </c>
      <c r="I511" s="17">
        <v>5</v>
      </c>
      <c r="K511" s="18">
        <f t="shared" si="13"/>
        <v>45677</v>
      </c>
      <c r="L511" s="17">
        <v>3</v>
      </c>
      <c r="M511" s="18">
        <f t="shared" si="14"/>
        <v>45681</v>
      </c>
      <c r="O511" t="s">
        <v>5</v>
      </c>
    </row>
    <row r="512" spans="1:17" x14ac:dyDescent="0.25">
      <c r="A512" s="14">
        <v>3110</v>
      </c>
      <c r="B512" s="15">
        <v>45674</v>
      </c>
      <c r="E512" s="16" t="s">
        <v>7</v>
      </c>
      <c r="I512" s="17">
        <v>5</v>
      </c>
      <c r="K512" s="18">
        <f t="shared" si="13"/>
        <v>45678</v>
      </c>
      <c r="L512" s="17">
        <v>3</v>
      </c>
      <c r="M512" s="18">
        <f t="shared" si="14"/>
        <v>45682</v>
      </c>
      <c r="O512" t="s">
        <v>5</v>
      </c>
      <c r="Q512" t="s">
        <v>4</v>
      </c>
    </row>
    <row r="513" spans="1:17" x14ac:dyDescent="0.25">
      <c r="A513" s="14">
        <v>1749</v>
      </c>
      <c r="B513" s="15">
        <v>45675</v>
      </c>
      <c r="E513" s="16" t="s">
        <v>20</v>
      </c>
      <c r="I513" s="17">
        <v>5</v>
      </c>
      <c r="K513" s="18">
        <f t="shared" si="13"/>
        <v>45679</v>
      </c>
      <c r="L513" s="17">
        <v>9</v>
      </c>
      <c r="M513" s="18">
        <f t="shared" si="14"/>
        <v>45689</v>
      </c>
      <c r="O513" t="s">
        <v>5</v>
      </c>
      <c r="Q513" t="s">
        <v>4</v>
      </c>
    </row>
    <row r="514" spans="1:17" x14ac:dyDescent="0.25">
      <c r="A514" s="14">
        <v>3568</v>
      </c>
      <c r="B514" s="19">
        <v>45675</v>
      </c>
      <c r="E514" s="16" t="s">
        <v>7</v>
      </c>
      <c r="I514" s="17">
        <v>5</v>
      </c>
      <c r="K514" s="18">
        <f t="shared" si="13"/>
        <v>45679</v>
      </c>
      <c r="L514" s="17">
        <v>3</v>
      </c>
      <c r="M514" s="18">
        <f t="shared" si="14"/>
        <v>45683</v>
      </c>
      <c r="N514" t="s">
        <v>3</v>
      </c>
      <c r="Q514" t="s">
        <v>4</v>
      </c>
    </row>
    <row r="515" spans="1:17" x14ac:dyDescent="0.25">
      <c r="A515" s="14">
        <v>2488</v>
      </c>
      <c r="B515" s="19">
        <v>45675</v>
      </c>
      <c r="E515" s="16" t="s">
        <v>7</v>
      </c>
      <c r="I515" s="17">
        <v>5</v>
      </c>
      <c r="K515" s="18">
        <f t="shared" si="13"/>
        <v>45679</v>
      </c>
      <c r="L515" s="17">
        <v>3</v>
      </c>
      <c r="M515" s="18">
        <f t="shared" si="14"/>
        <v>45683</v>
      </c>
      <c r="O515" t="s">
        <v>5</v>
      </c>
    </row>
    <row r="516" spans="1:17" x14ac:dyDescent="0.25">
      <c r="A516" s="14">
        <v>3901</v>
      </c>
      <c r="B516" s="19">
        <v>45675</v>
      </c>
      <c r="E516" s="16" t="s">
        <v>7</v>
      </c>
      <c r="I516" s="17">
        <v>5</v>
      </c>
      <c r="K516" s="18">
        <f t="shared" si="13"/>
        <v>45679</v>
      </c>
      <c r="L516" s="17">
        <v>3</v>
      </c>
      <c r="M516" s="18">
        <f t="shared" si="14"/>
        <v>45683</v>
      </c>
      <c r="Q516" t="s">
        <v>4</v>
      </c>
    </row>
    <row r="517" spans="1:17" x14ac:dyDescent="0.25">
      <c r="A517" s="14">
        <v>578</v>
      </c>
      <c r="B517" s="19">
        <v>45676</v>
      </c>
      <c r="E517" s="16" t="s">
        <v>7</v>
      </c>
      <c r="I517" s="17">
        <v>5</v>
      </c>
      <c r="K517" s="18">
        <f t="shared" si="13"/>
        <v>45680</v>
      </c>
      <c r="L517" s="17">
        <v>3</v>
      </c>
      <c r="M517" s="18">
        <f t="shared" si="14"/>
        <v>45684</v>
      </c>
      <c r="Q517" t="s">
        <v>4</v>
      </c>
    </row>
    <row r="518" spans="1:17" x14ac:dyDescent="0.25">
      <c r="A518" s="14">
        <v>3986</v>
      </c>
      <c r="B518" s="19">
        <v>45676</v>
      </c>
      <c r="E518" s="16" t="s">
        <v>7</v>
      </c>
      <c r="I518" s="17">
        <v>5</v>
      </c>
      <c r="K518" s="18">
        <f t="shared" si="13"/>
        <v>45680</v>
      </c>
      <c r="L518" s="17">
        <v>3</v>
      </c>
      <c r="M518" s="18">
        <f t="shared" si="14"/>
        <v>45684</v>
      </c>
      <c r="O518" t="s">
        <v>5</v>
      </c>
    </row>
    <row r="519" spans="1:17" x14ac:dyDescent="0.25">
      <c r="A519" s="14">
        <v>2949</v>
      </c>
      <c r="B519" s="19">
        <v>45677</v>
      </c>
      <c r="E519" s="16" t="s">
        <v>21</v>
      </c>
      <c r="I519" s="17">
        <v>5</v>
      </c>
      <c r="K519" s="18">
        <f t="shared" si="13"/>
        <v>45681</v>
      </c>
      <c r="L519" s="17">
        <v>9</v>
      </c>
      <c r="M519" s="18">
        <f t="shared" si="14"/>
        <v>45691</v>
      </c>
      <c r="O519" t="s">
        <v>5</v>
      </c>
    </row>
    <row r="520" spans="1:17" x14ac:dyDescent="0.25">
      <c r="A520" s="14">
        <v>3791</v>
      </c>
      <c r="B520" s="19">
        <v>45677</v>
      </c>
      <c r="E520" s="16" t="s">
        <v>6</v>
      </c>
      <c r="I520" s="17">
        <v>5</v>
      </c>
      <c r="K520" s="18">
        <f t="shared" si="13"/>
        <v>45681</v>
      </c>
      <c r="L520" s="17">
        <v>5</v>
      </c>
      <c r="M520" s="18">
        <f t="shared" si="14"/>
        <v>45687</v>
      </c>
      <c r="N520" t="s">
        <v>3</v>
      </c>
      <c r="P520" t="s">
        <v>1</v>
      </c>
      <c r="Q520" t="s">
        <v>4</v>
      </c>
    </row>
    <row r="521" spans="1:17" x14ac:dyDescent="0.25">
      <c r="A521" s="14">
        <v>4054</v>
      </c>
      <c r="B521" s="19">
        <v>45677</v>
      </c>
      <c r="E521" s="16" t="s">
        <v>7</v>
      </c>
      <c r="I521" s="17">
        <v>5</v>
      </c>
      <c r="K521" s="18">
        <f t="shared" si="13"/>
        <v>45681</v>
      </c>
      <c r="L521" s="17">
        <v>3</v>
      </c>
      <c r="M521" s="18">
        <f t="shared" si="14"/>
        <v>45685</v>
      </c>
      <c r="O521" t="s">
        <v>5</v>
      </c>
    </row>
    <row r="522" spans="1:17" x14ac:dyDescent="0.25">
      <c r="A522" s="14">
        <v>3745</v>
      </c>
      <c r="B522" s="19">
        <v>45677</v>
      </c>
      <c r="E522" s="16" t="s">
        <v>7</v>
      </c>
      <c r="I522" s="17">
        <v>5</v>
      </c>
      <c r="K522" s="18">
        <f t="shared" si="13"/>
        <v>45681</v>
      </c>
      <c r="L522" s="17">
        <v>3</v>
      </c>
      <c r="M522" s="18">
        <f t="shared" si="14"/>
        <v>45685</v>
      </c>
      <c r="N522" t="s">
        <v>3</v>
      </c>
    </row>
    <row r="523" spans="1:17" x14ac:dyDescent="0.25">
      <c r="A523" s="14">
        <v>3284</v>
      </c>
      <c r="B523" s="19">
        <v>45678</v>
      </c>
      <c r="E523" s="16" t="s">
        <v>7</v>
      </c>
      <c r="I523" s="17">
        <v>5</v>
      </c>
      <c r="K523" s="18">
        <f t="shared" si="13"/>
        <v>45682</v>
      </c>
      <c r="L523" s="17">
        <v>3</v>
      </c>
      <c r="M523" s="18">
        <f t="shared" si="14"/>
        <v>45686</v>
      </c>
      <c r="O523" t="s">
        <v>5</v>
      </c>
    </row>
    <row r="524" spans="1:17" x14ac:dyDescent="0.25">
      <c r="A524" s="14">
        <v>3729</v>
      </c>
      <c r="B524" s="19">
        <v>45313</v>
      </c>
      <c r="E524" s="16" t="s">
        <v>7</v>
      </c>
      <c r="I524" s="17">
        <v>5</v>
      </c>
      <c r="K524" s="18">
        <f t="shared" si="13"/>
        <v>45317</v>
      </c>
      <c r="L524" s="17">
        <v>3</v>
      </c>
      <c r="M524" s="18">
        <f t="shared" si="14"/>
        <v>45321</v>
      </c>
      <c r="Q524" t="s">
        <v>4</v>
      </c>
    </row>
    <row r="525" spans="1:17" x14ac:dyDescent="0.25">
      <c r="A525" s="14">
        <v>2238</v>
      </c>
      <c r="B525" s="19">
        <v>45679</v>
      </c>
      <c r="E525" s="16" t="s">
        <v>20</v>
      </c>
      <c r="I525" s="17">
        <v>5</v>
      </c>
      <c r="K525" s="18">
        <f t="shared" si="13"/>
        <v>45683</v>
      </c>
      <c r="L525" s="17">
        <v>9</v>
      </c>
      <c r="M525" s="18">
        <f t="shared" si="14"/>
        <v>45693</v>
      </c>
      <c r="Q525" t="s">
        <v>4</v>
      </c>
    </row>
    <row r="526" spans="1:17" x14ac:dyDescent="0.25">
      <c r="A526" s="14">
        <v>3617</v>
      </c>
      <c r="B526" s="19">
        <v>45679</v>
      </c>
      <c r="E526" s="16" t="s">
        <v>20</v>
      </c>
      <c r="I526" s="17">
        <v>5</v>
      </c>
      <c r="K526" s="18">
        <f t="shared" si="13"/>
        <v>45683</v>
      </c>
      <c r="L526" s="17">
        <v>9</v>
      </c>
      <c r="M526" s="18">
        <f t="shared" si="14"/>
        <v>45693</v>
      </c>
      <c r="P526" t="s">
        <v>1</v>
      </c>
    </row>
    <row r="527" spans="1:17" x14ac:dyDescent="0.25">
      <c r="A527" s="14">
        <v>2477</v>
      </c>
      <c r="B527" s="19">
        <v>45680</v>
      </c>
      <c r="E527" s="16" t="s">
        <v>7</v>
      </c>
      <c r="I527" s="17">
        <v>5</v>
      </c>
      <c r="K527" s="18">
        <f t="shared" si="13"/>
        <v>45684</v>
      </c>
      <c r="L527" s="17">
        <v>3</v>
      </c>
      <c r="M527" s="18">
        <f t="shared" si="14"/>
        <v>45688</v>
      </c>
      <c r="O527" t="s">
        <v>5</v>
      </c>
    </row>
    <row r="528" spans="1:17" x14ac:dyDescent="0.25">
      <c r="A528" s="14">
        <v>3284</v>
      </c>
      <c r="B528" s="19">
        <v>45680</v>
      </c>
      <c r="E528" s="16" t="s">
        <v>6</v>
      </c>
      <c r="I528" s="17">
        <v>5</v>
      </c>
      <c r="K528" s="18">
        <f t="shared" si="13"/>
        <v>45684</v>
      </c>
      <c r="L528" s="17">
        <v>5</v>
      </c>
      <c r="M528" s="18">
        <f t="shared" si="14"/>
        <v>45690</v>
      </c>
      <c r="O528" t="s">
        <v>5</v>
      </c>
    </row>
    <row r="529" spans="1:17" x14ac:dyDescent="0.25">
      <c r="A529" s="14">
        <v>3745</v>
      </c>
      <c r="B529" s="19">
        <v>45680</v>
      </c>
      <c r="E529" s="16" t="s">
        <v>6</v>
      </c>
      <c r="I529" s="17">
        <v>5</v>
      </c>
      <c r="K529" s="18">
        <f t="shared" si="13"/>
        <v>45684</v>
      </c>
      <c r="L529" s="17">
        <v>5</v>
      </c>
      <c r="M529" s="18">
        <f t="shared" si="14"/>
        <v>45690</v>
      </c>
      <c r="N529" t="s">
        <v>3</v>
      </c>
    </row>
    <row r="530" spans="1:17" x14ac:dyDescent="0.25">
      <c r="A530" s="14">
        <v>3238</v>
      </c>
      <c r="B530" s="19">
        <v>45681</v>
      </c>
      <c r="E530" s="16" t="s">
        <v>7</v>
      </c>
      <c r="I530" s="17">
        <v>5</v>
      </c>
      <c r="K530" s="18">
        <f t="shared" si="13"/>
        <v>45685</v>
      </c>
      <c r="L530" s="17">
        <v>3</v>
      </c>
      <c r="M530" s="18">
        <f t="shared" si="14"/>
        <v>45689</v>
      </c>
      <c r="Q530" t="s">
        <v>4</v>
      </c>
    </row>
    <row r="531" spans="1:17" x14ac:dyDescent="0.25">
      <c r="A531" s="14">
        <v>2900</v>
      </c>
      <c r="B531" s="19">
        <v>45681</v>
      </c>
      <c r="E531" s="16" t="s">
        <v>7</v>
      </c>
      <c r="I531" s="17">
        <v>5</v>
      </c>
      <c r="K531" s="18">
        <f t="shared" si="13"/>
        <v>45685</v>
      </c>
      <c r="L531" s="17">
        <v>3</v>
      </c>
      <c r="M531" s="18">
        <f t="shared" si="14"/>
        <v>45689</v>
      </c>
      <c r="O531" t="s">
        <v>5</v>
      </c>
    </row>
    <row r="532" spans="1:17" x14ac:dyDescent="0.25">
      <c r="A532" s="14">
        <v>1180</v>
      </c>
      <c r="B532" s="19">
        <v>45682</v>
      </c>
      <c r="E532" s="16" t="s">
        <v>6</v>
      </c>
      <c r="I532" s="17">
        <v>5</v>
      </c>
      <c r="K532" s="18">
        <f t="shared" si="13"/>
        <v>45686</v>
      </c>
      <c r="L532" s="17">
        <v>5</v>
      </c>
      <c r="M532" s="18">
        <f t="shared" si="14"/>
        <v>45692</v>
      </c>
      <c r="N532" t="s">
        <v>3</v>
      </c>
      <c r="O532" t="s">
        <v>5</v>
      </c>
    </row>
    <row r="533" spans="1:17" x14ac:dyDescent="0.25">
      <c r="A533" s="14">
        <v>3512</v>
      </c>
      <c r="B533" s="19">
        <v>45682</v>
      </c>
      <c r="E533" s="16" t="s">
        <v>6</v>
      </c>
      <c r="I533" s="17">
        <v>5</v>
      </c>
      <c r="K533" s="18">
        <f t="shared" si="13"/>
        <v>45686</v>
      </c>
      <c r="L533" s="17">
        <v>5</v>
      </c>
      <c r="M533" s="18">
        <f t="shared" si="14"/>
        <v>45692</v>
      </c>
      <c r="N533" t="s">
        <v>3</v>
      </c>
      <c r="P533" t="s">
        <v>1</v>
      </c>
    </row>
    <row r="534" spans="1:17" x14ac:dyDescent="0.25">
      <c r="A534" s="14">
        <v>3051</v>
      </c>
      <c r="B534" s="19">
        <v>45682</v>
      </c>
      <c r="E534" s="16" t="s">
        <v>6</v>
      </c>
      <c r="I534" s="17">
        <v>5</v>
      </c>
      <c r="K534" s="18">
        <f t="shared" si="13"/>
        <v>45686</v>
      </c>
      <c r="L534" s="17">
        <v>5</v>
      </c>
      <c r="M534" s="18">
        <f t="shared" si="14"/>
        <v>45692</v>
      </c>
      <c r="N534" t="s">
        <v>3</v>
      </c>
      <c r="O534" t="s">
        <v>5</v>
      </c>
    </row>
    <row r="535" spans="1:17" x14ac:dyDescent="0.25">
      <c r="A535" s="14">
        <v>649</v>
      </c>
      <c r="B535" s="19">
        <v>45682</v>
      </c>
      <c r="E535" s="16" t="s">
        <v>7</v>
      </c>
      <c r="I535" s="17">
        <v>5</v>
      </c>
      <c r="K535" s="18">
        <f t="shared" si="13"/>
        <v>45686</v>
      </c>
      <c r="L535" s="17">
        <v>3</v>
      </c>
      <c r="M535" s="18">
        <f t="shared" si="14"/>
        <v>45690</v>
      </c>
      <c r="O535" t="s">
        <v>5</v>
      </c>
    </row>
    <row r="536" spans="1:17" x14ac:dyDescent="0.25">
      <c r="A536" s="14">
        <v>2679</v>
      </c>
      <c r="B536" s="19">
        <v>45683</v>
      </c>
      <c r="E536" s="16" t="s">
        <v>7</v>
      </c>
      <c r="I536" s="17">
        <v>5</v>
      </c>
      <c r="K536" s="18">
        <f t="shared" si="13"/>
        <v>45687</v>
      </c>
      <c r="L536" s="17">
        <v>3</v>
      </c>
      <c r="M536" s="18">
        <f t="shared" si="14"/>
        <v>45691</v>
      </c>
      <c r="O536" t="s">
        <v>5</v>
      </c>
    </row>
    <row r="537" spans="1:17" x14ac:dyDescent="0.25">
      <c r="A537" s="14">
        <v>4303</v>
      </c>
      <c r="B537" s="19">
        <v>45683</v>
      </c>
      <c r="E537" s="16" t="s">
        <v>7</v>
      </c>
      <c r="I537" s="17">
        <v>5</v>
      </c>
      <c r="K537" s="18">
        <f t="shared" si="13"/>
        <v>45687</v>
      </c>
      <c r="L537" s="17">
        <v>3</v>
      </c>
      <c r="M537" s="18">
        <f t="shared" si="14"/>
        <v>45691</v>
      </c>
      <c r="P537" t="s">
        <v>1</v>
      </c>
    </row>
    <row r="538" spans="1:17" x14ac:dyDescent="0.25">
      <c r="A538" s="14">
        <v>3059</v>
      </c>
      <c r="B538" s="19">
        <v>45684</v>
      </c>
      <c r="E538" s="16" t="s">
        <v>7</v>
      </c>
      <c r="I538" s="17">
        <v>5</v>
      </c>
      <c r="J538">
        <v>3</v>
      </c>
      <c r="K538" s="18">
        <f t="shared" si="13"/>
        <v>45688</v>
      </c>
      <c r="L538" s="17">
        <v>3</v>
      </c>
      <c r="M538" s="18">
        <f t="shared" si="14"/>
        <v>45692</v>
      </c>
      <c r="O538" t="s">
        <v>5</v>
      </c>
    </row>
    <row r="539" spans="1:17" x14ac:dyDescent="0.25">
      <c r="A539" s="14">
        <v>1738</v>
      </c>
      <c r="B539" s="19">
        <v>45684</v>
      </c>
      <c r="E539" s="16" t="s">
        <v>7</v>
      </c>
      <c r="I539" s="17">
        <v>5</v>
      </c>
      <c r="K539" s="18">
        <f t="shared" si="13"/>
        <v>45688</v>
      </c>
      <c r="L539" s="17">
        <v>3</v>
      </c>
      <c r="M539" s="18">
        <f t="shared" si="14"/>
        <v>45692</v>
      </c>
      <c r="P539" t="s">
        <v>1</v>
      </c>
    </row>
    <row r="540" spans="1:17" x14ac:dyDescent="0.25">
      <c r="A540" s="14">
        <v>2850</v>
      </c>
      <c r="B540" s="19">
        <v>45685</v>
      </c>
      <c r="E540" s="16" t="s">
        <v>7</v>
      </c>
      <c r="I540" s="17">
        <v>5</v>
      </c>
      <c r="K540" s="18">
        <f t="shared" si="13"/>
        <v>45689</v>
      </c>
      <c r="L540" s="17">
        <v>3</v>
      </c>
      <c r="M540" s="18">
        <f t="shared" si="14"/>
        <v>45693</v>
      </c>
      <c r="O540" t="s">
        <v>5</v>
      </c>
    </row>
    <row r="541" spans="1:17" x14ac:dyDescent="0.25">
      <c r="A541" s="14">
        <v>1749</v>
      </c>
      <c r="B541" s="19">
        <v>45685</v>
      </c>
      <c r="E541" s="16" t="s">
        <v>20</v>
      </c>
      <c r="I541" s="17">
        <v>5</v>
      </c>
      <c r="K541" s="18">
        <f t="shared" si="13"/>
        <v>45689</v>
      </c>
      <c r="L541" s="17">
        <v>9</v>
      </c>
      <c r="M541" s="18">
        <f t="shared" si="14"/>
        <v>45699</v>
      </c>
      <c r="Q541" t="s">
        <v>4</v>
      </c>
    </row>
    <row r="542" spans="1:17" x14ac:dyDescent="0.25">
      <c r="A542" s="14">
        <v>1036</v>
      </c>
      <c r="B542" s="19">
        <v>45685</v>
      </c>
      <c r="E542" s="16" t="s">
        <v>7</v>
      </c>
      <c r="I542" s="17">
        <v>5</v>
      </c>
      <c r="K542" s="18">
        <f t="shared" ref="K542:K796" si="15">B542+I542-1</f>
        <v>45689</v>
      </c>
      <c r="L542" s="17">
        <v>3</v>
      </c>
      <c r="M542" s="18">
        <f t="shared" ref="M542:M573" si="16">K542+L542+1</f>
        <v>45693</v>
      </c>
      <c r="Q542" t="s">
        <v>4</v>
      </c>
    </row>
    <row r="543" spans="1:17" x14ac:dyDescent="0.25">
      <c r="A543" s="14">
        <v>3284</v>
      </c>
      <c r="B543" s="19">
        <v>45686</v>
      </c>
      <c r="E543" s="16" t="s">
        <v>20</v>
      </c>
      <c r="I543" s="17">
        <v>5</v>
      </c>
      <c r="K543" s="18">
        <f t="shared" si="15"/>
        <v>45690</v>
      </c>
      <c r="L543" s="17">
        <v>9</v>
      </c>
      <c r="M543" s="18">
        <f t="shared" si="16"/>
        <v>45700</v>
      </c>
      <c r="O543" t="s">
        <v>5</v>
      </c>
    </row>
    <row r="544" spans="1:17" x14ac:dyDescent="0.25">
      <c r="A544" s="14">
        <v>3745</v>
      </c>
      <c r="B544" s="19">
        <v>45686</v>
      </c>
      <c r="E544" s="16" t="s">
        <v>20</v>
      </c>
      <c r="I544" s="17">
        <v>5</v>
      </c>
      <c r="K544" s="18">
        <f t="shared" si="15"/>
        <v>45690</v>
      </c>
      <c r="L544" s="17">
        <v>9</v>
      </c>
      <c r="M544" s="18">
        <f t="shared" si="16"/>
        <v>45700</v>
      </c>
      <c r="N544" t="s">
        <v>3</v>
      </c>
      <c r="P544" t="s">
        <v>1</v>
      </c>
    </row>
    <row r="545" spans="1:17" x14ac:dyDescent="0.25">
      <c r="A545" s="14">
        <v>578</v>
      </c>
      <c r="B545" s="19">
        <v>45687</v>
      </c>
      <c r="E545" s="16" t="s">
        <v>7</v>
      </c>
      <c r="I545" s="17">
        <v>5</v>
      </c>
      <c r="K545" s="18">
        <f t="shared" si="15"/>
        <v>45691</v>
      </c>
      <c r="L545" s="17">
        <v>3</v>
      </c>
      <c r="M545" s="18">
        <f t="shared" si="16"/>
        <v>45695</v>
      </c>
      <c r="P545" t="s">
        <v>1</v>
      </c>
    </row>
    <row r="546" spans="1:17" x14ac:dyDescent="0.25">
      <c r="A546" s="14">
        <v>4315</v>
      </c>
      <c r="B546" s="19">
        <v>45687</v>
      </c>
      <c r="E546" s="16" t="s">
        <v>7</v>
      </c>
      <c r="I546" s="17">
        <v>5</v>
      </c>
      <c r="K546" s="18">
        <f t="shared" si="15"/>
        <v>45691</v>
      </c>
      <c r="L546" s="17">
        <v>3</v>
      </c>
      <c r="M546" s="18">
        <f t="shared" si="16"/>
        <v>45695</v>
      </c>
      <c r="O546" t="s">
        <v>5</v>
      </c>
    </row>
    <row r="547" spans="1:17" x14ac:dyDescent="0.25">
      <c r="A547" s="14">
        <v>4202</v>
      </c>
      <c r="B547" s="19">
        <v>45687</v>
      </c>
      <c r="E547" s="16" t="s">
        <v>7</v>
      </c>
      <c r="I547" s="17">
        <v>5</v>
      </c>
      <c r="K547" s="18">
        <f t="shared" si="15"/>
        <v>45691</v>
      </c>
      <c r="L547" s="17">
        <v>3</v>
      </c>
      <c r="M547" s="18">
        <f t="shared" si="16"/>
        <v>45695</v>
      </c>
      <c r="N547" t="s">
        <v>3</v>
      </c>
    </row>
    <row r="548" spans="1:17" x14ac:dyDescent="0.25">
      <c r="A548" s="14">
        <v>3724</v>
      </c>
      <c r="B548" s="19">
        <v>45687</v>
      </c>
      <c r="E548" s="16" t="s">
        <v>7</v>
      </c>
      <c r="I548" s="17">
        <v>5</v>
      </c>
      <c r="K548" s="18">
        <f t="shared" si="15"/>
        <v>45691</v>
      </c>
      <c r="L548" s="17">
        <v>3</v>
      </c>
      <c r="M548" s="18">
        <f t="shared" si="16"/>
        <v>45695</v>
      </c>
      <c r="Q548" t="s">
        <v>4</v>
      </c>
    </row>
    <row r="549" spans="1:17" x14ac:dyDescent="0.25">
      <c r="A549" s="14">
        <v>3423</v>
      </c>
      <c r="B549" s="19">
        <v>45688</v>
      </c>
      <c r="E549" s="16" t="s">
        <v>20</v>
      </c>
      <c r="I549" s="17">
        <v>5</v>
      </c>
      <c r="K549" s="18">
        <f t="shared" si="15"/>
        <v>45692</v>
      </c>
      <c r="L549" s="17">
        <v>9</v>
      </c>
      <c r="M549" s="18">
        <f t="shared" si="16"/>
        <v>45702</v>
      </c>
      <c r="P549" t="s">
        <v>1</v>
      </c>
    </row>
    <row r="550" spans="1:17" x14ac:dyDescent="0.25">
      <c r="A550" s="14">
        <v>4333</v>
      </c>
      <c r="B550" s="19">
        <v>45689</v>
      </c>
      <c r="E550" s="16" t="s">
        <v>6</v>
      </c>
      <c r="I550" s="17">
        <v>5</v>
      </c>
      <c r="K550" s="18">
        <f t="shared" si="15"/>
        <v>45693</v>
      </c>
      <c r="L550" s="17">
        <v>3</v>
      </c>
      <c r="M550" s="18">
        <f t="shared" si="16"/>
        <v>45697</v>
      </c>
      <c r="O550" t="s">
        <v>5</v>
      </c>
    </row>
    <row r="551" spans="1:17" x14ac:dyDescent="0.25">
      <c r="A551" s="14">
        <v>3573</v>
      </c>
      <c r="B551" s="19">
        <v>45690</v>
      </c>
      <c r="E551" s="16" t="s">
        <v>7</v>
      </c>
      <c r="I551" s="17">
        <v>5</v>
      </c>
      <c r="K551" s="18">
        <f t="shared" si="15"/>
        <v>45694</v>
      </c>
      <c r="L551" s="17">
        <v>3</v>
      </c>
      <c r="M551" s="18">
        <f t="shared" si="16"/>
        <v>45698</v>
      </c>
      <c r="N551" t="s">
        <v>3</v>
      </c>
    </row>
    <row r="552" spans="1:17" x14ac:dyDescent="0.25">
      <c r="A552" s="14">
        <v>1749</v>
      </c>
      <c r="B552" s="19">
        <v>45690</v>
      </c>
      <c r="E552" s="16" t="s">
        <v>7</v>
      </c>
      <c r="I552" s="17">
        <v>5</v>
      </c>
      <c r="K552" s="18">
        <f t="shared" si="15"/>
        <v>45694</v>
      </c>
      <c r="L552" s="17">
        <v>3</v>
      </c>
      <c r="M552" s="18">
        <f t="shared" si="16"/>
        <v>45698</v>
      </c>
      <c r="O552" t="s">
        <v>5</v>
      </c>
      <c r="Q552" t="s">
        <v>4</v>
      </c>
    </row>
    <row r="553" spans="1:17" x14ac:dyDescent="0.25">
      <c r="A553" s="14">
        <v>2787</v>
      </c>
      <c r="B553" s="19">
        <v>45690</v>
      </c>
      <c r="E553" s="16" t="s">
        <v>7</v>
      </c>
      <c r="I553" s="17">
        <v>5</v>
      </c>
      <c r="K553" s="18">
        <f t="shared" si="15"/>
        <v>45694</v>
      </c>
      <c r="L553" s="17">
        <v>3</v>
      </c>
      <c r="M553" s="18">
        <f t="shared" si="16"/>
        <v>45698</v>
      </c>
      <c r="O553" t="s">
        <v>5</v>
      </c>
    </row>
    <row r="554" spans="1:17" x14ac:dyDescent="0.25">
      <c r="A554" s="14">
        <v>3059</v>
      </c>
      <c r="B554" s="19">
        <v>45690</v>
      </c>
      <c r="E554" s="16" t="s">
        <v>20</v>
      </c>
      <c r="I554" s="17">
        <v>5</v>
      </c>
      <c r="K554" s="18">
        <f t="shared" si="15"/>
        <v>45694</v>
      </c>
      <c r="L554" s="17">
        <v>9</v>
      </c>
      <c r="M554" s="18">
        <f t="shared" si="16"/>
        <v>45704</v>
      </c>
      <c r="O554" t="s">
        <v>5</v>
      </c>
    </row>
    <row r="555" spans="1:17" x14ac:dyDescent="0.25">
      <c r="A555" s="14">
        <v>3520</v>
      </c>
      <c r="B555" s="19">
        <v>45690</v>
      </c>
      <c r="E555" s="16" t="s">
        <v>20</v>
      </c>
      <c r="I555" s="17">
        <v>5</v>
      </c>
      <c r="K555" s="18">
        <f t="shared" si="15"/>
        <v>45694</v>
      </c>
      <c r="L555" s="17">
        <v>9</v>
      </c>
      <c r="M555" s="18">
        <f t="shared" si="16"/>
        <v>45704</v>
      </c>
      <c r="P555" t="s">
        <v>1</v>
      </c>
    </row>
    <row r="556" spans="1:17" x14ac:dyDescent="0.25">
      <c r="A556" s="14">
        <v>3875</v>
      </c>
      <c r="B556" s="19">
        <v>45690</v>
      </c>
      <c r="E556" s="16" t="s">
        <v>7</v>
      </c>
      <c r="I556" s="17">
        <v>5</v>
      </c>
      <c r="K556" s="18">
        <f t="shared" si="15"/>
        <v>45694</v>
      </c>
      <c r="L556" s="17">
        <v>3</v>
      </c>
      <c r="M556" s="18">
        <f t="shared" si="16"/>
        <v>45698</v>
      </c>
      <c r="O556" t="s">
        <v>5</v>
      </c>
    </row>
    <row r="557" spans="1:17" x14ac:dyDescent="0.25">
      <c r="A557" s="14">
        <v>4311</v>
      </c>
      <c r="B557" s="19">
        <v>45690</v>
      </c>
      <c r="E557" s="16" t="s">
        <v>7</v>
      </c>
      <c r="I557" s="17">
        <v>5</v>
      </c>
      <c r="K557" s="18">
        <f t="shared" si="15"/>
        <v>45694</v>
      </c>
      <c r="L557" s="17">
        <v>3</v>
      </c>
      <c r="M557" s="18">
        <f t="shared" si="16"/>
        <v>45698</v>
      </c>
      <c r="N557" t="s">
        <v>3</v>
      </c>
      <c r="P557" t="s">
        <v>1</v>
      </c>
    </row>
    <row r="558" spans="1:17" x14ac:dyDescent="0.25">
      <c r="A558" s="14">
        <v>3901</v>
      </c>
      <c r="B558" s="19">
        <v>45691</v>
      </c>
      <c r="E558" s="16" t="s">
        <v>7</v>
      </c>
      <c r="I558" s="17">
        <v>5</v>
      </c>
      <c r="K558" s="18">
        <f t="shared" si="15"/>
        <v>45695</v>
      </c>
      <c r="L558" s="17">
        <v>3</v>
      </c>
      <c r="M558" s="18">
        <f t="shared" si="16"/>
        <v>45699</v>
      </c>
      <c r="Q558" t="s">
        <v>4</v>
      </c>
    </row>
    <row r="559" spans="1:17" x14ac:dyDescent="0.25">
      <c r="A559" s="14">
        <v>3513</v>
      </c>
      <c r="B559" s="19">
        <v>45692</v>
      </c>
      <c r="E559" s="16" t="s">
        <v>7</v>
      </c>
      <c r="I559" s="17">
        <v>5</v>
      </c>
      <c r="K559" s="18">
        <f t="shared" si="15"/>
        <v>45696</v>
      </c>
      <c r="L559" s="17">
        <v>3</v>
      </c>
      <c r="M559" s="18">
        <f t="shared" si="16"/>
        <v>45700</v>
      </c>
      <c r="N559" t="s">
        <v>3</v>
      </c>
    </row>
    <row r="560" spans="1:17" x14ac:dyDescent="0.25">
      <c r="A560" s="14">
        <v>3063</v>
      </c>
      <c r="B560" s="19">
        <v>45692</v>
      </c>
      <c r="E560" s="16" t="s">
        <v>7</v>
      </c>
      <c r="I560" s="17">
        <v>5</v>
      </c>
      <c r="K560" s="18">
        <f t="shared" si="15"/>
        <v>45696</v>
      </c>
      <c r="L560" s="17">
        <v>3</v>
      </c>
      <c r="M560" s="18">
        <f t="shared" si="16"/>
        <v>45700</v>
      </c>
      <c r="O560" t="s">
        <v>5</v>
      </c>
    </row>
    <row r="561" spans="1:17" x14ac:dyDescent="0.25">
      <c r="A561" s="14">
        <v>1142</v>
      </c>
      <c r="B561" s="19">
        <v>45692</v>
      </c>
      <c r="E561" s="16" t="s">
        <v>7</v>
      </c>
      <c r="I561" s="17">
        <v>5</v>
      </c>
      <c r="K561" s="18">
        <f t="shared" si="15"/>
        <v>45696</v>
      </c>
      <c r="L561" s="17">
        <v>3</v>
      </c>
      <c r="M561" s="18">
        <f t="shared" si="16"/>
        <v>45700</v>
      </c>
      <c r="O561" t="s">
        <v>5</v>
      </c>
    </row>
    <row r="562" spans="1:17" x14ac:dyDescent="0.25">
      <c r="A562" s="14">
        <v>3746</v>
      </c>
      <c r="B562" s="19">
        <v>45692</v>
      </c>
      <c r="E562" s="16" t="s">
        <v>7</v>
      </c>
      <c r="I562" s="17">
        <v>5</v>
      </c>
      <c r="K562" s="18">
        <f t="shared" si="15"/>
        <v>45696</v>
      </c>
      <c r="L562" s="17">
        <v>3</v>
      </c>
      <c r="M562" s="18">
        <f t="shared" si="16"/>
        <v>45700</v>
      </c>
      <c r="Q562" t="s">
        <v>4</v>
      </c>
    </row>
    <row r="563" spans="1:17" x14ac:dyDescent="0.25">
      <c r="A563" s="14">
        <v>3247</v>
      </c>
      <c r="B563" s="19">
        <v>45693</v>
      </c>
      <c r="E563" s="16" t="s">
        <v>7</v>
      </c>
      <c r="I563" s="17">
        <v>5</v>
      </c>
      <c r="K563" s="18">
        <f t="shared" si="15"/>
        <v>45697</v>
      </c>
      <c r="L563" s="17">
        <v>3</v>
      </c>
      <c r="M563" s="18">
        <f t="shared" si="16"/>
        <v>45701</v>
      </c>
      <c r="N563" t="s">
        <v>3</v>
      </c>
    </row>
    <row r="564" spans="1:17" x14ac:dyDescent="0.25">
      <c r="A564" s="14">
        <v>3064</v>
      </c>
      <c r="B564" s="19">
        <v>45693</v>
      </c>
      <c r="E564" s="16" t="s">
        <v>7</v>
      </c>
      <c r="I564" s="17">
        <v>5</v>
      </c>
      <c r="K564" s="18">
        <f t="shared" si="15"/>
        <v>45697</v>
      </c>
      <c r="L564" s="17">
        <v>3</v>
      </c>
      <c r="M564" s="18">
        <f t="shared" si="16"/>
        <v>45701</v>
      </c>
      <c r="N564" t="s">
        <v>3</v>
      </c>
      <c r="Q564" t="s">
        <v>4</v>
      </c>
    </row>
    <row r="565" spans="1:17" x14ac:dyDescent="0.25">
      <c r="A565" s="14">
        <v>4478</v>
      </c>
      <c r="B565" s="19">
        <v>45693</v>
      </c>
      <c r="E565" s="16" t="s">
        <v>7</v>
      </c>
      <c r="I565" s="17">
        <v>5</v>
      </c>
      <c r="K565" s="18">
        <f t="shared" si="15"/>
        <v>45697</v>
      </c>
      <c r="L565" s="17">
        <v>3</v>
      </c>
      <c r="M565" s="18">
        <f t="shared" si="16"/>
        <v>45701</v>
      </c>
      <c r="Q565" t="s">
        <v>4</v>
      </c>
    </row>
    <row r="566" spans="1:17" x14ac:dyDescent="0.25">
      <c r="A566" s="14">
        <v>4202</v>
      </c>
      <c r="B566" s="19">
        <v>45696</v>
      </c>
      <c r="E566" s="16" t="s">
        <v>6</v>
      </c>
      <c r="I566" s="17">
        <v>5</v>
      </c>
      <c r="K566" s="18">
        <f t="shared" si="15"/>
        <v>45700</v>
      </c>
      <c r="L566" s="17">
        <v>5</v>
      </c>
      <c r="M566" s="18">
        <f t="shared" si="16"/>
        <v>45706</v>
      </c>
      <c r="N566" t="s">
        <v>3</v>
      </c>
    </row>
    <row r="567" spans="1:17" x14ac:dyDescent="0.25">
      <c r="A567" s="14">
        <v>3901</v>
      </c>
      <c r="B567" s="19">
        <v>45696</v>
      </c>
      <c r="E567" s="16" t="s">
        <v>20</v>
      </c>
      <c r="I567" s="17">
        <v>5</v>
      </c>
      <c r="K567" s="18">
        <f t="shared" si="15"/>
        <v>45700</v>
      </c>
      <c r="L567" s="17">
        <v>9</v>
      </c>
      <c r="M567" s="18">
        <f t="shared" si="16"/>
        <v>45710</v>
      </c>
      <c r="P567" t="s">
        <v>1</v>
      </c>
    </row>
    <row r="568" spans="1:17" x14ac:dyDescent="0.25">
      <c r="A568" s="14">
        <v>3745</v>
      </c>
      <c r="B568" s="19">
        <v>45696</v>
      </c>
      <c r="E568" s="16" t="s">
        <v>20</v>
      </c>
      <c r="I568" s="17">
        <v>5</v>
      </c>
      <c r="K568" s="18">
        <f t="shared" si="15"/>
        <v>45700</v>
      </c>
      <c r="L568" s="17">
        <v>9</v>
      </c>
      <c r="M568" s="18">
        <f t="shared" si="16"/>
        <v>45710</v>
      </c>
      <c r="P568" t="s">
        <v>1</v>
      </c>
    </row>
    <row r="569" spans="1:17" x14ac:dyDescent="0.25">
      <c r="A569" s="14">
        <v>3746</v>
      </c>
      <c r="B569" s="19">
        <v>45696</v>
      </c>
      <c r="E569" s="16" t="s">
        <v>20</v>
      </c>
      <c r="I569" s="17">
        <v>5</v>
      </c>
      <c r="K569" s="18">
        <f t="shared" si="15"/>
        <v>45700</v>
      </c>
      <c r="L569" s="17">
        <v>9</v>
      </c>
      <c r="M569" s="18">
        <f t="shared" si="16"/>
        <v>45710</v>
      </c>
      <c r="O569" t="s">
        <v>5</v>
      </c>
      <c r="Q569" t="s">
        <v>4</v>
      </c>
    </row>
    <row r="570" spans="1:17" x14ac:dyDescent="0.25">
      <c r="A570" s="14">
        <v>3059</v>
      </c>
      <c r="B570" s="19">
        <v>45696</v>
      </c>
      <c r="E570" s="16" t="s">
        <v>6</v>
      </c>
      <c r="I570" s="17">
        <v>5</v>
      </c>
      <c r="K570" s="18">
        <f t="shared" si="15"/>
        <v>45700</v>
      </c>
      <c r="L570" s="17">
        <v>5</v>
      </c>
      <c r="M570" s="18">
        <f t="shared" si="16"/>
        <v>45706</v>
      </c>
      <c r="O570" t="s">
        <v>5</v>
      </c>
    </row>
    <row r="571" spans="1:17" x14ac:dyDescent="0.25">
      <c r="A571" s="14">
        <v>850</v>
      </c>
      <c r="B571" s="19">
        <v>45696</v>
      </c>
      <c r="E571" s="16" t="s">
        <v>7</v>
      </c>
      <c r="I571" s="17">
        <v>5</v>
      </c>
      <c r="K571" s="18">
        <f t="shared" si="15"/>
        <v>45700</v>
      </c>
      <c r="L571" s="17">
        <v>3</v>
      </c>
      <c r="M571" s="18">
        <f t="shared" si="16"/>
        <v>45704</v>
      </c>
      <c r="Q571" t="s">
        <v>4</v>
      </c>
    </row>
    <row r="572" spans="1:17" x14ac:dyDescent="0.25">
      <c r="A572" s="14">
        <v>3316</v>
      </c>
      <c r="B572" s="19">
        <v>45696</v>
      </c>
      <c r="E572" s="16" t="s">
        <v>7</v>
      </c>
      <c r="I572" s="17">
        <v>5</v>
      </c>
      <c r="K572" s="18">
        <f t="shared" si="15"/>
        <v>45700</v>
      </c>
      <c r="L572" s="17">
        <v>3</v>
      </c>
      <c r="M572" s="18">
        <f t="shared" si="16"/>
        <v>45704</v>
      </c>
      <c r="P572" t="s">
        <v>1</v>
      </c>
    </row>
    <row r="573" spans="1:17" x14ac:dyDescent="0.25">
      <c r="A573" s="14">
        <v>3511</v>
      </c>
      <c r="B573" s="19">
        <v>45697</v>
      </c>
      <c r="E573" s="16" t="s">
        <v>7</v>
      </c>
      <c r="I573" s="17">
        <v>5</v>
      </c>
      <c r="K573" s="18">
        <f t="shared" si="15"/>
        <v>45701</v>
      </c>
      <c r="L573" s="17">
        <v>3</v>
      </c>
      <c r="M573" s="18">
        <f t="shared" si="16"/>
        <v>45705</v>
      </c>
      <c r="O573" t="s">
        <v>5</v>
      </c>
    </row>
    <row r="574" spans="1:17" x14ac:dyDescent="0.25">
      <c r="A574" s="14">
        <v>2787</v>
      </c>
      <c r="B574" s="19">
        <v>45699</v>
      </c>
      <c r="E574" s="16" t="s">
        <v>6</v>
      </c>
      <c r="I574" s="17">
        <v>5</v>
      </c>
      <c r="K574" s="18">
        <f t="shared" si="15"/>
        <v>45703</v>
      </c>
      <c r="L574" s="17">
        <v>3</v>
      </c>
      <c r="M574" s="18">
        <f t="shared" ref="M574:M624" si="17">K574+L574+1</f>
        <v>45707</v>
      </c>
      <c r="O574" t="s">
        <v>5</v>
      </c>
    </row>
    <row r="575" spans="1:17" x14ac:dyDescent="0.25">
      <c r="A575" s="14">
        <v>3051</v>
      </c>
      <c r="B575" s="19">
        <v>45701</v>
      </c>
      <c r="E575" s="16" t="s">
        <v>20</v>
      </c>
      <c r="I575" s="17">
        <v>5</v>
      </c>
      <c r="K575" s="18">
        <f t="shared" si="15"/>
        <v>45705</v>
      </c>
      <c r="L575" s="17">
        <v>9</v>
      </c>
      <c r="M575" s="18">
        <f t="shared" si="17"/>
        <v>45715</v>
      </c>
      <c r="P575" t="s">
        <v>1</v>
      </c>
      <c r="Q575" t="s">
        <v>4</v>
      </c>
    </row>
    <row r="576" spans="1:17" x14ac:dyDescent="0.25">
      <c r="A576" s="14">
        <v>3629</v>
      </c>
      <c r="B576" s="19">
        <v>45701</v>
      </c>
      <c r="E576" s="16" t="s">
        <v>20</v>
      </c>
      <c r="I576" s="17">
        <v>5</v>
      </c>
      <c r="K576" s="18">
        <f t="shared" si="15"/>
        <v>45705</v>
      </c>
      <c r="L576" s="17">
        <v>9</v>
      </c>
      <c r="M576" s="18">
        <f t="shared" si="17"/>
        <v>45715</v>
      </c>
      <c r="O576" t="s">
        <v>5</v>
      </c>
    </row>
    <row r="577" spans="1:17" x14ac:dyDescent="0.25">
      <c r="A577" s="14">
        <v>5044</v>
      </c>
      <c r="B577" s="19">
        <v>45701</v>
      </c>
      <c r="E577" s="16" t="s">
        <v>7</v>
      </c>
      <c r="I577" s="17">
        <v>5</v>
      </c>
      <c r="K577" s="18">
        <f t="shared" si="15"/>
        <v>45705</v>
      </c>
      <c r="L577" s="17">
        <v>3</v>
      </c>
      <c r="M577" s="18">
        <f t="shared" si="17"/>
        <v>45709</v>
      </c>
      <c r="O577" t="s">
        <v>5</v>
      </c>
    </row>
    <row r="578" spans="1:17" x14ac:dyDescent="0.25">
      <c r="A578" s="14">
        <v>4326</v>
      </c>
      <c r="B578" s="19">
        <v>45703</v>
      </c>
      <c r="E578" s="16" t="s">
        <v>7</v>
      </c>
      <c r="I578" s="17">
        <v>5</v>
      </c>
      <c r="K578" s="18">
        <f t="shared" si="15"/>
        <v>45707</v>
      </c>
      <c r="L578" s="17">
        <v>3</v>
      </c>
      <c r="M578" s="18">
        <f t="shared" si="17"/>
        <v>45711</v>
      </c>
      <c r="Q578" t="s">
        <v>4</v>
      </c>
    </row>
    <row r="579" spans="1:17" x14ac:dyDescent="0.25">
      <c r="A579" s="14">
        <v>4303</v>
      </c>
      <c r="B579" s="15">
        <v>45703</v>
      </c>
      <c r="E579" s="16" t="s">
        <v>7</v>
      </c>
      <c r="I579" s="17">
        <v>5</v>
      </c>
      <c r="K579" s="18">
        <f t="shared" si="15"/>
        <v>45707</v>
      </c>
      <c r="L579" s="17">
        <v>3</v>
      </c>
      <c r="M579" s="18">
        <f t="shared" si="17"/>
        <v>45711</v>
      </c>
      <c r="P579" t="s">
        <v>1</v>
      </c>
    </row>
    <row r="580" spans="1:17" x14ac:dyDescent="0.25">
      <c r="A580" s="14">
        <v>4089</v>
      </c>
      <c r="B580" s="19">
        <v>45703</v>
      </c>
      <c r="E580" s="16" t="s">
        <v>7</v>
      </c>
      <c r="I580" s="17">
        <v>5</v>
      </c>
      <c r="K580" s="18">
        <f t="shared" si="15"/>
        <v>45707</v>
      </c>
      <c r="L580" s="17">
        <v>3</v>
      </c>
      <c r="M580" s="18">
        <f t="shared" si="17"/>
        <v>45711</v>
      </c>
      <c r="N580" t="s">
        <v>3</v>
      </c>
    </row>
    <row r="581" spans="1:17" x14ac:dyDescent="0.25">
      <c r="A581" s="14">
        <v>3562</v>
      </c>
      <c r="B581" s="19">
        <v>45704</v>
      </c>
      <c r="E581" s="16" t="s">
        <v>7</v>
      </c>
      <c r="I581" s="17">
        <v>5</v>
      </c>
      <c r="K581" s="18">
        <f t="shared" si="15"/>
        <v>45708</v>
      </c>
      <c r="L581" s="17">
        <v>3</v>
      </c>
      <c r="M581" s="18">
        <f t="shared" si="17"/>
        <v>45712</v>
      </c>
      <c r="P581" t="s">
        <v>1</v>
      </c>
    </row>
    <row r="582" spans="1:17" x14ac:dyDescent="0.25">
      <c r="A582" s="14">
        <v>2996</v>
      </c>
      <c r="B582" s="19">
        <v>45705</v>
      </c>
      <c r="E582" s="16" t="s">
        <v>7</v>
      </c>
      <c r="I582" s="17">
        <v>5</v>
      </c>
      <c r="K582" s="18">
        <f t="shared" si="15"/>
        <v>45709</v>
      </c>
      <c r="L582" s="17">
        <v>3</v>
      </c>
      <c r="M582" s="18">
        <f t="shared" si="17"/>
        <v>45713</v>
      </c>
      <c r="O582" t="s">
        <v>5</v>
      </c>
    </row>
    <row r="583" spans="1:17" x14ac:dyDescent="0.25">
      <c r="A583" s="14">
        <v>3646</v>
      </c>
      <c r="B583" s="19">
        <v>45705</v>
      </c>
      <c r="E583" s="16" t="s">
        <v>7</v>
      </c>
      <c r="I583" s="17">
        <v>5</v>
      </c>
      <c r="K583" s="18">
        <f t="shared" si="15"/>
        <v>45709</v>
      </c>
      <c r="L583" s="17">
        <v>3</v>
      </c>
      <c r="M583" s="18">
        <f t="shared" si="17"/>
        <v>45713</v>
      </c>
      <c r="O583" t="s">
        <v>5</v>
      </c>
    </row>
    <row r="584" spans="1:17" x14ac:dyDescent="0.25">
      <c r="A584" s="14">
        <v>3562</v>
      </c>
      <c r="B584" s="19">
        <v>45706</v>
      </c>
      <c r="E584" s="16" t="s">
        <v>20</v>
      </c>
      <c r="I584" s="17">
        <v>5</v>
      </c>
      <c r="K584" s="18">
        <f t="shared" si="15"/>
        <v>45710</v>
      </c>
      <c r="L584" s="17">
        <v>9</v>
      </c>
      <c r="M584" s="18">
        <f t="shared" si="17"/>
        <v>45720</v>
      </c>
    </row>
    <row r="585" spans="1:17" x14ac:dyDescent="0.25">
      <c r="A585" s="14">
        <v>3130</v>
      </c>
      <c r="B585" s="19">
        <v>45706</v>
      </c>
      <c r="E585" s="16" t="s">
        <v>7</v>
      </c>
      <c r="I585" s="17">
        <v>5</v>
      </c>
      <c r="K585" s="18">
        <f t="shared" si="15"/>
        <v>45710</v>
      </c>
      <c r="L585" s="17">
        <v>3</v>
      </c>
      <c r="M585" s="18">
        <f t="shared" si="17"/>
        <v>45714</v>
      </c>
      <c r="O585" t="s">
        <v>5</v>
      </c>
    </row>
    <row r="586" spans="1:17" x14ac:dyDescent="0.25">
      <c r="A586" s="14">
        <v>2821</v>
      </c>
      <c r="B586" s="19">
        <v>45708</v>
      </c>
      <c r="E586" s="16" t="s">
        <v>7</v>
      </c>
      <c r="I586" s="17">
        <v>5</v>
      </c>
      <c r="K586" s="18">
        <f t="shared" si="15"/>
        <v>45712</v>
      </c>
      <c r="L586" s="17">
        <v>3</v>
      </c>
      <c r="M586" s="18">
        <f t="shared" si="17"/>
        <v>45716</v>
      </c>
      <c r="O586" t="s">
        <v>5</v>
      </c>
    </row>
    <row r="587" spans="1:17" x14ac:dyDescent="0.25">
      <c r="A587" s="14">
        <v>3289</v>
      </c>
      <c r="B587" s="19">
        <v>45708</v>
      </c>
      <c r="E587" s="16" t="s">
        <v>7</v>
      </c>
      <c r="I587" s="17">
        <v>5</v>
      </c>
      <c r="K587" s="18">
        <f t="shared" si="15"/>
        <v>45712</v>
      </c>
      <c r="L587" s="17">
        <v>3</v>
      </c>
      <c r="M587" s="18">
        <f t="shared" si="17"/>
        <v>45716</v>
      </c>
      <c r="N587" t="s">
        <v>3</v>
      </c>
      <c r="O587" t="s">
        <v>5</v>
      </c>
    </row>
    <row r="588" spans="1:17" x14ac:dyDescent="0.25">
      <c r="A588" s="14">
        <v>3853</v>
      </c>
      <c r="B588" s="19">
        <v>45709</v>
      </c>
      <c r="E588" s="16" t="s">
        <v>20</v>
      </c>
      <c r="I588" s="17">
        <v>5</v>
      </c>
      <c r="K588" s="18">
        <f t="shared" si="15"/>
        <v>45713</v>
      </c>
      <c r="L588" s="17">
        <v>9</v>
      </c>
      <c r="M588" s="18">
        <f t="shared" si="17"/>
        <v>45723</v>
      </c>
      <c r="N588" t="s">
        <v>3</v>
      </c>
    </row>
    <row r="589" spans="1:17" x14ac:dyDescent="0.25">
      <c r="A589" s="14">
        <v>4326</v>
      </c>
      <c r="B589" s="19">
        <v>45709</v>
      </c>
      <c r="E589" s="16" t="s">
        <v>20</v>
      </c>
      <c r="I589" s="17">
        <v>5</v>
      </c>
      <c r="K589" s="18">
        <f t="shared" si="15"/>
        <v>45713</v>
      </c>
      <c r="L589" s="17">
        <v>9</v>
      </c>
      <c r="M589" s="18">
        <f t="shared" si="17"/>
        <v>45723</v>
      </c>
      <c r="Q589" t="s">
        <v>4</v>
      </c>
    </row>
    <row r="590" spans="1:17" x14ac:dyDescent="0.25">
      <c r="A590" s="14">
        <v>2996</v>
      </c>
      <c r="B590" s="19">
        <v>45709</v>
      </c>
      <c r="E590" s="16" t="s">
        <v>6</v>
      </c>
      <c r="I590" s="17">
        <v>5</v>
      </c>
      <c r="K590" s="18">
        <f t="shared" si="15"/>
        <v>45713</v>
      </c>
      <c r="L590" s="17">
        <v>5</v>
      </c>
      <c r="M590" s="18">
        <f t="shared" si="17"/>
        <v>45719</v>
      </c>
      <c r="O590" t="s">
        <v>5</v>
      </c>
    </row>
    <row r="591" spans="1:17" x14ac:dyDescent="0.25">
      <c r="A591" s="14">
        <v>4191</v>
      </c>
      <c r="B591" s="19">
        <v>45709</v>
      </c>
      <c r="E591" s="16" t="s">
        <v>6</v>
      </c>
      <c r="I591" s="17">
        <v>5</v>
      </c>
      <c r="K591" s="18">
        <f t="shared" si="15"/>
        <v>45713</v>
      </c>
      <c r="L591" s="17">
        <v>5</v>
      </c>
      <c r="M591" s="18">
        <f t="shared" si="17"/>
        <v>45719</v>
      </c>
      <c r="N591" t="s">
        <v>3</v>
      </c>
    </row>
    <row r="592" spans="1:17" x14ac:dyDescent="0.25">
      <c r="A592" s="14">
        <v>3553</v>
      </c>
      <c r="B592" s="19">
        <v>45709</v>
      </c>
      <c r="E592" s="16" t="s">
        <v>7</v>
      </c>
      <c r="I592" s="17">
        <v>5</v>
      </c>
      <c r="K592" s="18">
        <f t="shared" si="15"/>
        <v>45713</v>
      </c>
      <c r="L592" s="17">
        <v>3</v>
      </c>
      <c r="M592" s="18">
        <f t="shared" si="17"/>
        <v>45717</v>
      </c>
      <c r="P592" t="s">
        <v>1</v>
      </c>
    </row>
    <row r="593" spans="1:17" x14ac:dyDescent="0.25">
      <c r="A593" s="14">
        <v>2688</v>
      </c>
      <c r="B593" s="19">
        <v>45709</v>
      </c>
      <c r="E593" s="16" t="s">
        <v>7</v>
      </c>
      <c r="I593" s="17">
        <v>5</v>
      </c>
      <c r="K593" s="18">
        <f t="shared" si="15"/>
        <v>45713</v>
      </c>
      <c r="L593" s="17">
        <v>3</v>
      </c>
      <c r="M593" s="18">
        <f t="shared" si="17"/>
        <v>45717</v>
      </c>
      <c r="P593" t="s">
        <v>1</v>
      </c>
    </row>
    <row r="594" spans="1:17" x14ac:dyDescent="0.25">
      <c r="A594" s="14">
        <v>3595</v>
      </c>
      <c r="B594" s="19">
        <v>45709</v>
      </c>
      <c r="E594" s="16" t="s">
        <v>7</v>
      </c>
      <c r="I594" s="17">
        <v>5</v>
      </c>
      <c r="K594" s="18">
        <f t="shared" si="15"/>
        <v>45713</v>
      </c>
      <c r="L594" s="17">
        <v>3</v>
      </c>
      <c r="M594" s="18">
        <f t="shared" si="17"/>
        <v>45717</v>
      </c>
      <c r="P594" t="s">
        <v>1</v>
      </c>
    </row>
    <row r="595" spans="1:17" x14ac:dyDescent="0.25">
      <c r="A595" s="14">
        <v>3470</v>
      </c>
      <c r="B595" s="19">
        <v>45709</v>
      </c>
      <c r="E595" s="16" t="s">
        <v>7</v>
      </c>
      <c r="I595" s="17">
        <v>5</v>
      </c>
      <c r="K595" s="18">
        <f t="shared" si="15"/>
        <v>45713</v>
      </c>
      <c r="L595" s="17">
        <v>3</v>
      </c>
      <c r="M595" s="18">
        <f t="shared" si="17"/>
        <v>45717</v>
      </c>
      <c r="N595" t="s">
        <v>3</v>
      </c>
      <c r="P595" t="s">
        <v>1</v>
      </c>
    </row>
    <row r="596" spans="1:17" x14ac:dyDescent="0.25">
      <c r="A596" s="14">
        <v>3051</v>
      </c>
      <c r="B596" s="19">
        <v>45709</v>
      </c>
      <c r="E596" s="16" t="s">
        <v>20</v>
      </c>
      <c r="I596" s="17">
        <v>5</v>
      </c>
      <c r="K596" s="18">
        <f t="shared" si="15"/>
        <v>45713</v>
      </c>
      <c r="L596" s="17">
        <v>9</v>
      </c>
      <c r="M596" s="18">
        <f t="shared" si="17"/>
        <v>45723</v>
      </c>
      <c r="P596" t="s">
        <v>1</v>
      </c>
    </row>
    <row r="597" spans="1:17" x14ac:dyDescent="0.25">
      <c r="A597" s="14">
        <v>3897</v>
      </c>
      <c r="B597" s="19">
        <v>45709</v>
      </c>
      <c r="E597" s="16" t="s">
        <v>7</v>
      </c>
      <c r="I597" s="17">
        <v>5</v>
      </c>
      <c r="K597" s="18">
        <f t="shared" si="15"/>
        <v>45713</v>
      </c>
      <c r="L597" s="17">
        <v>3</v>
      </c>
      <c r="M597" s="18">
        <f t="shared" si="17"/>
        <v>45717</v>
      </c>
      <c r="Q597" t="s">
        <v>4</v>
      </c>
    </row>
    <row r="598" spans="1:17" x14ac:dyDescent="0.25">
      <c r="A598" s="14">
        <v>2599</v>
      </c>
      <c r="B598" s="19">
        <v>45709</v>
      </c>
      <c r="E598" s="16" t="s">
        <v>7</v>
      </c>
      <c r="I598" s="17">
        <v>5</v>
      </c>
      <c r="K598" s="18">
        <f t="shared" si="15"/>
        <v>45713</v>
      </c>
      <c r="L598" s="17">
        <v>3</v>
      </c>
      <c r="M598" s="18">
        <f t="shared" si="17"/>
        <v>45717</v>
      </c>
      <c r="N598" t="s">
        <v>3</v>
      </c>
    </row>
    <row r="599" spans="1:17" x14ac:dyDescent="0.25">
      <c r="A599" s="14">
        <v>2763</v>
      </c>
      <c r="B599" s="19">
        <v>45709</v>
      </c>
      <c r="E599" s="16" t="s">
        <v>7</v>
      </c>
      <c r="I599" s="17">
        <v>5</v>
      </c>
      <c r="K599" s="18">
        <f t="shared" si="15"/>
        <v>45713</v>
      </c>
      <c r="L599" s="17">
        <v>3</v>
      </c>
      <c r="M599" s="18">
        <f t="shared" si="17"/>
        <v>45717</v>
      </c>
      <c r="Q599" t="s">
        <v>4</v>
      </c>
    </row>
    <row r="600" spans="1:17" x14ac:dyDescent="0.25">
      <c r="A600" s="14">
        <v>2618</v>
      </c>
      <c r="B600" s="19">
        <v>45711</v>
      </c>
      <c r="E600" s="16" t="s">
        <v>7</v>
      </c>
      <c r="I600" s="17">
        <v>5</v>
      </c>
      <c r="K600" s="18">
        <f t="shared" si="15"/>
        <v>45715</v>
      </c>
      <c r="L600" s="17">
        <v>3</v>
      </c>
      <c r="M600" s="18">
        <f t="shared" si="17"/>
        <v>45719</v>
      </c>
      <c r="N600" t="s">
        <v>3</v>
      </c>
    </row>
    <row r="601" spans="1:17" x14ac:dyDescent="0.25">
      <c r="A601" s="14">
        <v>2521</v>
      </c>
      <c r="B601" s="19">
        <v>45712</v>
      </c>
      <c r="E601" s="16" t="s">
        <v>7</v>
      </c>
      <c r="I601" s="17">
        <v>5</v>
      </c>
      <c r="K601" s="18">
        <f t="shared" si="15"/>
        <v>45716</v>
      </c>
      <c r="L601" s="17">
        <v>3</v>
      </c>
      <c r="M601" s="18">
        <f t="shared" si="17"/>
        <v>45720</v>
      </c>
      <c r="Q601" t="s">
        <v>4</v>
      </c>
    </row>
    <row r="602" spans="1:17" x14ac:dyDescent="0.25">
      <c r="A602" s="14">
        <v>3479</v>
      </c>
      <c r="B602" s="19">
        <v>45714</v>
      </c>
      <c r="E602" s="16" t="s">
        <v>7</v>
      </c>
      <c r="I602" s="17">
        <v>5</v>
      </c>
      <c r="K602" s="18">
        <f t="shared" si="15"/>
        <v>45718</v>
      </c>
      <c r="L602" s="17">
        <v>3</v>
      </c>
      <c r="M602" s="18">
        <f t="shared" si="17"/>
        <v>45722</v>
      </c>
      <c r="N602" t="s">
        <v>3</v>
      </c>
    </row>
    <row r="603" spans="1:17" x14ac:dyDescent="0.25">
      <c r="A603" s="14">
        <v>3227</v>
      </c>
      <c r="B603" s="19">
        <v>45715</v>
      </c>
      <c r="E603" s="16" t="s">
        <v>7</v>
      </c>
      <c r="I603" s="17">
        <v>5</v>
      </c>
      <c r="K603" s="18">
        <f t="shared" si="15"/>
        <v>45719</v>
      </c>
      <c r="L603" s="17">
        <v>3</v>
      </c>
      <c r="M603" s="18">
        <f t="shared" si="17"/>
        <v>45723</v>
      </c>
      <c r="N603" t="s">
        <v>3</v>
      </c>
    </row>
    <row r="604" spans="1:17" x14ac:dyDescent="0.25">
      <c r="A604" s="14">
        <v>3110</v>
      </c>
      <c r="B604" s="19">
        <v>45713</v>
      </c>
      <c r="E604" s="16" t="s">
        <v>7</v>
      </c>
      <c r="I604" s="17">
        <v>5</v>
      </c>
      <c r="K604" s="18">
        <f t="shared" si="15"/>
        <v>45717</v>
      </c>
      <c r="L604" s="17">
        <v>3</v>
      </c>
      <c r="M604" s="18">
        <f t="shared" si="17"/>
        <v>45721</v>
      </c>
      <c r="N604" t="s">
        <v>3</v>
      </c>
    </row>
    <row r="605" spans="1:17" x14ac:dyDescent="0.25">
      <c r="A605" s="14">
        <v>2748</v>
      </c>
      <c r="B605" s="19">
        <v>45715</v>
      </c>
      <c r="E605" s="16" t="s">
        <v>7</v>
      </c>
      <c r="I605" s="17">
        <v>5</v>
      </c>
      <c r="K605" s="18">
        <f t="shared" si="15"/>
        <v>45719</v>
      </c>
      <c r="L605" s="17">
        <v>3</v>
      </c>
      <c r="M605" s="18">
        <f t="shared" si="17"/>
        <v>45723</v>
      </c>
      <c r="O605" t="s">
        <v>5</v>
      </c>
    </row>
    <row r="606" spans="1:17" x14ac:dyDescent="0.25">
      <c r="A606" s="14">
        <v>3063</v>
      </c>
      <c r="B606" s="19">
        <v>45715</v>
      </c>
      <c r="E606" s="16" t="s">
        <v>7</v>
      </c>
      <c r="I606" s="17">
        <v>5</v>
      </c>
      <c r="K606" s="18">
        <f t="shared" si="15"/>
        <v>45719</v>
      </c>
      <c r="L606" s="17">
        <v>3</v>
      </c>
      <c r="M606" s="18">
        <f t="shared" si="17"/>
        <v>45723</v>
      </c>
      <c r="O606" t="s">
        <v>5</v>
      </c>
    </row>
    <row r="607" spans="1:17" x14ac:dyDescent="0.25">
      <c r="A607" s="14">
        <v>4191</v>
      </c>
      <c r="B607" s="19">
        <v>45715</v>
      </c>
      <c r="E607" s="16" t="s">
        <v>7</v>
      </c>
      <c r="I607" s="17">
        <v>5</v>
      </c>
      <c r="K607" s="18">
        <f t="shared" si="15"/>
        <v>45719</v>
      </c>
      <c r="L607" s="17">
        <v>3</v>
      </c>
      <c r="M607" s="18">
        <f t="shared" si="17"/>
        <v>45723</v>
      </c>
      <c r="N607" t="s">
        <v>3</v>
      </c>
      <c r="P607" t="s">
        <v>1</v>
      </c>
    </row>
    <row r="608" spans="1:17" x14ac:dyDescent="0.25">
      <c r="A608" s="14">
        <v>3768</v>
      </c>
      <c r="B608" s="19">
        <v>45716</v>
      </c>
      <c r="E608" s="16" t="s">
        <v>7</v>
      </c>
      <c r="I608" s="17">
        <v>5</v>
      </c>
      <c r="K608" s="18">
        <f t="shared" si="15"/>
        <v>45720</v>
      </c>
      <c r="L608" s="17">
        <v>3</v>
      </c>
      <c r="M608" s="18">
        <f t="shared" si="17"/>
        <v>45724</v>
      </c>
      <c r="N608" t="s">
        <v>3</v>
      </c>
    </row>
    <row r="609" spans="1:17" x14ac:dyDescent="0.25">
      <c r="A609" s="14">
        <v>3680</v>
      </c>
      <c r="B609" s="19">
        <v>45716</v>
      </c>
      <c r="E609" s="16" t="s">
        <v>7</v>
      </c>
      <c r="I609" s="17">
        <v>5</v>
      </c>
      <c r="K609" s="18">
        <f t="shared" si="15"/>
        <v>45720</v>
      </c>
      <c r="L609" s="17">
        <v>3</v>
      </c>
      <c r="M609" s="18">
        <f t="shared" si="17"/>
        <v>45724</v>
      </c>
      <c r="O609" t="s">
        <v>5</v>
      </c>
    </row>
    <row r="610" spans="1:17" x14ac:dyDescent="0.25">
      <c r="A610" s="14">
        <v>3235</v>
      </c>
      <c r="B610" s="19">
        <v>45718</v>
      </c>
      <c r="E610" s="16" t="s">
        <v>7</v>
      </c>
      <c r="I610" s="17">
        <v>5</v>
      </c>
      <c r="K610" s="18">
        <f t="shared" si="15"/>
        <v>45722</v>
      </c>
      <c r="L610" s="17">
        <v>3</v>
      </c>
      <c r="M610" s="18">
        <f t="shared" si="17"/>
        <v>45726</v>
      </c>
      <c r="N610" t="s">
        <v>3</v>
      </c>
      <c r="O610" t="s">
        <v>5</v>
      </c>
    </row>
    <row r="611" spans="1:17" x14ac:dyDescent="0.25">
      <c r="A611" s="14">
        <v>3020</v>
      </c>
      <c r="B611" s="19">
        <v>45719</v>
      </c>
      <c r="E611" s="16" t="s">
        <v>7</v>
      </c>
      <c r="I611" s="17">
        <v>5</v>
      </c>
      <c r="K611" s="18">
        <f t="shared" si="15"/>
        <v>45723</v>
      </c>
      <c r="L611" s="17">
        <v>3</v>
      </c>
      <c r="M611" s="18">
        <f t="shared" si="17"/>
        <v>45727</v>
      </c>
      <c r="P611" t="s">
        <v>1</v>
      </c>
    </row>
    <row r="612" spans="1:17" x14ac:dyDescent="0.25">
      <c r="A612" s="14">
        <v>2279</v>
      </c>
      <c r="B612" s="19">
        <v>45719</v>
      </c>
      <c r="E612" s="16" t="s">
        <v>7</v>
      </c>
      <c r="I612" s="17">
        <v>5</v>
      </c>
      <c r="K612" s="18">
        <f t="shared" si="15"/>
        <v>45723</v>
      </c>
      <c r="L612" s="17">
        <v>3</v>
      </c>
      <c r="M612" s="18">
        <f t="shared" si="17"/>
        <v>45727</v>
      </c>
      <c r="O612" t="s">
        <v>5</v>
      </c>
      <c r="P612" t="s">
        <v>1</v>
      </c>
    </row>
    <row r="613" spans="1:17" x14ac:dyDescent="0.25">
      <c r="A613" s="14">
        <v>3845</v>
      </c>
      <c r="B613" s="19">
        <v>45720</v>
      </c>
      <c r="E613" s="16" t="s">
        <v>7</v>
      </c>
      <c r="I613" s="17">
        <v>5</v>
      </c>
      <c r="K613" s="18">
        <f t="shared" si="15"/>
        <v>45724</v>
      </c>
      <c r="L613" s="17">
        <v>3</v>
      </c>
      <c r="M613" s="18">
        <f t="shared" si="17"/>
        <v>45728</v>
      </c>
      <c r="N613" t="s">
        <v>3</v>
      </c>
      <c r="P613" t="s">
        <v>1</v>
      </c>
    </row>
    <row r="614" spans="1:17" x14ac:dyDescent="0.25">
      <c r="A614" s="14">
        <v>861</v>
      </c>
      <c r="B614" s="19">
        <v>45720</v>
      </c>
      <c r="E614" s="16" t="s">
        <v>7</v>
      </c>
      <c r="I614" s="17">
        <v>5</v>
      </c>
      <c r="K614" s="18">
        <f t="shared" si="15"/>
        <v>45724</v>
      </c>
      <c r="L614" s="17">
        <v>3</v>
      </c>
      <c r="M614" s="18">
        <f t="shared" si="17"/>
        <v>45728</v>
      </c>
      <c r="P614" t="s">
        <v>1</v>
      </c>
    </row>
    <row r="615" spans="1:17" x14ac:dyDescent="0.25">
      <c r="A615" s="14">
        <v>2020</v>
      </c>
      <c r="B615" s="19">
        <v>45720</v>
      </c>
      <c r="E615" s="16" t="s">
        <v>7</v>
      </c>
      <c r="I615" s="17">
        <v>5</v>
      </c>
      <c r="K615" s="18">
        <f t="shared" si="15"/>
        <v>45724</v>
      </c>
      <c r="L615" s="17">
        <v>3</v>
      </c>
      <c r="M615" s="18">
        <f t="shared" si="17"/>
        <v>45728</v>
      </c>
      <c r="N615" t="s">
        <v>3</v>
      </c>
      <c r="P615" t="s">
        <v>1</v>
      </c>
    </row>
    <row r="616" spans="1:17" x14ac:dyDescent="0.25">
      <c r="A616" s="14">
        <v>4551</v>
      </c>
      <c r="B616" s="19">
        <v>45720</v>
      </c>
      <c r="E616" s="16" t="s">
        <v>7</v>
      </c>
      <c r="I616" s="17">
        <v>5</v>
      </c>
      <c r="K616" s="18">
        <f t="shared" si="15"/>
        <v>45724</v>
      </c>
      <c r="L616" s="17">
        <v>3</v>
      </c>
      <c r="M616" s="18">
        <f t="shared" si="17"/>
        <v>45728</v>
      </c>
      <c r="Q616" t="s">
        <v>4</v>
      </c>
    </row>
    <row r="617" spans="1:17" x14ac:dyDescent="0.25">
      <c r="A617" s="14">
        <v>1166</v>
      </c>
      <c r="B617" s="19">
        <v>45720</v>
      </c>
      <c r="E617" s="16" t="s">
        <v>7</v>
      </c>
      <c r="I617" s="17">
        <v>5</v>
      </c>
      <c r="K617" s="18">
        <f t="shared" si="15"/>
        <v>45724</v>
      </c>
      <c r="L617" s="17">
        <v>3</v>
      </c>
      <c r="M617" s="18">
        <f t="shared" si="17"/>
        <v>45728</v>
      </c>
      <c r="P617" t="s">
        <v>1</v>
      </c>
    </row>
    <row r="618" spans="1:17" x14ac:dyDescent="0.25">
      <c r="A618" s="14">
        <v>4191</v>
      </c>
      <c r="B618" s="19">
        <v>45721</v>
      </c>
      <c r="E618" s="16" t="s">
        <v>21</v>
      </c>
      <c r="I618" s="17">
        <v>5</v>
      </c>
      <c r="K618" s="18">
        <f t="shared" si="15"/>
        <v>45725</v>
      </c>
      <c r="L618" s="17">
        <v>9</v>
      </c>
      <c r="M618" s="18">
        <f t="shared" si="17"/>
        <v>45735</v>
      </c>
      <c r="N618" t="s">
        <v>3</v>
      </c>
      <c r="P618" t="s">
        <v>1</v>
      </c>
    </row>
    <row r="619" spans="1:17" x14ac:dyDescent="0.25">
      <c r="A619" s="14">
        <v>4537</v>
      </c>
      <c r="B619" s="19">
        <v>45721</v>
      </c>
      <c r="E619" s="16" t="s">
        <v>7</v>
      </c>
      <c r="I619" s="17">
        <v>5</v>
      </c>
      <c r="K619" s="18">
        <f t="shared" si="15"/>
        <v>45725</v>
      </c>
      <c r="L619" s="17">
        <v>3</v>
      </c>
      <c r="M619" s="18">
        <f t="shared" si="17"/>
        <v>45729</v>
      </c>
      <c r="P619" t="s">
        <v>1</v>
      </c>
    </row>
    <row r="620" spans="1:17" x14ac:dyDescent="0.25">
      <c r="A620" s="14">
        <v>4396</v>
      </c>
      <c r="B620" s="19">
        <v>45721</v>
      </c>
      <c r="E620" s="16" t="s">
        <v>7</v>
      </c>
      <c r="I620" s="17">
        <v>5</v>
      </c>
      <c r="K620" s="18">
        <f t="shared" si="15"/>
        <v>45725</v>
      </c>
      <c r="L620" s="17">
        <v>3</v>
      </c>
      <c r="M620" s="18">
        <f t="shared" si="17"/>
        <v>45729</v>
      </c>
      <c r="P620" t="s">
        <v>1</v>
      </c>
    </row>
    <row r="621" spans="1:17" x14ac:dyDescent="0.25">
      <c r="A621" s="14">
        <v>2089</v>
      </c>
      <c r="B621" s="19">
        <v>45721</v>
      </c>
      <c r="E621" s="16" t="s">
        <v>7</v>
      </c>
      <c r="I621" s="17">
        <v>5</v>
      </c>
      <c r="K621" s="18">
        <f t="shared" si="15"/>
        <v>45725</v>
      </c>
      <c r="L621" s="17">
        <v>3</v>
      </c>
      <c r="M621" s="18">
        <f t="shared" si="17"/>
        <v>45729</v>
      </c>
      <c r="Q621" t="s">
        <v>4</v>
      </c>
    </row>
    <row r="622" spans="1:17" x14ac:dyDescent="0.25">
      <c r="A622" s="14">
        <v>2427</v>
      </c>
      <c r="B622" s="19">
        <v>45722</v>
      </c>
      <c r="E622" s="16" t="s">
        <v>7</v>
      </c>
      <c r="I622" s="17">
        <v>5</v>
      </c>
      <c r="K622" s="18">
        <f t="shared" si="15"/>
        <v>45726</v>
      </c>
      <c r="L622" s="17">
        <v>3</v>
      </c>
      <c r="M622" s="18">
        <f t="shared" si="17"/>
        <v>45730</v>
      </c>
      <c r="P622" t="s">
        <v>1</v>
      </c>
    </row>
    <row r="623" spans="1:17" x14ac:dyDescent="0.25">
      <c r="A623" s="14">
        <v>4089</v>
      </c>
      <c r="B623" s="19">
        <v>45723</v>
      </c>
      <c r="E623" s="16" t="s">
        <v>7</v>
      </c>
      <c r="I623" s="17">
        <v>5</v>
      </c>
      <c r="K623" s="18">
        <f t="shared" si="15"/>
        <v>45727</v>
      </c>
      <c r="L623" s="17">
        <v>3</v>
      </c>
      <c r="M623" s="18">
        <f t="shared" si="17"/>
        <v>45731</v>
      </c>
      <c r="N623" t="s">
        <v>3</v>
      </c>
    </row>
    <row r="624" spans="1:17" x14ac:dyDescent="0.25">
      <c r="A624" s="14">
        <v>3519</v>
      </c>
      <c r="B624" s="19">
        <v>45723</v>
      </c>
      <c r="E624" s="16" t="s">
        <v>7</v>
      </c>
      <c r="I624" s="17">
        <v>5</v>
      </c>
      <c r="K624" s="18">
        <f t="shared" si="15"/>
        <v>45727</v>
      </c>
      <c r="L624" s="17">
        <v>3</v>
      </c>
      <c r="M624" s="18">
        <f t="shared" si="17"/>
        <v>45731</v>
      </c>
      <c r="N624" t="s">
        <v>3</v>
      </c>
    </row>
    <row r="625" spans="1:17" x14ac:dyDescent="0.25">
      <c r="A625" s="14">
        <v>3701</v>
      </c>
      <c r="B625" s="19">
        <v>45723</v>
      </c>
      <c r="E625" s="16" t="s">
        <v>7</v>
      </c>
      <c r="I625" s="17">
        <v>5</v>
      </c>
      <c r="K625" s="18">
        <f t="shared" si="15"/>
        <v>45727</v>
      </c>
      <c r="L625" s="17">
        <v>3</v>
      </c>
      <c r="M625" s="18">
        <f t="shared" ref="M625:M656" si="18">K625+L625+1</f>
        <v>45731</v>
      </c>
      <c r="N625" t="s">
        <v>3</v>
      </c>
    </row>
    <row r="626" spans="1:17" x14ac:dyDescent="0.25">
      <c r="A626" s="14">
        <v>2905</v>
      </c>
      <c r="B626" s="19">
        <v>45724</v>
      </c>
      <c r="E626" s="16" t="s">
        <v>7</v>
      </c>
      <c r="I626" s="17">
        <v>5</v>
      </c>
      <c r="K626" s="18">
        <f t="shared" si="15"/>
        <v>45728</v>
      </c>
      <c r="L626" s="17">
        <v>3</v>
      </c>
      <c r="M626" s="18">
        <f t="shared" si="18"/>
        <v>45732</v>
      </c>
      <c r="N626" t="s">
        <v>3</v>
      </c>
      <c r="O626" t="s">
        <v>5</v>
      </c>
      <c r="P626" t="s">
        <v>1</v>
      </c>
      <c r="Q626" t="s">
        <v>4</v>
      </c>
    </row>
    <row r="627" spans="1:17" x14ac:dyDescent="0.25">
      <c r="A627" s="14">
        <v>2561</v>
      </c>
      <c r="B627" s="19">
        <v>45725</v>
      </c>
      <c r="E627" s="16" t="s">
        <v>7</v>
      </c>
      <c r="I627" s="17">
        <v>5</v>
      </c>
      <c r="K627" s="18">
        <f t="shared" si="15"/>
        <v>45729</v>
      </c>
      <c r="L627" s="17">
        <v>3</v>
      </c>
      <c r="M627" s="18">
        <f t="shared" si="18"/>
        <v>45733</v>
      </c>
      <c r="N627" t="s">
        <v>3</v>
      </c>
    </row>
    <row r="628" spans="1:17" x14ac:dyDescent="0.25">
      <c r="A628" s="14">
        <v>3095</v>
      </c>
      <c r="B628" s="19">
        <v>45725</v>
      </c>
      <c r="E628" s="16" t="s">
        <v>7</v>
      </c>
      <c r="I628" s="17">
        <v>5</v>
      </c>
      <c r="K628" s="18">
        <f t="shared" si="15"/>
        <v>45729</v>
      </c>
      <c r="L628" s="17">
        <v>3</v>
      </c>
      <c r="M628" s="18">
        <f t="shared" si="18"/>
        <v>45733</v>
      </c>
      <c r="Q628" t="s">
        <v>4</v>
      </c>
    </row>
    <row r="629" spans="1:17" x14ac:dyDescent="0.25">
      <c r="A629" s="14">
        <v>578</v>
      </c>
      <c r="B629" s="19">
        <v>45725</v>
      </c>
      <c r="E629" s="16" t="s">
        <v>7</v>
      </c>
      <c r="I629" s="17">
        <v>5</v>
      </c>
      <c r="K629" s="18">
        <f t="shared" si="15"/>
        <v>45729</v>
      </c>
      <c r="L629" s="17">
        <v>3</v>
      </c>
      <c r="M629" s="18">
        <f t="shared" si="18"/>
        <v>45733</v>
      </c>
      <c r="Q629" t="s">
        <v>4</v>
      </c>
    </row>
    <row r="630" spans="1:17" x14ac:dyDescent="0.25">
      <c r="A630" s="14">
        <v>577</v>
      </c>
      <c r="B630" s="19">
        <v>45726</v>
      </c>
      <c r="E630" s="16" t="s">
        <v>7</v>
      </c>
      <c r="I630" s="17">
        <v>5</v>
      </c>
      <c r="K630" s="18">
        <f t="shared" si="15"/>
        <v>45730</v>
      </c>
      <c r="L630" s="17">
        <v>3</v>
      </c>
      <c r="M630" s="18">
        <f t="shared" si="18"/>
        <v>45734</v>
      </c>
      <c r="Q630" t="s">
        <v>4</v>
      </c>
    </row>
    <row r="631" spans="1:17" x14ac:dyDescent="0.25">
      <c r="A631" s="14">
        <v>3470</v>
      </c>
      <c r="B631" s="19">
        <v>45727</v>
      </c>
      <c r="E631" s="16" t="s">
        <v>20</v>
      </c>
      <c r="I631" s="17">
        <v>5</v>
      </c>
      <c r="K631" s="18">
        <f t="shared" si="15"/>
        <v>45731</v>
      </c>
      <c r="L631" s="17">
        <v>9</v>
      </c>
      <c r="M631" s="18">
        <f t="shared" si="18"/>
        <v>45741</v>
      </c>
      <c r="N631" t="s">
        <v>3</v>
      </c>
      <c r="P631" t="s">
        <v>1</v>
      </c>
    </row>
    <row r="632" spans="1:17" x14ac:dyDescent="0.25">
      <c r="A632" s="14">
        <v>4089</v>
      </c>
      <c r="B632" s="19">
        <v>45728</v>
      </c>
      <c r="E632" s="16" t="s">
        <v>20</v>
      </c>
      <c r="I632" s="17">
        <v>5</v>
      </c>
      <c r="K632" s="18">
        <f t="shared" si="15"/>
        <v>45732</v>
      </c>
      <c r="L632" s="17">
        <v>9</v>
      </c>
      <c r="M632" s="18">
        <f t="shared" si="18"/>
        <v>45742</v>
      </c>
      <c r="N632" t="s">
        <v>3</v>
      </c>
    </row>
    <row r="633" spans="1:17" x14ac:dyDescent="0.25">
      <c r="A633" s="14">
        <v>3020</v>
      </c>
      <c r="B633" s="19">
        <v>45728</v>
      </c>
      <c r="E633" s="16" t="s">
        <v>6</v>
      </c>
      <c r="I633" s="17">
        <v>5</v>
      </c>
      <c r="K633" s="18">
        <f t="shared" si="15"/>
        <v>45732</v>
      </c>
      <c r="L633" s="17">
        <v>5</v>
      </c>
      <c r="M633" s="18">
        <f t="shared" si="18"/>
        <v>45738</v>
      </c>
      <c r="P633" t="s">
        <v>1</v>
      </c>
    </row>
    <row r="634" spans="1:17" x14ac:dyDescent="0.25">
      <c r="A634" s="14">
        <v>2555</v>
      </c>
      <c r="B634" s="19">
        <v>45729</v>
      </c>
      <c r="E634" s="16" t="s">
        <v>6</v>
      </c>
      <c r="I634" s="17">
        <v>5</v>
      </c>
      <c r="K634" s="18">
        <f t="shared" si="15"/>
        <v>45733</v>
      </c>
      <c r="L634" s="17">
        <v>5</v>
      </c>
      <c r="M634" s="18">
        <f t="shared" si="18"/>
        <v>45739</v>
      </c>
      <c r="N634" t="s">
        <v>3</v>
      </c>
    </row>
    <row r="635" spans="1:17" x14ac:dyDescent="0.25">
      <c r="A635" s="14">
        <v>3591</v>
      </c>
      <c r="B635" s="19">
        <v>45729</v>
      </c>
      <c r="E635" s="16" t="s">
        <v>14</v>
      </c>
      <c r="I635" s="17">
        <v>5</v>
      </c>
      <c r="K635" s="18">
        <f t="shared" si="15"/>
        <v>45733</v>
      </c>
      <c r="L635" s="17">
        <v>2</v>
      </c>
      <c r="M635" s="18">
        <f t="shared" si="18"/>
        <v>45736</v>
      </c>
      <c r="P635" t="s">
        <v>1</v>
      </c>
    </row>
    <row r="636" spans="1:17" x14ac:dyDescent="0.25">
      <c r="A636" s="14">
        <v>1945</v>
      </c>
      <c r="B636" s="19">
        <v>45729</v>
      </c>
      <c r="E636" s="16" t="s">
        <v>22</v>
      </c>
      <c r="I636" s="17">
        <v>5</v>
      </c>
      <c r="K636" s="18">
        <f t="shared" si="15"/>
        <v>45733</v>
      </c>
      <c r="L636" s="17">
        <v>2</v>
      </c>
      <c r="M636" s="18">
        <f t="shared" si="18"/>
        <v>45736</v>
      </c>
      <c r="O636" t="s">
        <v>5</v>
      </c>
    </row>
    <row r="637" spans="1:17" x14ac:dyDescent="0.25">
      <c r="A637" s="14">
        <v>3187</v>
      </c>
      <c r="B637" s="19">
        <v>45701</v>
      </c>
      <c r="E637" s="16" t="s">
        <v>14</v>
      </c>
      <c r="I637" s="17">
        <v>5</v>
      </c>
      <c r="K637" s="18">
        <f t="shared" si="15"/>
        <v>45705</v>
      </c>
      <c r="L637" s="17">
        <v>2</v>
      </c>
      <c r="M637" s="18">
        <f t="shared" si="18"/>
        <v>45708</v>
      </c>
      <c r="Q637" t="s">
        <v>4</v>
      </c>
    </row>
    <row r="638" spans="1:17" x14ac:dyDescent="0.25">
      <c r="A638" s="14">
        <v>3055</v>
      </c>
      <c r="B638" s="19">
        <v>45701</v>
      </c>
      <c r="E638" s="16" t="s">
        <v>7</v>
      </c>
      <c r="I638" s="17">
        <v>5</v>
      </c>
      <c r="K638" s="18">
        <f t="shared" si="15"/>
        <v>45705</v>
      </c>
      <c r="L638" s="17">
        <v>3</v>
      </c>
      <c r="M638" s="18">
        <f t="shared" si="18"/>
        <v>45709</v>
      </c>
      <c r="Q638" t="s">
        <v>4</v>
      </c>
    </row>
    <row r="639" spans="1:17" x14ac:dyDescent="0.25">
      <c r="A639" s="14">
        <v>3617</v>
      </c>
      <c r="B639" s="19">
        <v>45729</v>
      </c>
      <c r="E639" s="16" t="s">
        <v>7</v>
      </c>
      <c r="I639" s="17">
        <v>5</v>
      </c>
      <c r="K639" s="18">
        <f t="shared" si="15"/>
        <v>45733</v>
      </c>
      <c r="L639" s="17">
        <v>3</v>
      </c>
      <c r="M639" s="18">
        <f t="shared" si="18"/>
        <v>45737</v>
      </c>
      <c r="Q639" t="s">
        <v>4</v>
      </c>
    </row>
    <row r="640" spans="1:17" x14ac:dyDescent="0.25">
      <c r="A640" s="14">
        <v>3673</v>
      </c>
      <c r="B640" s="19">
        <v>45730</v>
      </c>
      <c r="E640" s="16" t="s">
        <v>7</v>
      </c>
      <c r="I640" s="17">
        <v>5</v>
      </c>
      <c r="K640" s="18">
        <f t="shared" si="15"/>
        <v>45734</v>
      </c>
      <c r="L640" s="17">
        <v>3</v>
      </c>
      <c r="M640" s="18">
        <f t="shared" si="18"/>
        <v>45738</v>
      </c>
      <c r="N640" t="s">
        <v>3</v>
      </c>
    </row>
    <row r="641" spans="1:17" x14ac:dyDescent="0.25">
      <c r="A641" s="14">
        <v>3113</v>
      </c>
      <c r="B641" s="19">
        <v>45731</v>
      </c>
      <c r="E641" s="16" t="s">
        <v>7</v>
      </c>
      <c r="I641" s="17">
        <v>5</v>
      </c>
      <c r="K641" s="18">
        <f t="shared" si="15"/>
        <v>45735</v>
      </c>
      <c r="L641" s="17">
        <v>3</v>
      </c>
      <c r="M641" s="18">
        <f t="shared" si="18"/>
        <v>45739</v>
      </c>
      <c r="N641" t="s">
        <v>3</v>
      </c>
      <c r="Q641" t="s">
        <v>4</v>
      </c>
    </row>
    <row r="642" spans="1:17" x14ac:dyDescent="0.25">
      <c r="A642" s="14">
        <v>1119</v>
      </c>
      <c r="B642" s="19">
        <v>45731</v>
      </c>
      <c r="E642" s="16" t="s">
        <v>7</v>
      </c>
      <c r="I642" s="17">
        <v>5</v>
      </c>
      <c r="K642" s="18">
        <f t="shared" si="15"/>
        <v>45735</v>
      </c>
      <c r="L642" s="17">
        <v>3</v>
      </c>
      <c r="M642" s="18">
        <f t="shared" si="18"/>
        <v>45739</v>
      </c>
      <c r="N642" t="s">
        <v>3</v>
      </c>
      <c r="P642" t="s">
        <v>1</v>
      </c>
    </row>
    <row r="643" spans="1:17" x14ac:dyDescent="0.25">
      <c r="A643" s="14">
        <v>3661</v>
      </c>
      <c r="B643" s="19">
        <v>45731</v>
      </c>
      <c r="E643" s="16" t="s">
        <v>7</v>
      </c>
      <c r="I643" s="17">
        <v>5</v>
      </c>
      <c r="K643" s="18">
        <f t="shared" si="15"/>
        <v>45735</v>
      </c>
      <c r="L643" s="17">
        <v>3</v>
      </c>
      <c r="M643" s="18">
        <f t="shared" si="18"/>
        <v>45739</v>
      </c>
      <c r="O643" t="s">
        <v>5</v>
      </c>
    </row>
    <row r="644" spans="1:17" x14ac:dyDescent="0.25">
      <c r="A644" s="14">
        <v>3187</v>
      </c>
      <c r="B644" s="19">
        <v>45731</v>
      </c>
      <c r="E644" s="16" t="s">
        <v>13</v>
      </c>
      <c r="I644" s="17">
        <v>5</v>
      </c>
      <c r="K644" s="18">
        <f t="shared" si="15"/>
        <v>45735</v>
      </c>
      <c r="L644" s="17">
        <v>5</v>
      </c>
      <c r="M644" s="18">
        <f t="shared" si="18"/>
        <v>45741</v>
      </c>
      <c r="N644" t="s">
        <v>3</v>
      </c>
      <c r="O644" t="s">
        <v>5</v>
      </c>
      <c r="P644" t="s">
        <v>1</v>
      </c>
      <c r="Q644" t="s">
        <v>4</v>
      </c>
    </row>
    <row r="645" spans="1:17" x14ac:dyDescent="0.25">
      <c r="A645" s="14">
        <v>2799</v>
      </c>
      <c r="B645" s="19">
        <v>45732</v>
      </c>
      <c r="E645" s="16" t="s">
        <v>7</v>
      </c>
      <c r="I645" s="17">
        <v>5</v>
      </c>
      <c r="K645" s="18">
        <f t="shared" si="15"/>
        <v>45736</v>
      </c>
      <c r="L645" s="17">
        <v>3</v>
      </c>
      <c r="M645" s="18">
        <f t="shared" si="18"/>
        <v>45740</v>
      </c>
      <c r="O645" t="s">
        <v>5</v>
      </c>
    </row>
    <row r="646" spans="1:17" x14ac:dyDescent="0.25">
      <c r="A646" s="14">
        <v>2905</v>
      </c>
      <c r="B646" s="19">
        <v>45732</v>
      </c>
      <c r="E646" s="16" t="s">
        <v>20</v>
      </c>
      <c r="I646" s="17">
        <v>5</v>
      </c>
      <c r="K646" s="18">
        <f t="shared" si="15"/>
        <v>45736</v>
      </c>
      <c r="L646" s="17">
        <v>9</v>
      </c>
      <c r="M646" s="18">
        <f t="shared" si="18"/>
        <v>45746</v>
      </c>
      <c r="N646" t="s">
        <v>3</v>
      </c>
    </row>
    <row r="647" spans="1:17" x14ac:dyDescent="0.25">
      <c r="A647" s="14">
        <v>3176</v>
      </c>
      <c r="B647" s="19">
        <v>45733</v>
      </c>
      <c r="E647" s="16" t="s">
        <v>7</v>
      </c>
      <c r="I647" s="17">
        <v>5</v>
      </c>
      <c r="K647" s="18">
        <f t="shared" si="15"/>
        <v>45737</v>
      </c>
      <c r="L647" s="17">
        <v>3</v>
      </c>
      <c r="M647" s="18">
        <f t="shared" si="18"/>
        <v>45741</v>
      </c>
      <c r="O647" t="s">
        <v>5</v>
      </c>
    </row>
    <row r="648" spans="1:17" x14ac:dyDescent="0.25">
      <c r="A648" s="14">
        <v>4089</v>
      </c>
      <c r="B648" s="19">
        <v>45733</v>
      </c>
      <c r="E648" s="16" t="s">
        <v>20</v>
      </c>
      <c r="I648" s="17">
        <v>5</v>
      </c>
      <c r="K648" s="18">
        <f t="shared" si="15"/>
        <v>45737</v>
      </c>
      <c r="L648" s="17">
        <v>9</v>
      </c>
      <c r="M648" s="18">
        <f t="shared" si="18"/>
        <v>45747</v>
      </c>
      <c r="N648" t="s">
        <v>3</v>
      </c>
      <c r="P648" t="s">
        <v>1</v>
      </c>
    </row>
    <row r="649" spans="1:17" x14ac:dyDescent="0.25">
      <c r="A649" s="14">
        <v>3423</v>
      </c>
      <c r="B649" s="19">
        <v>45733</v>
      </c>
      <c r="E649" s="16" t="s">
        <v>7</v>
      </c>
      <c r="I649" s="17">
        <v>5</v>
      </c>
      <c r="K649" s="18">
        <f t="shared" si="15"/>
        <v>45737</v>
      </c>
      <c r="L649" s="17">
        <v>3</v>
      </c>
      <c r="M649" s="18">
        <f t="shared" si="18"/>
        <v>45741</v>
      </c>
      <c r="P649" t="s">
        <v>1</v>
      </c>
    </row>
    <row r="650" spans="1:17" x14ac:dyDescent="0.25">
      <c r="A650" s="14">
        <v>2797</v>
      </c>
      <c r="B650" s="19">
        <v>45736</v>
      </c>
      <c r="E650" s="16" t="s">
        <v>7</v>
      </c>
      <c r="I650" s="17">
        <v>5</v>
      </c>
      <c r="K650" s="18">
        <f t="shared" si="15"/>
        <v>45740</v>
      </c>
      <c r="L650" s="17">
        <v>3</v>
      </c>
      <c r="M650" s="18">
        <f t="shared" si="18"/>
        <v>45744</v>
      </c>
      <c r="O650" t="s">
        <v>5</v>
      </c>
    </row>
    <row r="651" spans="1:17" x14ac:dyDescent="0.25">
      <c r="A651" s="14">
        <v>3174</v>
      </c>
      <c r="B651" s="19">
        <v>45737</v>
      </c>
      <c r="E651" s="16" t="s">
        <v>7</v>
      </c>
      <c r="I651" s="17">
        <v>5</v>
      </c>
      <c r="K651" s="18">
        <f t="shared" si="15"/>
        <v>45741</v>
      </c>
      <c r="L651" s="17">
        <v>3</v>
      </c>
      <c r="M651" s="18">
        <f t="shared" si="18"/>
        <v>45745</v>
      </c>
      <c r="N651" t="s">
        <v>3</v>
      </c>
    </row>
    <row r="652" spans="1:17" x14ac:dyDescent="0.25">
      <c r="A652" s="14">
        <v>4124</v>
      </c>
      <c r="B652" s="19">
        <v>45737</v>
      </c>
      <c r="E652" s="16" t="s">
        <v>7</v>
      </c>
      <c r="I652" s="17">
        <v>5</v>
      </c>
      <c r="K652" s="18">
        <f t="shared" si="15"/>
        <v>45741</v>
      </c>
      <c r="L652" s="17">
        <v>3</v>
      </c>
      <c r="M652" s="18">
        <f t="shared" si="18"/>
        <v>45745</v>
      </c>
      <c r="O652" t="s">
        <v>5</v>
      </c>
    </row>
    <row r="653" spans="1:17" x14ac:dyDescent="0.25">
      <c r="A653" s="14">
        <v>3831</v>
      </c>
      <c r="B653" s="19">
        <v>45737</v>
      </c>
      <c r="E653" s="16" t="s">
        <v>7</v>
      </c>
      <c r="I653" s="17">
        <v>5</v>
      </c>
      <c r="K653" s="18">
        <f t="shared" si="15"/>
        <v>45741</v>
      </c>
      <c r="L653" s="17">
        <v>3</v>
      </c>
      <c r="M653" s="18">
        <f t="shared" si="18"/>
        <v>45745</v>
      </c>
      <c r="O653" t="s">
        <v>5</v>
      </c>
    </row>
    <row r="654" spans="1:17" x14ac:dyDescent="0.25">
      <c r="A654" s="14">
        <v>2745</v>
      </c>
      <c r="B654" s="19">
        <v>45737</v>
      </c>
      <c r="E654" s="16" t="s">
        <v>7</v>
      </c>
      <c r="I654" s="17">
        <v>5</v>
      </c>
      <c r="K654" s="18">
        <f t="shared" si="15"/>
        <v>45741</v>
      </c>
      <c r="L654" s="17">
        <v>3</v>
      </c>
      <c r="M654" s="18">
        <f t="shared" si="18"/>
        <v>45745</v>
      </c>
      <c r="O654" t="s">
        <v>5</v>
      </c>
    </row>
    <row r="655" spans="1:17" x14ac:dyDescent="0.25">
      <c r="A655" s="14">
        <v>3673</v>
      </c>
      <c r="B655" s="19">
        <v>45738</v>
      </c>
      <c r="E655" s="16" t="s">
        <v>13</v>
      </c>
      <c r="I655" s="17">
        <v>5</v>
      </c>
      <c r="K655" s="18">
        <f t="shared" si="15"/>
        <v>45742</v>
      </c>
      <c r="L655" s="17">
        <v>5</v>
      </c>
      <c r="M655" s="18">
        <f t="shared" si="18"/>
        <v>45748</v>
      </c>
      <c r="N655" t="s">
        <v>3</v>
      </c>
    </row>
    <row r="656" spans="1:17" x14ac:dyDescent="0.25">
      <c r="A656" s="14">
        <v>3391</v>
      </c>
      <c r="B656" s="19">
        <v>45738</v>
      </c>
      <c r="E656" s="16" t="s">
        <v>7</v>
      </c>
      <c r="I656" s="17">
        <v>5</v>
      </c>
      <c r="K656" s="18">
        <f t="shared" si="15"/>
        <v>45742</v>
      </c>
      <c r="L656" s="17">
        <v>3</v>
      </c>
      <c r="M656" s="18">
        <f t="shared" si="18"/>
        <v>45746</v>
      </c>
      <c r="N656" t="s">
        <v>3</v>
      </c>
    </row>
    <row r="657" spans="1:17" x14ac:dyDescent="0.25">
      <c r="A657" s="14">
        <v>2886</v>
      </c>
      <c r="B657" s="19">
        <v>45739</v>
      </c>
      <c r="E657" s="16" t="s">
        <v>7</v>
      </c>
      <c r="I657" s="17">
        <v>5</v>
      </c>
      <c r="K657" s="18">
        <f t="shared" si="15"/>
        <v>45743</v>
      </c>
      <c r="L657" s="17">
        <v>3</v>
      </c>
      <c r="M657" s="18">
        <f t="shared" ref="M657:M688" si="19">K657+L657+1</f>
        <v>45747</v>
      </c>
      <c r="N657" t="s">
        <v>3</v>
      </c>
    </row>
    <row r="658" spans="1:17" x14ac:dyDescent="0.25">
      <c r="A658" s="14">
        <v>2904</v>
      </c>
      <c r="B658" s="19">
        <v>45740</v>
      </c>
      <c r="E658" s="16" t="s">
        <v>7</v>
      </c>
      <c r="I658" s="17">
        <v>5</v>
      </c>
      <c r="K658" s="18">
        <f t="shared" si="15"/>
        <v>45744</v>
      </c>
      <c r="L658" s="17">
        <v>3</v>
      </c>
      <c r="M658" s="18">
        <f t="shared" si="19"/>
        <v>45748</v>
      </c>
      <c r="O658" t="s">
        <v>5</v>
      </c>
    </row>
    <row r="659" spans="1:17" x14ac:dyDescent="0.25">
      <c r="A659" s="14">
        <v>3412</v>
      </c>
      <c r="B659" s="19">
        <v>45740</v>
      </c>
      <c r="E659" s="16" t="s">
        <v>7</v>
      </c>
      <c r="I659" s="17">
        <v>5</v>
      </c>
      <c r="K659" s="18">
        <f t="shared" si="15"/>
        <v>45744</v>
      </c>
      <c r="L659" s="17">
        <v>3</v>
      </c>
      <c r="M659" s="18">
        <f t="shared" si="19"/>
        <v>45748</v>
      </c>
      <c r="O659" t="s">
        <v>5</v>
      </c>
    </row>
    <row r="660" spans="1:17" x14ac:dyDescent="0.25">
      <c r="A660" s="14">
        <v>3435</v>
      </c>
      <c r="B660" s="19">
        <v>45741</v>
      </c>
      <c r="E660" s="16" t="s">
        <v>7</v>
      </c>
      <c r="I660" s="17">
        <v>5</v>
      </c>
      <c r="K660" s="18">
        <f t="shared" si="15"/>
        <v>45745</v>
      </c>
      <c r="L660" s="17">
        <v>3</v>
      </c>
      <c r="M660" s="18">
        <f t="shared" si="19"/>
        <v>45749</v>
      </c>
      <c r="P660" t="s">
        <v>1</v>
      </c>
    </row>
    <row r="661" spans="1:17" x14ac:dyDescent="0.25">
      <c r="A661" s="14">
        <v>4089</v>
      </c>
      <c r="B661" s="19">
        <v>45741</v>
      </c>
      <c r="E661" s="16" t="s">
        <v>7</v>
      </c>
      <c r="I661" s="17">
        <v>5</v>
      </c>
      <c r="K661" s="18">
        <f t="shared" si="15"/>
        <v>45745</v>
      </c>
      <c r="L661" s="17">
        <v>3</v>
      </c>
      <c r="M661" s="18">
        <f t="shared" si="19"/>
        <v>45749</v>
      </c>
      <c r="P661" t="s">
        <v>1</v>
      </c>
    </row>
    <row r="662" spans="1:17" x14ac:dyDescent="0.25">
      <c r="A662" s="14">
        <v>3422</v>
      </c>
      <c r="B662" s="19">
        <v>45742</v>
      </c>
      <c r="E662" s="16" t="s">
        <v>13</v>
      </c>
      <c r="I662" s="17">
        <v>5</v>
      </c>
      <c r="K662" s="18">
        <f t="shared" si="15"/>
        <v>45746</v>
      </c>
      <c r="L662" s="17">
        <v>5</v>
      </c>
      <c r="M662" s="18">
        <f t="shared" si="19"/>
        <v>45752</v>
      </c>
      <c r="O662" t="s">
        <v>5</v>
      </c>
    </row>
    <row r="663" spans="1:17" x14ac:dyDescent="0.25">
      <c r="A663" s="14">
        <v>3831</v>
      </c>
      <c r="B663" s="19">
        <v>45743</v>
      </c>
      <c r="E663" s="16" t="s">
        <v>20</v>
      </c>
      <c r="I663" s="17">
        <v>5</v>
      </c>
      <c r="K663" s="18">
        <f t="shared" si="15"/>
        <v>45747</v>
      </c>
      <c r="L663" s="17">
        <v>9</v>
      </c>
      <c r="M663" s="18">
        <f t="shared" si="19"/>
        <v>45757</v>
      </c>
      <c r="O663" t="s">
        <v>5</v>
      </c>
    </row>
    <row r="664" spans="1:17" x14ac:dyDescent="0.25">
      <c r="A664" s="14">
        <v>2904</v>
      </c>
      <c r="B664" s="19">
        <v>45743</v>
      </c>
      <c r="E664" s="16" t="s">
        <v>13</v>
      </c>
      <c r="I664" s="17">
        <v>5</v>
      </c>
      <c r="K664" s="18">
        <f t="shared" si="15"/>
        <v>45747</v>
      </c>
      <c r="L664" s="17">
        <v>5</v>
      </c>
      <c r="M664" s="18">
        <f t="shared" si="19"/>
        <v>45753</v>
      </c>
      <c r="O664" t="s">
        <v>5</v>
      </c>
    </row>
    <row r="665" spans="1:17" x14ac:dyDescent="0.25">
      <c r="A665" s="14">
        <v>2234</v>
      </c>
      <c r="B665" s="19">
        <v>45744</v>
      </c>
      <c r="E665" s="16" t="s">
        <v>7</v>
      </c>
      <c r="I665" s="17">
        <v>5</v>
      </c>
      <c r="K665" s="18">
        <f t="shared" si="15"/>
        <v>45748</v>
      </c>
      <c r="L665" s="17">
        <v>3</v>
      </c>
      <c r="M665" s="18">
        <f t="shared" si="19"/>
        <v>45752</v>
      </c>
      <c r="P665" t="s">
        <v>1</v>
      </c>
    </row>
    <row r="666" spans="1:17" x14ac:dyDescent="0.25">
      <c r="A666" s="14">
        <v>3112</v>
      </c>
      <c r="B666" s="19">
        <v>45744</v>
      </c>
      <c r="E666" s="16" t="s">
        <v>7</v>
      </c>
      <c r="I666" s="17">
        <v>5</v>
      </c>
      <c r="K666" s="18">
        <f t="shared" si="15"/>
        <v>45748</v>
      </c>
      <c r="L666" s="17">
        <v>3</v>
      </c>
      <c r="M666" s="18">
        <f t="shared" si="19"/>
        <v>45752</v>
      </c>
      <c r="N666" t="s">
        <v>3</v>
      </c>
    </row>
    <row r="667" spans="1:17" x14ac:dyDescent="0.25">
      <c r="A667" s="14">
        <v>3673</v>
      </c>
      <c r="B667" s="19">
        <v>45744</v>
      </c>
      <c r="E667" s="16" t="s">
        <v>20</v>
      </c>
      <c r="I667" s="17">
        <v>5</v>
      </c>
      <c r="K667" s="18">
        <f t="shared" si="15"/>
        <v>45748</v>
      </c>
      <c r="L667" s="17">
        <v>9</v>
      </c>
      <c r="M667" s="18">
        <f t="shared" si="19"/>
        <v>45758</v>
      </c>
      <c r="N667" t="s">
        <v>3</v>
      </c>
    </row>
    <row r="668" spans="1:17" x14ac:dyDescent="0.25">
      <c r="A668" s="14">
        <v>3020</v>
      </c>
      <c r="B668" s="19">
        <v>45745</v>
      </c>
      <c r="E668" s="16" t="s">
        <v>7</v>
      </c>
      <c r="I668" s="17">
        <v>5</v>
      </c>
      <c r="K668" s="18">
        <f t="shared" si="15"/>
        <v>45749</v>
      </c>
      <c r="L668" s="17">
        <v>3</v>
      </c>
      <c r="M668" s="18">
        <f t="shared" si="19"/>
        <v>45753</v>
      </c>
      <c r="N668" t="s">
        <v>3</v>
      </c>
    </row>
    <row r="669" spans="1:17" x14ac:dyDescent="0.25">
      <c r="A669" s="14">
        <v>2745</v>
      </c>
      <c r="B669" s="19">
        <v>45745</v>
      </c>
      <c r="E669" s="16" t="s">
        <v>13</v>
      </c>
      <c r="I669" s="17">
        <v>5</v>
      </c>
      <c r="K669" s="18">
        <f t="shared" si="15"/>
        <v>45749</v>
      </c>
      <c r="L669" s="17">
        <v>5</v>
      </c>
      <c r="M669" s="18">
        <f t="shared" si="19"/>
        <v>45755</v>
      </c>
      <c r="N669" t="s">
        <v>3</v>
      </c>
    </row>
    <row r="670" spans="1:17" x14ac:dyDescent="0.25">
      <c r="A670" s="14">
        <v>3919</v>
      </c>
      <c r="B670" s="19">
        <v>45743</v>
      </c>
      <c r="E670" s="16" t="s">
        <v>7</v>
      </c>
      <c r="I670" s="17">
        <v>5</v>
      </c>
      <c r="K670" s="18">
        <f t="shared" si="15"/>
        <v>45747</v>
      </c>
      <c r="L670" s="17">
        <v>3</v>
      </c>
      <c r="M670" s="18">
        <f t="shared" si="19"/>
        <v>45751</v>
      </c>
      <c r="N670" t="s">
        <v>3</v>
      </c>
      <c r="O670" t="s">
        <v>5</v>
      </c>
    </row>
    <row r="671" spans="1:17" x14ac:dyDescent="0.25">
      <c r="A671" s="14">
        <v>2760</v>
      </c>
      <c r="B671" s="19">
        <v>45746</v>
      </c>
      <c r="E671" s="16" t="s">
        <v>7</v>
      </c>
      <c r="I671" s="17">
        <v>5</v>
      </c>
      <c r="K671" s="18">
        <f t="shared" si="15"/>
        <v>45750</v>
      </c>
      <c r="L671" s="17">
        <v>3</v>
      </c>
      <c r="M671" s="18">
        <f t="shared" si="19"/>
        <v>45754</v>
      </c>
      <c r="O671" t="s">
        <v>5</v>
      </c>
    </row>
    <row r="672" spans="1:17" x14ac:dyDescent="0.25">
      <c r="A672" s="14">
        <v>2799</v>
      </c>
      <c r="B672" s="19">
        <v>45746</v>
      </c>
      <c r="E672" s="16" t="s">
        <v>7</v>
      </c>
      <c r="I672" s="17">
        <v>5</v>
      </c>
      <c r="K672" s="18">
        <f t="shared" si="15"/>
        <v>45750</v>
      </c>
      <c r="L672" s="17">
        <v>3</v>
      </c>
      <c r="M672" s="18">
        <f t="shared" si="19"/>
        <v>45754</v>
      </c>
      <c r="Q672" t="s">
        <v>4</v>
      </c>
    </row>
    <row r="673" spans="1:17" x14ac:dyDescent="0.25">
      <c r="A673" s="14">
        <v>1945</v>
      </c>
      <c r="B673" s="19">
        <v>45746</v>
      </c>
      <c r="E673" s="16" t="s">
        <v>7</v>
      </c>
      <c r="I673" s="17">
        <v>5</v>
      </c>
      <c r="K673" s="18">
        <f t="shared" si="15"/>
        <v>45750</v>
      </c>
      <c r="L673" s="17">
        <v>3</v>
      </c>
      <c r="M673" s="18">
        <f t="shared" si="19"/>
        <v>45754</v>
      </c>
      <c r="O673" t="s">
        <v>5</v>
      </c>
    </row>
    <row r="674" spans="1:17" x14ac:dyDescent="0.25">
      <c r="A674" s="14">
        <v>4416</v>
      </c>
      <c r="B674" s="19">
        <v>45746</v>
      </c>
      <c r="E674" s="16" t="s">
        <v>7</v>
      </c>
      <c r="I674" s="17">
        <v>5</v>
      </c>
      <c r="K674" s="18">
        <f t="shared" si="15"/>
        <v>45750</v>
      </c>
      <c r="L674" s="17">
        <v>3</v>
      </c>
      <c r="M674" s="18">
        <f t="shared" si="19"/>
        <v>45754</v>
      </c>
      <c r="Q674" t="s">
        <v>4</v>
      </c>
    </row>
    <row r="675" spans="1:17" x14ac:dyDescent="0.25">
      <c r="A675" s="14">
        <v>3317</v>
      </c>
      <c r="B675" s="19">
        <v>45747</v>
      </c>
      <c r="E675" s="16" t="s">
        <v>7</v>
      </c>
      <c r="I675" s="17">
        <v>5</v>
      </c>
      <c r="K675" s="18">
        <f t="shared" si="15"/>
        <v>45751</v>
      </c>
      <c r="L675" s="17">
        <v>3</v>
      </c>
      <c r="M675" s="18">
        <f t="shared" si="19"/>
        <v>45755</v>
      </c>
      <c r="O675" t="s">
        <v>5</v>
      </c>
    </row>
    <row r="676" spans="1:17" x14ac:dyDescent="0.25">
      <c r="A676" s="14">
        <v>2681</v>
      </c>
      <c r="B676" s="19">
        <v>45747</v>
      </c>
      <c r="E676" s="16" t="s">
        <v>7</v>
      </c>
      <c r="I676" s="17">
        <v>5</v>
      </c>
      <c r="K676" s="18">
        <f t="shared" si="15"/>
        <v>45751</v>
      </c>
      <c r="L676" s="17">
        <v>3</v>
      </c>
      <c r="M676" s="18">
        <f t="shared" si="19"/>
        <v>45755</v>
      </c>
      <c r="O676" t="s">
        <v>5</v>
      </c>
    </row>
    <row r="677" spans="1:17" x14ac:dyDescent="0.25">
      <c r="A677" s="14">
        <v>3250</v>
      </c>
      <c r="B677" s="19">
        <v>45747</v>
      </c>
      <c r="E677" s="16" t="s">
        <v>7</v>
      </c>
      <c r="I677" s="17">
        <v>5</v>
      </c>
      <c r="K677" s="18">
        <f t="shared" si="15"/>
        <v>45751</v>
      </c>
      <c r="L677" s="17">
        <v>3</v>
      </c>
      <c r="M677" s="18">
        <f t="shared" si="19"/>
        <v>45755</v>
      </c>
      <c r="N677" t="s">
        <v>3</v>
      </c>
    </row>
    <row r="678" spans="1:17" x14ac:dyDescent="0.25">
      <c r="A678" s="14">
        <v>3574</v>
      </c>
      <c r="B678" s="19">
        <v>45747</v>
      </c>
      <c r="E678" s="16" t="s">
        <v>7</v>
      </c>
      <c r="I678" s="17">
        <v>5</v>
      </c>
      <c r="K678" s="18">
        <f t="shared" si="15"/>
        <v>45751</v>
      </c>
      <c r="L678" s="17">
        <v>3</v>
      </c>
      <c r="M678" s="18">
        <f t="shared" si="19"/>
        <v>45755</v>
      </c>
      <c r="N678" t="s">
        <v>3</v>
      </c>
    </row>
    <row r="679" spans="1:17" x14ac:dyDescent="0.25">
      <c r="A679" s="14">
        <v>4610</v>
      </c>
      <c r="B679" s="19">
        <v>45748</v>
      </c>
      <c r="E679" s="16" t="s">
        <v>7</v>
      </c>
      <c r="I679" s="17">
        <v>5</v>
      </c>
      <c r="K679" s="18">
        <f t="shared" si="15"/>
        <v>45752</v>
      </c>
      <c r="L679" s="17">
        <v>3</v>
      </c>
      <c r="M679" s="18">
        <f t="shared" si="19"/>
        <v>45756</v>
      </c>
      <c r="O679" t="s">
        <v>5</v>
      </c>
    </row>
    <row r="680" spans="1:17" x14ac:dyDescent="0.25">
      <c r="A680" s="14">
        <v>3705</v>
      </c>
      <c r="B680" s="19">
        <v>45748</v>
      </c>
      <c r="E680" s="16" t="s">
        <v>7</v>
      </c>
      <c r="I680" s="17">
        <v>5</v>
      </c>
      <c r="K680" s="18">
        <f t="shared" si="15"/>
        <v>45752</v>
      </c>
      <c r="L680" s="17">
        <v>3</v>
      </c>
      <c r="M680" s="18">
        <f t="shared" si="19"/>
        <v>45756</v>
      </c>
      <c r="P680" t="s">
        <v>1</v>
      </c>
    </row>
    <row r="681" spans="1:17" x14ac:dyDescent="0.25">
      <c r="A681" s="14">
        <v>4297</v>
      </c>
      <c r="B681" s="15">
        <v>45748</v>
      </c>
      <c r="E681" s="16" t="s">
        <v>7</v>
      </c>
      <c r="I681" s="17">
        <v>5</v>
      </c>
      <c r="K681" s="18">
        <f t="shared" si="15"/>
        <v>45752</v>
      </c>
      <c r="L681" s="17">
        <v>3</v>
      </c>
      <c r="M681" s="18">
        <f t="shared" si="19"/>
        <v>45756</v>
      </c>
      <c r="Q681" t="s">
        <v>4</v>
      </c>
    </row>
    <row r="682" spans="1:17" x14ac:dyDescent="0.25">
      <c r="A682" s="14">
        <v>2691</v>
      </c>
      <c r="B682" s="19">
        <v>45750</v>
      </c>
      <c r="E682" s="16" t="s">
        <v>20</v>
      </c>
      <c r="I682" s="17">
        <v>5</v>
      </c>
      <c r="K682" s="18">
        <f t="shared" si="15"/>
        <v>45754</v>
      </c>
      <c r="L682" s="17">
        <v>9</v>
      </c>
      <c r="M682" s="18">
        <f t="shared" si="19"/>
        <v>45764</v>
      </c>
      <c r="O682" t="s">
        <v>5</v>
      </c>
    </row>
    <row r="683" spans="1:17" x14ac:dyDescent="0.25">
      <c r="A683" s="14">
        <v>3212</v>
      </c>
      <c r="B683" s="19">
        <v>45751</v>
      </c>
      <c r="E683" s="16" t="s">
        <v>7</v>
      </c>
      <c r="I683" s="17">
        <v>5</v>
      </c>
      <c r="K683" s="18">
        <f t="shared" si="15"/>
        <v>45755</v>
      </c>
      <c r="L683" s="17">
        <v>3</v>
      </c>
      <c r="M683" s="18">
        <f t="shared" si="19"/>
        <v>45759</v>
      </c>
      <c r="O683" t="s">
        <v>5</v>
      </c>
      <c r="P683" t="s">
        <v>1</v>
      </c>
    </row>
    <row r="684" spans="1:17" x14ac:dyDescent="0.25">
      <c r="A684" s="14">
        <v>3026</v>
      </c>
      <c r="B684" s="19">
        <v>45751</v>
      </c>
      <c r="E684" s="16" t="s">
        <v>7</v>
      </c>
      <c r="I684" s="17">
        <v>5</v>
      </c>
      <c r="K684" s="18">
        <f t="shared" si="15"/>
        <v>45755</v>
      </c>
      <c r="L684" s="17">
        <v>3</v>
      </c>
      <c r="M684" s="18">
        <f t="shared" si="19"/>
        <v>45759</v>
      </c>
      <c r="P684" t="s">
        <v>1</v>
      </c>
    </row>
    <row r="685" spans="1:17" x14ac:dyDescent="0.25">
      <c r="A685" s="14">
        <v>3412</v>
      </c>
      <c r="B685" s="19">
        <v>45751</v>
      </c>
      <c r="E685" s="16" t="s">
        <v>20</v>
      </c>
      <c r="I685" s="17">
        <v>5</v>
      </c>
      <c r="K685" s="18">
        <f t="shared" si="15"/>
        <v>45755</v>
      </c>
      <c r="L685" s="17">
        <v>9</v>
      </c>
      <c r="M685" s="18">
        <f t="shared" si="19"/>
        <v>45765</v>
      </c>
      <c r="O685" t="s">
        <v>5</v>
      </c>
    </row>
    <row r="686" spans="1:17" x14ac:dyDescent="0.25">
      <c r="A686" s="14">
        <v>3574</v>
      </c>
      <c r="B686" s="19">
        <v>45752</v>
      </c>
      <c r="E686" s="16" t="s">
        <v>20</v>
      </c>
      <c r="I686" s="17">
        <v>5</v>
      </c>
      <c r="K686" s="18">
        <f t="shared" si="15"/>
        <v>45756</v>
      </c>
      <c r="L686" s="17">
        <v>9</v>
      </c>
      <c r="M686" s="18">
        <f t="shared" si="19"/>
        <v>45766</v>
      </c>
      <c r="N686" t="s">
        <v>3</v>
      </c>
    </row>
    <row r="687" spans="1:17" x14ac:dyDescent="0.25">
      <c r="A687" s="14">
        <v>3020</v>
      </c>
      <c r="B687" s="19">
        <v>45752</v>
      </c>
      <c r="E687" s="16" t="s">
        <v>20</v>
      </c>
      <c r="I687" s="17">
        <v>5</v>
      </c>
      <c r="K687" s="18">
        <f t="shared" si="15"/>
        <v>45756</v>
      </c>
      <c r="L687" s="17">
        <v>9</v>
      </c>
      <c r="M687" s="18">
        <f t="shared" si="19"/>
        <v>45766</v>
      </c>
      <c r="N687" t="s">
        <v>3</v>
      </c>
      <c r="P687" t="s">
        <v>1</v>
      </c>
    </row>
    <row r="688" spans="1:17" x14ac:dyDescent="0.25">
      <c r="A688" s="14">
        <v>3673</v>
      </c>
      <c r="B688" s="19">
        <v>45752</v>
      </c>
      <c r="E688" s="16" t="s">
        <v>23</v>
      </c>
      <c r="I688" s="17">
        <v>5</v>
      </c>
      <c r="K688" s="18">
        <f t="shared" si="15"/>
        <v>45756</v>
      </c>
      <c r="L688" s="17">
        <v>2</v>
      </c>
      <c r="M688" s="18">
        <f t="shared" si="19"/>
        <v>45759</v>
      </c>
      <c r="N688" t="s">
        <v>3</v>
      </c>
    </row>
    <row r="689" spans="1:17" x14ac:dyDescent="0.25">
      <c r="A689" s="14">
        <v>3054</v>
      </c>
      <c r="B689" s="19">
        <v>45752</v>
      </c>
      <c r="E689" s="16" t="s">
        <v>7</v>
      </c>
      <c r="I689" s="17">
        <v>5</v>
      </c>
      <c r="K689" s="18">
        <f t="shared" si="15"/>
        <v>45756</v>
      </c>
      <c r="L689" s="17">
        <v>3</v>
      </c>
      <c r="M689" s="18">
        <f t="shared" ref="M689:M750" si="20">K689+L689+1</f>
        <v>45760</v>
      </c>
      <c r="P689" t="s">
        <v>1</v>
      </c>
    </row>
    <row r="690" spans="1:17" x14ac:dyDescent="0.25">
      <c r="A690" s="14">
        <v>4232</v>
      </c>
      <c r="B690" s="19">
        <v>45752</v>
      </c>
      <c r="E690" s="16" t="s">
        <v>7</v>
      </c>
      <c r="I690" s="17">
        <v>5</v>
      </c>
      <c r="K690" s="18">
        <f t="shared" si="15"/>
        <v>45756</v>
      </c>
      <c r="L690" s="17">
        <v>3</v>
      </c>
      <c r="M690" s="18">
        <f t="shared" si="20"/>
        <v>45760</v>
      </c>
      <c r="O690" t="s">
        <v>5</v>
      </c>
    </row>
    <row r="691" spans="1:17" x14ac:dyDescent="0.25">
      <c r="A691" s="14">
        <v>3895</v>
      </c>
      <c r="B691" s="19">
        <v>45753</v>
      </c>
      <c r="E691" s="16" t="s">
        <v>7</v>
      </c>
      <c r="I691" s="17">
        <v>5</v>
      </c>
      <c r="K691" s="18">
        <f t="shared" si="15"/>
        <v>45757</v>
      </c>
      <c r="L691" s="17">
        <v>3</v>
      </c>
      <c r="M691" s="18">
        <f t="shared" si="20"/>
        <v>45761</v>
      </c>
      <c r="N691" t="s">
        <v>3</v>
      </c>
      <c r="P691" t="s">
        <v>1</v>
      </c>
    </row>
    <row r="692" spans="1:17" x14ac:dyDescent="0.25">
      <c r="A692" s="14">
        <v>897</v>
      </c>
      <c r="B692" s="19">
        <v>45753</v>
      </c>
      <c r="E692" s="16" t="s">
        <v>7</v>
      </c>
      <c r="I692" s="17">
        <v>5</v>
      </c>
      <c r="K692" s="18">
        <f t="shared" si="15"/>
        <v>45757</v>
      </c>
      <c r="L692" s="17">
        <v>3</v>
      </c>
      <c r="M692" s="18">
        <f t="shared" si="20"/>
        <v>45761</v>
      </c>
      <c r="N692" t="s">
        <v>3</v>
      </c>
    </row>
    <row r="693" spans="1:17" x14ac:dyDescent="0.25">
      <c r="A693" s="14">
        <v>3637</v>
      </c>
      <c r="B693" s="19">
        <v>45754</v>
      </c>
      <c r="E693" s="16" t="s">
        <v>7</v>
      </c>
      <c r="I693" s="17">
        <v>5</v>
      </c>
      <c r="K693" s="18">
        <f t="shared" si="15"/>
        <v>45758</v>
      </c>
      <c r="L693" s="17">
        <v>3</v>
      </c>
      <c r="M693" s="18">
        <f t="shared" si="20"/>
        <v>45762</v>
      </c>
      <c r="N693" t="s">
        <v>3</v>
      </c>
    </row>
    <row r="694" spans="1:17" x14ac:dyDescent="0.25">
      <c r="A694" s="14">
        <v>4713</v>
      </c>
      <c r="B694" s="19">
        <v>45754</v>
      </c>
      <c r="E694" s="16" t="s">
        <v>7</v>
      </c>
      <c r="I694" s="17">
        <v>5</v>
      </c>
      <c r="K694" s="18">
        <f t="shared" si="15"/>
        <v>45758</v>
      </c>
      <c r="L694" s="17">
        <v>3</v>
      </c>
      <c r="M694" s="18">
        <f t="shared" si="20"/>
        <v>45762</v>
      </c>
      <c r="Q694" t="s">
        <v>4</v>
      </c>
    </row>
    <row r="695" spans="1:17" x14ac:dyDescent="0.25">
      <c r="A695" s="14">
        <v>4069</v>
      </c>
      <c r="B695" s="19">
        <v>45754</v>
      </c>
      <c r="E695" s="16" t="s">
        <v>7</v>
      </c>
      <c r="I695" s="17">
        <v>5</v>
      </c>
      <c r="K695" s="18">
        <f t="shared" si="15"/>
        <v>45758</v>
      </c>
      <c r="L695" s="17">
        <v>3</v>
      </c>
      <c r="M695" s="18">
        <f t="shared" si="20"/>
        <v>45762</v>
      </c>
      <c r="N695" t="s">
        <v>3</v>
      </c>
    </row>
    <row r="696" spans="1:17" x14ac:dyDescent="0.25">
      <c r="A696" s="14">
        <v>3672</v>
      </c>
      <c r="B696" s="19">
        <v>45755</v>
      </c>
      <c r="E696" s="16" t="s">
        <v>24</v>
      </c>
      <c r="I696" s="17">
        <v>3</v>
      </c>
      <c r="K696" s="18">
        <f t="shared" si="15"/>
        <v>45757</v>
      </c>
      <c r="L696" s="17">
        <v>0</v>
      </c>
      <c r="M696" s="18">
        <f t="shared" si="20"/>
        <v>45758</v>
      </c>
      <c r="N696" t="s">
        <v>3</v>
      </c>
    </row>
    <row r="697" spans="1:17" x14ac:dyDescent="0.25">
      <c r="A697" s="14">
        <v>3095</v>
      </c>
      <c r="B697" s="19">
        <v>45755</v>
      </c>
      <c r="E697" s="16" t="s">
        <v>7</v>
      </c>
      <c r="I697" s="17">
        <v>5</v>
      </c>
      <c r="K697" s="18">
        <f t="shared" si="15"/>
        <v>45759</v>
      </c>
      <c r="L697" s="17">
        <v>3</v>
      </c>
      <c r="M697" s="18">
        <f t="shared" si="20"/>
        <v>45763</v>
      </c>
      <c r="Q697" t="s">
        <v>4</v>
      </c>
    </row>
    <row r="698" spans="1:17" x14ac:dyDescent="0.25">
      <c r="A698" s="14">
        <v>1144</v>
      </c>
      <c r="B698" s="19">
        <v>45755</v>
      </c>
      <c r="E698" s="16" t="s">
        <v>7</v>
      </c>
      <c r="I698" s="17">
        <v>5</v>
      </c>
      <c r="K698" s="18">
        <f t="shared" si="15"/>
        <v>45759</v>
      </c>
      <c r="L698" s="17">
        <v>3</v>
      </c>
      <c r="M698" s="18">
        <f t="shared" si="20"/>
        <v>45763</v>
      </c>
      <c r="N698" t="s">
        <v>3</v>
      </c>
    </row>
    <row r="699" spans="1:17" x14ac:dyDescent="0.25">
      <c r="A699" s="14">
        <v>4821</v>
      </c>
      <c r="B699" s="19">
        <v>45755</v>
      </c>
      <c r="E699" s="16" t="s">
        <v>7</v>
      </c>
      <c r="I699" s="17">
        <v>5</v>
      </c>
      <c r="K699" s="18">
        <f t="shared" si="15"/>
        <v>45759</v>
      </c>
      <c r="L699" s="17">
        <v>3</v>
      </c>
      <c r="M699" s="18">
        <f t="shared" si="20"/>
        <v>45763</v>
      </c>
      <c r="O699" t="s">
        <v>5</v>
      </c>
    </row>
    <row r="700" spans="1:17" x14ac:dyDescent="0.25">
      <c r="A700" s="14">
        <v>3391</v>
      </c>
      <c r="B700" s="19">
        <v>45756</v>
      </c>
      <c r="E700" s="16" t="s">
        <v>7</v>
      </c>
      <c r="I700" s="17">
        <v>5</v>
      </c>
      <c r="K700" s="18">
        <f t="shared" si="15"/>
        <v>45760</v>
      </c>
      <c r="L700" s="17">
        <v>3</v>
      </c>
      <c r="M700" s="18">
        <f t="shared" si="20"/>
        <v>45764</v>
      </c>
      <c r="N700" t="s">
        <v>3</v>
      </c>
    </row>
    <row r="701" spans="1:17" x14ac:dyDescent="0.25">
      <c r="A701" s="14">
        <v>3687</v>
      </c>
      <c r="B701" s="19">
        <v>45756</v>
      </c>
      <c r="E701" s="16" t="s">
        <v>7</v>
      </c>
      <c r="I701" s="17">
        <v>5</v>
      </c>
      <c r="K701" s="18">
        <f t="shared" si="15"/>
        <v>45760</v>
      </c>
      <c r="L701" s="17">
        <v>3</v>
      </c>
      <c r="M701" s="18">
        <f t="shared" si="20"/>
        <v>45764</v>
      </c>
      <c r="O701" t="s">
        <v>5</v>
      </c>
    </row>
    <row r="702" spans="1:17" x14ac:dyDescent="0.25">
      <c r="A702" s="14">
        <v>2139</v>
      </c>
      <c r="B702" s="19">
        <v>45756</v>
      </c>
      <c r="E702" s="16" t="s">
        <v>7</v>
      </c>
      <c r="I702" s="17">
        <v>5</v>
      </c>
      <c r="K702" s="18">
        <f t="shared" si="15"/>
        <v>45760</v>
      </c>
      <c r="L702" s="17">
        <v>3</v>
      </c>
      <c r="M702" s="18">
        <f t="shared" si="20"/>
        <v>45764</v>
      </c>
      <c r="N702" t="s">
        <v>3</v>
      </c>
      <c r="O702" t="s">
        <v>5</v>
      </c>
    </row>
    <row r="703" spans="1:17" x14ac:dyDescent="0.25">
      <c r="A703" s="14">
        <v>3400</v>
      </c>
      <c r="B703" s="19">
        <v>45756</v>
      </c>
      <c r="E703" s="16" t="s">
        <v>7</v>
      </c>
      <c r="I703" s="17">
        <v>5</v>
      </c>
      <c r="K703" s="18">
        <f t="shared" si="15"/>
        <v>45760</v>
      </c>
      <c r="L703" s="17">
        <v>3</v>
      </c>
      <c r="M703" s="18">
        <f t="shared" si="20"/>
        <v>45764</v>
      </c>
      <c r="P703" t="s">
        <v>1</v>
      </c>
    </row>
    <row r="704" spans="1:17" x14ac:dyDescent="0.25">
      <c r="A704" s="14">
        <v>3700</v>
      </c>
      <c r="B704" s="19">
        <v>45756</v>
      </c>
      <c r="E704" s="16" t="s">
        <v>7</v>
      </c>
      <c r="I704" s="17">
        <v>5</v>
      </c>
      <c r="K704" s="18">
        <f t="shared" si="15"/>
        <v>45760</v>
      </c>
      <c r="L704" s="17">
        <v>3</v>
      </c>
      <c r="M704" s="18">
        <f t="shared" si="20"/>
        <v>45764</v>
      </c>
      <c r="O704" t="s">
        <v>5</v>
      </c>
    </row>
    <row r="705" spans="1:17" x14ac:dyDescent="0.25">
      <c r="A705" s="14">
        <v>2361</v>
      </c>
      <c r="B705" s="19">
        <v>45758</v>
      </c>
      <c r="E705" s="16" t="s">
        <v>7</v>
      </c>
      <c r="I705" s="17">
        <v>5</v>
      </c>
      <c r="K705" s="18">
        <f t="shared" si="15"/>
        <v>45762</v>
      </c>
      <c r="L705" s="17">
        <v>3</v>
      </c>
      <c r="M705" s="18">
        <f t="shared" si="20"/>
        <v>45766</v>
      </c>
      <c r="O705" t="s">
        <v>5</v>
      </c>
    </row>
    <row r="706" spans="1:17" x14ac:dyDescent="0.25">
      <c r="A706" s="14">
        <v>4214</v>
      </c>
      <c r="B706" s="19">
        <v>45758</v>
      </c>
      <c r="E706" s="16" t="s">
        <v>7</v>
      </c>
      <c r="I706" s="17">
        <v>5</v>
      </c>
      <c r="K706" s="18">
        <f t="shared" si="15"/>
        <v>45762</v>
      </c>
      <c r="L706" s="17">
        <v>3</v>
      </c>
      <c r="M706" s="18">
        <f t="shared" si="20"/>
        <v>45766</v>
      </c>
      <c r="P706" t="s">
        <v>1</v>
      </c>
      <c r="Q706" t="s">
        <v>4</v>
      </c>
    </row>
    <row r="707" spans="1:17" x14ac:dyDescent="0.25">
      <c r="A707" s="14">
        <v>3435</v>
      </c>
      <c r="B707" s="19">
        <v>45758</v>
      </c>
      <c r="E707" s="16" t="s">
        <v>21</v>
      </c>
      <c r="I707" s="17">
        <v>5</v>
      </c>
      <c r="K707" s="18">
        <f t="shared" si="15"/>
        <v>45762</v>
      </c>
      <c r="L707" s="17">
        <v>9</v>
      </c>
      <c r="M707" s="18">
        <f t="shared" si="20"/>
        <v>45772</v>
      </c>
      <c r="P707" t="s">
        <v>1</v>
      </c>
    </row>
    <row r="708" spans="1:17" x14ac:dyDescent="0.25">
      <c r="A708" s="14">
        <v>4871</v>
      </c>
      <c r="B708" s="19">
        <v>45759</v>
      </c>
      <c r="E708" s="16" t="s">
        <v>7</v>
      </c>
      <c r="I708" s="17">
        <v>5</v>
      </c>
      <c r="K708" s="18">
        <f t="shared" si="15"/>
        <v>45763</v>
      </c>
      <c r="L708" s="17">
        <v>3</v>
      </c>
      <c r="M708" s="18">
        <f t="shared" si="20"/>
        <v>45767</v>
      </c>
      <c r="P708" t="s">
        <v>1</v>
      </c>
    </row>
    <row r="709" spans="1:17" x14ac:dyDescent="0.25">
      <c r="A709" s="14">
        <v>4391</v>
      </c>
      <c r="B709" s="19">
        <v>45759</v>
      </c>
      <c r="E709" s="16" t="s">
        <v>7</v>
      </c>
      <c r="I709" s="17">
        <v>5</v>
      </c>
      <c r="K709" s="18">
        <f t="shared" si="15"/>
        <v>45763</v>
      </c>
      <c r="L709" s="17">
        <v>3</v>
      </c>
      <c r="M709" s="18">
        <f t="shared" si="20"/>
        <v>45767</v>
      </c>
      <c r="N709" t="s">
        <v>3</v>
      </c>
    </row>
    <row r="710" spans="1:17" x14ac:dyDescent="0.25">
      <c r="A710" s="14">
        <v>2997</v>
      </c>
      <c r="B710" s="19">
        <v>45759</v>
      </c>
      <c r="E710" s="16" t="s">
        <v>7</v>
      </c>
      <c r="I710" s="17">
        <v>5</v>
      </c>
      <c r="K710" s="18">
        <f t="shared" si="15"/>
        <v>45763</v>
      </c>
      <c r="L710" s="17">
        <v>3</v>
      </c>
      <c r="M710" s="18">
        <f t="shared" si="20"/>
        <v>45767</v>
      </c>
      <c r="O710" t="s">
        <v>5</v>
      </c>
    </row>
    <row r="711" spans="1:17" x14ac:dyDescent="0.25">
      <c r="A711" s="14">
        <v>4548</v>
      </c>
      <c r="B711" s="19">
        <v>45760</v>
      </c>
      <c r="E711" s="16" t="s">
        <v>7</v>
      </c>
      <c r="I711" s="17">
        <v>5</v>
      </c>
      <c r="K711" s="18">
        <f t="shared" si="15"/>
        <v>45764</v>
      </c>
      <c r="L711" s="17">
        <v>3</v>
      </c>
      <c r="M711" s="18">
        <f t="shared" si="20"/>
        <v>45768</v>
      </c>
      <c r="P711" t="s">
        <v>1</v>
      </c>
    </row>
    <row r="712" spans="1:17" x14ac:dyDescent="0.25">
      <c r="A712" s="14">
        <v>3055</v>
      </c>
      <c r="B712" s="19">
        <v>45761</v>
      </c>
      <c r="E712" s="16" t="s">
        <v>7</v>
      </c>
      <c r="I712" s="17">
        <v>5</v>
      </c>
      <c r="K712" s="18">
        <f t="shared" si="15"/>
        <v>45765</v>
      </c>
      <c r="L712" s="17">
        <v>3</v>
      </c>
      <c r="M712" s="18">
        <f t="shared" si="20"/>
        <v>45769</v>
      </c>
      <c r="O712" t="s">
        <v>5</v>
      </c>
    </row>
    <row r="713" spans="1:17" x14ac:dyDescent="0.25">
      <c r="A713" s="14">
        <v>1788</v>
      </c>
      <c r="B713" s="19">
        <v>45761</v>
      </c>
      <c r="E713" s="16" t="s">
        <v>7</v>
      </c>
      <c r="I713" s="17">
        <v>5</v>
      </c>
      <c r="K713" s="18">
        <f t="shared" si="15"/>
        <v>45765</v>
      </c>
      <c r="L713" s="17">
        <v>3</v>
      </c>
      <c r="M713" s="18">
        <f t="shared" si="20"/>
        <v>45769</v>
      </c>
      <c r="O713" t="s">
        <v>5</v>
      </c>
    </row>
    <row r="714" spans="1:17" x14ac:dyDescent="0.25">
      <c r="A714" s="14">
        <v>3289</v>
      </c>
      <c r="B714" s="19">
        <v>45762</v>
      </c>
      <c r="E714" s="16" t="s">
        <v>21</v>
      </c>
      <c r="I714" s="17">
        <v>5</v>
      </c>
      <c r="K714" s="18">
        <f t="shared" si="15"/>
        <v>45766</v>
      </c>
      <c r="L714" s="17">
        <v>9</v>
      </c>
      <c r="M714" s="18">
        <f t="shared" si="20"/>
        <v>45776</v>
      </c>
      <c r="N714" t="s">
        <v>3</v>
      </c>
      <c r="P714" t="s">
        <v>1</v>
      </c>
      <c r="Q714" t="s">
        <v>4</v>
      </c>
    </row>
    <row r="715" spans="1:17" x14ac:dyDescent="0.25">
      <c r="A715" s="14">
        <v>3685</v>
      </c>
      <c r="B715" s="19">
        <v>45762</v>
      </c>
      <c r="E715" s="16" t="s">
        <v>7</v>
      </c>
      <c r="I715" s="17">
        <v>5</v>
      </c>
      <c r="K715" s="18">
        <f t="shared" si="15"/>
        <v>45766</v>
      </c>
      <c r="L715" s="17">
        <v>3</v>
      </c>
      <c r="M715" s="18">
        <f t="shared" si="20"/>
        <v>45770</v>
      </c>
      <c r="O715" t="s">
        <v>5</v>
      </c>
    </row>
    <row r="716" spans="1:17" x14ac:dyDescent="0.25">
      <c r="A716" s="14">
        <v>2234</v>
      </c>
      <c r="B716" s="19">
        <v>45762</v>
      </c>
      <c r="E716" s="16" t="s">
        <v>7</v>
      </c>
      <c r="I716" s="17">
        <v>5</v>
      </c>
      <c r="K716" s="18">
        <f t="shared" si="15"/>
        <v>45766</v>
      </c>
      <c r="L716" s="17">
        <v>3</v>
      </c>
      <c r="M716" s="18">
        <f t="shared" si="20"/>
        <v>45770</v>
      </c>
      <c r="P716" t="s">
        <v>1</v>
      </c>
    </row>
    <row r="717" spans="1:17" x14ac:dyDescent="0.25">
      <c r="A717" s="14">
        <v>2850</v>
      </c>
      <c r="B717" s="19">
        <v>45763</v>
      </c>
      <c r="E717" s="16" t="s">
        <v>7</v>
      </c>
      <c r="I717" s="17">
        <v>5</v>
      </c>
      <c r="K717" s="18">
        <f t="shared" si="15"/>
        <v>45767</v>
      </c>
      <c r="L717" s="17">
        <v>3</v>
      </c>
      <c r="M717" s="18">
        <f t="shared" si="20"/>
        <v>45771</v>
      </c>
      <c r="Q717" t="s">
        <v>4</v>
      </c>
    </row>
    <row r="718" spans="1:17" x14ac:dyDescent="0.25">
      <c r="A718" s="14">
        <v>3095</v>
      </c>
      <c r="B718" s="19">
        <v>45763</v>
      </c>
      <c r="E718" s="16" t="s">
        <v>21</v>
      </c>
      <c r="I718" s="17">
        <v>5</v>
      </c>
      <c r="K718" s="18">
        <f t="shared" si="15"/>
        <v>45767</v>
      </c>
      <c r="L718" s="17">
        <v>9</v>
      </c>
      <c r="M718" s="18">
        <f t="shared" si="20"/>
        <v>45777</v>
      </c>
      <c r="Q718" t="s">
        <v>4</v>
      </c>
    </row>
    <row r="719" spans="1:17" x14ac:dyDescent="0.25">
      <c r="A719" s="14">
        <v>4416</v>
      </c>
      <c r="B719" s="19">
        <v>45763</v>
      </c>
      <c r="E719" s="16" t="s">
        <v>7</v>
      </c>
      <c r="I719" s="17">
        <v>5</v>
      </c>
      <c r="K719" s="18">
        <f t="shared" si="15"/>
        <v>45767</v>
      </c>
      <c r="L719" s="17">
        <v>3</v>
      </c>
      <c r="M719" s="18">
        <f t="shared" si="20"/>
        <v>45771</v>
      </c>
      <c r="Q719" t="s">
        <v>4</v>
      </c>
    </row>
    <row r="720" spans="1:17" x14ac:dyDescent="0.25">
      <c r="A720" s="14">
        <v>3779</v>
      </c>
      <c r="B720" s="19">
        <v>45763</v>
      </c>
      <c r="E720" s="16" t="s">
        <v>7</v>
      </c>
      <c r="I720" s="17">
        <v>5</v>
      </c>
      <c r="K720" s="18">
        <f t="shared" si="15"/>
        <v>45767</v>
      </c>
      <c r="L720" s="17">
        <v>3</v>
      </c>
      <c r="M720" s="18">
        <f t="shared" si="20"/>
        <v>45771</v>
      </c>
      <c r="P720" t="s">
        <v>1</v>
      </c>
    </row>
    <row r="721" spans="1:17" x14ac:dyDescent="0.25">
      <c r="A721" s="14">
        <v>3564</v>
      </c>
      <c r="B721" s="19">
        <v>45763</v>
      </c>
      <c r="E721" s="16" t="s">
        <v>7</v>
      </c>
      <c r="I721" s="17">
        <v>5</v>
      </c>
      <c r="K721" s="18">
        <f t="shared" si="15"/>
        <v>45767</v>
      </c>
      <c r="L721" s="17">
        <v>3</v>
      </c>
      <c r="M721" s="18">
        <f t="shared" si="20"/>
        <v>45771</v>
      </c>
      <c r="N721" t="s">
        <v>3</v>
      </c>
    </row>
    <row r="722" spans="1:17" x14ac:dyDescent="0.25">
      <c r="A722" s="14">
        <v>4821</v>
      </c>
      <c r="B722" s="19">
        <v>45764</v>
      </c>
      <c r="E722" s="16" t="s">
        <v>8</v>
      </c>
      <c r="I722" s="17">
        <v>5</v>
      </c>
      <c r="K722" s="18">
        <f t="shared" si="15"/>
        <v>45768</v>
      </c>
      <c r="L722" s="17">
        <v>4</v>
      </c>
      <c r="M722" s="18">
        <f t="shared" si="20"/>
        <v>45773</v>
      </c>
      <c r="O722" t="s">
        <v>5</v>
      </c>
    </row>
    <row r="723" spans="1:17" x14ac:dyDescent="0.25">
      <c r="A723" s="14">
        <v>3579</v>
      </c>
      <c r="B723" s="19">
        <v>45764</v>
      </c>
      <c r="E723" s="16" t="s">
        <v>7</v>
      </c>
      <c r="I723" s="17">
        <v>5</v>
      </c>
      <c r="K723" s="18">
        <f t="shared" si="15"/>
        <v>45768</v>
      </c>
      <c r="L723" s="17">
        <v>3</v>
      </c>
      <c r="M723" s="18">
        <f t="shared" si="20"/>
        <v>45772</v>
      </c>
      <c r="Q723" t="s">
        <v>4</v>
      </c>
    </row>
    <row r="724" spans="1:17" x14ac:dyDescent="0.25">
      <c r="A724" s="14">
        <v>218</v>
      </c>
      <c r="B724" s="19">
        <v>45764</v>
      </c>
      <c r="E724" s="16" t="s">
        <v>7</v>
      </c>
      <c r="I724" s="17">
        <v>5</v>
      </c>
      <c r="K724" s="18">
        <f t="shared" si="15"/>
        <v>45768</v>
      </c>
      <c r="L724" s="17">
        <v>3</v>
      </c>
      <c r="M724" s="18">
        <f t="shared" si="20"/>
        <v>45772</v>
      </c>
      <c r="N724" t="s">
        <v>3</v>
      </c>
    </row>
    <row r="725" spans="1:17" x14ac:dyDescent="0.25">
      <c r="A725" s="14">
        <v>3687</v>
      </c>
      <c r="B725" s="19">
        <v>45764</v>
      </c>
      <c r="E725" s="16" t="s">
        <v>8</v>
      </c>
      <c r="I725" s="17">
        <v>5</v>
      </c>
      <c r="K725" s="18">
        <f t="shared" si="15"/>
        <v>45768</v>
      </c>
      <c r="L725" s="17">
        <v>4</v>
      </c>
      <c r="M725" s="18">
        <f t="shared" si="20"/>
        <v>45773</v>
      </c>
      <c r="O725" t="s">
        <v>5</v>
      </c>
      <c r="Q725" t="s">
        <v>4</v>
      </c>
    </row>
    <row r="726" spans="1:17" x14ac:dyDescent="0.25">
      <c r="A726" s="14">
        <v>4021</v>
      </c>
      <c r="B726" s="19">
        <v>45764</v>
      </c>
      <c r="E726" s="16" t="s">
        <v>8</v>
      </c>
      <c r="I726" s="17">
        <v>5</v>
      </c>
      <c r="K726" s="18">
        <f t="shared" si="15"/>
        <v>45768</v>
      </c>
      <c r="L726" s="17">
        <v>4</v>
      </c>
      <c r="M726" s="18">
        <f t="shared" si="20"/>
        <v>45773</v>
      </c>
      <c r="P726" t="s">
        <v>1</v>
      </c>
    </row>
    <row r="727" spans="1:17" x14ac:dyDescent="0.25">
      <c r="A727" s="14">
        <v>4214</v>
      </c>
      <c r="B727" s="19">
        <v>45765</v>
      </c>
      <c r="E727" s="16" t="s">
        <v>20</v>
      </c>
      <c r="I727" s="17">
        <v>5</v>
      </c>
      <c r="K727" s="18">
        <f t="shared" si="15"/>
        <v>45769</v>
      </c>
      <c r="L727" s="17">
        <v>9</v>
      </c>
      <c r="M727" s="18">
        <f t="shared" si="20"/>
        <v>45779</v>
      </c>
      <c r="P727" t="s">
        <v>1</v>
      </c>
      <c r="Q727" t="s">
        <v>4</v>
      </c>
    </row>
    <row r="728" spans="1:17" x14ac:dyDescent="0.25">
      <c r="A728" s="14">
        <v>3063</v>
      </c>
      <c r="B728" s="19">
        <v>45766</v>
      </c>
      <c r="E728" s="16" t="s">
        <v>7</v>
      </c>
      <c r="I728" s="17">
        <v>5</v>
      </c>
      <c r="K728" s="18">
        <f t="shared" si="15"/>
        <v>45770</v>
      </c>
      <c r="L728" s="17">
        <v>3</v>
      </c>
      <c r="M728" s="18">
        <f t="shared" si="20"/>
        <v>45774</v>
      </c>
      <c r="N728" t="s">
        <v>3</v>
      </c>
      <c r="O728" t="s">
        <v>5</v>
      </c>
    </row>
    <row r="729" spans="1:17" x14ac:dyDescent="0.25">
      <c r="A729" s="14">
        <v>1227</v>
      </c>
      <c r="B729" s="19">
        <v>45767</v>
      </c>
      <c r="E729" s="16" t="s">
        <v>7</v>
      </c>
      <c r="I729" s="17">
        <v>5</v>
      </c>
      <c r="K729" s="18">
        <f t="shared" si="15"/>
        <v>45771</v>
      </c>
      <c r="L729" s="17">
        <v>3</v>
      </c>
      <c r="M729" s="18">
        <f t="shared" si="20"/>
        <v>45775</v>
      </c>
      <c r="O729" t="s">
        <v>5</v>
      </c>
    </row>
    <row r="730" spans="1:17" x14ac:dyDescent="0.25">
      <c r="A730" s="14">
        <v>2544</v>
      </c>
      <c r="B730" s="19">
        <v>45767</v>
      </c>
      <c r="E730" s="16" t="s">
        <v>7</v>
      </c>
      <c r="I730" s="17">
        <v>5</v>
      </c>
      <c r="K730" s="18">
        <f t="shared" si="15"/>
        <v>45771</v>
      </c>
      <c r="L730" s="17">
        <v>3</v>
      </c>
      <c r="M730" s="18">
        <f t="shared" si="20"/>
        <v>45775</v>
      </c>
      <c r="Q730" t="s">
        <v>4</v>
      </c>
    </row>
    <row r="731" spans="1:17" x14ac:dyDescent="0.25">
      <c r="A731" s="14">
        <v>2361</v>
      </c>
      <c r="B731" s="19">
        <v>45768</v>
      </c>
      <c r="E731" s="16" t="s">
        <v>20</v>
      </c>
      <c r="I731" s="17">
        <v>5</v>
      </c>
      <c r="K731" s="18">
        <f t="shared" si="15"/>
        <v>45772</v>
      </c>
      <c r="L731" s="17">
        <v>9</v>
      </c>
      <c r="M731" s="18">
        <f t="shared" si="20"/>
        <v>45782</v>
      </c>
      <c r="Q731" t="s">
        <v>4</v>
      </c>
    </row>
    <row r="732" spans="1:17" x14ac:dyDescent="0.25">
      <c r="A732" s="14">
        <v>3564</v>
      </c>
      <c r="B732" s="19">
        <v>45769</v>
      </c>
      <c r="E732" s="16" t="s">
        <v>8</v>
      </c>
      <c r="I732" s="17">
        <v>5</v>
      </c>
      <c r="K732" s="18">
        <f t="shared" si="15"/>
        <v>45773</v>
      </c>
      <c r="L732" s="17">
        <v>4</v>
      </c>
      <c r="M732" s="18">
        <f t="shared" si="20"/>
        <v>45778</v>
      </c>
      <c r="P732" t="s">
        <v>1</v>
      </c>
    </row>
    <row r="733" spans="1:17" x14ac:dyDescent="0.25">
      <c r="A733" s="14">
        <v>3779</v>
      </c>
      <c r="B733" s="19">
        <v>45769</v>
      </c>
      <c r="E733" s="16" t="s">
        <v>8</v>
      </c>
      <c r="I733" s="17">
        <v>5</v>
      </c>
      <c r="K733" s="18">
        <f t="shared" si="15"/>
        <v>45773</v>
      </c>
      <c r="L733" s="17">
        <v>4</v>
      </c>
      <c r="M733" s="18">
        <f t="shared" si="20"/>
        <v>45778</v>
      </c>
      <c r="P733" t="s">
        <v>1</v>
      </c>
    </row>
    <row r="734" spans="1:17" x14ac:dyDescent="0.25">
      <c r="A734" s="14">
        <v>4124</v>
      </c>
      <c r="B734" s="19">
        <v>45769</v>
      </c>
      <c r="E734" s="16" t="s">
        <v>7</v>
      </c>
      <c r="I734" s="17">
        <v>5</v>
      </c>
      <c r="K734" s="18">
        <f t="shared" si="15"/>
        <v>45773</v>
      </c>
      <c r="L734" s="17">
        <v>3</v>
      </c>
      <c r="M734" s="18">
        <f t="shared" si="20"/>
        <v>45777</v>
      </c>
      <c r="N734" t="s">
        <v>3</v>
      </c>
    </row>
    <row r="735" spans="1:17" x14ac:dyDescent="0.25">
      <c r="A735" s="14">
        <v>2996</v>
      </c>
      <c r="B735" s="19">
        <v>45771</v>
      </c>
      <c r="E735" s="16" t="s">
        <v>7</v>
      </c>
      <c r="I735" s="17">
        <v>5</v>
      </c>
      <c r="K735" s="18">
        <f t="shared" si="15"/>
        <v>45775</v>
      </c>
      <c r="L735" s="17">
        <v>3</v>
      </c>
      <c r="M735" s="18">
        <f t="shared" si="20"/>
        <v>45779</v>
      </c>
      <c r="Q735" t="s">
        <v>4</v>
      </c>
    </row>
    <row r="736" spans="1:17" x14ac:dyDescent="0.25">
      <c r="A736" s="14">
        <v>2018</v>
      </c>
      <c r="B736" s="19">
        <v>45771</v>
      </c>
      <c r="E736" s="16" t="s">
        <v>7</v>
      </c>
      <c r="I736" s="17">
        <v>5</v>
      </c>
      <c r="K736" s="18">
        <f t="shared" si="15"/>
        <v>45775</v>
      </c>
      <c r="L736" s="17">
        <v>3</v>
      </c>
      <c r="M736" s="18">
        <f t="shared" si="20"/>
        <v>45779</v>
      </c>
      <c r="P736" t="s">
        <v>1</v>
      </c>
    </row>
    <row r="737" spans="1:17" x14ac:dyDescent="0.25">
      <c r="A737" s="14">
        <v>3064</v>
      </c>
      <c r="B737" s="19">
        <v>45772</v>
      </c>
      <c r="E737" s="16" t="s">
        <v>7</v>
      </c>
      <c r="I737" s="17">
        <v>5</v>
      </c>
      <c r="K737" s="18">
        <f t="shared" si="15"/>
        <v>45776</v>
      </c>
      <c r="L737" s="17">
        <v>3</v>
      </c>
      <c r="M737" s="18">
        <f t="shared" si="20"/>
        <v>45780</v>
      </c>
      <c r="Q737" t="s">
        <v>4</v>
      </c>
    </row>
    <row r="738" spans="1:17" x14ac:dyDescent="0.25">
      <c r="A738" s="14">
        <v>4416</v>
      </c>
      <c r="B738" s="19">
        <v>45772</v>
      </c>
      <c r="E738" s="16" t="s">
        <v>20</v>
      </c>
      <c r="I738" s="17">
        <v>5</v>
      </c>
      <c r="K738" s="18">
        <f t="shared" si="15"/>
        <v>45776</v>
      </c>
      <c r="L738" s="17">
        <v>9</v>
      </c>
      <c r="M738" s="18">
        <f t="shared" si="20"/>
        <v>45786</v>
      </c>
      <c r="Q738" t="s">
        <v>4</v>
      </c>
    </row>
    <row r="739" spans="1:17" x14ac:dyDescent="0.25">
      <c r="A739" s="14">
        <v>4347</v>
      </c>
      <c r="B739" s="19">
        <v>45773</v>
      </c>
      <c r="E739" s="16" t="s">
        <v>7</v>
      </c>
      <c r="I739" s="17">
        <v>5</v>
      </c>
      <c r="K739" s="18">
        <f t="shared" si="15"/>
        <v>45777</v>
      </c>
      <c r="L739" s="17">
        <v>3</v>
      </c>
      <c r="M739" s="18">
        <f t="shared" si="20"/>
        <v>45781</v>
      </c>
      <c r="N739" t="s">
        <v>3</v>
      </c>
    </row>
    <row r="740" spans="1:17" x14ac:dyDescent="0.25">
      <c r="A740" s="14">
        <v>4033</v>
      </c>
      <c r="B740" s="19">
        <v>45773</v>
      </c>
      <c r="E740" s="16" t="s">
        <v>7</v>
      </c>
      <c r="I740" s="17">
        <v>5</v>
      </c>
      <c r="K740" s="18">
        <f t="shared" si="15"/>
        <v>45777</v>
      </c>
      <c r="L740" s="17">
        <v>3</v>
      </c>
      <c r="M740" s="18">
        <f t="shared" si="20"/>
        <v>45781</v>
      </c>
      <c r="O740" t="s">
        <v>5</v>
      </c>
    </row>
    <row r="741" spans="1:17" x14ac:dyDescent="0.25">
      <c r="A741" s="14">
        <v>3057</v>
      </c>
      <c r="B741" s="19">
        <v>45773</v>
      </c>
      <c r="E741" s="16" t="s">
        <v>7</v>
      </c>
      <c r="I741" s="17">
        <v>5</v>
      </c>
      <c r="K741" s="18">
        <f t="shared" si="15"/>
        <v>45777</v>
      </c>
      <c r="L741" s="17">
        <v>3</v>
      </c>
      <c r="M741" s="18">
        <f t="shared" si="20"/>
        <v>45781</v>
      </c>
      <c r="O741" t="s">
        <v>5</v>
      </c>
    </row>
    <row r="742" spans="1:17" x14ac:dyDescent="0.25">
      <c r="A742" s="14">
        <v>3433</v>
      </c>
      <c r="B742" s="19">
        <v>45775</v>
      </c>
      <c r="E742" s="16" t="s">
        <v>7</v>
      </c>
      <c r="I742" s="17">
        <v>5</v>
      </c>
      <c r="K742" s="18">
        <f t="shared" si="15"/>
        <v>45779</v>
      </c>
      <c r="L742" s="17">
        <v>3</v>
      </c>
      <c r="M742" s="18">
        <f t="shared" si="20"/>
        <v>45783</v>
      </c>
      <c r="P742" t="s">
        <v>1</v>
      </c>
    </row>
    <row r="743" spans="1:17" x14ac:dyDescent="0.25">
      <c r="A743" s="14">
        <v>3070</v>
      </c>
      <c r="B743" s="19">
        <v>45775</v>
      </c>
      <c r="E743" s="16" t="s">
        <v>7</v>
      </c>
      <c r="I743" s="17">
        <v>5</v>
      </c>
      <c r="K743" s="18">
        <f t="shared" si="15"/>
        <v>45779</v>
      </c>
      <c r="L743" s="17">
        <v>3</v>
      </c>
      <c r="M743" s="18">
        <f t="shared" si="20"/>
        <v>45783</v>
      </c>
      <c r="P743" t="s">
        <v>1</v>
      </c>
    </row>
    <row r="744" spans="1:17" x14ac:dyDescent="0.25">
      <c r="A744" s="14">
        <v>4366</v>
      </c>
      <c r="B744" s="19">
        <v>45775</v>
      </c>
      <c r="E744" s="16" t="s">
        <v>7</v>
      </c>
      <c r="I744" s="17">
        <v>5</v>
      </c>
      <c r="K744" s="18">
        <f t="shared" si="15"/>
        <v>45779</v>
      </c>
      <c r="L744" s="17">
        <v>3</v>
      </c>
      <c r="M744" s="18">
        <f t="shared" si="20"/>
        <v>45783</v>
      </c>
      <c r="Q744" t="s">
        <v>4</v>
      </c>
    </row>
    <row r="745" spans="1:17" x14ac:dyDescent="0.25">
      <c r="A745" s="14">
        <v>4241</v>
      </c>
      <c r="B745" s="19">
        <v>45775</v>
      </c>
      <c r="E745" s="16" t="s">
        <v>7</v>
      </c>
      <c r="I745" s="17">
        <v>5</v>
      </c>
      <c r="K745" s="18">
        <f t="shared" si="15"/>
        <v>45779</v>
      </c>
      <c r="L745" s="17">
        <v>3</v>
      </c>
      <c r="M745" s="18">
        <f t="shared" si="20"/>
        <v>45783</v>
      </c>
      <c r="N745" t="s">
        <v>3</v>
      </c>
    </row>
    <row r="746" spans="1:17" x14ac:dyDescent="0.25">
      <c r="A746" s="14">
        <v>2439</v>
      </c>
      <c r="B746" s="19">
        <v>45776</v>
      </c>
      <c r="E746" s="16" t="s">
        <v>20</v>
      </c>
      <c r="I746" s="17">
        <v>5</v>
      </c>
      <c r="K746" s="18">
        <f t="shared" si="15"/>
        <v>45780</v>
      </c>
      <c r="L746" s="17">
        <v>9</v>
      </c>
      <c r="M746" s="18">
        <f t="shared" si="20"/>
        <v>45790</v>
      </c>
      <c r="O746" t="s">
        <v>5</v>
      </c>
    </row>
    <row r="747" spans="1:17" x14ac:dyDescent="0.25">
      <c r="A747" s="14">
        <v>4374</v>
      </c>
      <c r="B747" s="19">
        <v>45776</v>
      </c>
      <c r="E747" s="16" t="s">
        <v>7</v>
      </c>
      <c r="I747" s="17">
        <v>5</v>
      </c>
      <c r="K747" s="18">
        <f t="shared" si="15"/>
        <v>45780</v>
      </c>
      <c r="L747" s="17">
        <v>3</v>
      </c>
      <c r="M747" s="18">
        <f t="shared" si="20"/>
        <v>45784</v>
      </c>
      <c r="O747" t="s">
        <v>5</v>
      </c>
    </row>
    <row r="748" spans="1:17" x14ac:dyDescent="0.25">
      <c r="A748" s="14">
        <v>218</v>
      </c>
      <c r="B748" s="19">
        <v>45776</v>
      </c>
      <c r="E748" s="16" t="s">
        <v>20</v>
      </c>
      <c r="I748" s="17">
        <v>5</v>
      </c>
      <c r="K748" s="18">
        <f t="shared" si="15"/>
        <v>45780</v>
      </c>
      <c r="L748" s="17">
        <v>9</v>
      </c>
      <c r="M748" s="18">
        <f t="shared" si="20"/>
        <v>45790</v>
      </c>
      <c r="N748" t="s">
        <v>3</v>
      </c>
    </row>
    <row r="749" spans="1:17" x14ac:dyDescent="0.25">
      <c r="A749" s="14">
        <v>4124</v>
      </c>
      <c r="B749" s="19">
        <v>45777</v>
      </c>
      <c r="E749" s="16" t="s">
        <v>7</v>
      </c>
      <c r="I749" s="17">
        <v>5</v>
      </c>
      <c r="K749" s="18">
        <f t="shared" si="15"/>
        <v>45781</v>
      </c>
      <c r="L749" s="17">
        <v>3</v>
      </c>
      <c r="M749" s="18">
        <f t="shared" si="20"/>
        <v>45785</v>
      </c>
      <c r="N749" t="s">
        <v>3</v>
      </c>
    </row>
    <row r="750" spans="1:17" x14ac:dyDescent="0.25">
      <c r="A750" s="14">
        <v>3479</v>
      </c>
      <c r="B750" s="19">
        <v>45778</v>
      </c>
      <c r="E750" s="16" t="s">
        <v>7</v>
      </c>
      <c r="I750" s="17">
        <v>5</v>
      </c>
      <c r="K750" s="18">
        <f t="shared" si="15"/>
        <v>45782</v>
      </c>
      <c r="L750" s="17">
        <v>3</v>
      </c>
      <c r="M750" s="18">
        <f t="shared" si="20"/>
        <v>45786</v>
      </c>
      <c r="N750" t="s">
        <v>3</v>
      </c>
    </row>
    <row r="751" spans="1:17" x14ac:dyDescent="0.25">
      <c r="A751" s="14">
        <v>2385</v>
      </c>
      <c r="B751" s="19">
        <v>45778</v>
      </c>
      <c r="E751" s="16" t="s">
        <v>7</v>
      </c>
      <c r="I751" s="17">
        <v>5</v>
      </c>
      <c r="K751" s="18">
        <f t="shared" si="15"/>
        <v>45782</v>
      </c>
      <c r="L751" s="17">
        <v>3</v>
      </c>
      <c r="M751" s="18">
        <f t="shared" ref="M751:M869" si="21">K751+L751+1</f>
        <v>45786</v>
      </c>
      <c r="N751" t="s">
        <v>3</v>
      </c>
    </row>
    <row r="752" spans="1:17" x14ac:dyDescent="0.25">
      <c r="A752" s="14">
        <v>3294</v>
      </c>
      <c r="B752" s="19">
        <v>45779</v>
      </c>
      <c r="E752" s="16" t="s">
        <v>7</v>
      </c>
      <c r="I752" s="17">
        <v>5</v>
      </c>
      <c r="K752" s="18">
        <f t="shared" si="15"/>
        <v>45783</v>
      </c>
      <c r="L752" s="17">
        <v>3</v>
      </c>
      <c r="M752" s="18">
        <f t="shared" si="21"/>
        <v>45787</v>
      </c>
      <c r="N752" t="s">
        <v>3</v>
      </c>
    </row>
    <row r="753" spans="1:17" x14ac:dyDescent="0.25">
      <c r="A753" s="14">
        <v>2361</v>
      </c>
      <c r="B753" s="19">
        <v>45779</v>
      </c>
      <c r="E753" s="16" t="s">
        <v>20</v>
      </c>
      <c r="I753" s="17">
        <v>5</v>
      </c>
      <c r="K753" s="18">
        <f t="shared" si="15"/>
        <v>45783</v>
      </c>
      <c r="L753" s="17">
        <v>9</v>
      </c>
      <c r="M753" s="18">
        <f t="shared" si="21"/>
        <v>45793</v>
      </c>
      <c r="Q753" t="s">
        <v>4</v>
      </c>
    </row>
    <row r="754" spans="1:17" x14ac:dyDescent="0.25">
      <c r="A754" s="14">
        <v>3909</v>
      </c>
      <c r="B754" s="19">
        <v>45779</v>
      </c>
      <c r="E754" s="16" t="s">
        <v>7</v>
      </c>
      <c r="I754" s="17">
        <v>5</v>
      </c>
      <c r="K754" s="18">
        <f t="shared" si="15"/>
        <v>45783</v>
      </c>
      <c r="L754" s="17">
        <v>3</v>
      </c>
      <c r="M754" s="18">
        <f t="shared" si="21"/>
        <v>45787</v>
      </c>
      <c r="N754" t="s">
        <v>3</v>
      </c>
      <c r="Q754" t="s">
        <v>4</v>
      </c>
    </row>
    <row r="755" spans="1:17" x14ac:dyDescent="0.25">
      <c r="A755" s="14">
        <v>4641</v>
      </c>
      <c r="B755" s="19">
        <v>45779</v>
      </c>
      <c r="E755" s="16" t="s">
        <v>7</v>
      </c>
      <c r="I755" s="17">
        <v>5</v>
      </c>
      <c r="K755" s="18">
        <f t="shared" si="15"/>
        <v>45783</v>
      </c>
      <c r="L755" s="17">
        <v>3</v>
      </c>
      <c r="M755" s="18">
        <f t="shared" si="21"/>
        <v>45787</v>
      </c>
      <c r="Q755" t="s">
        <v>4</v>
      </c>
    </row>
    <row r="756" spans="1:17" x14ac:dyDescent="0.25">
      <c r="A756" s="14">
        <v>2979</v>
      </c>
      <c r="B756" s="19">
        <v>45780</v>
      </c>
      <c r="E756" s="16" t="s">
        <v>7</v>
      </c>
      <c r="I756" s="17">
        <v>5</v>
      </c>
      <c r="K756" s="18">
        <f t="shared" si="15"/>
        <v>45784</v>
      </c>
      <c r="L756" s="17">
        <v>3</v>
      </c>
      <c r="M756" s="18">
        <f t="shared" si="21"/>
        <v>45788</v>
      </c>
      <c r="Q756" t="s">
        <v>4</v>
      </c>
    </row>
    <row r="757" spans="1:17" x14ac:dyDescent="0.25">
      <c r="A757" s="14">
        <v>3804</v>
      </c>
      <c r="B757" s="19">
        <v>45780</v>
      </c>
      <c r="E757" s="16" t="s">
        <v>7</v>
      </c>
      <c r="I757" s="17">
        <v>5</v>
      </c>
      <c r="K757" s="18">
        <f t="shared" si="15"/>
        <v>45784</v>
      </c>
      <c r="L757" s="17">
        <v>3</v>
      </c>
      <c r="M757" s="18">
        <f t="shared" si="21"/>
        <v>45788</v>
      </c>
      <c r="Q757" t="s">
        <v>4</v>
      </c>
    </row>
    <row r="758" spans="1:17" x14ac:dyDescent="0.25">
      <c r="A758" s="14">
        <v>3779</v>
      </c>
      <c r="B758" s="19">
        <v>45780</v>
      </c>
      <c r="E758" s="16" t="s">
        <v>7</v>
      </c>
      <c r="I758" s="17">
        <v>5</v>
      </c>
      <c r="K758" s="18">
        <f t="shared" si="15"/>
        <v>45784</v>
      </c>
      <c r="L758" s="17">
        <v>3</v>
      </c>
      <c r="M758" s="18">
        <f t="shared" si="21"/>
        <v>45788</v>
      </c>
      <c r="P758" t="s">
        <v>1</v>
      </c>
    </row>
    <row r="759" spans="1:17" x14ac:dyDescent="0.25">
      <c r="A759" s="14">
        <v>2020</v>
      </c>
      <c r="B759" s="19">
        <v>45780</v>
      </c>
      <c r="E759" s="16" t="s">
        <v>7</v>
      </c>
      <c r="I759" s="17">
        <v>5</v>
      </c>
      <c r="K759" s="18">
        <f t="shared" si="15"/>
        <v>45784</v>
      </c>
      <c r="L759" s="17">
        <v>3</v>
      </c>
      <c r="M759" s="18">
        <f t="shared" si="21"/>
        <v>45788</v>
      </c>
      <c r="O759" t="s">
        <v>5</v>
      </c>
    </row>
    <row r="760" spans="1:17" x14ac:dyDescent="0.25">
      <c r="A760" s="14">
        <v>4676</v>
      </c>
      <c r="B760" s="19">
        <v>45781</v>
      </c>
      <c r="E760" s="16" t="s">
        <v>7</v>
      </c>
      <c r="I760" s="17">
        <v>5</v>
      </c>
      <c r="K760" s="18">
        <f t="shared" si="15"/>
        <v>45785</v>
      </c>
      <c r="L760" s="17">
        <v>3</v>
      </c>
      <c r="M760" s="18">
        <f t="shared" si="21"/>
        <v>45789</v>
      </c>
      <c r="Q760" t="s">
        <v>4</v>
      </c>
    </row>
    <row r="761" spans="1:17" x14ac:dyDescent="0.25">
      <c r="A761" s="14">
        <v>4366</v>
      </c>
      <c r="B761" s="19">
        <v>45782</v>
      </c>
      <c r="E761" s="16" t="s">
        <v>20</v>
      </c>
      <c r="I761" s="17">
        <v>5</v>
      </c>
      <c r="K761" s="18">
        <f t="shared" si="15"/>
        <v>45786</v>
      </c>
      <c r="L761" s="17">
        <v>9</v>
      </c>
      <c r="M761" s="18">
        <f t="shared" si="21"/>
        <v>45796</v>
      </c>
      <c r="Q761" t="s">
        <v>4</v>
      </c>
    </row>
    <row r="762" spans="1:17" x14ac:dyDescent="0.25">
      <c r="A762" s="14">
        <v>4713</v>
      </c>
      <c r="B762" s="19">
        <v>45783</v>
      </c>
      <c r="E762" s="16" t="s">
        <v>7</v>
      </c>
      <c r="I762" s="17">
        <v>5</v>
      </c>
      <c r="K762" s="18">
        <f t="shared" si="15"/>
        <v>45787</v>
      </c>
      <c r="L762" s="17">
        <v>3</v>
      </c>
      <c r="M762" s="18">
        <f t="shared" si="21"/>
        <v>45791</v>
      </c>
      <c r="O762" t="s">
        <v>5</v>
      </c>
    </row>
    <row r="763" spans="1:17" x14ac:dyDescent="0.25">
      <c r="A763" s="14">
        <v>3070</v>
      </c>
      <c r="B763" s="19">
        <v>45783</v>
      </c>
      <c r="E763" s="16" t="s">
        <v>7</v>
      </c>
      <c r="I763" s="17">
        <v>5</v>
      </c>
      <c r="K763" s="18">
        <f t="shared" si="15"/>
        <v>45787</v>
      </c>
      <c r="L763" s="17">
        <v>3</v>
      </c>
      <c r="M763" s="18">
        <f t="shared" si="21"/>
        <v>45791</v>
      </c>
      <c r="P763" t="s">
        <v>1</v>
      </c>
    </row>
    <row r="764" spans="1:17" x14ac:dyDescent="0.25">
      <c r="A764" s="14">
        <v>3845</v>
      </c>
      <c r="B764" s="19">
        <v>45783</v>
      </c>
      <c r="E764" s="16" t="s">
        <v>7</v>
      </c>
      <c r="I764" s="17">
        <v>5</v>
      </c>
      <c r="K764" s="18">
        <f t="shared" si="15"/>
        <v>45787</v>
      </c>
      <c r="L764" s="17">
        <v>3</v>
      </c>
      <c r="M764" s="18">
        <f t="shared" si="21"/>
        <v>45791</v>
      </c>
      <c r="P764" t="s">
        <v>1</v>
      </c>
    </row>
    <row r="765" spans="1:17" x14ac:dyDescent="0.25">
      <c r="A765" s="14">
        <v>2969</v>
      </c>
      <c r="B765" s="19">
        <v>45785</v>
      </c>
      <c r="E765" s="16" t="s">
        <v>7</v>
      </c>
      <c r="I765" s="17">
        <v>5</v>
      </c>
      <c r="K765" s="18">
        <f t="shared" si="15"/>
        <v>45789</v>
      </c>
      <c r="L765" s="17">
        <v>3</v>
      </c>
      <c r="M765" s="18">
        <f t="shared" si="21"/>
        <v>45793</v>
      </c>
      <c r="O765" t="s">
        <v>5</v>
      </c>
    </row>
    <row r="766" spans="1:17" x14ac:dyDescent="0.25">
      <c r="A766" s="14">
        <v>3479</v>
      </c>
      <c r="B766" s="19">
        <v>45786</v>
      </c>
      <c r="E766" s="16" t="s">
        <v>20</v>
      </c>
      <c r="I766" s="17">
        <v>5</v>
      </c>
      <c r="K766" s="18">
        <f t="shared" si="15"/>
        <v>45790</v>
      </c>
      <c r="L766" s="17">
        <v>9</v>
      </c>
      <c r="M766" s="18">
        <f t="shared" si="21"/>
        <v>45800</v>
      </c>
      <c r="N766" t="s">
        <v>3</v>
      </c>
      <c r="P766" t="s">
        <v>1</v>
      </c>
    </row>
    <row r="767" spans="1:17" x14ac:dyDescent="0.25">
      <c r="A767" s="14">
        <v>4154</v>
      </c>
      <c r="B767" s="19">
        <v>45786</v>
      </c>
      <c r="E767" s="16" t="s">
        <v>20</v>
      </c>
      <c r="I767" s="17">
        <v>5</v>
      </c>
      <c r="K767" s="18">
        <f t="shared" si="15"/>
        <v>45790</v>
      </c>
      <c r="L767" s="17">
        <v>9</v>
      </c>
      <c r="M767" s="18">
        <f t="shared" si="21"/>
        <v>45800</v>
      </c>
      <c r="N767" t="s">
        <v>3</v>
      </c>
      <c r="P767" t="s">
        <v>1</v>
      </c>
    </row>
    <row r="768" spans="1:17" x14ac:dyDescent="0.25">
      <c r="A768" s="14">
        <v>3064</v>
      </c>
      <c r="B768" s="19">
        <v>45786</v>
      </c>
      <c r="E768" s="16" t="s">
        <v>20</v>
      </c>
      <c r="I768" s="17">
        <v>5</v>
      </c>
      <c r="K768" s="18">
        <f t="shared" si="15"/>
        <v>45790</v>
      </c>
      <c r="L768" s="17">
        <v>9</v>
      </c>
      <c r="M768" s="18">
        <f t="shared" si="21"/>
        <v>45800</v>
      </c>
      <c r="Q768" t="s">
        <v>4</v>
      </c>
    </row>
    <row r="769" spans="1:17" x14ac:dyDescent="0.25">
      <c r="A769" s="14">
        <v>4298</v>
      </c>
      <c r="B769" s="19">
        <v>45786</v>
      </c>
      <c r="E769" s="16" t="s">
        <v>7</v>
      </c>
      <c r="I769" s="17">
        <v>5</v>
      </c>
      <c r="K769" s="18">
        <f t="shared" si="15"/>
        <v>45790</v>
      </c>
      <c r="L769" s="17">
        <v>3</v>
      </c>
      <c r="M769" s="18">
        <f t="shared" si="21"/>
        <v>45794</v>
      </c>
      <c r="O769" t="s">
        <v>5</v>
      </c>
      <c r="Q769" t="s">
        <v>4</v>
      </c>
    </row>
    <row r="770" spans="1:17" x14ac:dyDescent="0.25">
      <c r="A770" s="14">
        <v>3800</v>
      </c>
      <c r="B770" s="19">
        <v>45786</v>
      </c>
      <c r="E770" s="16" t="s">
        <v>7</v>
      </c>
      <c r="I770" s="17">
        <v>5</v>
      </c>
      <c r="K770" s="18">
        <f t="shared" si="15"/>
        <v>45790</v>
      </c>
      <c r="L770" s="17">
        <v>3</v>
      </c>
      <c r="M770" s="18">
        <f t="shared" si="21"/>
        <v>45794</v>
      </c>
      <c r="N770" t="s">
        <v>3</v>
      </c>
    </row>
    <row r="771" spans="1:17" x14ac:dyDescent="0.25">
      <c r="A771" s="14">
        <v>2814</v>
      </c>
      <c r="B771" s="19">
        <v>45786</v>
      </c>
      <c r="E771" s="16" t="s">
        <v>7</v>
      </c>
      <c r="I771" s="17">
        <v>5</v>
      </c>
      <c r="K771" s="18">
        <f t="shared" si="15"/>
        <v>45790</v>
      </c>
      <c r="L771" s="17">
        <v>3</v>
      </c>
      <c r="M771" s="18">
        <f t="shared" si="21"/>
        <v>45794</v>
      </c>
      <c r="O771" t="s">
        <v>5</v>
      </c>
    </row>
    <row r="772" spans="1:17" x14ac:dyDescent="0.25">
      <c r="A772" s="14">
        <v>2361</v>
      </c>
      <c r="B772" s="19">
        <v>45787</v>
      </c>
      <c r="E772" s="16" t="s">
        <v>23</v>
      </c>
      <c r="I772" s="17">
        <v>5</v>
      </c>
      <c r="K772" s="18">
        <f t="shared" si="15"/>
        <v>45791</v>
      </c>
      <c r="L772" s="17">
        <v>2</v>
      </c>
      <c r="M772" s="18">
        <f t="shared" si="21"/>
        <v>45794</v>
      </c>
      <c r="Q772" t="s">
        <v>4</v>
      </c>
    </row>
    <row r="773" spans="1:17" x14ac:dyDescent="0.25">
      <c r="A773" s="14">
        <v>3579</v>
      </c>
      <c r="B773" s="19">
        <v>45787</v>
      </c>
      <c r="E773" s="16" t="s">
        <v>20</v>
      </c>
      <c r="I773" s="17">
        <v>5</v>
      </c>
      <c r="K773" s="18">
        <f t="shared" si="15"/>
        <v>45791</v>
      </c>
      <c r="L773" s="17">
        <v>9</v>
      </c>
      <c r="M773" s="18">
        <f t="shared" si="21"/>
        <v>45801</v>
      </c>
      <c r="Q773" t="s">
        <v>4</v>
      </c>
    </row>
    <row r="774" spans="1:17" x14ac:dyDescent="0.25">
      <c r="A774" s="14">
        <v>3779</v>
      </c>
      <c r="B774" s="19">
        <v>45788</v>
      </c>
      <c r="E774" s="16" t="s">
        <v>20</v>
      </c>
      <c r="I774" s="17">
        <v>5</v>
      </c>
      <c r="K774" s="18">
        <f t="shared" si="15"/>
        <v>45792</v>
      </c>
      <c r="L774" s="17">
        <v>9</v>
      </c>
      <c r="M774" s="18">
        <f t="shared" si="21"/>
        <v>45802</v>
      </c>
      <c r="P774" t="s">
        <v>1</v>
      </c>
    </row>
    <row r="775" spans="1:17" x14ac:dyDescent="0.25">
      <c r="A775" s="14">
        <v>3909</v>
      </c>
      <c r="B775" s="19">
        <v>45788</v>
      </c>
      <c r="E775" s="16" t="s">
        <v>20</v>
      </c>
      <c r="I775" s="17">
        <v>5</v>
      </c>
      <c r="K775" s="18">
        <f t="shared" si="15"/>
        <v>45792</v>
      </c>
      <c r="L775" s="17">
        <v>9</v>
      </c>
      <c r="M775" s="18">
        <f t="shared" si="21"/>
        <v>45802</v>
      </c>
      <c r="N775" t="s">
        <v>3</v>
      </c>
      <c r="P775" t="s">
        <v>1</v>
      </c>
    </row>
    <row r="776" spans="1:17" x14ac:dyDescent="0.25">
      <c r="A776" s="14">
        <v>3554</v>
      </c>
      <c r="B776" s="19">
        <v>45788</v>
      </c>
      <c r="E776" s="16" t="s">
        <v>7</v>
      </c>
      <c r="I776" s="17">
        <v>5</v>
      </c>
      <c r="K776" s="18">
        <f t="shared" si="15"/>
        <v>45792</v>
      </c>
      <c r="L776" s="17">
        <v>3</v>
      </c>
      <c r="M776" s="18">
        <f t="shared" si="21"/>
        <v>45796</v>
      </c>
      <c r="N776" t="s">
        <v>3</v>
      </c>
    </row>
    <row r="777" spans="1:17" x14ac:dyDescent="0.25">
      <c r="A777" s="14">
        <v>4714</v>
      </c>
      <c r="B777" s="19">
        <v>45788</v>
      </c>
      <c r="E777" s="16" t="s">
        <v>7</v>
      </c>
      <c r="I777" s="17">
        <v>5</v>
      </c>
      <c r="K777" s="18">
        <f t="shared" si="15"/>
        <v>45792</v>
      </c>
      <c r="L777" s="17">
        <v>3</v>
      </c>
      <c r="M777" s="18">
        <f t="shared" si="21"/>
        <v>45796</v>
      </c>
      <c r="N777" t="s">
        <v>3</v>
      </c>
    </row>
    <row r="778" spans="1:17" x14ac:dyDescent="0.25">
      <c r="A778" s="14">
        <v>3881</v>
      </c>
      <c r="B778" s="19">
        <v>45789</v>
      </c>
      <c r="E778" s="16" t="s">
        <v>7</v>
      </c>
      <c r="I778" s="17">
        <v>5</v>
      </c>
      <c r="K778" s="18">
        <f t="shared" si="15"/>
        <v>45793</v>
      </c>
      <c r="L778" s="17">
        <v>3</v>
      </c>
      <c r="M778" s="18">
        <f t="shared" si="21"/>
        <v>45797</v>
      </c>
      <c r="Q778" t="s">
        <v>4</v>
      </c>
    </row>
    <row r="779" spans="1:17" x14ac:dyDescent="0.25">
      <c r="A779" s="14">
        <v>3803</v>
      </c>
      <c r="B779" s="19">
        <v>45789</v>
      </c>
      <c r="E779" s="16" t="s">
        <v>7</v>
      </c>
      <c r="I779" s="17">
        <v>5</v>
      </c>
      <c r="K779" s="18">
        <f t="shared" si="15"/>
        <v>45793</v>
      </c>
      <c r="L779" s="17">
        <v>3</v>
      </c>
      <c r="M779" s="18">
        <f t="shared" si="21"/>
        <v>45797</v>
      </c>
      <c r="N779" t="s">
        <v>3</v>
      </c>
    </row>
    <row r="780" spans="1:17" x14ac:dyDescent="0.25">
      <c r="A780" s="14">
        <v>1075</v>
      </c>
      <c r="B780" s="19">
        <v>45790</v>
      </c>
      <c r="E780" s="16" t="s">
        <v>7</v>
      </c>
      <c r="I780" s="17">
        <v>5</v>
      </c>
      <c r="K780" s="18">
        <f t="shared" si="15"/>
        <v>45794</v>
      </c>
      <c r="L780" s="17">
        <v>3</v>
      </c>
      <c r="M780" s="18">
        <f t="shared" si="21"/>
        <v>45798</v>
      </c>
      <c r="N780" t="s">
        <v>3</v>
      </c>
    </row>
    <row r="781" spans="1:17" x14ac:dyDescent="0.25">
      <c r="A781" s="14">
        <v>3376</v>
      </c>
      <c r="B781" s="19">
        <v>45761</v>
      </c>
      <c r="E781" s="16" t="s">
        <v>7</v>
      </c>
      <c r="I781" s="17">
        <v>5</v>
      </c>
      <c r="K781" s="18">
        <f t="shared" si="15"/>
        <v>45765</v>
      </c>
      <c r="L781" s="17">
        <v>3</v>
      </c>
      <c r="M781" s="18">
        <f t="shared" si="21"/>
        <v>45769</v>
      </c>
      <c r="P781" t="s">
        <v>1</v>
      </c>
    </row>
    <row r="782" spans="1:17" x14ac:dyDescent="0.25">
      <c r="A782" s="14">
        <v>3412</v>
      </c>
      <c r="B782" s="19">
        <v>45792</v>
      </c>
      <c r="E782" s="16" t="s">
        <v>20</v>
      </c>
      <c r="I782" s="17">
        <v>5</v>
      </c>
      <c r="K782" s="18">
        <f t="shared" si="15"/>
        <v>45796</v>
      </c>
      <c r="L782" s="17">
        <v>9</v>
      </c>
      <c r="M782" s="18">
        <f t="shared" si="21"/>
        <v>45806</v>
      </c>
      <c r="O782" t="s">
        <v>5</v>
      </c>
    </row>
    <row r="783" spans="1:17" x14ac:dyDescent="0.25">
      <c r="A783" s="14">
        <v>3391</v>
      </c>
      <c r="B783" s="19">
        <v>45792</v>
      </c>
      <c r="E783" s="16" t="s">
        <v>20</v>
      </c>
      <c r="I783" s="17">
        <v>5</v>
      </c>
      <c r="K783" s="18">
        <f t="shared" si="15"/>
        <v>45796</v>
      </c>
      <c r="L783" s="17">
        <v>9</v>
      </c>
      <c r="M783" s="18">
        <f t="shared" si="21"/>
        <v>45806</v>
      </c>
      <c r="N783" t="s">
        <v>3</v>
      </c>
    </row>
    <row r="784" spans="1:17" x14ac:dyDescent="0.25">
      <c r="A784" s="14">
        <v>4292</v>
      </c>
      <c r="B784" s="19">
        <v>45762</v>
      </c>
      <c r="E784" s="16" t="s">
        <v>20</v>
      </c>
      <c r="I784" s="17">
        <v>5</v>
      </c>
      <c r="K784" s="18">
        <f t="shared" si="15"/>
        <v>45766</v>
      </c>
      <c r="L784" s="17">
        <v>9</v>
      </c>
      <c r="M784" s="18">
        <f t="shared" si="21"/>
        <v>45776</v>
      </c>
      <c r="O784" t="s">
        <v>5</v>
      </c>
    </row>
    <row r="785" spans="1:17" x14ac:dyDescent="0.25">
      <c r="A785" s="14">
        <v>4275</v>
      </c>
      <c r="B785" s="19">
        <v>45793</v>
      </c>
      <c r="E785" s="16" t="s">
        <v>7</v>
      </c>
      <c r="I785" s="17">
        <v>5</v>
      </c>
      <c r="K785" s="18">
        <f t="shared" si="15"/>
        <v>45797</v>
      </c>
      <c r="L785" s="17">
        <v>3</v>
      </c>
      <c r="M785" s="18">
        <f t="shared" si="21"/>
        <v>45801</v>
      </c>
      <c r="O785" t="s">
        <v>5</v>
      </c>
    </row>
    <row r="786" spans="1:17" x14ac:dyDescent="0.25">
      <c r="A786" s="14">
        <v>1075</v>
      </c>
      <c r="B786" s="19">
        <v>45763</v>
      </c>
      <c r="E786" s="16" t="s">
        <v>0</v>
      </c>
      <c r="I786" s="17">
        <v>5</v>
      </c>
      <c r="K786" s="18">
        <f t="shared" si="15"/>
        <v>45767</v>
      </c>
      <c r="L786" s="17">
        <v>5</v>
      </c>
      <c r="M786" s="18">
        <f t="shared" si="21"/>
        <v>45773</v>
      </c>
      <c r="N786" t="s">
        <v>3</v>
      </c>
    </row>
    <row r="787" spans="1:17" x14ac:dyDescent="0.25">
      <c r="A787" s="14">
        <v>4366</v>
      </c>
      <c r="B787" s="19">
        <v>45763</v>
      </c>
      <c r="E787" s="16" t="s">
        <v>0</v>
      </c>
      <c r="I787" s="17">
        <v>5</v>
      </c>
      <c r="K787" s="18">
        <f t="shared" si="15"/>
        <v>45767</v>
      </c>
      <c r="L787" s="17">
        <v>5</v>
      </c>
      <c r="M787" s="18">
        <f t="shared" si="21"/>
        <v>45773</v>
      </c>
      <c r="Q787" t="s">
        <v>4</v>
      </c>
    </row>
    <row r="788" spans="1:17" x14ac:dyDescent="0.25">
      <c r="A788" s="14">
        <v>3755</v>
      </c>
      <c r="B788" s="19">
        <v>45794</v>
      </c>
      <c r="E788" s="16" t="s">
        <v>7</v>
      </c>
      <c r="I788" s="17">
        <v>5</v>
      </c>
      <c r="K788" s="18">
        <f t="shared" si="15"/>
        <v>45798</v>
      </c>
      <c r="L788" s="17">
        <v>3</v>
      </c>
      <c r="M788" s="18">
        <f t="shared" si="21"/>
        <v>45802</v>
      </c>
      <c r="Q788" t="s">
        <v>4</v>
      </c>
    </row>
    <row r="789" spans="1:17" x14ac:dyDescent="0.25">
      <c r="A789" s="14">
        <v>2819</v>
      </c>
      <c r="B789" s="19">
        <v>45794</v>
      </c>
      <c r="E789" s="16" t="s">
        <v>0</v>
      </c>
      <c r="I789" s="17">
        <v>5</v>
      </c>
      <c r="K789" s="18">
        <f t="shared" si="15"/>
        <v>45798</v>
      </c>
      <c r="L789" s="17">
        <v>5</v>
      </c>
      <c r="M789" s="18">
        <f t="shared" si="21"/>
        <v>45804</v>
      </c>
      <c r="O789" t="s">
        <v>5</v>
      </c>
    </row>
    <row r="790" spans="1:17" x14ac:dyDescent="0.25">
      <c r="A790" s="14">
        <v>4026</v>
      </c>
      <c r="B790" s="19">
        <v>45795</v>
      </c>
      <c r="E790" s="16" t="s">
        <v>7</v>
      </c>
      <c r="I790" s="17">
        <v>5</v>
      </c>
      <c r="K790" s="18">
        <f t="shared" si="15"/>
        <v>45799</v>
      </c>
      <c r="L790" s="17">
        <v>3</v>
      </c>
      <c r="M790" s="18">
        <f t="shared" si="21"/>
        <v>45803</v>
      </c>
      <c r="P790" t="s">
        <v>1</v>
      </c>
    </row>
    <row r="791" spans="1:17" x14ac:dyDescent="0.25">
      <c r="A791" s="14">
        <v>3554</v>
      </c>
      <c r="B791" s="19">
        <v>45796</v>
      </c>
      <c r="E791" s="16" t="s">
        <v>0</v>
      </c>
      <c r="I791" s="17">
        <v>5</v>
      </c>
      <c r="K791" s="18">
        <f t="shared" si="15"/>
        <v>45800</v>
      </c>
      <c r="L791" s="17">
        <v>5</v>
      </c>
      <c r="M791" s="18">
        <f t="shared" si="21"/>
        <v>45806</v>
      </c>
      <c r="N791" t="s">
        <v>3</v>
      </c>
    </row>
    <row r="792" spans="1:17" x14ac:dyDescent="0.25">
      <c r="A792" s="14">
        <v>3668</v>
      </c>
      <c r="B792" s="19">
        <v>45797</v>
      </c>
      <c r="E792" s="16" t="s">
        <v>7</v>
      </c>
      <c r="I792" s="17">
        <v>5</v>
      </c>
      <c r="K792" s="18">
        <f t="shared" si="15"/>
        <v>45801</v>
      </c>
      <c r="L792" s="17">
        <v>3</v>
      </c>
      <c r="M792" s="18">
        <f t="shared" si="21"/>
        <v>45805</v>
      </c>
      <c r="Q792" t="s">
        <v>4</v>
      </c>
    </row>
    <row r="793" spans="1:17" x14ac:dyDescent="0.25">
      <c r="A793" s="14">
        <v>2814</v>
      </c>
      <c r="B793" s="19">
        <v>45797</v>
      </c>
      <c r="E793" s="16" t="s">
        <v>21</v>
      </c>
      <c r="I793" s="17">
        <v>5</v>
      </c>
      <c r="K793" s="18">
        <f t="shared" si="15"/>
        <v>45801</v>
      </c>
      <c r="L793" s="17">
        <v>9</v>
      </c>
      <c r="M793" s="18">
        <f t="shared" si="21"/>
        <v>45811</v>
      </c>
      <c r="O793" t="s">
        <v>5</v>
      </c>
    </row>
    <row r="794" spans="1:17" x14ac:dyDescent="0.25">
      <c r="A794" s="14">
        <v>3755</v>
      </c>
      <c r="B794" s="19">
        <v>45797</v>
      </c>
      <c r="E794" s="16" t="s">
        <v>21</v>
      </c>
      <c r="I794" s="17">
        <v>5</v>
      </c>
      <c r="K794" s="18">
        <f t="shared" si="15"/>
        <v>45801</v>
      </c>
      <c r="L794" s="17">
        <v>9</v>
      </c>
      <c r="M794" s="18">
        <f t="shared" si="21"/>
        <v>45811</v>
      </c>
      <c r="Q794" t="s">
        <v>4</v>
      </c>
    </row>
    <row r="795" spans="1:17" x14ac:dyDescent="0.25">
      <c r="A795" s="14">
        <v>2819</v>
      </c>
      <c r="B795" s="19">
        <v>45797</v>
      </c>
      <c r="E795" s="16" t="s">
        <v>21</v>
      </c>
      <c r="I795" s="17">
        <v>5</v>
      </c>
      <c r="K795" s="18">
        <f t="shared" si="15"/>
        <v>45801</v>
      </c>
      <c r="L795" s="17">
        <v>9</v>
      </c>
      <c r="M795" s="18">
        <f t="shared" si="21"/>
        <v>45811</v>
      </c>
      <c r="O795" t="s">
        <v>5</v>
      </c>
    </row>
    <row r="796" spans="1:17" x14ac:dyDescent="0.25">
      <c r="A796" s="14">
        <v>3304</v>
      </c>
      <c r="B796" s="19">
        <v>45797</v>
      </c>
      <c r="E796" s="16" t="s">
        <v>7</v>
      </c>
      <c r="I796" s="17">
        <v>5</v>
      </c>
      <c r="K796" s="18">
        <f t="shared" si="15"/>
        <v>45801</v>
      </c>
      <c r="L796" s="17">
        <v>3</v>
      </c>
      <c r="M796" s="18">
        <f t="shared" si="21"/>
        <v>45805</v>
      </c>
      <c r="N796" t="s">
        <v>3</v>
      </c>
    </row>
    <row r="797" spans="1:17" x14ac:dyDescent="0.25">
      <c r="A797" s="14">
        <v>3881</v>
      </c>
      <c r="B797" s="19">
        <v>45798</v>
      </c>
      <c r="E797" s="16" t="s">
        <v>0</v>
      </c>
      <c r="I797" s="17">
        <v>5</v>
      </c>
      <c r="K797" s="18">
        <f t="shared" ref="K797:K869" si="22">B797+I797-1</f>
        <v>45802</v>
      </c>
      <c r="L797" s="17">
        <v>5</v>
      </c>
      <c r="M797" s="18">
        <f t="shared" si="21"/>
        <v>45808</v>
      </c>
      <c r="N797" t="s">
        <v>3</v>
      </c>
      <c r="Q797" t="s">
        <v>4</v>
      </c>
    </row>
    <row r="798" spans="1:17" x14ac:dyDescent="0.25">
      <c r="A798" s="14">
        <v>4863</v>
      </c>
      <c r="B798" s="19">
        <v>45798</v>
      </c>
      <c r="E798" s="16" t="s">
        <v>7</v>
      </c>
      <c r="I798" s="17">
        <v>5</v>
      </c>
      <c r="K798" s="18">
        <f t="shared" si="22"/>
        <v>45802</v>
      </c>
      <c r="L798" s="17">
        <v>3</v>
      </c>
      <c r="M798" s="18">
        <f t="shared" si="21"/>
        <v>45806</v>
      </c>
      <c r="Q798" t="s">
        <v>4</v>
      </c>
    </row>
    <row r="799" spans="1:17" x14ac:dyDescent="0.25">
      <c r="A799" s="14">
        <v>3795</v>
      </c>
      <c r="B799" s="19">
        <v>45798</v>
      </c>
      <c r="E799" s="16" t="s">
        <v>7</v>
      </c>
      <c r="I799" s="17">
        <v>5</v>
      </c>
      <c r="K799" s="18">
        <f t="shared" si="22"/>
        <v>45802</v>
      </c>
      <c r="L799" s="17">
        <v>3</v>
      </c>
      <c r="M799" s="18">
        <f t="shared" si="21"/>
        <v>45806</v>
      </c>
      <c r="N799" t="s">
        <v>3</v>
      </c>
    </row>
    <row r="800" spans="1:17" x14ac:dyDescent="0.25">
      <c r="A800" s="14">
        <v>3875</v>
      </c>
      <c r="B800" s="19">
        <v>45798</v>
      </c>
      <c r="E800" s="16" t="s">
        <v>7</v>
      </c>
      <c r="I800" s="17">
        <v>5</v>
      </c>
      <c r="K800" s="18">
        <f t="shared" si="22"/>
        <v>45802</v>
      </c>
      <c r="L800" s="17">
        <v>3</v>
      </c>
      <c r="M800" s="18">
        <f t="shared" si="21"/>
        <v>45806</v>
      </c>
      <c r="P800" t="s">
        <v>1</v>
      </c>
    </row>
    <row r="801" spans="1:17" x14ac:dyDescent="0.25">
      <c r="A801" s="14">
        <v>2884</v>
      </c>
      <c r="B801" s="19">
        <v>45799</v>
      </c>
      <c r="E801" s="16" t="s">
        <v>21</v>
      </c>
      <c r="I801" s="17">
        <v>5</v>
      </c>
      <c r="K801" s="18">
        <f t="shared" si="22"/>
        <v>45803</v>
      </c>
      <c r="L801" s="17">
        <v>9</v>
      </c>
      <c r="M801" s="18">
        <f t="shared" si="21"/>
        <v>45813</v>
      </c>
      <c r="N801" t="s">
        <v>3</v>
      </c>
    </row>
    <row r="802" spans="1:17" x14ac:dyDescent="0.25">
      <c r="A802" s="14">
        <v>4680</v>
      </c>
      <c r="B802" s="19">
        <v>45799</v>
      </c>
      <c r="E802" s="16" t="s">
        <v>7</v>
      </c>
      <c r="I802" s="17">
        <v>5</v>
      </c>
      <c r="K802" s="18">
        <f t="shared" si="22"/>
        <v>45803</v>
      </c>
      <c r="L802" s="17">
        <v>3</v>
      </c>
      <c r="M802" s="18">
        <f t="shared" si="21"/>
        <v>45807</v>
      </c>
      <c r="O802" t="s">
        <v>5</v>
      </c>
    </row>
    <row r="803" spans="1:17" x14ac:dyDescent="0.25">
      <c r="A803" s="14">
        <v>3697</v>
      </c>
      <c r="B803" s="19">
        <v>45800</v>
      </c>
      <c r="E803" s="16" t="s">
        <v>7</v>
      </c>
      <c r="I803" s="17">
        <v>5</v>
      </c>
      <c r="K803" s="18">
        <f t="shared" si="22"/>
        <v>45804</v>
      </c>
      <c r="L803" s="17">
        <v>3</v>
      </c>
      <c r="M803" s="18">
        <f t="shared" si="21"/>
        <v>45808</v>
      </c>
      <c r="Q803" t="s">
        <v>4</v>
      </c>
    </row>
    <row r="804" spans="1:17" x14ac:dyDescent="0.25">
      <c r="A804" s="14">
        <v>3617</v>
      </c>
      <c r="B804" s="19">
        <v>45800</v>
      </c>
      <c r="E804" s="16" t="s">
        <v>7</v>
      </c>
      <c r="I804" s="17">
        <v>5</v>
      </c>
      <c r="K804" s="18">
        <f t="shared" si="22"/>
        <v>45804</v>
      </c>
      <c r="L804" s="17">
        <v>3</v>
      </c>
      <c r="M804" s="18">
        <f t="shared" si="21"/>
        <v>45808</v>
      </c>
      <c r="Q804" t="s">
        <v>4</v>
      </c>
    </row>
    <row r="805" spans="1:17" x14ac:dyDescent="0.25">
      <c r="A805" s="14">
        <v>4366</v>
      </c>
      <c r="B805" s="19">
        <v>45800</v>
      </c>
      <c r="E805" s="16" t="s">
        <v>21</v>
      </c>
      <c r="I805" s="17">
        <v>5</v>
      </c>
      <c r="K805" s="18">
        <f t="shared" si="22"/>
        <v>45804</v>
      </c>
      <c r="L805" s="17">
        <v>9</v>
      </c>
      <c r="M805" s="18">
        <f t="shared" si="21"/>
        <v>45814</v>
      </c>
      <c r="O805" t="s">
        <v>5</v>
      </c>
      <c r="P805" t="s">
        <v>1</v>
      </c>
      <c r="Q805" t="s">
        <v>4</v>
      </c>
    </row>
    <row r="806" spans="1:17" x14ac:dyDescent="0.25">
      <c r="A806" s="14">
        <v>3795</v>
      </c>
      <c r="B806" s="19">
        <v>45800</v>
      </c>
      <c r="E806" s="16" t="s">
        <v>21</v>
      </c>
      <c r="I806" s="17">
        <v>5</v>
      </c>
      <c r="K806" s="18">
        <f t="shared" si="22"/>
        <v>45804</v>
      </c>
      <c r="L806" s="17">
        <v>9</v>
      </c>
      <c r="M806" s="18">
        <f t="shared" si="21"/>
        <v>45814</v>
      </c>
      <c r="N806" t="s">
        <v>3</v>
      </c>
    </row>
    <row r="807" spans="1:17" x14ac:dyDescent="0.25">
      <c r="A807" s="14">
        <v>3140</v>
      </c>
      <c r="B807" s="19">
        <v>45801</v>
      </c>
      <c r="E807" s="16" t="s">
        <v>7</v>
      </c>
      <c r="I807" s="17">
        <v>5</v>
      </c>
      <c r="K807" s="18">
        <f t="shared" si="22"/>
        <v>45805</v>
      </c>
      <c r="L807" s="17">
        <v>3</v>
      </c>
      <c r="M807" s="18">
        <f t="shared" si="21"/>
        <v>45809</v>
      </c>
      <c r="O807" t="s">
        <v>5</v>
      </c>
    </row>
    <row r="808" spans="1:17" x14ac:dyDescent="0.25">
      <c r="A808" s="14">
        <v>4479</v>
      </c>
      <c r="B808" s="19">
        <v>45801</v>
      </c>
      <c r="E808" s="16" t="s">
        <v>7</v>
      </c>
      <c r="I808" s="17">
        <v>5</v>
      </c>
      <c r="K808" s="18">
        <f t="shared" si="22"/>
        <v>45805</v>
      </c>
      <c r="L808" s="17">
        <v>3</v>
      </c>
      <c r="M808" s="18">
        <f t="shared" si="21"/>
        <v>45809</v>
      </c>
      <c r="O808" t="s">
        <v>5</v>
      </c>
    </row>
    <row r="809" spans="1:17" x14ac:dyDescent="0.25">
      <c r="A809" s="14">
        <v>3197</v>
      </c>
      <c r="B809" s="19">
        <v>45802</v>
      </c>
      <c r="E809" s="16" t="s">
        <v>7</v>
      </c>
      <c r="I809" s="17">
        <v>5</v>
      </c>
      <c r="K809" s="18">
        <f t="shared" si="22"/>
        <v>45806</v>
      </c>
      <c r="L809" s="17">
        <v>3</v>
      </c>
      <c r="M809" s="18">
        <f t="shared" si="21"/>
        <v>45810</v>
      </c>
      <c r="N809" t="s">
        <v>3</v>
      </c>
    </row>
    <row r="810" spans="1:17" x14ac:dyDescent="0.25">
      <c r="A810" s="14">
        <v>3579</v>
      </c>
      <c r="B810" s="19">
        <v>45802</v>
      </c>
      <c r="E810" s="16" t="s">
        <v>0</v>
      </c>
      <c r="I810" s="17">
        <v>5</v>
      </c>
      <c r="K810" s="18">
        <f t="shared" si="22"/>
        <v>45806</v>
      </c>
      <c r="L810" s="17">
        <v>5</v>
      </c>
      <c r="M810" s="18">
        <f t="shared" si="21"/>
        <v>45812</v>
      </c>
      <c r="O810" t="s">
        <v>5</v>
      </c>
      <c r="Q810" t="s">
        <v>4</v>
      </c>
    </row>
    <row r="811" spans="1:17" x14ac:dyDescent="0.25">
      <c r="A811" s="14">
        <v>3875</v>
      </c>
      <c r="B811" s="19">
        <v>45803</v>
      </c>
      <c r="E811" s="16" t="s">
        <v>25</v>
      </c>
      <c r="I811" s="17">
        <v>5</v>
      </c>
      <c r="K811" s="18">
        <f t="shared" si="22"/>
        <v>45807</v>
      </c>
      <c r="L811" s="17">
        <v>5</v>
      </c>
      <c r="M811" s="18">
        <f t="shared" si="21"/>
        <v>45813</v>
      </c>
      <c r="P811" t="s">
        <v>1</v>
      </c>
    </row>
    <row r="812" spans="1:17" x14ac:dyDescent="0.25">
      <c r="A812" s="14">
        <v>3668</v>
      </c>
      <c r="B812" s="19">
        <v>45802</v>
      </c>
      <c r="E812" s="16" t="s">
        <v>21</v>
      </c>
      <c r="I812" s="17">
        <v>5</v>
      </c>
      <c r="K812" s="18">
        <f t="shared" si="22"/>
        <v>45806</v>
      </c>
      <c r="L812" s="17">
        <v>9</v>
      </c>
      <c r="M812" s="18">
        <f t="shared" si="21"/>
        <v>45816</v>
      </c>
      <c r="Q812" t="s">
        <v>4</v>
      </c>
    </row>
    <row r="813" spans="1:17" x14ac:dyDescent="0.25">
      <c r="A813" s="14">
        <v>3359</v>
      </c>
      <c r="B813" s="19">
        <v>45804</v>
      </c>
      <c r="E813" s="16" t="s">
        <v>7</v>
      </c>
      <c r="I813" s="17">
        <v>5</v>
      </c>
      <c r="K813" s="18">
        <f t="shared" si="22"/>
        <v>45808</v>
      </c>
      <c r="L813" s="17">
        <v>3</v>
      </c>
      <c r="M813" s="18">
        <f t="shared" si="21"/>
        <v>45812</v>
      </c>
      <c r="O813" t="s">
        <v>5</v>
      </c>
    </row>
    <row r="814" spans="1:17" x14ac:dyDescent="0.25">
      <c r="A814" s="14">
        <v>4430</v>
      </c>
      <c r="B814" s="19">
        <v>45804</v>
      </c>
      <c r="E814" s="16" t="s">
        <v>7</v>
      </c>
      <c r="I814" s="17">
        <v>5</v>
      </c>
      <c r="K814" s="18">
        <f t="shared" si="22"/>
        <v>45808</v>
      </c>
      <c r="L814" s="17">
        <v>3</v>
      </c>
      <c r="M814" s="18">
        <f t="shared" si="21"/>
        <v>45812</v>
      </c>
      <c r="Q814" t="s">
        <v>4</v>
      </c>
    </row>
    <row r="815" spans="1:17" x14ac:dyDescent="0.25">
      <c r="A815" s="14">
        <v>3617</v>
      </c>
      <c r="B815" s="19">
        <v>45804</v>
      </c>
      <c r="E815" s="16" t="s">
        <v>21</v>
      </c>
      <c r="I815" s="17">
        <v>5</v>
      </c>
      <c r="K815" s="18">
        <f t="shared" si="22"/>
        <v>45808</v>
      </c>
      <c r="L815" s="17">
        <v>9</v>
      </c>
      <c r="M815" s="18">
        <f t="shared" si="21"/>
        <v>45818</v>
      </c>
      <c r="O815" t="s">
        <v>5</v>
      </c>
      <c r="Q815" t="s">
        <v>4</v>
      </c>
    </row>
    <row r="816" spans="1:17" x14ac:dyDescent="0.25">
      <c r="A816" s="14">
        <v>3661</v>
      </c>
      <c r="B816" s="19">
        <v>45805</v>
      </c>
      <c r="E816" s="16" t="s">
        <v>7</v>
      </c>
      <c r="I816" s="17">
        <v>5</v>
      </c>
      <c r="K816" s="18">
        <f t="shared" si="22"/>
        <v>45809</v>
      </c>
      <c r="L816" s="17">
        <v>3</v>
      </c>
      <c r="M816" s="18">
        <f t="shared" si="21"/>
        <v>45813</v>
      </c>
      <c r="N816" t="s">
        <v>3</v>
      </c>
    </row>
    <row r="817" spans="1:17" x14ac:dyDescent="0.25">
      <c r="A817" s="14">
        <v>3734</v>
      </c>
      <c r="B817" s="19">
        <v>45805</v>
      </c>
      <c r="E817" s="16" t="s">
        <v>26</v>
      </c>
      <c r="I817" s="17">
        <v>5</v>
      </c>
      <c r="K817" s="18">
        <f t="shared" si="22"/>
        <v>45809</v>
      </c>
      <c r="L817" s="17">
        <v>3</v>
      </c>
      <c r="M817" s="18">
        <f t="shared" si="21"/>
        <v>45813</v>
      </c>
      <c r="N817" t="s">
        <v>3</v>
      </c>
    </row>
    <row r="818" spans="1:17" x14ac:dyDescent="0.25">
      <c r="A818" s="14">
        <v>2884</v>
      </c>
      <c r="B818" s="19">
        <v>45805</v>
      </c>
      <c r="E818" s="16" t="s">
        <v>21</v>
      </c>
      <c r="I818" s="17">
        <v>5</v>
      </c>
      <c r="K818" s="18">
        <f t="shared" si="22"/>
        <v>45809</v>
      </c>
      <c r="L818" s="17">
        <v>9</v>
      </c>
      <c r="M818" s="18">
        <f t="shared" si="21"/>
        <v>45819</v>
      </c>
      <c r="N818" t="s">
        <v>3</v>
      </c>
    </row>
    <row r="819" spans="1:17" x14ac:dyDescent="0.25">
      <c r="A819" s="14">
        <v>3227</v>
      </c>
      <c r="B819" s="19">
        <v>45805</v>
      </c>
      <c r="E819" s="16" t="s">
        <v>7</v>
      </c>
      <c r="I819" s="17">
        <v>5</v>
      </c>
      <c r="K819" s="18">
        <f t="shared" si="22"/>
        <v>45809</v>
      </c>
      <c r="L819" s="17">
        <v>3</v>
      </c>
      <c r="M819" s="18">
        <f t="shared" si="21"/>
        <v>45813</v>
      </c>
      <c r="O819" t="s">
        <v>5</v>
      </c>
    </row>
    <row r="820" spans="1:17" x14ac:dyDescent="0.25">
      <c r="A820" s="14">
        <v>3687</v>
      </c>
      <c r="B820" s="19">
        <v>45805</v>
      </c>
      <c r="E820" s="16" t="s">
        <v>0</v>
      </c>
      <c r="I820" s="17">
        <v>5</v>
      </c>
      <c r="K820" s="18">
        <f t="shared" si="22"/>
        <v>45809</v>
      </c>
      <c r="L820" s="17">
        <v>5</v>
      </c>
      <c r="M820" s="18">
        <f t="shared" si="21"/>
        <v>45815</v>
      </c>
      <c r="N820" t="s">
        <v>3</v>
      </c>
    </row>
    <row r="821" spans="1:17" x14ac:dyDescent="0.25">
      <c r="A821" s="14">
        <v>3881</v>
      </c>
      <c r="B821" s="19">
        <v>45805</v>
      </c>
      <c r="E821" s="16" t="s">
        <v>20</v>
      </c>
      <c r="I821" s="17">
        <v>5</v>
      </c>
      <c r="K821" s="18">
        <f t="shared" si="22"/>
        <v>45809</v>
      </c>
      <c r="L821" s="17">
        <v>9</v>
      </c>
      <c r="M821" s="18">
        <f t="shared" si="21"/>
        <v>45819</v>
      </c>
      <c r="N821" t="s">
        <v>3</v>
      </c>
      <c r="P821" t="s">
        <v>1</v>
      </c>
    </row>
    <row r="822" spans="1:17" x14ac:dyDescent="0.25">
      <c r="A822" s="14">
        <v>2923</v>
      </c>
      <c r="B822" s="19">
        <v>45806</v>
      </c>
      <c r="E822" s="16" t="s">
        <v>7</v>
      </c>
      <c r="I822" s="17">
        <v>5</v>
      </c>
      <c r="K822" s="18">
        <f t="shared" si="22"/>
        <v>45810</v>
      </c>
      <c r="L822" s="17">
        <v>3</v>
      </c>
      <c r="M822" s="18">
        <f t="shared" si="21"/>
        <v>45814</v>
      </c>
      <c r="N822" t="s">
        <v>3</v>
      </c>
    </row>
    <row r="823" spans="1:17" x14ac:dyDescent="0.25">
      <c r="A823" s="14">
        <v>3378</v>
      </c>
      <c r="B823" s="19">
        <v>45806</v>
      </c>
      <c r="E823" s="16" t="s">
        <v>7</v>
      </c>
      <c r="I823" s="17">
        <v>5</v>
      </c>
      <c r="K823" s="18">
        <f t="shared" si="22"/>
        <v>45810</v>
      </c>
      <c r="L823" s="17">
        <v>3</v>
      </c>
      <c r="M823" s="18">
        <f t="shared" si="21"/>
        <v>45814</v>
      </c>
      <c r="P823" t="s">
        <v>1</v>
      </c>
    </row>
    <row r="824" spans="1:17" x14ac:dyDescent="0.25">
      <c r="A824" s="14">
        <v>3110</v>
      </c>
      <c r="B824" s="19">
        <v>45806</v>
      </c>
      <c r="E824" s="16" t="s">
        <v>20</v>
      </c>
      <c r="I824" s="17">
        <v>5</v>
      </c>
      <c r="K824" s="18">
        <f t="shared" si="22"/>
        <v>45810</v>
      </c>
      <c r="L824" s="17">
        <v>9</v>
      </c>
      <c r="M824" s="18">
        <f t="shared" si="21"/>
        <v>45820</v>
      </c>
      <c r="N824" t="s">
        <v>3</v>
      </c>
    </row>
    <row r="825" spans="1:17" x14ac:dyDescent="0.25">
      <c r="A825" s="14">
        <v>3235</v>
      </c>
      <c r="B825" s="19">
        <v>45807</v>
      </c>
      <c r="E825" s="16" t="s">
        <v>7</v>
      </c>
      <c r="I825" s="17">
        <v>5</v>
      </c>
      <c r="K825" s="18">
        <f t="shared" si="22"/>
        <v>45811</v>
      </c>
      <c r="L825" s="17">
        <v>3</v>
      </c>
      <c r="M825" s="18">
        <f t="shared" si="21"/>
        <v>45815</v>
      </c>
      <c r="O825" t="s">
        <v>5</v>
      </c>
    </row>
    <row r="826" spans="1:17" x14ac:dyDescent="0.25">
      <c r="A826" s="14">
        <v>3409</v>
      </c>
      <c r="B826" s="19">
        <v>45807</v>
      </c>
      <c r="E826" s="16" t="s">
        <v>7</v>
      </c>
      <c r="I826" s="17">
        <v>5</v>
      </c>
      <c r="K826" s="18">
        <f t="shared" si="22"/>
        <v>45811</v>
      </c>
      <c r="L826" s="17">
        <v>3</v>
      </c>
      <c r="M826" s="18">
        <f t="shared" si="21"/>
        <v>45815</v>
      </c>
      <c r="O826" t="s">
        <v>27</v>
      </c>
      <c r="Q826" t="s">
        <v>4</v>
      </c>
    </row>
    <row r="827" spans="1:17" x14ac:dyDescent="0.25">
      <c r="A827" s="14">
        <v>3779</v>
      </c>
      <c r="B827" s="19">
        <v>45808</v>
      </c>
      <c r="E827" s="16" t="s">
        <v>7</v>
      </c>
      <c r="I827" s="17">
        <v>5</v>
      </c>
      <c r="K827" s="18">
        <f t="shared" si="22"/>
        <v>45812</v>
      </c>
      <c r="L827" s="17">
        <v>3</v>
      </c>
      <c r="M827" s="18">
        <f t="shared" si="21"/>
        <v>45816</v>
      </c>
      <c r="N827" t="s">
        <v>3</v>
      </c>
    </row>
    <row r="828" spans="1:17" x14ac:dyDescent="0.25">
      <c r="A828" s="14">
        <v>3676</v>
      </c>
      <c r="B828" s="19">
        <v>45809</v>
      </c>
      <c r="E828" s="16" t="s">
        <v>7</v>
      </c>
      <c r="I828" s="17">
        <v>5</v>
      </c>
      <c r="K828" s="18">
        <f t="shared" si="22"/>
        <v>45813</v>
      </c>
      <c r="L828" s="17">
        <v>3</v>
      </c>
      <c r="M828" s="18">
        <f t="shared" si="21"/>
        <v>45817</v>
      </c>
      <c r="O828" t="s">
        <v>5</v>
      </c>
    </row>
    <row r="829" spans="1:17" x14ac:dyDescent="0.25">
      <c r="A829" s="14">
        <v>3391</v>
      </c>
      <c r="B829" s="19">
        <v>45809</v>
      </c>
      <c r="E829" s="16" t="s">
        <v>7</v>
      </c>
      <c r="I829" s="17">
        <v>5</v>
      </c>
      <c r="K829" s="18">
        <f t="shared" si="22"/>
        <v>45813</v>
      </c>
      <c r="L829" s="17">
        <v>3</v>
      </c>
      <c r="M829" s="18">
        <f t="shared" si="21"/>
        <v>45817</v>
      </c>
      <c r="O829" t="s">
        <v>5</v>
      </c>
    </row>
    <row r="830" spans="1:17" x14ac:dyDescent="0.25">
      <c r="A830" s="14">
        <v>3731</v>
      </c>
      <c r="B830" s="19">
        <v>45810</v>
      </c>
      <c r="E830" s="16" t="s">
        <v>7</v>
      </c>
      <c r="I830" s="17">
        <v>5</v>
      </c>
      <c r="K830" s="18">
        <f t="shared" si="22"/>
        <v>45814</v>
      </c>
      <c r="L830" s="17">
        <v>3</v>
      </c>
      <c r="M830" s="18">
        <f t="shared" si="21"/>
        <v>45818</v>
      </c>
      <c r="N830" t="s">
        <v>3</v>
      </c>
    </row>
    <row r="831" spans="1:17" x14ac:dyDescent="0.25">
      <c r="A831" s="14">
        <v>2723</v>
      </c>
      <c r="B831" s="19">
        <v>45810</v>
      </c>
      <c r="E831" s="16" t="s">
        <v>0</v>
      </c>
      <c r="I831" s="17">
        <v>5</v>
      </c>
      <c r="K831" s="18">
        <f t="shared" si="22"/>
        <v>45814</v>
      </c>
      <c r="L831" s="17">
        <v>5</v>
      </c>
      <c r="M831" s="18">
        <f t="shared" si="21"/>
        <v>45820</v>
      </c>
      <c r="N831" t="s">
        <v>3</v>
      </c>
    </row>
    <row r="832" spans="1:17" x14ac:dyDescent="0.25">
      <c r="A832" s="14">
        <v>3433</v>
      </c>
      <c r="B832" s="19">
        <v>45811</v>
      </c>
      <c r="E832" s="16" t="s">
        <v>7</v>
      </c>
      <c r="I832" s="17">
        <v>5</v>
      </c>
      <c r="K832" s="18">
        <f t="shared" si="22"/>
        <v>45815</v>
      </c>
      <c r="L832" s="17">
        <v>3</v>
      </c>
      <c r="M832" s="18">
        <f t="shared" si="21"/>
        <v>45819</v>
      </c>
      <c r="P832" t="s">
        <v>1</v>
      </c>
    </row>
    <row r="833" spans="1:17" x14ac:dyDescent="0.25">
      <c r="A833" s="14">
        <v>4188</v>
      </c>
      <c r="B833" s="19">
        <v>45811</v>
      </c>
      <c r="E833" s="16" t="s">
        <v>7</v>
      </c>
      <c r="I833" s="17">
        <v>5</v>
      </c>
      <c r="K833" s="18">
        <f t="shared" si="22"/>
        <v>45815</v>
      </c>
      <c r="L833" s="17">
        <v>3</v>
      </c>
      <c r="M833" s="18">
        <f t="shared" si="21"/>
        <v>45819</v>
      </c>
      <c r="N833" t="s">
        <v>3</v>
      </c>
    </row>
    <row r="834" spans="1:17" x14ac:dyDescent="0.25">
      <c r="A834" s="14">
        <v>2605</v>
      </c>
      <c r="B834" s="19">
        <v>45812</v>
      </c>
      <c r="E834" s="16" t="s">
        <v>7</v>
      </c>
      <c r="I834" s="17">
        <v>5</v>
      </c>
      <c r="K834" s="18">
        <f t="shared" si="22"/>
        <v>45816</v>
      </c>
      <c r="L834" s="17">
        <v>3</v>
      </c>
      <c r="M834" s="18">
        <f t="shared" si="21"/>
        <v>45820</v>
      </c>
      <c r="P834" t="s">
        <v>1</v>
      </c>
    </row>
    <row r="835" spans="1:17" x14ac:dyDescent="0.25">
      <c r="A835" s="14">
        <v>4023</v>
      </c>
      <c r="B835" s="19">
        <v>45812</v>
      </c>
      <c r="E835" s="16" t="s">
        <v>7</v>
      </c>
      <c r="I835" s="17">
        <v>5</v>
      </c>
      <c r="K835" s="18">
        <f t="shared" si="22"/>
        <v>45816</v>
      </c>
      <c r="L835" s="17">
        <v>3</v>
      </c>
      <c r="M835" s="18">
        <f t="shared" si="21"/>
        <v>45820</v>
      </c>
      <c r="O835" t="s">
        <v>5</v>
      </c>
    </row>
    <row r="836" spans="1:17" x14ac:dyDescent="0.25">
      <c r="A836" s="14">
        <v>4484</v>
      </c>
      <c r="B836" s="19">
        <v>45813</v>
      </c>
      <c r="E836" s="16" t="s">
        <v>7</v>
      </c>
      <c r="I836" s="17">
        <v>5</v>
      </c>
      <c r="K836" s="18">
        <f t="shared" si="22"/>
        <v>45817</v>
      </c>
      <c r="L836" s="17">
        <v>3</v>
      </c>
      <c r="M836" s="18">
        <f t="shared" si="21"/>
        <v>45821</v>
      </c>
      <c r="Q836" t="s">
        <v>4</v>
      </c>
    </row>
    <row r="837" spans="1:17" x14ac:dyDescent="0.25">
      <c r="A837" s="14">
        <v>4597</v>
      </c>
      <c r="B837" s="19">
        <v>45813</v>
      </c>
      <c r="E837" s="16" t="s">
        <v>7</v>
      </c>
      <c r="I837" s="17">
        <v>5</v>
      </c>
      <c r="K837" s="18">
        <f t="shared" si="22"/>
        <v>45817</v>
      </c>
      <c r="L837" s="17">
        <v>3</v>
      </c>
      <c r="M837" s="18">
        <f t="shared" si="21"/>
        <v>45821</v>
      </c>
      <c r="Q837" t="s">
        <v>4</v>
      </c>
    </row>
    <row r="838" spans="1:17" x14ac:dyDescent="0.25">
      <c r="A838" s="14">
        <v>4399</v>
      </c>
      <c r="B838" s="19">
        <v>45813</v>
      </c>
      <c r="E838" s="16" t="s">
        <v>7</v>
      </c>
      <c r="I838" s="17">
        <v>5</v>
      </c>
      <c r="K838" s="18">
        <f t="shared" si="22"/>
        <v>45817</v>
      </c>
      <c r="L838" s="17">
        <v>3</v>
      </c>
      <c r="M838" s="18">
        <f t="shared" si="21"/>
        <v>45821</v>
      </c>
      <c r="P838" t="s">
        <v>1</v>
      </c>
    </row>
    <row r="839" spans="1:17" x14ac:dyDescent="0.25">
      <c r="A839" s="14">
        <v>3247</v>
      </c>
      <c r="B839" s="19">
        <v>45814</v>
      </c>
      <c r="E839" s="16" t="s">
        <v>7</v>
      </c>
      <c r="I839" s="17">
        <v>5</v>
      </c>
      <c r="K839" s="18">
        <f t="shared" si="22"/>
        <v>45818</v>
      </c>
      <c r="L839" s="17">
        <v>3</v>
      </c>
      <c r="M839" s="18">
        <f t="shared" si="21"/>
        <v>45822</v>
      </c>
      <c r="P839" t="s">
        <v>1</v>
      </c>
    </row>
    <row r="840" spans="1:17" x14ac:dyDescent="0.25">
      <c r="A840" s="14">
        <v>3612</v>
      </c>
      <c r="B840" s="19">
        <v>45815</v>
      </c>
      <c r="E840" s="16" t="s">
        <v>7</v>
      </c>
      <c r="I840" s="17">
        <v>5</v>
      </c>
      <c r="K840" s="18">
        <f t="shared" si="22"/>
        <v>45819</v>
      </c>
      <c r="L840" s="17">
        <v>3</v>
      </c>
      <c r="M840" s="18">
        <f t="shared" si="21"/>
        <v>45823</v>
      </c>
      <c r="Q840" t="s">
        <v>4</v>
      </c>
    </row>
    <row r="841" spans="1:17" x14ac:dyDescent="0.25">
      <c r="A841" s="14">
        <v>4034</v>
      </c>
      <c r="B841" s="19">
        <v>45817</v>
      </c>
      <c r="E841" s="16" t="s">
        <v>7</v>
      </c>
      <c r="I841" s="17">
        <v>5</v>
      </c>
      <c r="K841" s="18">
        <f t="shared" si="22"/>
        <v>45821</v>
      </c>
      <c r="L841" s="17">
        <v>3</v>
      </c>
      <c r="M841" s="18">
        <f t="shared" si="21"/>
        <v>45825</v>
      </c>
      <c r="O841" t="s">
        <v>5</v>
      </c>
    </row>
    <row r="842" spans="1:17" x14ac:dyDescent="0.25">
      <c r="A842" s="14">
        <v>4023</v>
      </c>
      <c r="B842" s="19">
        <v>45817</v>
      </c>
      <c r="E842" s="16" t="s">
        <v>7</v>
      </c>
      <c r="I842" s="17">
        <v>5</v>
      </c>
      <c r="K842" s="18">
        <f t="shared" si="22"/>
        <v>45821</v>
      </c>
      <c r="L842" s="17">
        <v>3</v>
      </c>
      <c r="M842" s="18">
        <f t="shared" si="21"/>
        <v>45825</v>
      </c>
      <c r="O842" t="s">
        <v>5</v>
      </c>
    </row>
    <row r="843" spans="1:17" x14ac:dyDescent="0.25">
      <c r="A843" s="14">
        <v>2980</v>
      </c>
      <c r="B843" s="19">
        <v>45817</v>
      </c>
      <c r="E843" s="16" t="s">
        <v>7</v>
      </c>
      <c r="I843" s="17">
        <v>5</v>
      </c>
      <c r="K843" s="18">
        <f t="shared" si="22"/>
        <v>45821</v>
      </c>
      <c r="L843" s="17">
        <v>3</v>
      </c>
      <c r="M843" s="18">
        <f t="shared" si="21"/>
        <v>45825</v>
      </c>
      <c r="O843" t="s">
        <v>5</v>
      </c>
    </row>
    <row r="844" spans="1:17" x14ac:dyDescent="0.25">
      <c r="A844" s="14">
        <v>2886</v>
      </c>
      <c r="B844" s="19">
        <v>45817</v>
      </c>
      <c r="E844" s="16" t="s">
        <v>7</v>
      </c>
      <c r="I844" s="17">
        <v>5</v>
      </c>
      <c r="K844" s="18">
        <f t="shared" si="22"/>
        <v>45821</v>
      </c>
      <c r="L844" s="17">
        <v>3</v>
      </c>
      <c r="M844" s="18">
        <f t="shared" si="21"/>
        <v>45825</v>
      </c>
      <c r="N844" t="s">
        <v>3</v>
      </c>
    </row>
    <row r="845" spans="1:17" x14ac:dyDescent="0.25">
      <c r="A845" s="14">
        <v>3801</v>
      </c>
      <c r="B845" s="19">
        <v>45818</v>
      </c>
      <c r="E845" s="16" t="s">
        <v>7</v>
      </c>
      <c r="I845" s="17">
        <v>5</v>
      </c>
      <c r="K845" s="18">
        <f t="shared" si="22"/>
        <v>45822</v>
      </c>
      <c r="L845" s="17">
        <v>3</v>
      </c>
      <c r="M845" s="18">
        <f t="shared" si="21"/>
        <v>45826</v>
      </c>
      <c r="O845" t="s">
        <v>5</v>
      </c>
      <c r="Q845" t="s">
        <v>4</v>
      </c>
    </row>
    <row r="846" spans="1:17" x14ac:dyDescent="0.25">
      <c r="A846" s="14">
        <v>3306</v>
      </c>
      <c r="B846" s="19">
        <v>45818</v>
      </c>
      <c r="E846" s="16" t="s">
        <v>7</v>
      </c>
      <c r="I846" s="17">
        <v>5</v>
      </c>
      <c r="K846" s="18">
        <f t="shared" si="22"/>
        <v>45822</v>
      </c>
      <c r="L846" s="17">
        <v>3</v>
      </c>
      <c r="M846" s="18">
        <f t="shared" si="21"/>
        <v>45826</v>
      </c>
      <c r="P846" t="s">
        <v>1</v>
      </c>
    </row>
    <row r="847" spans="1:17" x14ac:dyDescent="0.25">
      <c r="A847" s="14">
        <v>4089</v>
      </c>
      <c r="B847" s="19">
        <v>45818</v>
      </c>
      <c r="E847" s="16" t="s">
        <v>7</v>
      </c>
      <c r="I847" s="17">
        <v>5</v>
      </c>
      <c r="K847" s="18">
        <f t="shared" si="22"/>
        <v>45822</v>
      </c>
      <c r="L847" s="17">
        <v>3</v>
      </c>
      <c r="M847" s="18">
        <f t="shared" si="21"/>
        <v>45826</v>
      </c>
      <c r="N847" t="s">
        <v>3</v>
      </c>
    </row>
    <row r="848" spans="1:17" x14ac:dyDescent="0.25">
      <c r="A848" s="14">
        <v>3761</v>
      </c>
      <c r="B848" s="19">
        <v>45818</v>
      </c>
      <c r="E848" s="16" t="s">
        <v>7</v>
      </c>
      <c r="I848" s="17">
        <v>5</v>
      </c>
      <c r="K848" s="18">
        <f t="shared" si="22"/>
        <v>45822</v>
      </c>
      <c r="L848" s="17">
        <v>3</v>
      </c>
      <c r="M848" s="18">
        <f t="shared" si="21"/>
        <v>45826</v>
      </c>
      <c r="O848" t="s">
        <v>5</v>
      </c>
      <c r="Q848" t="s">
        <v>4</v>
      </c>
    </row>
    <row r="849" spans="1:17" x14ac:dyDescent="0.25">
      <c r="A849" s="14">
        <v>3378</v>
      </c>
      <c r="B849" s="19">
        <v>45819</v>
      </c>
      <c r="E849" s="16" t="s">
        <v>20</v>
      </c>
      <c r="I849" s="17">
        <v>5</v>
      </c>
      <c r="K849" s="18">
        <f t="shared" si="22"/>
        <v>45823</v>
      </c>
      <c r="L849" s="17">
        <v>9</v>
      </c>
      <c r="M849" s="18">
        <f t="shared" si="21"/>
        <v>45833</v>
      </c>
      <c r="Q849" t="s">
        <v>4</v>
      </c>
    </row>
    <row r="850" spans="1:17" x14ac:dyDescent="0.25">
      <c r="A850" s="14">
        <v>3976</v>
      </c>
      <c r="B850" s="19">
        <v>45819</v>
      </c>
      <c r="E850" s="16" t="s">
        <v>7</v>
      </c>
      <c r="I850" s="17">
        <v>5</v>
      </c>
      <c r="K850" s="18">
        <f t="shared" si="22"/>
        <v>45823</v>
      </c>
      <c r="L850" s="17">
        <v>3</v>
      </c>
      <c r="M850" s="18">
        <f t="shared" si="21"/>
        <v>45827</v>
      </c>
      <c r="P850" t="s">
        <v>1</v>
      </c>
    </row>
    <row r="851" spans="1:17" x14ac:dyDescent="0.25">
      <c r="A851" s="14">
        <v>3591</v>
      </c>
      <c r="B851" s="19">
        <v>45820</v>
      </c>
      <c r="E851" s="16" t="s">
        <v>7</v>
      </c>
      <c r="I851" s="17">
        <v>5</v>
      </c>
      <c r="K851" s="18">
        <f t="shared" si="22"/>
        <v>45824</v>
      </c>
      <c r="L851" s="17">
        <v>3</v>
      </c>
      <c r="M851" s="18">
        <f t="shared" si="21"/>
        <v>45828</v>
      </c>
      <c r="Q851" t="s">
        <v>4</v>
      </c>
    </row>
    <row r="852" spans="1:17" x14ac:dyDescent="0.25">
      <c r="A852" s="14">
        <v>3113</v>
      </c>
      <c r="B852" s="19">
        <v>45820</v>
      </c>
      <c r="E852" s="16" t="s">
        <v>7</v>
      </c>
      <c r="I852" s="17">
        <v>5</v>
      </c>
      <c r="K852" s="18">
        <f t="shared" si="22"/>
        <v>45824</v>
      </c>
      <c r="L852" s="17">
        <v>3</v>
      </c>
      <c r="M852" s="18">
        <f t="shared" si="21"/>
        <v>45828</v>
      </c>
      <c r="Q852" t="s">
        <v>4</v>
      </c>
    </row>
    <row r="853" spans="1:17" x14ac:dyDescent="0.25">
      <c r="A853" s="14">
        <v>3112</v>
      </c>
      <c r="B853" s="19">
        <v>45821</v>
      </c>
      <c r="E853" s="16" t="s">
        <v>7</v>
      </c>
      <c r="I853" s="17">
        <v>5</v>
      </c>
      <c r="K853" s="18">
        <f t="shared" si="22"/>
        <v>45825</v>
      </c>
      <c r="L853" s="17">
        <v>3</v>
      </c>
      <c r="M853" s="18">
        <f t="shared" si="21"/>
        <v>45829</v>
      </c>
      <c r="N853" t="s">
        <v>3</v>
      </c>
    </row>
    <row r="854" spans="1:17" x14ac:dyDescent="0.25">
      <c r="A854" s="14">
        <v>3896</v>
      </c>
      <c r="B854" s="19">
        <v>45821</v>
      </c>
      <c r="E854" s="16" t="s">
        <v>7</v>
      </c>
      <c r="I854" s="17">
        <v>5</v>
      </c>
      <c r="K854" s="18">
        <f t="shared" si="22"/>
        <v>45825</v>
      </c>
      <c r="L854" s="17">
        <v>3</v>
      </c>
      <c r="M854" s="18">
        <f t="shared" si="21"/>
        <v>45829</v>
      </c>
      <c r="N854" t="s">
        <v>3</v>
      </c>
    </row>
    <row r="855" spans="1:17" x14ac:dyDescent="0.25">
      <c r="A855" s="14">
        <v>4117</v>
      </c>
      <c r="B855" s="19">
        <v>45821</v>
      </c>
      <c r="E855" s="16" t="s">
        <v>7</v>
      </c>
      <c r="I855" s="17">
        <v>5</v>
      </c>
      <c r="K855" s="18">
        <f t="shared" si="22"/>
        <v>45825</v>
      </c>
      <c r="L855" s="17">
        <v>3</v>
      </c>
      <c r="M855" s="18">
        <f t="shared" si="21"/>
        <v>45829</v>
      </c>
      <c r="O855" t="s">
        <v>5</v>
      </c>
      <c r="Q855" t="s">
        <v>4</v>
      </c>
    </row>
    <row r="856" spans="1:17" x14ac:dyDescent="0.25">
      <c r="A856" s="14">
        <v>3579</v>
      </c>
      <c r="B856" s="19">
        <v>45822</v>
      </c>
      <c r="E856" s="16" t="s">
        <v>7</v>
      </c>
      <c r="I856" s="17">
        <v>5</v>
      </c>
      <c r="K856" s="18">
        <f t="shared" si="22"/>
        <v>45826</v>
      </c>
      <c r="L856" s="17">
        <v>3</v>
      </c>
      <c r="M856" s="18">
        <f t="shared" si="21"/>
        <v>45830</v>
      </c>
      <c r="N856" t="s">
        <v>3</v>
      </c>
    </row>
    <row r="857" spans="1:17" x14ac:dyDescent="0.25">
      <c r="A857" s="14">
        <v>3853</v>
      </c>
      <c r="B857" s="19">
        <v>45822</v>
      </c>
      <c r="E857" s="16" t="s">
        <v>7</v>
      </c>
      <c r="I857" s="17">
        <v>5</v>
      </c>
      <c r="K857" s="18">
        <f t="shared" si="22"/>
        <v>45826</v>
      </c>
      <c r="L857" s="17">
        <v>3</v>
      </c>
      <c r="M857" s="18">
        <f t="shared" si="21"/>
        <v>45830</v>
      </c>
      <c r="O857" t="s">
        <v>5</v>
      </c>
    </row>
    <row r="858" spans="1:17" x14ac:dyDescent="0.25">
      <c r="A858" s="14">
        <v>3306</v>
      </c>
      <c r="B858" s="19">
        <v>45822</v>
      </c>
      <c r="E858" s="16" t="s">
        <v>25</v>
      </c>
      <c r="I858" s="17">
        <v>5</v>
      </c>
      <c r="K858" s="18">
        <f t="shared" si="22"/>
        <v>45826</v>
      </c>
      <c r="L858" s="17">
        <v>5</v>
      </c>
      <c r="M858" s="18">
        <f t="shared" si="21"/>
        <v>45832</v>
      </c>
      <c r="P858" t="s">
        <v>1</v>
      </c>
    </row>
    <row r="859" spans="1:17" x14ac:dyDescent="0.25">
      <c r="A859" s="14">
        <v>4068</v>
      </c>
      <c r="B859" s="19">
        <v>45822</v>
      </c>
      <c r="E859" s="16" t="s">
        <v>7</v>
      </c>
      <c r="I859" s="17">
        <v>5</v>
      </c>
      <c r="K859" s="18">
        <f t="shared" si="22"/>
        <v>45826</v>
      </c>
      <c r="L859" s="17">
        <v>3</v>
      </c>
      <c r="M859" s="18">
        <f t="shared" si="21"/>
        <v>45830</v>
      </c>
      <c r="Q859" t="s">
        <v>4</v>
      </c>
    </row>
    <row r="860" spans="1:17" x14ac:dyDescent="0.25">
      <c r="A860" s="14">
        <v>3160</v>
      </c>
      <c r="B860" s="19">
        <v>45822</v>
      </c>
      <c r="E860" s="16" t="s">
        <v>7</v>
      </c>
      <c r="I860" s="17">
        <v>5</v>
      </c>
      <c r="K860" s="18">
        <f t="shared" si="22"/>
        <v>45826</v>
      </c>
      <c r="L860" s="17">
        <v>3</v>
      </c>
      <c r="M860" s="18">
        <f t="shared" si="21"/>
        <v>45830</v>
      </c>
      <c r="N860" t="s">
        <v>3</v>
      </c>
    </row>
    <row r="861" spans="1:17" x14ac:dyDescent="0.25">
      <c r="A861" s="14">
        <v>3394</v>
      </c>
      <c r="B861" s="19">
        <v>45822</v>
      </c>
      <c r="E861" s="16" t="s">
        <v>7</v>
      </c>
      <c r="I861" s="17">
        <v>5</v>
      </c>
      <c r="K861" s="18">
        <f t="shared" si="22"/>
        <v>45826</v>
      </c>
      <c r="L861" s="17">
        <v>3</v>
      </c>
      <c r="M861" s="18">
        <f t="shared" si="21"/>
        <v>45830</v>
      </c>
      <c r="P861" t="s">
        <v>1</v>
      </c>
    </row>
    <row r="862" spans="1:17" x14ac:dyDescent="0.25">
      <c r="A862" s="14">
        <v>2729</v>
      </c>
      <c r="B862" s="19">
        <v>45823</v>
      </c>
      <c r="E862" s="16" t="s">
        <v>7</v>
      </c>
      <c r="I862" s="17">
        <v>5</v>
      </c>
      <c r="K862" s="18">
        <f t="shared" si="22"/>
        <v>45827</v>
      </c>
      <c r="L862" s="17">
        <v>3</v>
      </c>
      <c r="M862" s="18">
        <f t="shared" si="21"/>
        <v>45831</v>
      </c>
      <c r="Q862" t="s">
        <v>4</v>
      </c>
    </row>
    <row r="863" spans="1:17" x14ac:dyDescent="0.25">
      <c r="A863" s="14">
        <v>2827</v>
      </c>
      <c r="B863" s="19">
        <v>45824</v>
      </c>
      <c r="E863" s="16" t="s">
        <v>7</v>
      </c>
      <c r="I863" s="17">
        <v>5</v>
      </c>
      <c r="K863" s="18">
        <f t="shared" si="22"/>
        <v>45828</v>
      </c>
      <c r="L863" s="17">
        <v>3</v>
      </c>
      <c r="M863" s="18">
        <f t="shared" si="21"/>
        <v>45832</v>
      </c>
      <c r="O863" t="s">
        <v>5</v>
      </c>
    </row>
    <row r="864" spans="1:17" x14ac:dyDescent="0.25">
      <c r="A864" s="14">
        <v>3042</v>
      </c>
      <c r="B864" s="19">
        <v>45825</v>
      </c>
      <c r="E864" s="16" t="s">
        <v>7</v>
      </c>
      <c r="I864" s="17">
        <v>5</v>
      </c>
      <c r="K864" s="18">
        <f t="shared" si="22"/>
        <v>45829</v>
      </c>
      <c r="L864" s="17">
        <v>3</v>
      </c>
      <c r="M864" s="18">
        <f t="shared" si="21"/>
        <v>45833</v>
      </c>
      <c r="N864" t="s">
        <v>3</v>
      </c>
    </row>
    <row r="865" spans="1:17" x14ac:dyDescent="0.25">
      <c r="A865" s="14">
        <v>3113</v>
      </c>
      <c r="B865" s="19">
        <v>45825</v>
      </c>
      <c r="E865" s="16" t="s">
        <v>25</v>
      </c>
      <c r="I865" s="17">
        <v>5</v>
      </c>
      <c r="K865" s="18">
        <f t="shared" si="22"/>
        <v>45829</v>
      </c>
      <c r="L865" s="17">
        <v>5</v>
      </c>
      <c r="M865" s="18">
        <f t="shared" si="21"/>
        <v>45835</v>
      </c>
      <c r="O865" t="s">
        <v>5</v>
      </c>
      <c r="Q865" t="s">
        <v>4</v>
      </c>
    </row>
    <row r="866" spans="1:17" x14ac:dyDescent="0.25">
      <c r="A866" s="14">
        <v>3976</v>
      </c>
      <c r="B866" s="19">
        <v>45825</v>
      </c>
      <c r="E866" s="16" t="s">
        <v>0</v>
      </c>
      <c r="I866" s="17">
        <v>5</v>
      </c>
      <c r="K866" s="18">
        <f t="shared" si="22"/>
        <v>45829</v>
      </c>
      <c r="L866" s="17">
        <v>5</v>
      </c>
      <c r="M866" s="18">
        <f t="shared" si="21"/>
        <v>45835</v>
      </c>
      <c r="P866" t="s">
        <v>1</v>
      </c>
    </row>
    <row r="867" spans="1:17" x14ac:dyDescent="0.25">
      <c r="A867" s="14">
        <v>4446</v>
      </c>
      <c r="B867" s="19">
        <v>45825</v>
      </c>
      <c r="E867" s="16" t="s">
        <v>7</v>
      </c>
      <c r="I867" s="17">
        <v>5</v>
      </c>
      <c r="K867" s="18">
        <f t="shared" si="22"/>
        <v>45829</v>
      </c>
      <c r="L867" s="17">
        <v>3</v>
      </c>
      <c r="M867" s="18">
        <f t="shared" si="21"/>
        <v>45833</v>
      </c>
      <c r="N867" t="s">
        <v>3</v>
      </c>
      <c r="O867" t="s">
        <v>5</v>
      </c>
    </row>
    <row r="868" spans="1:17" x14ac:dyDescent="0.25">
      <c r="A868" s="14">
        <v>4665</v>
      </c>
      <c r="B868" s="19">
        <v>45826</v>
      </c>
      <c r="E868" s="16" t="s">
        <v>7</v>
      </c>
      <c r="I868" s="17">
        <v>5</v>
      </c>
      <c r="K868" s="18">
        <f t="shared" si="22"/>
        <v>45830</v>
      </c>
      <c r="L868" s="17">
        <v>3</v>
      </c>
      <c r="M868" s="18">
        <f t="shared" si="21"/>
        <v>45834</v>
      </c>
      <c r="O868" t="s">
        <v>5</v>
      </c>
      <c r="Q868" t="s">
        <v>4</v>
      </c>
    </row>
    <row r="869" spans="1:17" x14ac:dyDescent="0.25">
      <c r="A869" s="14">
        <v>3896</v>
      </c>
      <c r="B869" s="19">
        <v>45826</v>
      </c>
      <c r="E869" s="16" t="s">
        <v>0</v>
      </c>
      <c r="I869" s="17">
        <v>5</v>
      </c>
      <c r="K869" s="18">
        <f t="shared" si="22"/>
        <v>45830</v>
      </c>
      <c r="L869" s="17">
        <v>5</v>
      </c>
      <c r="M869" s="18">
        <f t="shared" si="21"/>
        <v>45836</v>
      </c>
      <c r="N869" t="s">
        <v>3</v>
      </c>
    </row>
    <row r="870" spans="1:17" x14ac:dyDescent="0.25">
      <c r="A870" s="14">
        <v>3853</v>
      </c>
      <c r="B870" s="19">
        <v>45826</v>
      </c>
      <c r="E870" s="16" t="s">
        <v>0</v>
      </c>
      <c r="I870" s="17">
        <v>5</v>
      </c>
      <c r="K870" s="19">
        <v>45830</v>
      </c>
      <c r="L870" s="17">
        <v>5</v>
      </c>
      <c r="M870" s="19">
        <v>45836</v>
      </c>
      <c r="O870" t="s">
        <v>5</v>
      </c>
    </row>
    <row r="871" spans="1:17" x14ac:dyDescent="0.25">
      <c r="A871" s="14">
        <v>3673</v>
      </c>
      <c r="B871" s="19">
        <v>45827</v>
      </c>
      <c r="E871" s="16" t="s">
        <v>7</v>
      </c>
      <c r="I871" s="17">
        <v>5</v>
      </c>
      <c r="K871" s="19">
        <v>45831</v>
      </c>
      <c r="L871" s="17">
        <v>3</v>
      </c>
      <c r="M871" s="19">
        <v>45835</v>
      </c>
      <c r="P871" t="s">
        <v>1</v>
      </c>
    </row>
    <row r="872" spans="1:17" x14ac:dyDescent="0.25">
      <c r="A872" s="14">
        <v>3932</v>
      </c>
      <c r="B872" s="19">
        <v>45827</v>
      </c>
      <c r="E872" s="16" t="s">
        <v>7</v>
      </c>
      <c r="I872" s="17">
        <v>5</v>
      </c>
      <c r="K872" s="19">
        <v>45831</v>
      </c>
      <c r="L872" s="17">
        <v>3</v>
      </c>
      <c r="M872" s="19">
        <v>45835</v>
      </c>
      <c r="Q872" t="s">
        <v>4</v>
      </c>
    </row>
    <row r="873" spans="1:17" x14ac:dyDescent="0.25">
      <c r="A873" s="14">
        <v>3801</v>
      </c>
      <c r="B873" s="19">
        <v>45827</v>
      </c>
      <c r="E873" s="16" t="s">
        <v>20</v>
      </c>
      <c r="I873" s="17">
        <v>5</v>
      </c>
      <c r="K873" s="19">
        <v>45831</v>
      </c>
      <c r="L873" s="17">
        <v>9</v>
      </c>
      <c r="M873" s="19">
        <v>45841</v>
      </c>
      <c r="O873" t="s">
        <v>5</v>
      </c>
      <c r="Q873" t="s">
        <v>4</v>
      </c>
    </row>
    <row r="874" spans="1:17" x14ac:dyDescent="0.25">
      <c r="A874" s="14">
        <v>3421</v>
      </c>
      <c r="B874" s="19">
        <v>45828</v>
      </c>
      <c r="E874" s="16" t="s">
        <v>7</v>
      </c>
      <c r="I874" s="17">
        <v>5</v>
      </c>
      <c r="K874" s="19">
        <v>45832</v>
      </c>
      <c r="L874" s="17">
        <v>3</v>
      </c>
      <c r="M874" s="19">
        <v>45836</v>
      </c>
      <c r="P874" t="s">
        <v>1</v>
      </c>
    </row>
    <row r="875" spans="1:17" x14ac:dyDescent="0.25">
      <c r="A875" s="14">
        <v>2827</v>
      </c>
      <c r="B875" s="19">
        <v>45828</v>
      </c>
      <c r="E875" s="16" t="s">
        <v>20</v>
      </c>
      <c r="I875" s="17">
        <v>5</v>
      </c>
      <c r="K875" s="19">
        <v>45832</v>
      </c>
      <c r="L875" s="17">
        <v>9</v>
      </c>
      <c r="M875" s="19">
        <v>45812</v>
      </c>
      <c r="N875" t="s">
        <v>3</v>
      </c>
    </row>
    <row r="876" spans="1:17" x14ac:dyDescent="0.25">
      <c r="A876" s="14">
        <v>4188</v>
      </c>
      <c r="B876" s="19">
        <v>45810</v>
      </c>
      <c r="E876" s="16" t="s">
        <v>7</v>
      </c>
      <c r="I876" s="17">
        <v>5</v>
      </c>
      <c r="K876" s="19">
        <v>45832</v>
      </c>
      <c r="L876" s="17">
        <v>3</v>
      </c>
      <c r="M876" s="19">
        <v>45836</v>
      </c>
      <c r="Q876" t="s">
        <v>4</v>
      </c>
    </row>
    <row r="877" spans="1:17" x14ac:dyDescent="0.25">
      <c r="A877" s="14">
        <v>3846</v>
      </c>
      <c r="B877" s="19">
        <v>45828</v>
      </c>
      <c r="E877" s="16" t="s">
        <v>7</v>
      </c>
      <c r="I877" s="17">
        <v>5</v>
      </c>
      <c r="K877" s="19">
        <v>45832</v>
      </c>
      <c r="L877" s="17">
        <v>3</v>
      </c>
      <c r="M877" s="19">
        <v>45836</v>
      </c>
    </row>
    <row r="878" spans="1:17" x14ac:dyDescent="0.25">
      <c r="A878" s="14">
        <v>2430</v>
      </c>
      <c r="B878" s="19">
        <v>45828</v>
      </c>
      <c r="E878" s="16" t="s">
        <v>7</v>
      </c>
      <c r="I878" s="17">
        <v>5</v>
      </c>
      <c r="K878" s="19">
        <v>45832</v>
      </c>
      <c r="L878" s="17">
        <v>3</v>
      </c>
      <c r="M878" s="19">
        <v>45836</v>
      </c>
      <c r="P878" t="s">
        <v>1</v>
      </c>
      <c r="Q878" t="s">
        <v>4</v>
      </c>
    </row>
    <row r="879" spans="1:17" x14ac:dyDescent="0.25">
      <c r="A879" s="14">
        <v>4847</v>
      </c>
      <c r="B879" s="19">
        <v>45828</v>
      </c>
      <c r="E879" s="16" t="s">
        <v>7</v>
      </c>
      <c r="I879" s="17">
        <v>5</v>
      </c>
      <c r="K879" s="19">
        <v>45832</v>
      </c>
      <c r="L879" s="17">
        <v>3</v>
      </c>
      <c r="M879" s="19">
        <v>45836</v>
      </c>
      <c r="P879" t="s">
        <v>1</v>
      </c>
    </row>
    <row r="880" spans="1:17" x14ac:dyDescent="0.25">
      <c r="A880" s="14">
        <v>3661</v>
      </c>
      <c r="B880" s="19">
        <v>45829</v>
      </c>
      <c r="E880" s="16" t="s">
        <v>25</v>
      </c>
      <c r="I880" s="17">
        <v>5</v>
      </c>
      <c r="K880" s="19">
        <v>45833</v>
      </c>
      <c r="L880" s="17">
        <v>5</v>
      </c>
      <c r="M880" s="19">
        <v>45839</v>
      </c>
      <c r="N880" t="s">
        <v>3</v>
      </c>
      <c r="O880" t="s">
        <v>5</v>
      </c>
      <c r="Q880" t="s">
        <v>4</v>
      </c>
    </row>
    <row r="881" spans="1:17" x14ac:dyDescent="0.25">
      <c r="A881" s="14">
        <v>3113</v>
      </c>
      <c r="B881" s="19">
        <v>45829</v>
      </c>
      <c r="E881" s="16" t="s">
        <v>20</v>
      </c>
      <c r="I881" s="17">
        <v>5</v>
      </c>
      <c r="K881" s="19">
        <v>45833</v>
      </c>
      <c r="L881" s="17">
        <v>9</v>
      </c>
      <c r="M881" s="19">
        <v>45843</v>
      </c>
      <c r="O881" t="s">
        <v>5</v>
      </c>
      <c r="Q881" t="s">
        <v>4</v>
      </c>
    </row>
    <row r="882" spans="1:17" x14ac:dyDescent="0.25">
      <c r="A882" s="14">
        <v>3853</v>
      </c>
      <c r="B882" s="19">
        <v>45829</v>
      </c>
      <c r="E882" s="16" t="s">
        <v>20</v>
      </c>
      <c r="I882" s="17">
        <v>5</v>
      </c>
      <c r="K882" s="19">
        <v>45833</v>
      </c>
      <c r="L882" s="17">
        <v>9</v>
      </c>
      <c r="M882" s="19">
        <v>45843</v>
      </c>
      <c r="O882" t="s">
        <v>5</v>
      </c>
    </row>
    <row r="883" spans="1:17" x14ac:dyDescent="0.25">
      <c r="A883" s="14">
        <v>3896</v>
      </c>
      <c r="B883" s="19">
        <v>45829</v>
      </c>
      <c r="E883" s="16" t="s">
        <v>20</v>
      </c>
      <c r="I883" s="17">
        <v>5</v>
      </c>
      <c r="K883" s="19">
        <v>45833</v>
      </c>
      <c r="L883" s="17">
        <v>9</v>
      </c>
      <c r="M883" s="19">
        <v>45843</v>
      </c>
      <c r="N883" t="s">
        <v>3</v>
      </c>
    </row>
    <row r="884" spans="1:17" x14ac:dyDescent="0.25">
      <c r="A884" s="14">
        <v>2979</v>
      </c>
      <c r="B884" s="19">
        <v>45830</v>
      </c>
      <c r="E884" s="16" t="s">
        <v>0</v>
      </c>
      <c r="I884" s="17">
        <v>5</v>
      </c>
      <c r="K884" s="19">
        <v>45834</v>
      </c>
      <c r="L884" s="17">
        <v>5</v>
      </c>
      <c r="M884" s="19">
        <v>45830</v>
      </c>
      <c r="Q884" t="s">
        <v>4</v>
      </c>
    </row>
    <row r="885" spans="1:17" x14ac:dyDescent="0.25">
      <c r="A885" s="14">
        <v>2706</v>
      </c>
      <c r="B885" s="19">
        <v>45830</v>
      </c>
      <c r="E885" s="16" t="s">
        <v>7</v>
      </c>
      <c r="I885" s="17">
        <v>5</v>
      </c>
      <c r="K885" s="19">
        <v>45834</v>
      </c>
      <c r="L885" s="17">
        <v>3</v>
      </c>
      <c r="M885" s="19">
        <v>45838</v>
      </c>
      <c r="N885" t="s">
        <v>3</v>
      </c>
      <c r="O885" t="s">
        <v>5</v>
      </c>
      <c r="P885" t="s">
        <v>1</v>
      </c>
      <c r="Q885" t="s">
        <v>4</v>
      </c>
    </row>
    <row r="886" spans="1:17" x14ac:dyDescent="0.25">
      <c r="A886" s="14">
        <v>3112</v>
      </c>
      <c r="B886" s="19">
        <v>45831</v>
      </c>
      <c r="E886" s="16" t="s">
        <v>0</v>
      </c>
      <c r="I886" s="17">
        <v>5</v>
      </c>
      <c r="K886" s="19">
        <v>45835</v>
      </c>
      <c r="L886" s="17">
        <v>5</v>
      </c>
      <c r="M886" s="19">
        <v>45841</v>
      </c>
      <c r="N886" t="s">
        <v>3</v>
      </c>
    </row>
    <row r="887" spans="1:17" x14ac:dyDescent="0.25">
      <c r="A887" s="14">
        <v>3094</v>
      </c>
      <c r="B887" s="19">
        <v>45831</v>
      </c>
      <c r="E887" s="16" t="s">
        <v>21</v>
      </c>
      <c r="I887" s="17">
        <v>5</v>
      </c>
      <c r="K887" s="19">
        <v>45835</v>
      </c>
      <c r="L887" s="17">
        <v>9</v>
      </c>
      <c r="M887" s="19">
        <v>45845</v>
      </c>
      <c r="O887" t="s">
        <v>5</v>
      </c>
    </row>
    <row r="888" spans="1:17" x14ac:dyDescent="0.25">
      <c r="A888" s="14">
        <v>3998</v>
      </c>
      <c r="B888" s="19">
        <v>45832</v>
      </c>
      <c r="E888" s="16" t="s">
        <v>7</v>
      </c>
      <c r="I888" s="17">
        <v>5</v>
      </c>
      <c r="K888" s="19">
        <v>45836</v>
      </c>
      <c r="L888" s="17">
        <v>3</v>
      </c>
      <c r="M888" s="19">
        <v>45840</v>
      </c>
      <c r="O888" t="s">
        <v>5</v>
      </c>
      <c r="P888" t="s">
        <v>1</v>
      </c>
    </row>
    <row r="889" spans="1:17" x14ac:dyDescent="0.25">
      <c r="A889" s="14">
        <v>3846</v>
      </c>
      <c r="B889" s="19">
        <v>45832</v>
      </c>
      <c r="E889" s="16" t="s">
        <v>0</v>
      </c>
      <c r="I889" s="17">
        <v>5</v>
      </c>
      <c r="K889" s="19">
        <v>45836</v>
      </c>
      <c r="L889" s="17">
        <v>5</v>
      </c>
      <c r="M889" s="19">
        <v>45842</v>
      </c>
      <c r="O889" t="s">
        <v>5</v>
      </c>
    </row>
    <row r="890" spans="1:17" x14ac:dyDescent="0.25">
      <c r="A890" s="14">
        <v>4265</v>
      </c>
      <c r="B890" s="19">
        <v>45833</v>
      </c>
      <c r="E890" s="16" t="s">
        <v>7</v>
      </c>
      <c r="I890" s="17">
        <v>5</v>
      </c>
      <c r="K890" s="19">
        <v>45837</v>
      </c>
      <c r="L890" s="17">
        <v>3</v>
      </c>
      <c r="M890" s="19">
        <v>45841</v>
      </c>
      <c r="O890" t="s">
        <v>5</v>
      </c>
    </row>
    <row r="891" spans="1:17" x14ac:dyDescent="0.25">
      <c r="A891" s="14">
        <v>4236</v>
      </c>
      <c r="B891" s="19">
        <v>45834</v>
      </c>
      <c r="E891" s="16" t="s">
        <v>7</v>
      </c>
      <c r="I891" s="17">
        <v>5</v>
      </c>
      <c r="K891" s="19">
        <v>45838</v>
      </c>
      <c r="L891" s="17">
        <v>3</v>
      </c>
      <c r="M891" s="19">
        <v>45842</v>
      </c>
      <c r="P891" t="s">
        <v>1</v>
      </c>
    </row>
    <row r="892" spans="1:17" x14ac:dyDescent="0.25">
      <c r="A892" s="14">
        <v>3673</v>
      </c>
      <c r="B892" s="19">
        <v>45835</v>
      </c>
      <c r="E892" s="16" t="s">
        <v>21</v>
      </c>
      <c r="I892" s="17">
        <v>5</v>
      </c>
      <c r="K892" s="19">
        <v>45839</v>
      </c>
      <c r="L892" s="17">
        <v>9</v>
      </c>
      <c r="M892" s="19">
        <v>45849</v>
      </c>
      <c r="P892" t="s">
        <v>1</v>
      </c>
    </row>
    <row r="893" spans="1:17" x14ac:dyDescent="0.25">
      <c r="A893" s="14">
        <v>4836</v>
      </c>
      <c r="B893" s="19">
        <v>45836</v>
      </c>
      <c r="E893" s="16" t="s">
        <v>7</v>
      </c>
      <c r="I893" s="17">
        <v>5</v>
      </c>
      <c r="K893" s="19">
        <v>45840</v>
      </c>
      <c r="L893" s="17">
        <v>3</v>
      </c>
      <c r="M893" s="19">
        <v>45844</v>
      </c>
      <c r="P893" t="s">
        <v>1</v>
      </c>
    </row>
    <row r="894" spans="1:17" x14ac:dyDescent="0.25">
      <c r="A894" s="14">
        <v>4847</v>
      </c>
      <c r="B894" s="19">
        <v>45836</v>
      </c>
      <c r="E894" s="16" t="s">
        <v>21</v>
      </c>
      <c r="I894" s="17">
        <v>5</v>
      </c>
      <c r="K894" s="19">
        <v>45840</v>
      </c>
      <c r="L894" s="17">
        <v>9</v>
      </c>
      <c r="M894" s="19">
        <v>45850</v>
      </c>
      <c r="P894" t="s">
        <v>1</v>
      </c>
    </row>
    <row r="895" spans="1:17" x14ac:dyDescent="0.25">
      <c r="A895" s="14">
        <v>1176</v>
      </c>
      <c r="B895" s="19">
        <v>45838</v>
      </c>
      <c r="E895" s="16" t="s">
        <v>7</v>
      </c>
      <c r="I895" s="17">
        <v>5</v>
      </c>
      <c r="K895" s="19">
        <v>45842</v>
      </c>
      <c r="L895" s="17">
        <v>3</v>
      </c>
      <c r="M895" s="19">
        <v>45846</v>
      </c>
      <c r="O895" t="s">
        <v>5</v>
      </c>
    </row>
    <row r="896" spans="1:17" x14ac:dyDescent="0.25">
      <c r="A896" s="14">
        <v>5048</v>
      </c>
      <c r="B896" s="19">
        <v>45838</v>
      </c>
      <c r="E896" s="16" t="s">
        <v>7</v>
      </c>
      <c r="I896" s="17">
        <v>5</v>
      </c>
      <c r="K896" s="19">
        <v>45842</v>
      </c>
      <c r="L896" s="17">
        <v>3</v>
      </c>
      <c r="M896" s="19">
        <v>45846</v>
      </c>
      <c r="P896" t="s">
        <v>1</v>
      </c>
    </row>
    <row r="897" spans="1:17" x14ac:dyDescent="0.25">
      <c r="A897" s="14">
        <v>4665</v>
      </c>
      <c r="B897" s="19">
        <v>45838</v>
      </c>
      <c r="E897" s="16" t="s">
        <v>21</v>
      </c>
      <c r="I897" s="17">
        <v>5</v>
      </c>
      <c r="K897" s="19">
        <v>45842</v>
      </c>
      <c r="L897" s="17">
        <v>9</v>
      </c>
      <c r="M897" s="19">
        <v>45852</v>
      </c>
      <c r="Q897" t="s">
        <v>4</v>
      </c>
    </row>
    <row r="898" spans="1:17" x14ac:dyDescent="0.25">
      <c r="A898" s="14">
        <v>3564</v>
      </c>
      <c r="B898" s="19">
        <v>45838</v>
      </c>
      <c r="E898" s="16" t="s">
        <v>21</v>
      </c>
      <c r="I898" s="17">
        <v>5</v>
      </c>
      <c r="K898" s="19">
        <v>45842</v>
      </c>
      <c r="L898" s="17">
        <v>9</v>
      </c>
      <c r="M898" s="19">
        <v>45852</v>
      </c>
      <c r="N898" t="s">
        <v>3</v>
      </c>
    </row>
    <row r="899" spans="1:17" x14ac:dyDescent="0.25">
      <c r="A899" s="14">
        <v>3661</v>
      </c>
      <c r="B899" s="19">
        <v>45839</v>
      </c>
      <c r="E899" s="16" t="s">
        <v>21</v>
      </c>
      <c r="I899" s="17">
        <v>5</v>
      </c>
      <c r="K899" s="19">
        <v>45843</v>
      </c>
      <c r="L899" s="17">
        <v>9</v>
      </c>
      <c r="M899" s="19">
        <v>45853</v>
      </c>
      <c r="O899" t="s">
        <v>5</v>
      </c>
    </row>
    <row r="900" spans="1:17" x14ac:dyDescent="0.25">
      <c r="A900" s="14">
        <v>4537</v>
      </c>
      <c r="B900" s="19">
        <v>45839</v>
      </c>
      <c r="E900" s="16" t="s">
        <v>21</v>
      </c>
      <c r="I900" s="17">
        <v>5</v>
      </c>
      <c r="K900" s="19">
        <v>45843</v>
      </c>
      <c r="L900" s="17">
        <v>9</v>
      </c>
      <c r="M900" s="19">
        <v>45853</v>
      </c>
      <c r="P900" t="s">
        <v>1</v>
      </c>
    </row>
    <row r="901" spans="1:17" x14ac:dyDescent="0.25">
      <c r="A901" s="14">
        <v>3493</v>
      </c>
      <c r="B901" s="19">
        <v>45840</v>
      </c>
      <c r="E901" s="16" t="s">
        <v>7</v>
      </c>
      <c r="I901" s="17">
        <v>5</v>
      </c>
      <c r="K901" s="19">
        <v>45844</v>
      </c>
      <c r="L901" s="17">
        <v>3</v>
      </c>
      <c r="M901" s="19">
        <v>45848</v>
      </c>
      <c r="N901" t="s">
        <v>3</v>
      </c>
    </row>
    <row r="902" spans="1:17" x14ac:dyDescent="0.25">
      <c r="A902" s="14">
        <v>5026</v>
      </c>
      <c r="B902" s="19">
        <v>45840</v>
      </c>
      <c r="E902" s="16" t="s">
        <v>7</v>
      </c>
      <c r="I902" s="17">
        <v>5</v>
      </c>
      <c r="K902" s="19">
        <v>45844</v>
      </c>
      <c r="L902" s="17">
        <v>3</v>
      </c>
      <c r="M902" s="19">
        <v>45848</v>
      </c>
      <c r="P902" t="s">
        <v>1</v>
      </c>
    </row>
    <row r="903" spans="1:17" x14ac:dyDescent="0.25">
      <c r="A903" s="14">
        <v>3412</v>
      </c>
      <c r="B903" s="19">
        <v>45841</v>
      </c>
      <c r="E903" s="16" t="s">
        <v>21</v>
      </c>
      <c r="I903" s="17">
        <v>5</v>
      </c>
      <c r="K903" s="19">
        <v>45845</v>
      </c>
      <c r="L903" s="17">
        <v>9</v>
      </c>
      <c r="M903" s="19">
        <v>45855</v>
      </c>
      <c r="O903" t="s">
        <v>5</v>
      </c>
    </row>
    <row r="904" spans="1:17" x14ac:dyDescent="0.25">
      <c r="A904" s="14">
        <v>2222</v>
      </c>
      <c r="B904" s="19">
        <v>45842</v>
      </c>
      <c r="E904" s="16" t="s">
        <v>21</v>
      </c>
      <c r="I904" s="17">
        <v>5</v>
      </c>
      <c r="K904" s="19">
        <v>45846</v>
      </c>
      <c r="L904" s="17">
        <v>9</v>
      </c>
      <c r="M904" s="19">
        <v>45856</v>
      </c>
      <c r="N904" t="s">
        <v>3</v>
      </c>
      <c r="O904" t="s">
        <v>5</v>
      </c>
    </row>
    <row r="905" spans="1:17" x14ac:dyDescent="0.25">
      <c r="A905" s="14">
        <v>3178</v>
      </c>
      <c r="B905" s="19">
        <v>45842</v>
      </c>
      <c r="E905" s="16" t="s">
        <v>7</v>
      </c>
      <c r="I905" s="17">
        <v>5</v>
      </c>
      <c r="K905" s="19">
        <v>45846</v>
      </c>
      <c r="L905" s="17">
        <v>3</v>
      </c>
      <c r="M905" s="19">
        <v>45850</v>
      </c>
      <c r="O905" t="s">
        <v>5</v>
      </c>
      <c r="Q905" t="s">
        <v>4</v>
      </c>
    </row>
    <row r="906" spans="1:17" x14ac:dyDescent="0.25">
      <c r="A906" s="14">
        <v>3482</v>
      </c>
      <c r="B906" s="19">
        <v>45842</v>
      </c>
      <c r="E906" s="16" t="s">
        <v>7</v>
      </c>
      <c r="I906" s="17">
        <v>5</v>
      </c>
      <c r="K906" s="19">
        <v>45846</v>
      </c>
      <c r="L906" s="17">
        <v>3</v>
      </c>
      <c r="M906" s="19">
        <v>45850</v>
      </c>
      <c r="O906" t="s">
        <v>5</v>
      </c>
      <c r="Q906" t="s">
        <v>4</v>
      </c>
    </row>
    <row r="907" spans="1:17" x14ac:dyDescent="0.25">
      <c r="A907" s="14">
        <v>4703</v>
      </c>
      <c r="B907" s="19">
        <v>45843</v>
      </c>
      <c r="E907" s="16" t="s">
        <v>7</v>
      </c>
      <c r="I907" s="17">
        <v>5</v>
      </c>
      <c r="K907" s="19">
        <v>45847</v>
      </c>
      <c r="L907" s="17">
        <v>3</v>
      </c>
      <c r="M907" s="19">
        <v>45851</v>
      </c>
      <c r="P907" t="s">
        <v>1</v>
      </c>
    </row>
    <row r="908" spans="1:17" x14ac:dyDescent="0.25">
      <c r="A908" s="14">
        <v>1168</v>
      </c>
      <c r="B908" s="19">
        <v>45844</v>
      </c>
      <c r="E908" s="16" t="s">
        <v>7</v>
      </c>
      <c r="I908" s="17">
        <v>5</v>
      </c>
      <c r="K908" s="19">
        <v>45848</v>
      </c>
      <c r="L908" s="17">
        <v>3</v>
      </c>
      <c r="M908" s="19">
        <v>45852</v>
      </c>
      <c r="P908" t="s">
        <v>1</v>
      </c>
      <c r="Q908" t="s">
        <v>4</v>
      </c>
    </row>
    <row r="909" spans="1:17" x14ac:dyDescent="0.25">
      <c r="A909" s="14">
        <v>2458</v>
      </c>
      <c r="B909" s="19">
        <v>45844</v>
      </c>
      <c r="E909" s="16" t="s">
        <v>7</v>
      </c>
      <c r="I909" s="17">
        <v>5</v>
      </c>
      <c r="K909" s="19">
        <v>45848</v>
      </c>
      <c r="L909" s="17">
        <v>3</v>
      </c>
      <c r="M909" s="19">
        <v>45852</v>
      </c>
    </row>
    <row r="910" spans="1:17" x14ac:dyDescent="0.25">
      <c r="A910" s="14">
        <v>1204</v>
      </c>
      <c r="B910" s="19">
        <v>45845</v>
      </c>
      <c r="E910" s="16" t="s">
        <v>7</v>
      </c>
      <c r="I910" s="17">
        <v>5</v>
      </c>
      <c r="K910" s="19">
        <v>45849</v>
      </c>
      <c r="L910" s="17">
        <v>3</v>
      </c>
      <c r="M910" s="19">
        <v>45853</v>
      </c>
      <c r="O910" t="s">
        <v>5</v>
      </c>
    </row>
    <row r="911" spans="1:17" x14ac:dyDescent="0.25">
      <c r="A911" s="14">
        <v>4363</v>
      </c>
      <c r="B911" s="19">
        <v>45846</v>
      </c>
      <c r="E911" s="16" t="s">
        <v>7</v>
      </c>
      <c r="I911" s="17">
        <v>5</v>
      </c>
      <c r="K911" s="19">
        <v>45850</v>
      </c>
      <c r="L911" s="17">
        <v>3</v>
      </c>
      <c r="M911" s="19">
        <v>45854</v>
      </c>
      <c r="P911" t="s">
        <v>1</v>
      </c>
      <c r="Q911" t="s">
        <v>4</v>
      </c>
    </row>
    <row r="912" spans="1:17" x14ac:dyDescent="0.25">
      <c r="A912" s="14">
        <v>3624</v>
      </c>
      <c r="B912" s="19">
        <v>45847</v>
      </c>
      <c r="E912" s="16" t="s">
        <v>7</v>
      </c>
      <c r="I912" s="17">
        <v>5</v>
      </c>
      <c r="K912" s="19">
        <v>45851</v>
      </c>
      <c r="L912" s="17">
        <v>3</v>
      </c>
      <c r="M912" s="19">
        <v>45855</v>
      </c>
      <c r="P912" t="s">
        <v>1</v>
      </c>
    </row>
    <row r="913" spans="1:17" x14ac:dyDescent="0.25">
      <c r="A913" s="14">
        <v>4044</v>
      </c>
      <c r="B913" s="19">
        <v>45847</v>
      </c>
      <c r="E913" s="16" t="s">
        <v>25</v>
      </c>
      <c r="I913" s="17">
        <v>5</v>
      </c>
      <c r="K913" s="19">
        <v>45851</v>
      </c>
      <c r="L913" s="17">
        <v>5</v>
      </c>
      <c r="M913" s="19">
        <v>45827</v>
      </c>
      <c r="N913" t="s">
        <v>3</v>
      </c>
      <c r="P913" t="s">
        <v>1</v>
      </c>
    </row>
    <row r="914" spans="1:17" x14ac:dyDescent="0.25">
      <c r="A914" s="14">
        <v>2787</v>
      </c>
      <c r="B914" s="19">
        <v>45847</v>
      </c>
      <c r="E914" s="16" t="s">
        <v>0</v>
      </c>
      <c r="I914" s="17">
        <v>5</v>
      </c>
      <c r="K914" s="19">
        <v>45851</v>
      </c>
      <c r="L914" s="17">
        <v>5</v>
      </c>
      <c r="M914" s="19">
        <v>45827</v>
      </c>
      <c r="P914" t="s">
        <v>1</v>
      </c>
    </row>
    <row r="915" spans="1:17" x14ac:dyDescent="0.25">
      <c r="A915" s="14">
        <v>4193</v>
      </c>
      <c r="B915" s="19">
        <v>45848</v>
      </c>
      <c r="E915" s="16" t="s">
        <v>7</v>
      </c>
      <c r="I915" s="17">
        <v>5</v>
      </c>
      <c r="K915" s="19">
        <v>45852</v>
      </c>
      <c r="L915" s="17">
        <v>3</v>
      </c>
      <c r="M915" s="19">
        <v>45856</v>
      </c>
      <c r="P915" t="s">
        <v>1</v>
      </c>
    </row>
    <row r="916" spans="1:17" x14ac:dyDescent="0.25">
      <c r="A916" s="14">
        <v>4871</v>
      </c>
      <c r="B916" s="19">
        <v>45848</v>
      </c>
      <c r="E916" s="16" t="s">
        <v>7</v>
      </c>
      <c r="I916" s="17">
        <v>5</v>
      </c>
      <c r="K916" s="19">
        <v>45852</v>
      </c>
      <c r="L916" s="17">
        <v>3</v>
      </c>
      <c r="M916" s="19">
        <v>45856</v>
      </c>
      <c r="P916" t="s">
        <v>1</v>
      </c>
    </row>
    <row r="917" spans="1:17" x14ac:dyDescent="0.25">
      <c r="A917" s="14">
        <v>3021</v>
      </c>
      <c r="B917" s="19">
        <v>45848</v>
      </c>
      <c r="E917" s="16" t="s">
        <v>21</v>
      </c>
      <c r="I917" s="17">
        <v>5</v>
      </c>
      <c r="K917" s="19">
        <v>45852</v>
      </c>
      <c r="L917" s="17">
        <v>9</v>
      </c>
      <c r="M917" s="19">
        <v>45862</v>
      </c>
      <c r="N917" t="s">
        <v>3</v>
      </c>
      <c r="O917" t="s">
        <v>5</v>
      </c>
      <c r="P917" t="s">
        <v>1</v>
      </c>
      <c r="Q917" t="s">
        <v>4</v>
      </c>
    </row>
    <row r="918" spans="1:17" x14ac:dyDescent="0.25">
      <c r="A918" s="14">
        <v>3661</v>
      </c>
      <c r="B918" s="19">
        <v>45849</v>
      </c>
      <c r="E918" s="16" t="s">
        <v>0</v>
      </c>
      <c r="I918" s="17">
        <v>5</v>
      </c>
      <c r="K918" s="19">
        <v>45853</v>
      </c>
      <c r="L918" s="17">
        <v>5</v>
      </c>
      <c r="M918" s="19">
        <v>45859</v>
      </c>
      <c r="Q918" t="s">
        <v>4</v>
      </c>
    </row>
    <row r="919" spans="1:17" x14ac:dyDescent="0.25">
      <c r="A919" s="14">
        <v>3482</v>
      </c>
      <c r="B919" s="19">
        <v>45849</v>
      </c>
      <c r="E919" s="16" t="s">
        <v>0</v>
      </c>
      <c r="I919" s="17">
        <v>5</v>
      </c>
      <c r="K919" s="19">
        <v>45853</v>
      </c>
      <c r="L919" s="17">
        <v>5</v>
      </c>
      <c r="M919" s="19">
        <v>45859</v>
      </c>
      <c r="O919" t="s">
        <v>5</v>
      </c>
      <c r="Q919" t="s">
        <v>4</v>
      </c>
    </row>
    <row r="920" spans="1:17" x14ac:dyDescent="0.25">
      <c r="A920" s="14">
        <v>4446</v>
      </c>
      <c r="B920" s="19">
        <v>45849</v>
      </c>
      <c r="E920" s="16" t="s">
        <v>21</v>
      </c>
      <c r="I920" s="17">
        <v>5</v>
      </c>
      <c r="K920" s="19">
        <v>45853</v>
      </c>
      <c r="L920" s="17">
        <v>9</v>
      </c>
      <c r="M920" s="19">
        <v>45863</v>
      </c>
      <c r="O920" t="s">
        <v>5</v>
      </c>
    </row>
    <row r="921" spans="1:17" x14ac:dyDescent="0.25">
      <c r="A921" s="14">
        <v>5033</v>
      </c>
      <c r="B921" s="19">
        <v>45849</v>
      </c>
      <c r="E921" s="16" t="s">
        <v>7</v>
      </c>
      <c r="I921" s="17">
        <v>5</v>
      </c>
      <c r="K921" s="19">
        <v>45853</v>
      </c>
      <c r="L921" s="17">
        <v>3</v>
      </c>
      <c r="M921" s="19">
        <v>45857</v>
      </c>
      <c r="Q921" t="s">
        <v>4</v>
      </c>
    </row>
    <row r="922" spans="1:17" x14ac:dyDescent="0.25">
      <c r="A922" s="14">
        <v>4836</v>
      </c>
      <c r="B922" s="19">
        <v>45849</v>
      </c>
      <c r="E922" s="16" t="s">
        <v>0</v>
      </c>
      <c r="I922" s="17">
        <v>5</v>
      </c>
      <c r="K922" s="19">
        <v>45853</v>
      </c>
      <c r="L922" s="17">
        <v>5</v>
      </c>
      <c r="M922" s="19">
        <v>45859</v>
      </c>
      <c r="P922" t="s">
        <v>1</v>
      </c>
    </row>
    <row r="923" spans="1:17" x14ac:dyDescent="0.25">
      <c r="A923" s="14">
        <v>4278</v>
      </c>
      <c r="B923" s="19">
        <v>45850</v>
      </c>
      <c r="E923" s="16" t="s">
        <v>7</v>
      </c>
      <c r="I923" s="17">
        <v>5</v>
      </c>
      <c r="K923" s="19">
        <v>45854</v>
      </c>
      <c r="L923" s="17">
        <v>3</v>
      </c>
      <c r="M923" s="19">
        <v>45858</v>
      </c>
      <c r="N923" t="s">
        <v>3</v>
      </c>
    </row>
    <row r="924" spans="1:17" x14ac:dyDescent="0.25">
      <c r="A924" s="14">
        <v>2638</v>
      </c>
      <c r="B924" s="19">
        <v>45851</v>
      </c>
      <c r="E924" s="16" t="s">
        <v>7</v>
      </c>
      <c r="I924" s="17">
        <v>5</v>
      </c>
      <c r="K924" s="19">
        <v>45855</v>
      </c>
      <c r="L924" s="17">
        <v>3</v>
      </c>
      <c r="M924" s="19">
        <v>45859</v>
      </c>
      <c r="N924" t="s">
        <v>3</v>
      </c>
    </row>
    <row r="925" spans="1:17" x14ac:dyDescent="0.25">
      <c r="A925" s="14">
        <v>2458</v>
      </c>
      <c r="B925" s="19">
        <v>45852</v>
      </c>
      <c r="E925" s="16" t="s">
        <v>20</v>
      </c>
      <c r="I925" s="17">
        <v>5</v>
      </c>
      <c r="K925" s="19">
        <v>45856</v>
      </c>
      <c r="L925" s="17">
        <v>9</v>
      </c>
      <c r="M925" s="19">
        <v>45866</v>
      </c>
      <c r="O925" t="s">
        <v>5</v>
      </c>
    </row>
    <row r="926" spans="1:17" x14ac:dyDescent="0.25">
      <c r="A926" s="14">
        <v>4416</v>
      </c>
      <c r="B926" s="19">
        <v>45851</v>
      </c>
      <c r="E926" s="16" t="s">
        <v>7</v>
      </c>
      <c r="I926" s="17">
        <v>5</v>
      </c>
      <c r="K926" s="19">
        <v>45855</v>
      </c>
      <c r="L926" s="17">
        <v>3</v>
      </c>
      <c r="M926" s="19">
        <v>45859</v>
      </c>
      <c r="O926" t="s">
        <v>5</v>
      </c>
      <c r="Q926" t="s">
        <v>4</v>
      </c>
    </row>
    <row r="927" spans="1:17" x14ac:dyDescent="0.25">
      <c r="A927" s="14">
        <v>3836</v>
      </c>
      <c r="B927" s="19">
        <v>45851</v>
      </c>
      <c r="E927" s="16" t="s">
        <v>7</v>
      </c>
      <c r="I927" s="17">
        <v>5</v>
      </c>
      <c r="K927" s="19">
        <v>45855</v>
      </c>
      <c r="L927" s="17">
        <v>3</v>
      </c>
      <c r="M927" s="19">
        <v>45859</v>
      </c>
      <c r="O927" t="s">
        <v>5</v>
      </c>
    </row>
    <row r="928" spans="1:17" x14ac:dyDescent="0.25">
      <c r="A928" s="14">
        <v>2906</v>
      </c>
      <c r="B928" s="19">
        <v>45851</v>
      </c>
      <c r="E928" s="16" t="s">
        <v>7</v>
      </c>
      <c r="I928" s="17">
        <v>5</v>
      </c>
      <c r="K928" s="19">
        <v>45855</v>
      </c>
      <c r="L928" s="17">
        <v>3</v>
      </c>
      <c r="M928" s="19">
        <v>45859</v>
      </c>
      <c r="Q928" t="s">
        <v>4</v>
      </c>
    </row>
    <row r="929" spans="1:17" x14ac:dyDescent="0.25">
      <c r="A929" s="14">
        <v>2188</v>
      </c>
      <c r="B929" s="19">
        <v>45851</v>
      </c>
      <c r="E929" s="16" t="s">
        <v>20</v>
      </c>
      <c r="I929" s="17">
        <v>5</v>
      </c>
      <c r="K929" s="19">
        <v>45855</v>
      </c>
      <c r="L929" s="17">
        <v>9</v>
      </c>
      <c r="M929" s="19">
        <v>45865</v>
      </c>
      <c r="N929" t="s">
        <v>3</v>
      </c>
      <c r="P929" t="s">
        <v>1</v>
      </c>
    </row>
    <row r="930" spans="1:17" x14ac:dyDescent="0.25">
      <c r="A930" s="14">
        <v>1186</v>
      </c>
      <c r="B930" s="19">
        <v>45852</v>
      </c>
      <c r="E930" s="16" t="s">
        <v>7</v>
      </c>
      <c r="I930" s="17">
        <v>5</v>
      </c>
      <c r="K930" s="19">
        <v>45856</v>
      </c>
      <c r="L930" s="17">
        <v>3</v>
      </c>
      <c r="M930" s="19">
        <v>45860</v>
      </c>
      <c r="N930" t="s">
        <v>3</v>
      </c>
    </row>
    <row r="931" spans="1:17" x14ac:dyDescent="0.25">
      <c r="A931" s="14">
        <v>4193</v>
      </c>
      <c r="B931" s="19">
        <v>45853</v>
      </c>
      <c r="E931" s="16" t="s">
        <v>0</v>
      </c>
      <c r="I931" s="17">
        <v>5</v>
      </c>
      <c r="K931" s="19">
        <v>45857</v>
      </c>
      <c r="L931" s="17">
        <v>5</v>
      </c>
      <c r="M931" s="19">
        <v>45863</v>
      </c>
      <c r="P931" t="s">
        <v>1</v>
      </c>
    </row>
    <row r="932" spans="1:17" x14ac:dyDescent="0.25">
      <c r="A932" s="14">
        <v>4773</v>
      </c>
      <c r="B932" s="19">
        <v>45854</v>
      </c>
      <c r="E932" s="16" t="s">
        <v>7</v>
      </c>
      <c r="I932" s="17">
        <v>5</v>
      </c>
      <c r="K932" s="19">
        <v>45858</v>
      </c>
      <c r="L932" s="17">
        <v>3</v>
      </c>
      <c r="M932" s="19">
        <v>45862</v>
      </c>
      <c r="Q932" t="s">
        <v>4</v>
      </c>
    </row>
    <row r="933" spans="1:17" x14ac:dyDescent="0.25">
      <c r="A933" s="14">
        <v>3149</v>
      </c>
      <c r="B933" s="19">
        <v>45854</v>
      </c>
      <c r="E933" s="16" t="s">
        <v>7</v>
      </c>
      <c r="I933" s="17">
        <v>5</v>
      </c>
      <c r="K933" s="19">
        <v>45858</v>
      </c>
      <c r="L933" s="17">
        <v>3</v>
      </c>
      <c r="M933" s="19">
        <v>45862</v>
      </c>
      <c r="N933" t="s">
        <v>3</v>
      </c>
      <c r="O933" t="s">
        <v>5</v>
      </c>
      <c r="Q933" t="s">
        <v>4</v>
      </c>
    </row>
    <row r="934" spans="1:17" x14ac:dyDescent="0.25">
      <c r="A934" s="14">
        <v>5061</v>
      </c>
      <c r="B934" s="19">
        <v>45855</v>
      </c>
      <c r="E934" s="16" t="s">
        <v>7</v>
      </c>
      <c r="I934" s="17">
        <v>5</v>
      </c>
      <c r="K934" s="19">
        <v>45859</v>
      </c>
      <c r="L934" s="17">
        <v>3</v>
      </c>
      <c r="M934" s="19">
        <v>45863</v>
      </c>
      <c r="P934" t="s">
        <v>1</v>
      </c>
    </row>
    <row r="935" spans="1:17" x14ac:dyDescent="0.25">
      <c r="A935" s="14">
        <v>3497</v>
      </c>
      <c r="B935" s="19">
        <v>45855</v>
      </c>
      <c r="E935" s="16" t="s">
        <v>7</v>
      </c>
      <c r="I935" s="17">
        <v>5</v>
      </c>
      <c r="K935" s="19">
        <v>45859</v>
      </c>
      <c r="L935" s="17">
        <v>3</v>
      </c>
      <c r="M935" s="19">
        <v>45863</v>
      </c>
      <c r="N935" t="s">
        <v>3</v>
      </c>
    </row>
    <row r="936" spans="1:17" x14ac:dyDescent="0.25">
      <c r="A936" s="14">
        <v>3160</v>
      </c>
      <c r="B936" s="19">
        <v>45855</v>
      </c>
      <c r="E936" s="16" t="s">
        <v>25</v>
      </c>
      <c r="I936" s="17">
        <v>5</v>
      </c>
      <c r="K936" s="19">
        <v>45859</v>
      </c>
      <c r="L936" s="17">
        <v>5</v>
      </c>
      <c r="M936" s="19">
        <v>45865</v>
      </c>
      <c r="N936" t="s">
        <v>3</v>
      </c>
    </row>
    <row r="937" spans="1:17" x14ac:dyDescent="0.25">
      <c r="A937" s="14">
        <v>4182</v>
      </c>
      <c r="B937" s="19">
        <v>45856</v>
      </c>
      <c r="E937" s="16" t="s">
        <v>7</v>
      </c>
      <c r="I937" s="17">
        <v>5</v>
      </c>
      <c r="K937" s="19">
        <v>45860</v>
      </c>
      <c r="L937" s="17">
        <v>3</v>
      </c>
      <c r="M937" s="19">
        <v>45864</v>
      </c>
      <c r="P937" t="s">
        <v>1</v>
      </c>
    </row>
    <row r="938" spans="1:17" x14ac:dyDescent="0.25">
      <c r="A938" s="14">
        <v>3392</v>
      </c>
      <c r="B938" s="19">
        <v>45856</v>
      </c>
      <c r="E938" s="16" t="s">
        <v>7</v>
      </c>
      <c r="I938" s="17">
        <v>5</v>
      </c>
      <c r="K938" s="19">
        <v>45860</v>
      </c>
      <c r="L938" s="17">
        <v>3</v>
      </c>
      <c r="M938" s="19">
        <v>45864</v>
      </c>
      <c r="Q938" t="s">
        <v>4</v>
      </c>
    </row>
    <row r="939" spans="1:17" x14ac:dyDescent="0.25">
      <c r="A939" s="14">
        <v>3178</v>
      </c>
      <c r="B939" s="19">
        <v>45856</v>
      </c>
      <c r="E939" s="16" t="s">
        <v>25</v>
      </c>
      <c r="I939" s="17">
        <v>5</v>
      </c>
      <c r="K939" s="19">
        <v>45860</v>
      </c>
      <c r="L939" s="17">
        <v>5</v>
      </c>
      <c r="M939" s="19">
        <v>45866</v>
      </c>
      <c r="O939" t="s">
        <v>5</v>
      </c>
      <c r="Q939" t="s">
        <v>4</v>
      </c>
    </row>
    <row r="940" spans="1:17" x14ac:dyDescent="0.25">
      <c r="A940" s="14">
        <v>3909</v>
      </c>
      <c r="B940" s="19">
        <v>45858</v>
      </c>
      <c r="E940" s="16" t="s">
        <v>25</v>
      </c>
      <c r="I940" s="17">
        <v>5</v>
      </c>
      <c r="K940" s="19">
        <v>45862</v>
      </c>
      <c r="L940" s="17">
        <v>5</v>
      </c>
      <c r="M940" s="19">
        <v>45871</v>
      </c>
      <c r="N940" t="s">
        <v>3</v>
      </c>
      <c r="O940" t="s">
        <v>5</v>
      </c>
      <c r="Q940" t="s">
        <v>4</v>
      </c>
    </row>
    <row r="941" spans="1:17" x14ac:dyDescent="0.25">
      <c r="A941" s="14">
        <v>3533</v>
      </c>
      <c r="B941" s="19">
        <v>45859</v>
      </c>
      <c r="E941" s="16" t="s">
        <v>7</v>
      </c>
      <c r="I941" s="17">
        <v>5</v>
      </c>
      <c r="K941" s="19">
        <v>45772</v>
      </c>
      <c r="L941" s="17">
        <v>3</v>
      </c>
      <c r="M941" s="19">
        <v>45868</v>
      </c>
      <c r="N941" t="s">
        <v>3</v>
      </c>
      <c r="O941" t="s">
        <v>5</v>
      </c>
    </row>
    <row r="942" spans="1:17" x14ac:dyDescent="0.25">
      <c r="A942" s="14">
        <v>2890</v>
      </c>
      <c r="B942" s="19">
        <v>45859</v>
      </c>
      <c r="E942" s="16" t="s">
        <v>20</v>
      </c>
      <c r="I942" s="17">
        <v>5</v>
      </c>
      <c r="K942" s="19">
        <v>45863</v>
      </c>
      <c r="L942" s="17">
        <v>9</v>
      </c>
      <c r="M942" s="19">
        <v>45873</v>
      </c>
      <c r="N942" t="s">
        <v>3</v>
      </c>
    </row>
    <row r="943" spans="1:17" x14ac:dyDescent="0.25">
      <c r="A943" s="14">
        <v>2188</v>
      </c>
      <c r="B943" s="19">
        <v>45859</v>
      </c>
      <c r="E943" s="16" t="s">
        <v>25</v>
      </c>
      <c r="I943" s="17">
        <v>5</v>
      </c>
      <c r="K943" s="19">
        <v>45863</v>
      </c>
      <c r="L943" s="17">
        <v>5</v>
      </c>
      <c r="M943" s="19">
        <v>45869</v>
      </c>
      <c r="N943" t="s">
        <v>3</v>
      </c>
      <c r="P943" t="s">
        <v>1</v>
      </c>
    </row>
    <row r="944" spans="1:17" x14ac:dyDescent="0.25">
      <c r="A944" s="14">
        <v>3800</v>
      </c>
      <c r="B944" s="19">
        <v>45860</v>
      </c>
      <c r="E944" s="16" t="s">
        <v>7</v>
      </c>
      <c r="I944" s="17">
        <v>5</v>
      </c>
      <c r="K944" s="19">
        <v>45864</v>
      </c>
      <c r="L944" s="17">
        <v>3</v>
      </c>
      <c r="M944" s="19">
        <v>45868</v>
      </c>
      <c r="O944" t="s">
        <v>5</v>
      </c>
    </row>
    <row r="945" spans="1:17" x14ac:dyDescent="0.25">
      <c r="A945" s="14">
        <v>3178</v>
      </c>
      <c r="B945" s="19">
        <v>45860</v>
      </c>
      <c r="E945" s="16" t="s">
        <v>20</v>
      </c>
      <c r="I945" s="17">
        <v>5</v>
      </c>
      <c r="K945" s="19">
        <v>45864</v>
      </c>
      <c r="L945" s="17">
        <v>9</v>
      </c>
      <c r="M945" s="19">
        <v>45875</v>
      </c>
      <c r="O945" t="s">
        <v>5</v>
      </c>
      <c r="Q945" t="s">
        <v>4</v>
      </c>
    </row>
    <row r="946" spans="1:17" x14ac:dyDescent="0.25">
      <c r="A946" s="14">
        <v>3426</v>
      </c>
      <c r="B946" s="19">
        <v>45860</v>
      </c>
      <c r="E946" s="16" t="s">
        <v>25</v>
      </c>
      <c r="I946" s="17">
        <v>5</v>
      </c>
      <c r="K946" s="19">
        <v>45864</v>
      </c>
      <c r="L946" s="17">
        <v>5</v>
      </c>
      <c r="M946" s="19">
        <v>45870</v>
      </c>
      <c r="P946" t="s">
        <v>1</v>
      </c>
    </row>
    <row r="947" spans="1:17" x14ac:dyDescent="0.25">
      <c r="A947" s="14">
        <v>4020</v>
      </c>
      <c r="B947" s="19">
        <v>45860</v>
      </c>
      <c r="E947" s="16" t="s">
        <v>7</v>
      </c>
      <c r="I947" s="17">
        <v>5</v>
      </c>
      <c r="K947" s="19">
        <v>45864</v>
      </c>
      <c r="L947" s="17">
        <v>3</v>
      </c>
      <c r="M947" s="19">
        <v>45868</v>
      </c>
      <c r="O947" t="s">
        <v>5</v>
      </c>
    </row>
    <row r="948" spans="1:17" x14ac:dyDescent="0.25">
      <c r="A948" s="14">
        <v>2777</v>
      </c>
      <c r="B948" s="19">
        <v>45860</v>
      </c>
      <c r="E948" s="16" t="s">
        <v>7</v>
      </c>
      <c r="I948" s="17">
        <v>5</v>
      </c>
      <c r="K948" s="19">
        <v>45864</v>
      </c>
      <c r="L948" s="20">
        <v>3</v>
      </c>
      <c r="M948" s="19">
        <v>45868</v>
      </c>
      <c r="O948" t="s">
        <v>5</v>
      </c>
    </row>
    <row r="949" spans="1:17" x14ac:dyDescent="0.25">
      <c r="A949" s="14">
        <v>4942</v>
      </c>
      <c r="B949" s="19">
        <v>45860</v>
      </c>
      <c r="E949" s="16" t="s">
        <v>7</v>
      </c>
      <c r="I949" s="17">
        <v>5</v>
      </c>
      <c r="K949" s="19">
        <v>45864</v>
      </c>
      <c r="L949" s="20">
        <v>3</v>
      </c>
      <c r="M949" s="19">
        <v>45868</v>
      </c>
      <c r="N949" t="s">
        <v>3</v>
      </c>
    </row>
    <row r="950" spans="1:17" x14ac:dyDescent="0.25">
      <c r="A950" s="14">
        <v>3870</v>
      </c>
      <c r="B950" s="19">
        <v>45861</v>
      </c>
      <c r="E950" s="16" t="s">
        <v>7</v>
      </c>
      <c r="I950" s="17">
        <v>5</v>
      </c>
      <c r="K950" s="19">
        <v>45865</v>
      </c>
      <c r="L950" s="20">
        <v>3</v>
      </c>
      <c r="M950" s="19">
        <v>45869</v>
      </c>
      <c r="O950" t="s">
        <v>5</v>
      </c>
    </row>
    <row r="951" spans="1:17" x14ac:dyDescent="0.25">
      <c r="A951" s="14">
        <v>4363</v>
      </c>
      <c r="B951" s="19">
        <v>45861</v>
      </c>
      <c r="E951" s="16" t="s">
        <v>25</v>
      </c>
      <c r="I951" s="17">
        <v>5</v>
      </c>
      <c r="K951" s="19">
        <v>45865</v>
      </c>
      <c r="L951" s="20">
        <v>5</v>
      </c>
      <c r="M951" s="19">
        <v>45872</v>
      </c>
      <c r="P951" t="s">
        <v>1</v>
      </c>
    </row>
    <row r="952" spans="1:17" x14ac:dyDescent="0.25">
      <c r="A952" s="14">
        <v>4154</v>
      </c>
      <c r="B952" s="19">
        <v>45861</v>
      </c>
      <c r="E952" s="16" t="s">
        <v>7</v>
      </c>
      <c r="I952" s="17">
        <v>5</v>
      </c>
      <c r="K952" s="19">
        <v>45865</v>
      </c>
      <c r="L952" s="20">
        <v>3</v>
      </c>
      <c r="M952" s="19">
        <v>45869</v>
      </c>
      <c r="P952" t="s">
        <v>1</v>
      </c>
    </row>
    <row r="953" spans="1:17" x14ac:dyDescent="0.25">
      <c r="A953" s="14">
        <v>3149</v>
      </c>
      <c r="B953" s="19">
        <v>45862</v>
      </c>
      <c r="E953" s="16" t="s">
        <v>25</v>
      </c>
      <c r="I953" s="17">
        <v>5</v>
      </c>
      <c r="K953" s="19">
        <v>45866</v>
      </c>
      <c r="L953" s="20">
        <v>5</v>
      </c>
      <c r="M953" s="19">
        <v>45872</v>
      </c>
      <c r="Q953" t="s">
        <v>4</v>
      </c>
    </row>
    <row r="954" spans="1:17" x14ac:dyDescent="0.25">
      <c r="A954" s="14">
        <v>3420</v>
      </c>
      <c r="B954" s="19">
        <v>45863</v>
      </c>
      <c r="E954" s="16" t="s">
        <v>20</v>
      </c>
      <c r="I954" s="17">
        <v>5</v>
      </c>
      <c r="K954" s="19">
        <v>45867</v>
      </c>
      <c r="L954" s="20">
        <v>9</v>
      </c>
      <c r="M954" s="19">
        <v>45877</v>
      </c>
      <c r="N954" t="s">
        <v>3</v>
      </c>
      <c r="P954" t="s">
        <v>1</v>
      </c>
      <c r="Q954" t="s">
        <v>4</v>
      </c>
    </row>
    <row r="955" spans="1:17" x14ac:dyDescent="0.25">
      <c r="A955" s="14">
        <v>2544</v>
      </c>
      <c r="B955" s="19">
        <v>45863</v>
      </c>
      <c r="E955" s="16" t="s">
        <v>7</v>
      </c>
      <c r="I955" s="17">
        <v>5</v>
      </c>
      <c r="K955" s="19">
        <v>45867</v>
      </c>
      <c r="L955" s="20">
        <v>3</v>
      </c>
      <c r="M955" s="19">
        <v>45871</v>
      </c>
      <c r="N955" t="s">
        <v>3</v>
      </c>
    </row>
    <row r="956" spans="1:17" x14ac:dyDescent="0.25">
      <c r="A956" s="14">
        <v>2787</v>
      </c>
      <c r="B956" s="19">
        <v>45863</v>
      </c>
      <c r="E956" s="16" t="s">
        <v>7</v>
      </c>
      <c r="I956" s="17">
        <v>5</v>
      </c>
      <c r="K956" s="19">
        <v>45867</v>
      </c>
      <c r="L956" s="20">
        <v>3</v>
      </c>
      <c r="M956" s="19">
        <v>45871</v>
      </c>
      <c r="Q956" t="s">
        <v>4</v>
      </c>
    </row>
    <row r="957" spans="1:17" x14ac:dyDescent="0.25">
      <c r="A957" s="14">
        <v>4396</v>
      </c>
      <c r="B957" s="19">
        <v>45863</v>
      </c>
      <c r="E957" s="16" t="s">
        <v>7</v>
      </c>
      <c r="I957" s="17">
        <v>5</v>
      </c>
      <c r="K957" s="19">
        <v>45867</v>
      </c>
      <c r="L957" s="20">
        <v>3</v>
      </c>
      <c r="M957" s="19">
        <v>45871</v>
      </c>
      <c r="N957" t="s">
        <v>3</v>
      </c>
    </row>
    <row r="958" spans="1:17" x14ac:dyDescent="0.25">
      <c r="A958" s="14">
        <v>4310</v>
      </c>
      <c r="B958" s="19">
        <v>45863</v>
      </c>
      <c r="E958" s="16" t="s">
        <v>7</v>
      </c>
      <c r="I958" s="17">
        <v>5</v>
      </c>
      <c r="K958" s="19">
        <v>45867</v>
      </c>
      <c r="L958" s="20">
        <v>3</v>
      </c>
      <c r="M958" s="19">
        <v>45871</v>
      </c>
      <c r="N958" t="s">
        <v>3</v>
      </c>
    </row>
    <row r="959" spans="1:17" x14ac:dyDescent="0.25">
      <c r="A959" s="14">
        <v>2831</v>
      </c>
      <c r="B959" s="19">
        <v>45863</v>
      </c>
      <c r="E959" s="16" t="s">
        <v>7</v>
      </c>
      <c r="I959" s="17">
        <v>5</v>
      </c>
      <c r="K959" s="19">
        <v>45867</v>
      </c>
      <c r="L959" s="20">
        <v>3</v>
      </c>
      <c r="M959" s="19">
        <v>45871</v>
      </c>
      <c r="O959" t="s">
        <v>5</v>
      </c>
    </row>
    <row r="960" spans="1:17" x14ac:dyDescent="0.25">
      <c r="A960" s="14">
        <v>4106</v>
      </c>
      <c r="B960" s="19">
        <v>45864</v>
      </c>
      <c r="E960" s="16" t="s">
        <v>7</v>
      </c>
      <c r="I960" s="17">
        <v>5</v>
      </c>
      <c r="K960" s="19">
        <v>45868</v>
      </c>
      <c r="L960" s="20">
        <v>3</v>
      </c>
      <c r="M960" s="19">
        <v>45873</v>
      </c>
      <c r="N960" t="s">
        <v>3</v>
      </c>
      <c r="P960" t="s">
        <v>1</v>
      </c>
    </row>
    <row r="961" spans="1:17" x14ac:dyDescent="0.25">
      <c r="A961" s="14">
        <v>4017</v>
      </c>
      <c r="B961" s="19">
        <v>45864</v>
      </c>
      <c r="E961" s="16" t="s">
        <v>7</v>
      </c>
      <c r="I961" s="17">
        <v>5</v>
      </c>
      <c r="K961" s="19">
        <v>45868</v>
      </c>
      <c r="L961" s="20">
        <v>3</v>
      </c>
      <c r="M961" s="19">
        <v>45873</v>
      </c>
      <c r="N961" t="s">
        <v>3</v>
      </c>
    </row>
    <row r="962" spans="1:17" x14ac:dyDescent="0.25">
      <c r="A962" s="14">
        <v>4098</v>
      </c>
      <c r="B962" s="19">
        <v>45864</v>
      </c>
      <c r="E962" s="16" t="s">
        <v>7</v>
      </c>
      <c r="I962" s="17">
        <v>5</v>
      </c>
      <c r="K962" s="19">
        <v>45868</v>
      </c>
      <c r="L962" s="20">
        <v>3</v>
      </c>
      <c r="M962" s="19">
        <v>45873</v>
      </c>
      <c r="O962" t="s">
        <v>5</v>
      </c>
    </row>
    <row r="963" spans="1:17" x14ac:dyDescent="0.25">
      <c r="A963" s="14">
        <v>1216</v>
      </c>
      <c r="B963" s="19">
        <v>45865</v>
      </c>
      <c r="E963" s="16" t="s">
        <v>25</v>
      </c>
      <c r="I963" s="17">
        <v>5</v>
      </c>
      <c r="K963" s="19">
        <v>45869</v>
      </c>
      <c r="L963" s="20">
        <v>5</v>
      </c>
      <c r="M963" s="19">
        <v>45875</v>
      </c>
      <c r="O963" t="s">
        <v>5</v>
      </c>
      <c r="Q963" t="s">
        <v>4</v>
      </c>
    </row>
    <row r="964" spans="1:17" x14ac:dyDescent="0.25">
      <c r="A964" s="14">
        <v>4396</v>
      </c>
      <c r="B964" s="19">
        <v>45867</v>
      </c>
      <c r="E964" s="16" t="s">
        <v>25</v>
      </c>
      <c r="I964" s="17">
        <v>5</v>
      </c>
      <c r="K964" s="19">
        <v>45871</v>
      </c>
      <c r="L964" s="20">
        <v>5</v>
      </c>
      <c r="M964" s="19">
        <v>45877</v>
      </c>
      <c r="N964" t="s">
        <v>3</v>
      </c>
    </row>
    <row r="965" spans="1:17" x14ac:dyDescent="0.25">
      <c r="A965" s="14">
        <v>4892</v>
      </c>
      <c r="B965" s="19">
        <v>45868</v>
      </c>
      <c r="E965" s="16" t="s">
        <v>7</v>
      </c>
      <c r="I965" s="17">
        <v>5</v>
      </c>
      <c r="K965" s="19">
        <v>45872</v>
      </c>
      <c r="L965" s="20">
        <v>3</v>
      </c>
      <c r="M965" s="19">
        <v>45876</v>
      </c>
      <c r="Q965" t="s">
        <v>4</v>
      </c>
    </row>
    <row r="966" spans="1:17" x14ac:dyDescent="0.25">
      <c r="A966" s="14">
        <v>1186</v>
      </c>
      <c r="B966" s="19">
        <v>45869</v>
      </c>
      <c r="E966" s="16" t="s">
        <v>23</v>
      </c>
      <c r="I966" s="17">
        <v>5</v>
      </c>
      <c r="K966" s="19">
        <v>45873</v>
      </c>
      <c r="L966" s="20">
        <v>3</v>
      </c>
      <c r="M966" s="19">
        <v>45877</v>
      </c>
      <c r="N966" t="s">
        <v>3</v>
      </c>
    </row>
    <row r="967" spans="1:17" x14ac:dyDescent="0.25">
      <c r="A967" s="14">
        <v>2020</v>
      </c>
      <c r="B967" s="19">
        <v>45869</v>
      </c>
      <c r="E967" s="16" t="s">
        <v>23</v>
      </c>
      <c r="I967" s="17">
        <v>5</v>
      </c>
      <c r="K967" s="19">
        <v>45873</v>
      </c>
      <c r="L967" s="20">
        <v>3</v>
      </c>
      <c r="M967" s="19">
        <v>45877</v>
      </c>
      <c r="N967" t="s">
        <v>3</v>
      </c>
      <c r="O967" t="s">
        <v>5</v>
      </c>
    </row>
    <row r="968" spans="1:17" x14ac:dyDescent="0.25">
      <c r="A968" s="14">
        <v>3069</v>
      </c>
      <c r="B968" s="19">
        <v>45869</v>
      </c>
      <c r="E968" s="16" t="s">
        <v>28</v>
      </c>
      <c r="I968" s="17">
        <v>5</v>
      </c>
      <c r="K968" s="19">
        <v>45873</v>
      </c>
      <c r="L968" s="20">
        <v>3</v>
      </c>
      <c r="M968" s="19">
        <v>45877</v>
      </c>
      <c r="N968" t="s">
        <v>3</v>
      </c>
      <c r="P968" t="s">
        <v>1</v>
      </c>
    </row>
    <row r="969" spans="1:17" x14ac:dyDescent="0.25">
      <c r="A969" s="14">
        <v>3169</v>
      </c>
      <c r="B969" s="19">
        <v>45869</v>
      </c>
      <c r="E969" s="16" t="s">
        <v>23</v>
      </c>
      <c r="I969" s="17">
        <v>5</v>
      </c>
      <c r="K969" s="19">
        <v>45873</v>
      </c>
      <c r="L969" s="20">
        <v>3</v>
      </c>
      <c r="M969" s="19">
        <v>45877</v>
      </c>
      <c r="N969" t="s">
        <v>3</v>
      </c>
    </row>
    <row r="970" spans="1:17" x14ac:dyDescent="0.25">
      <c r="A970" s="14">
        <v>1203</v>
      </c>
      <c r="B970" s="19">
        <v>45870</v>
      </c>
      <c r="E970" s="16" t="s">
        <v>20</v>
      </c>
      <c r="I970" s="17">
        <v>5</v>
      </c>
      <c r="K970" s="19">
        <v>45874</v>
      </c>
      <c r="L970" s="20">
        <v>9</v>
      </c>
      <c r="M970" s="19">
        <v>45884</v>
      </c>
      <c r="P970" t="s">
        <v>1</v>
      </c>
    </row>
    <row r="971" spans="1:17" x14ac:dyDescent="0.25">
      <c r="A971" s="14">
        <v>3158</v>
      </c>
      <c r="B971" s="19">
        <v>45871</v>
      </c>
      <c r="E971" s="16" t="s">
        <v>7</v>
      </c>
      <c r="I971" s="17">
        <v>5</v>
      </c>
      <c r="K971" s="19">
        <v>45875</v>
      </c>
      <c r="L971" s="20">
        <v>3</v>
      </c>
      <c r="M971" s="19">
        <v>45879</v>
      </c>
      <c r="O971" t="s">
        <v>5</v>
      </c>
    </row>
    <row r="972" spans="1:17" x14ac:dyDescent="0.25">
      <c r="A972" s="14">
        <v>3624</v>
      </c>
      <c r="B972" s="19">
        <v>45871</v>
      </c>
      <c r="E972" s="16" t="s">
        <v>20</v>
      </c>
      <c r="I972" s="17">
        <v>5</v>
      </c>
      <c r="K972" s="19">
        <v>45875</v>
      </c>
      <c r="L972" s="20">
        <v>9</v>
      </c>
      <c r="M972" s="19">
        <v>45885</v>
      </c>
      <c r="P972" t="s">
        <v>1</v>
      </c>
    </row>
    <row r="973" spans="1:17" x14ac:dyDescent="0.25">
      <c r="A973" s="14">
        <v>4182</v>
      </c>
      <c r="B973" s="19">
        <v>45873</v>
      </c>
      <c r="E973" s="16" t="s">
        <v>23</v>
      </c>
      <c r="I973" s="17">
        <v>5</v>
      </c>
      <c r="K973" s="19">
        <v>45877</v>
      </c>
      <c r="L973" s="20">
        <v>3</v>
      </c>
      <c r="M973" s="19">
        <v>45881</v>
      </c>
      <c r="O973" t="s">
        <v>5</v>
      </c>
      <c r="Q973" t="s">
        <v>4</v>
      </c>
    </row>
    <row r="974" spans="1:17" x14ac:dyDescent="0.25">
      <c r="A974" s="14">
        <v>3050</v>
      </c>
      <c r="B974" s="19">
        <v>45873</v>
      </c>
      <c r="E974" s="16" t="s">
        <v>7</v>
      </c>
      <c r="I974" s="17">
        <v>5</v>
      </c>
      <c r="K974" s="19">
        <v>45877</v>
      </c>
      <c r="L974" s="20">
        <v>3</v>
      </c>
      <c r="M974" s="19">
        <v>45881</v>
      </c>
      <c r="N974" t="s">
        <v>3</v>
      </c>
    </row>
    <row r="975" spans="1:17" x14ac:dyDescent="0.25">
      <c r="A975" s="14">
        <v>3021</v>
      </c>
      <c r="B975" s="19">
        <v>45874</v>
      </c>
      <c r="E975" s="16" t="s">
        <v>20</v>
      </c>
      <c r="I975" s="17">
        <v>3</v>
      </c>
      <c r="K975" s="19">
        <v>45876</v>
      </c>
      <c r="L975" s="20">
        <v>9</v>
      </c>
      <c r="M975" s="19">
        <v>45886</v>
      </c>
      <c r="N975" t="s">
        <v>3</v>
      </c>
      <c r="O975" t="s">
        <v>5</v>
      </c>
      <c r="P975" t="s">
        <v>1</v>
      </c>
      <c r="Q975" t="s">
        <v>4</v>
      </c>
    </row>
    <row r="976" spans="1:17" x14ac:dyDescent="0.25">
      <c r="A976" s="14">
        <v>3051</v>
      </c>
      <c r="B976" s="19">
        <v>45874</v>
      </c>
      <c r="E976" s="16" t="s">
        <v>23</v>
      </c>
      <c r="I976" s="17">
        <v>5</v>
      </c>
      <c r="K976" s="19">
        <v>45878</v>
      </c>
      <c r="L976" s="20">
        <v>3</v>
      </c>
      <c r="M976" s="19">
        <v>45882</v>
      </c>
      <c r="P976" t="s">
        <v>1</v>
      </c>
      <c r="Q976" t="s">
        <v>4</v>
      </c>
    </row>
    <row r="977" spans="1:17" x14ac:dyDescent="0.25">
      <c r="A977" s="14">
        <v>4278</v>
      </c>
      <c r="B977" s="19">
        <v>45874</v>
      </c>
      <c r="E977" s="16" t="s">
        <v>25</v>
      </c>
      <c r="I977" s="17">
        <v>5</v>
      </c>
      <c r="K977" s="19">
        <v>45878</v>
      </c>
      <c r="L977" s="20">
        <v>5</v>
      </c>
      <c r="M977" s="19">
        <v>45884</v>
      </c>
      <c r="O977" t="s">
        <v>5</v>
      </c>
    </row>
    <row r="978" spans="1:17" x14ac:dyDescent="0.25">
      <c r="A978" s="14">
        <v>4106</v>
      </c>
      <c r="B978" s="19">
        <v>45875</v>
      </c>
      <c r="E978" s="16" t="s">
        <v>25</v>
      </c>
      <c r="I978" s="17">
        <v>5</v>
      </c>
      <c r="K978" s="19">
        <v>45879</v>
      </c>
      <c r="L978" s="20">
        <v>5</v>
      </c>
      <c r="M978" s="19">
        <v>45885</v>
      </c>
      <c r="P978" t="s">
        <v>1</v>
      </c>
    </row>
    <row r="979" spans="1:17" x14ac:dyDescent="0.25">
      <c r="A979" s="14">
        <v>3400</v>
      </c>
      <c r="B979" s="19">
        <v>45875</v>
      </c>
      <c r="E979" s="16" t="s">
        <v>7</v>
      </c>
      <c r="I979" s="17">
        <v>5</v>
      </c>
      <c r="K979" s="19">
        <v>45879</v>
      </c>
      <c r="L979" s="20">
        <v>3</v>
      </c>
      <c r="M979" s="19">
        <v>45883</v>
      </c>
      <c r="N979" t="s">
        <v>3</v>
      </c>
    </row>
    <row r="980" spans="1:17" x14ac:dyDescent="0.25">
      <c r="A980" s="14">
        <v>3430</v>
      </c>
      <c r="B980" s="19">
        <v>45875</v>
      </c>
      <c r="E980" s="16" t="s">
        <v>7</v>
      </c>
      <c r="I980" s="17">
        <v>5</v>
      </c>
      <c r="K980" s="19">
        <v>45879</v>
      </c>
      <c r="L980" s="20">
        <v>3</v>
      </c>
      <c r="M980" s="19">
        <v>45883</v>
      </c>
      <c r="O980" t="s">
        <v>5</v>
      </c>
    </row>
    <row r="981" spans="1:17" x14ac:dyDescent="0.25">
      <c r="A981" s="14">
        <v>5031</v>
      </c>
      <c r="B981" s="19">
        <v>45875</v>
      </c>
      <c r="E981" s="16" t="s">
        <v>7</v>
      </c>
      <c r="I981" s="17">
        <v>5</v>
      </c>
      <c r="K981" s="19">
        <v>45879</v>
      </c>
      <c r="L981" s="20">
        <v>3</v>
      </c>
      <c r="M981" s="19">
        <v>45883</v>
      </c>
      <c r="P981" t="s">
        <v>1</v>
      </c>
    </row>
    <row r="982" spans="1:17" x14ac:dyDescent="0.25">
      <c r="A982" s="14">
        <v>3433</v>
      </c>
      <c r="B982" s="19">
        <v>45876</v>
      </c>
      <c r="E982" s="16" t="s">
        <v>7</v>
      </c>
      <c r="I982" s="17">
        <v>5</v>
      </c>
      <c r="K982" s="19">
        <v>45880</v>
      </c>
      <c r="L982" s="20">
        <v>3</v>
      </c>
      <c r="M982" s="19">
        <v>45884</v>
      </c>
      <c r="P982" t="s">
        <v>1</v>
      </c>
    </row>
    <row r="983" spans="1:17" x14ac:dyDescent="0.25">
      <c r="A983" s="14">
        <v>3800</v>
      </c>
      <c r="B983" s="19">
        <v>45877</v>
      </c>
      <c r="E983" s="16" t="s">
        <v>0</v>
      </c>
      <c r="I983" s="17">
        <v>5</v>
      </c>
      <c r="K983" s="19">
        <v>45881</v>
      </c>
      <c r="L983" s="20">
        <v>5</v>
      </c>
      <c r="M983" s="19">
        <v>45887</v>
      </c>
      <c r="O983" t="s">
        <v>5</v>
      </c>
    </row>
    <row r="984" spans="1:17" x14ac:dyDescent="0.25">
      <c r="A984" s="14">
        <v>3382</v>
      </c>
      <c r="B984" s="19">
        <v>45877</v>
      </c>
      <c r="E984" s="16" t="s">
        <v>20</v>
      </c>
      <c r="I984" s="17">
        <v>5</v>
      </c>
      <c r="K984" s="19">
        <v>45881</v>
      </c>
      <c r="L984" s="20">
        <v>9</v>
      </c>
      <c r="M984" s="19">
        <v>45891</v>
      </c>
      <c r="P984" t="s">
        <v>1</v>
      </c>
    </row>
    <row r="985" spans="1:17" x14ac:dyDescent="0.25">
      <c r="A985" s="14">
        <v>2430</v>
      </c>
      <c r="B985" s="19">
        <v>45878</v>
      </c>
      <c r="E985" s="16" t="s">
        <v>20</v>
      </c>
      <c r="I985" s="17">
        <v>5</v>
      </c>
      <c r="K985" s="19">
        <v>45882</v>
      </c>
      <c r="L985" s="20">
        <v>9</v>
      </c>
      <c r="M985" s="19">
        <v>45892</v>
      </c>
      <c r="Q985" t="s">
        <v>4</v>
      </c>
    </row>
    <row r="986" spans="1:17" x14ac:dyDescent="0.25">
      <c r="A986" s="14">
        <v>3476</v>
      </c>
      <c r="B986" s="19">
        <v>45878</v>
      </c>
      <c r="E986" s="16" t="s">
        <v>7</v>
      </c>
      <c r="I986" s="17">
        <v>5</v>
      </c>
      <c r="K986" s="19">
        <v>45882</v>
      </c>
      <c r="L986" s="20">
        <v>3</v>
      </c>
      <c r="M986" s="19">
        <v>45886</v>
      </c>
      <c r="P986" t="s">
        <v>1</v>
      </c>
    </row>
    <row r="987" spans="1:17" x14ac:dyDescent="0.25">
      <c r="A987" s="14">
        <v>2225</v>
      </c>
      <c r="B987" s="19">
        <v>45879</v>
      </c>
      <c r="E987" s="16" t="s">
        <v>7</v>
      </c>
      <c r="I987" s="17">
        <v>5</v>
      </c>
      <c r="K987" s="19">
        <v>45883</v>
      </c>
      <c r="L987" s="20">
        <v>3</v>
      </c>
      <c r="M987" s="19">
        <v>45887</v>
      </c>
      <c r="O987" t="s">
        <v>5</v>
      </c>
    </row>
    <row r="988" spans="1:17" x14ac:dyDescent="0.25">
      <c r="A988" s="14">
        <v>2550</v>
      </c>
      <c r="B988" s="19">
        <v>45879</v>
      </c>
      <c r="E988" s="16" t="s">
        <v>7</v>
      </c>
      <c r="I988" s="17">
        <v>5</v>
      </c>
      <c r="K988" s="19">
        <v>45883</v>
      </c>
      <c r="L988" s="20">
        <v>3</v>
      </c>
      <c r="M988" s="19">
        <v>45887</v>
      </c>
      <c r="O988" t="s">
        <v>5</v>
      </c>
      <c r="P988" t="s">
        <v>1</v>
      </c>
      <c r="Q988" t="s">
        <v>4</v>
      </c>
    </row>
    <row r="989" spans="1:17" x14ac:dyDescent="0.25">
      <c r="A989" s="14">
        <v>4182</v>
      </c>
      <c r="B989" s="19">
        <v>45880</v>
      </c>
      <c r="E989" s="16" t="s">
        <v>21</v>
      </c>
      <c r="I989" s="17">
        <v>5</v>
      </c>
      <c r="K989" s="19">
        <v>45884</v>
      </c>
      <c r="L989" s="20">
        <v>9</v>
      </c>
      <c r="M989" s="19">
        <v>45894</v>
      </c>
      <c r="Q989" t="s">
        <v>4</v>
      </c>
    </row>
    <row r="990" spans="1:17" x14ac:dyDescent="0.25">
      <c r="A990" s="14">
        <v>3726</v>
      </c>
      <c r="B990" s="19">
        <v>45880</v>
      </c>
      <c r="E990" s="16" t="s">
        <v>0</v>
      </c>
      <c r="I990" s="17">
        <v>5</v>
      </c>
      <c r="K990" s="19">
        <v>45884</v>
      </c>
      <c r="L990" s="20">
        <v>5</v>
      </c>
      <c r="M990" s="19">
        <v>45890</v>
      </c>
      <c r="O990" t="s">
        <v>5</v>
      </c>
    </row>
    <row r="991" spans="1:17" x14ac:dyDescent="0.25">
      <c r="A991" s="14">
        <v>2599</v>
      </c>
      <c r="B991" s="19">
        <v>45880</v>
      </c>
      <c r="E991" s="16" t="s">
        <v>0</v>
      </c>
      <c r="I991" s="17">
        <v>5</v>
      </c>
      <c r="K991" s="19">
        <v>45884</v>
      </c>
      <c r="L991" s="20">
        <v>5</v>
      </c>
      <c r="M991" s="19">
        <v>45890</v>
      </c>
      <c r="Q991" t="s">
        <v>4</v>
      </c>
    </row>
    <row r="992" spans="1:17" x14ac:dyDescent="0.25">
      <c r="A992" s="14">
        <v>3800</v>
      </c>
      <c r="B992" s="19">
        <v>45881</v>
      </c>
      <c r="E992" s="16" t="s">
        <v>21</v>
      </c>
      <c r="I992" s="17">
        <v>5</v>
      </c>
      <c r="K992" s="19">
        <v>45885</v>
      </c>
      <c r="L992" s="20">
        <v>9</v>
      </c>
      <c r="M992" s="19">
        <v>45895</v>
      </c>
      <c r="O992" t="s">
        <v>5</v>
      </c>
    </row>
    <row r="993" spans="1:17" x14ac:dyDescent="0.25">
      <c r="A993" s="14">
        <v>3420</v>
      </c>
      <c r="B993" s="19">
        <v>45881</v>
      </c>
      <c r="E993" s="16" t="s">
        <v>25</v>
      </c>
      <c r="I993" s="17">
        <v>5</v>
      </c>
      <c r="K993" s="19">
        <v>45885</v>
      </c>
      <c r="L993" s="20">
        <v>5</v>
      </c>
      <c r="M993" s="19">
        <v>45891</v>
      </c>
      <c r="Q993" t="s">
        <v>4</v>
      </c>
    </row>
    <row r="994" spans="1:17" x14ac:dyDescent="0.25">
      <c r="A994" s="14">
        <v>3894</v>
      </c>
      <c r="B994" s="19">
        <v>45881</v>
      </c>
      <c r="E994" s="16" t="s">
        <v>25</v>
      </c>
      <c r="I994" s="17">
        <v>5</v>
      </c>
      <c r="K994" s="19">
        <v>45885</v>
      </c>
      <c r="L994" s="20">
        <v>5</v>
      </c>
      <c r="M994" s="19">
        <v>45891</v>
      </c>
      <c r="P994" t="s">
        <v>1</v>
      </c>
    </row>
    <row r="995" spans="1:17" x14ac:dyDescent="0.25">
      <c r="A995" s="14">
        <v>3728</v>
      </c>
      <c r="B995" s="19">
        <v>45882</v>
      </c>
      <c r="E995" s="16" t="s">
        <v>21</v>
      </c>
      <c r="I995" s="17">
        <v>5</v>
      </c>
      <c r="K995" s="19">
        <v>45886</v>
      </c>
      <c r="L995" s="20">
        <v>9</v>
      </c>
      <c r="M995" s="19">
        <v>45896</v>
      </c>
      <c r="P995" t="s">
        <v>1</v>
      </c>
    </row>
    <row r="996" spans="1:17" x14ac:dyDescent="0.25">
      <c r="A996" s="14">
        <v>4154</v>
      </c>
      <c r="B996" s="19">
        <v>45882</v>
      </c>
      <c r="E996" s="16" t="s">
        <v>25</v>
      </c>
      <c r="I996" s="17">
        <v>5</v>
      </c>
      <c r="K996" s="19">
        <v>45886</v>
      </c>
      <c r="L996" s="20">
        <v>5</v>
      </c>
      <c r="M996" s="19">
        <v>45892</v>
      </c>
      <c r="P996" t="s">
        <v>1</v>
      </c>
    </row>
    <row r="997" spans="1:17" x14ac:dyDescent="0.25">
      <c r="A997" s="14">
        <v>2969</v>
      </c>
      <c r="B997" s="19">
        <v>45882</v>
      </c>
      <c r="E997" s="16" t="s">
        <v>25</v>
      </c>
      <c r="I997" s="17">
        <v>5</v>
      </c>
      <c r="K997" s="19">
        <v>45886</v>
      </c>
      <c r="L997" s="20">
        <v>5</v>
      </c>
      <c r="M997" s="19">
        <v>45892</v>
      </c>
      <c r="N997" t="s">
        <v>3</v>
      </c>
    </row>
    <row r="998" spans="1:17" x14ac:dyDescent="0.25">
      <c r="A998" s="14">
        <v>2047</v>
      </c>
      <c r="B998" s="19">
        <v>45884</v>
      </c>
      <c r="E998" s="16" t="s">
        <v>25</v>
      </c>
      <c r="I998" s="17">
        <v>5</v>
      </c>
      <c r="K998" s="19">
        <v>45888</v>
      </c>
      <c r="L998" s="20">
        <v>5</v>
      </c>
      <c r="M998" s="19">
        <v>45894</v>
      </c>
      <c r="O998" t="s">
        <v>5</v>
      </c>
    </row>
    <row r="999" spans="1:17" x14ac:dyDescent="0.25">
      <c r="A999" s="14">
        <v>3430</v>
      </c>
      <c r="B999" s="19">
        <v>45884</v>
      </c>
      <c r="E999" s="16" t="s">
        <v>25</v>
      </c>
      <c r="I999" s="17">
        <v>5</v>
      </c>
      <c r="K999" s="19">
        <v>45888</v>
      </c>
      <c r="L999" s="20">
        <v>5</v>
      </c>
      <c r="M999" s="19">
        <v>45894</v>
      </c>
      <c r="O999" t="s">
        <v>5</v>
      </c>
      <c r="Q999" t="s">
        <v>4</v>
      </c>
    </row>
    <row r="1000" spans="1:17" x14ac:dyDescent="0.25">
      <c r="A1000" s="14">
        <v>3726</v>
      </c>
      <c r="B1000" s="19">
        <v>45884</v>
      </c>
      <c r="E1000" s="16" t="s">
        <v>21</v>
      </c>
      <c r="I1000" s="17">
        <v>5</v>
      </c>
      <c r="K1000" s="19">
        <v>45888</v>
      </c>
      <c r="L1000" s="20">
        <v>9</v>
      </c>
      <c r="M1000" s="19">
        <v>45898</v>
      </c>
      <c r="O1000" t="s">
        <v>5</v>
      </c>
    </row>
    <row r="1001" spans="1:17" x14ac:dyDescent="0.25">
      <c r="A1001" s="14">
        <v>3050</v>
      </c>
      <c r="B1001" s="19">
        <v>45885</v>
      </c>
      <c r="E1001" s="16" t="s">
        <v>25</v>
      </c>
      <c r="I1001" s="17">
        <v>5</v>
      </c>
      <c r="K1001" s="19">
        <v>45889</v>
      </c>
      <c r="L1001" s="20">
        <v>5</v>
      </c>
      <c r="M1001" s="19">
        <v>45895</v>
      </c>
      <c r="N1001" t="s">
        <v>3</v>
      </c>
    </row>
    <row r="1002" spans="1:17" x14ac:dyDescent="0.25">
      <c r="A1002" s="14">
        <v>2790</v>
      </c>
      <c r="B1002" s="19">
        <v>45885</v>
      </c>
      <c r="E1002" s="16" t="s">
        <v>25</v>
      </c>
      <c r="I1002" s="17">
        <v>5</v>
      </c>
      <c r="K1002" s="19">
        <v>45889</v>
      </c>
      <c r="L1002" s="20">
        <v>5</v>
      </c>
      <c r="M1002" s="19">
        <v>45895</v>
      </c>
      <c r="P1002" t="s">
        <v>1</v>
      </c>
    </row>
    <row r="1003" spans="1:17" x14ac:dyDescent="0.25">
      <c r="A1003" s="14">
        <v>3790</v>
      </c>
      <c r="B1003" s="19">
        <v>45886</v>
      </c>
      <c r="E1003" s="16" t="s">
        <v>25</v>
      </c>
      <c r="I1003" s="17">
        <v>5</v>
      </c>
      <c r="K1003" s="19">
        <v>45890</v>
      </c>
      <c r="L1003" s="20">
        <v>5</v>
      </c>
      <c r="M1003" s="19">
        <v>45896</v>
      </c>
      <c r="N1003" t="s">
        <v>3</v>
      </c>
    </row>
    <row r="1004" spans="1:17" x14ac:dyDescent="0.25">
      <c r="A1004" s="14">
        <v>4054</v>
      </c>
      <c r="B1004" s="19">
        <v>45887</v>
      </c>
      <c r="E1004" s="16" t="s">
        <v>25</v>
      </c>
      <c r="I1004" s="17">
        <v>5</v>
      </c>
      <c r="K1004" s="19">
        <v>45891</v>
      </c>
      <c r="L1004" s="20">
        <v>5</v>
      </c>
      <c r="M1004" s="19">
        <v>45897</v>
      </c>
      <c r="O1004" t="s">
        <v>5</v>
      </c>
    </row>
    <row r="1005" spans="1:17" x14ac:dyDescent="0.25">
      <c r="A1005" s="14">
        <v>3169</v>
      </c>
      <c r="B1005" s="19">
        <v>45887</v>
      </c>
      <c r="E1005" s="16" t="s">
        <v>21</v>
      </c>
      <c r="I1005" s="17">
        <v>5</v>
      </c>
      <c r="K1005" s="19">
        <v>45889</v>
      </c>
      <c r="L1005" s="20">
        <v>9</v>
      </c>
      <c r="M1005" s="19">
        <v>45899</v>
      </c>
      <c r="O1005" t="s">
        <v>5</v>
      </c>
    </row>
    <row r="1006" spans="1:17" x14ac:dyDescent="0.25">
      <c r="A1006" s="14">
        <v>4310</v>
      </c>
      <c r="B1006" s="19">
        <v>45889</v>
      </c>
      <c r="E1006" s="16" t="s">
        <v>21</v>
      </c>
      <c r="I1006" s="17">
        <v>3</v>
      </c>
      <c r="K1006" s="19">
        <v>45891</v>
      </c>
      <c r="L1006" s="20">
        <v>9</v>
      </c>
      <c r="M1006" s="19">
        <v>45901</v>
      </c>
      <c r="N1006" t="s">
        <v>3</v>
      </c>
    </row>
    <row r="1007" spans="1:17" x14ac:dyDescent="0.25">
      <c r="A1007" s="14">
        <v>3863</v>
      </c>
      <c r="B1007" s="19">
        <v>45889</v>
      </c>
      <c r="E1007" s="16" t="s">
        <v>25</v>
      </c>
      <c r="I1007" s="17">
        <v>5</v>
      </c>
      <c r="K1007" s="19">
        <v>45893</v>
      </c>
      <c r="L1007" s="20">
        <v>5</v>
      </c>
      <c r="M1007" s="19">
        <v>45899</v>
      </c>
      <c r="N1007" t="s">
        <v>3</v>
      </c>
    </row>
    <row r="1008" spans="1:17" x14ac:dyDescent="0.25">
      <c r="A1008" s="14">
        <v>3069</v>
      </c>
      <c r="B1008" s="19">
        <v>45891</v>
      </c>
      <c r="E1008" s="16" t="s">
        <v>7</v>
      </c>
      <c r="I1008" s="17">
        <v>5</v>
      </c>
      <c r="K1008" s="19">
        <v>45895</v>
      </c>
      <c r="L1008" s="20">
        <v>3</v>
      </c>
      <c r="M1008" s="19">
        <v>45899</v>
      </c>
      <c r="N1008" t="s">
        <v>3</v>
      </c>
      <c r="P1008" t="s">
        <v>1</v>
      </c>
    </row>
    <row r="1009" spans="1:17" x14ac:dyDescent="0.25">
      <c r="A1009" s="14">
        <v>3417</v>
      </c>
      <c r="B1009" s="19">
        <v>45892</v>
      </c>
      <c r="E1009" s="16" t="s">
        <v>25</v>
      </c>
      <c r="I1009" s="17">
        <v>5</v>
      </c>
      <c r="J1009" s="19"/>
      <c r="K1009" s="19">
        <v>45896</v>
      </c>
      <c r="L1009" s="20">
        <v>5</v>
      </c>
      <c r="M1009" s="19">
        <v>45902</v>
      </c>
      <c r="P1009" t="s">
        <v>1</v>
      </c>
    </row>
    <row r="1010" spans="1:17" x14ac:dyDescent="0.25">
      <c r="A1010" s="14">
        <v>3800</v>
      </c>
      <c r="B1010" s="19">
        <v>45892</v>
      </c>
      <c r="E1010" s="16" t="s">
        <v>25</v>
      </c>
      <c r="I1010" s="17">
        <v>5</v>
      </c>
      <c r="K1010" s="19">
        <v>45896</v>
      </c>
      <c r="L1010" s="20">
        <v>5</v>
      </c>
      <c r="M1010" s="19">
        <v>45902</v>
      </c>
      <c r="Q1010" t="s">
        <v>4</v>
      </c>
    </row>
    <row r="1011" spans="1:17" x14ac:dyDescent="0.25">
      <c r="A1011" s="14">
        <v>2924</v>
      </c>
      <c r="B1011" s="19">
        <v>45893</v>
      </c>
      <c r="E1011" s="16" t="s">
        <v>23</v>
      </c>
      <c r="I1011" s="17">
        <v>5</v>
      </c>
      <c r="K1011" s="19">
        <v>45898</v>
      </c>
      <c r="L1011" s="20">
        <v>3</v>
      </c>
      <c r="M1011" s="19">
        <v>45902</v>
      </c>
      <c r="N1011" t="s">
        <v>3</v>
      </c>
    </row>
    <row r="1012" spans="1:17" x14ac:dyDescent="0.25">
      <c r="A1012" s="14">
        <v>1186</v>
      </c>
      <c r="B1012" s="19">
        <v>45894</v>
      </c>
      <c r="E1012" s="16" t="s">
        <v>21</v>
      </c>
      <c r="I1012" s="17">
        <v>3</v>
      </c>
      <c r="K1012" s="19">
        <v>45896</v>
      </c>
      <c r="L1012" s="20">
        <v>9</v>
      </c>
      <c r="M1012" s="19">
        <v>45906</v>
      </c>
      <c r="N1012" t="s">
        <v>3</v>
      </c>
    </row>
    <row r="1013" spans="1:17" x14ac:dyDescent="0.25">
      <c r="A1013" s="14">
        <v>4986</v>
      </c>
      <c r="B1013" s="19">
        <v>45896</v>
      </c>
      <c r="E1013" s="16" t="s">
        <v>29</v>
      </c>
      <c r="I1013" s="17">
        <v>5</v>
      </c>
      <c r="K1013" s="19">
        <v>45901</v>
      </c>
      <c r="L1013" s="20">
        <v>4</v>
      </c>
      <c r="M1013" s="19">
        <v>45906</v>
      </c>
      <c r="N1013" t="s">
        <v>3</v>
      </c>
    </row>
    <row r="1014" spans="1:17" x14ac:dyDescent="0.25">
      <c r="A1014" s="14">
        <v>3854</v>
      </c>
      <c r="B1014" s="19">
        <v>45897</v>
      </c>
      <c r="E1014" s="16" t="s">
        <v>25</v>
      </c>
      <c r="I1014" s="17">
        <v>5</v>
      </c>
      <c r="K1014" s="19">
        <v>45901</v>
      </c>
      <c r="L1014" s="20">
        <v>5</v>
      </c>
      <c r="M1014" s="19">
        <v>45907</v>
      </c>
      <c r="O1014" t="s">
        <v>5</v>
      </c>
    </row>
    <row r="1015" spans="1:17" x14ac:dyDescent="0.25">
      <c r="A1015" s="14">
        <v>2899</v>
      </c>
      <c r="B1015" s="19">
        <v>45897</v>
      </c>
      <c r="E1015" s="16" t="s">
        <v>25</v>
      </c>
      <c r="I1015" s="17">
        <v>5</v>
      </c>
      <c r="K1015" s="19">
        <v>45901</v>
      </c>
      <c r="L1015" s="20">
        <v>5</v>
      </c>
      <c r="M1015" s="19">
        <v>45907</v>
      </c>
      <c r="P1015" t="s">
        <v>1</v>
      </c>
    </row>
    <row r="1016" spans="1:17" x14ac:dyDescent="0.25">
      <c r="A1016" s="14">
        <v>4278</v>
      </c>
      <c r="B1016" s="19">
        <v>45899</v>
      </c>
      <c r="E1016" s="16" t="s">
        <v>21</v>
      </c>
      <c r="I1016" s="17">
        <v>5</v>
      </c>
      <c r="K1016" s="19">
        <v>45903</v>
      </c>
      <c r="L1016" s="20">
        <v>9</v>
      </c>
      <c r="M1016" s="19">
        <v>45913</v>
      </c>
      <c r="O1016" t="s">
        <v>5</v>
      </c>
    </row>
    <row r="1017" spans="1:17" x14ac:dyDescent="0.25">
      <c r="A1017" s="14">
        <v>3297</v>
      </c>
      <c r="B1017" s="19">
        <v>45900</v>
      </c>
      <c r="E1017" s="16" t="s">
        <v>29</v>
      </c>
      <c r="I1017" s="17">
        <v>5</v>
      </c>
      <c r="K1017" s="19">
        <v>45904</v>
      </c>
      <c r="L1017" s="20">
        <v>4</v>
      </c>
      <c r="M1017" s="19">
        <v>45909</v>
      </c>
      <c r="O1017" t="s">
        <v>5</v>
      </c>
    </row>
    <row r="1018" spans="1:17" x14ac:dyDescent="0.25">
      <c r="A1018" s="14">
        <v>5121</v>
      </c>
      <c r="B1018" s="19">
        <v>45901</v>
      </c>
      <c r="E1018" s="16" t="s">
        <v>29</v>
      </c>
      <c r="I1018" s="17">
        <v>5</v>
      </c>
      <c r="K1018" s="19">
        <v>45905</v>
      </c>
      <c r="L1018" s="20">
        <v>4</v>
      </c>
      <c r="M1018" s="19">
        <v>45910</v>
      </c>
      <c r="N1018" t="s">
        <v>3</v>
      </c>
      <c r="P1018" t="s">
        <v>1</v>
      </c>
    </row>
    <row r="1019" spans="1:17" x14ac:dyDescent="0.25">
      <c r="A1019" s="14">
        <v>615</v>
      </c>
      <c r="B1019" s="19">
        <v>45902</v>
      </c>
      <c r="E1019" s="16" t="s">
        <v>29</v>
      </c>
      <c r="I1019" s="17">
        <v>5</v>
      </c>
      <c r="K1019" s="19">
        <v>45906</v>
      </c>
      <c r="L1019" s="20">
        <v>4</v>
      </c>
      <c r="M1019" s="19">
        <v>45911</v>
      </c>
      <c r="P1019" t="s">
        <v>1</v>
      </c>
    </row>
    <row r="1020" spans="1:17" x14ac:dyDescent="0.25">
      <c r="A1020" s="14">
        <v>4764</v>
      </c>
      <c r="B1020" s="19">
        <v>45902</v>
      </c>
      <c r="E1020" s="16" t="s">
        <v>29</v>
      </c>
      <c r="I1020" s="17">
        <v>5</v>
      </c>
      <c r="K1020" s="19">
        <v>45906</v>
      </c>
      <c r="L1020" s="20">
        <v>4</v>
      </c>
      <c r="M1020" s="19">
        <v>45911</v>
      </c>
      <c r="P1020" t="s">
        <v>1</v>
      </c>
      <c r="Q1020" t="s">
        <v>4</v>
      </c>
    </row>
    <row r="1021" spans="1:17" x14ac:dyDescent="0.25">
      <c r="A1021" s="14">
        <v>4436</v>
      </c>
      <c r="B1021" s="19">
        <v>45902</v>
      </c>
      <c r="E1021" s="16" t="s">
        <v>29</v>
      </c>
      <c r="I1021" s="17">
        <v>5</v>
      </c>
      <c r="K1021" s="19">
        <v>45906</v>
      </c>
      <c r="L1021" s="20">
        <v>4</v>
      </c>
      <c r="M1021" s="19">
        <v>45911</v>
      </c>
      <c r="N1021" t="s">
        <v>3</v>
      </c>
    </row>
    <row r="1022" spans="1:17" x14ac:dyDescent="0.25">
      <c r="A1022" s="14">
        <v>4655</v>
      </c>
      <c r="B1022" s="19">
        <v>45903</v>
      </c>
      <c r="E1022" s="16" t="s">
        <v>29</v>
      </c>
      <c r="I1022" s="17">
        <v>5</v>
      </c>
      <c r="K1022" s="19">
        <v>45907</v>
      </c>
      <c r="L1022" s="20">
        <v>4</v>
      </c>
      <c r="M1022" s="19">
        <v>45912</v>
      </c>
      <c r="O1022" t="s">
        <v>5</v>
      </c>
    </row>
    <row r="1023" spans="1:17" x14ac:dyDescent="0.25">
      <c r="A1023" s="14">
        <v>3790</v>
      </c>
      <c r="B1023" s="19">
        <v>45905</v>
      </c>
      <c r="E1023" s="16" t="s">
        <v>20</v>
      </c>
      <c r="I1023" s="17">
        <v>5</v>
      </c>
      <c r="K1023" s="19">
        <v>45909</v>
      </c>
      <c r="L1023" s="20">
        <v>9</v>
      </c>
      <c r="M1023" s="19">
        <v>45919</v>
      </c>
      <c r="N1023" t="s">
        <v>3</v>
      </c>
    </row>
    <row r="1024" spans="1:17" x14ac:dyDescent="0.25">
      <c r="A1024" s="14">
        <v>2777</v>
      </c>
      <c r="B1024" s="19">
        <v>45906</v>
      </c>
      <c r="E1024" s="16" t="s">
        <v>29</v>
      </c>
      <c r="I1024" s="17">
        <v>5</v>
      </c>
      <c r="K1024" s="19">
        <v>45910</v>
      </c>
      <c r="L1024" s="20">
        <v>4</v>
      </c>
      <c r="M1024" s="19">
        <v>45905</v>
      </c>
      <c r="N1024" t="s">
        <v>3</v>
      </c>
    </row>
    <row r="1025" spans="1:17" x14ac:dyDescent="0.25">
      <c r="A1025" s="14">
        <v>3846</v>
      </c>
      <c r="B1025" s="19">
        <v>45908</v>
      </c>
      <c r="E1025" s="16" t="s">
        <v>29</v>
      </c>
      <c r="I1025" s="17">
        <v>5</v>
      </c>
      <c r="K1025" s="19">
        <v>45912</v>
      </c>
      <c r="L1025" s="20">
        <v>4</v>
      </c>
      <c r="M1025" s="19">
        <v>45907</v>
      </c>
      <c r="P1025" t="s">
        <v>1</v>
      </c>
    </row>
    <row r="1026" spans="1:17" x14ac:dyDescent="0.25">
      <c r="A1026" s="14">
        <v>4132</v>
      </c>
      <c r="B1026" s="19">
        <v>45908</v>
      </c>
      <c r="E1026" s="16" t="s">
        <v>20</v>
      </c>
      <c r="I1026" s="17">
        <v>5</v>
      </c>
      <c r="K1026" s="19">
        <v>45912</v>
      </c>
      <c r="L1026" s="20">
        <v>9</v>
      </c>
      <c r="M1026" s="19">
        <v>45922</v>
      </c>
      <c r="Q1026" t="s">
        <v>4</v>
      </c>
    </row>
    <row r="1027" spans="1:17" x14ac:dyDescent="0.25">
      <c r="A1027" s="14">
        <v>1166</v>
      </c>
      <c r="B1027" s="19">
        <v>45909</v>
      </c>
      <c r="E1027" s="16" t="s">
        <v>0</v>
      </c>
      <c r="I1027" s="17">
        <v>5</v>
      </c>
      <c r="K1027" s="19">
        <v>45913</v>
      </c>
      <c r="L1027" s="20">
        <v>5</v>
      </c>
      <c r="M1027" s="19">
        <v>45919</v>
      </c>
      <c r="P1027" t="s">
        <v>1</v>
      </c>
    </row>
    <row r="1028" spans="1:17" x14ac:dyDescent="0.25">
      <c r="A1028" s="14">
        <v>2706</v>
      </c>
      <c r="B1028" s="19">
        <v>45909</v>
      </c>
      <c r="E1028" s="16" t="s">
        <v>0</v>
      </c>
      <c r="I1028" s="17">
        <v>5</v>
      </c>
      <c r="K1028" s="19">
        <v>45913</v>
      </c>
      <c r="L1028" s="20">
        <v>5</v>
      </c>
      <c r="M1028" s="19">
        <v>45919</v>
      </c>
      <c r="N1028" t="s">
        <v>3</v>
      </c>
      <c r="O1028" t="s">
        <v>5</v>
      </c>
      <c r="P1028" t="s">
        <v>1</v>
      </c>
      <c r="Q1028" t="s">
        <v>4</v>
      </c>
    </row>
    <row r="1029" spans="1:17" x14ac:dyDescent="0.25">
      <c r="A1029" s="14">
        <v>4050</v>
      </c>
      <c r="B1029" s="19">
        <v>45909</v>
      </c>
      <c r="E1029" s="16" t="s">
        <v>0</v>
      </c>
      <c r="I1029" s="17">
        <v>5</v>
      </c>
      <c r="K1029" s="19">
        <v>45913</v>
      </c>
      <c r="L1029" s="20">
        <v>5</v>
      </c>
      <c r="M1029" s="19">
        <v>45919</v>
      </c>
      <c r="N1029" t="s">
        <v>3</v>
      </c>
      <c r="P1029" t="s">
        <v>1</v>
      </c>
    </row>
    <row r="1030" spans="1:17" x14ac:dyDescent="0.25">
      <c r="A1030" s="14">
        <v>3818</v>
      </c>
      <c r="B1030" s="19">
        <v>45909</v>
      </c>
      <c r="E1030" s="16" t="s">
        <v>0</v>
      </c>
      <c r="I1030" s="17">
        <v>5</v>
      </c>
      <c r="K1030" s="19">
        <v>45913</v>
      </c>
      <c r="L1030" s="20">
        <v>5</v>
      </c>
      <c r="M1030" s="19">
        <v>45919</v>
      </c>
      <c r="Q1030" t="s">
        <v>4</v>
      </c>
    </row>
    <row r="1031" spans="1:17" x14ac:dyDescent="0.25">
      <c r="A1031" s="14">
        <v>2898</v>
      </c>
      <c r="B1031" s="19">
        <v>45909</v>
      </c>
      <c r="E1031" s="16" t="s">
        <v>0</v>
      </c>
      <c r="I1031" s="17">
        <v>5</v>
      </c>
      <c r="K1031" s="19">
        <v>45913</v>
      </c>
      <c r="L1031" s="20">
        <v>5</v>
      </c>
      <c r="M1031" s="19">
        <v>45919</v>
      </c>
      <c r="O1031" t="s">
        <v>5</v>
      </c>
    </row>
    <row r="1032" spans="1:17" x14ac:dyDescent="0.25">
      <c r="A1032" s="14">
        <v>2987</v>
      </c>
      <c r="B1032" s="19">
        <v>45910</v>
      </c>
      <c r="E1032" s="16" t="s">
        <v>20</v>
      </c>
      <c r="I1032" s="17">
        <v>5</v>
      </c>
      <c r="K1032" s="19">
        <v>45914</v>
      </c>
      <c r="L1032" s="20">
        <v>9</v>
      </c>
      <c r="M1032" s="19">
        <v>45924</v>
      </c>
      <c r="N1032" t="s">
        <v>3</v>
      </c>
      <c r="O1032" t="s">
        <v>5</v>
      </c>
    </row>
    <row r="1033" spans="1:17" x14ac:dyDescent="0.25">
      <c r="A1033" s="14">
        <v>3511</v>
      </c>
      <c r="B1033" s="19">
        <v>45913</v>
      </c>
      <c r="E1033" s="16" t="s">
        <v>29</v>
      </c>
      <c r="I1033" s="17">
        <v>5</v>
      </c>
      <c r="K1033" s="19">
        <v>45917</v>
      </c>
      <c r="L1033" s="20">
        <v>4</v>
      </c>
      <c r="M1033" s="19">
        <v>45922</v>
      </c>
      <c r="O1033" t="s">
        <v>5</v>
      </c>
    </row>
    <row r="1034" spans="1:17" x14ac:dyDescent="0.25">
      <c r="A1034" s="14">
        <v>2833</v>
      </c>
      <c r="B1034" s="19">
        <v>45916</v>
      </c>
      <c r="E1034" s="16" t="s">
        <v>7</v>
      </c>
      <c r="I1034" s="17">
        <v>5</v>
      </c>
      <c r="K1034" s="19">
        <v>45920</v>
      </c>
      <c r="L1034" s="20">
        <v>3</v>
      </c>
      <c r="M1034" s="19">
        <v>45924</v>
      </c>
      <c r="N1034" t="s">
        <v>3</v>
      </c>
    </row>
    <row r="1035" spans="1:17" x14ac:dyDescent="0.25">
      <c r="A1035" s="14">
        <v>4396</v>
      </c>
      <c r="B1035" s="19">
        <v>45916</v>
      </c>
      <c r="E1035" s="16" t="s">
        <v>25</v>
      </c>
      <c r="I1035" s="17">
        <v>5</v>
      </c>
      <c r="K1035" s="19">
        <v>45920</v>
      </c>
      <c r="L1035" s="20">
        <v>5</v>
      </c>
      <c r="M1035" s="19">
        <v>45926</v>
      </c>
      <c r="N1035" t="s">
        <v>3</v>
      </c>
    </row>
    <row r="1036" spans="1:17" x14ac:dyDescent="0.25">
      <c r="A1036" s="14">
        <v>3171</v>
      </c>
      <c r="B1036" s="19">
        <v>45917</v>
      </c>
      <c r="E1036" s="16" t="s">
        <v>20</v>
      </c>
      <c r="I1036" s="17">
        <v>5</v>
      </c>
      <c r="K1036" s="19">
        <v>45921</v>
      </c>
      <c r="L1036" s="20">
        <v>9</v>
      </c>
      <c r="M1036" s="19">
        <v>45931</v>
      </c>
      <c r="Q1036" t="s">
        <v>4</v>
      </c>
    </row>
    <row r="1037" spans="1:17" x14ac:dyDescent="0.25">
      <c r="A1037" s="14">
        <v>4981</v>
      </c>
      <c r="B1037" s="19">
        <v>45918</v>
      </c>
      <c r="E1037" s="16" t="s">
        <v>7</v>
      </c>
      <c r="I1037" s="17">
        <v>5</v>
      </c>
      <c r="K1037" s="19">
        <v>45923</v>
      </c>
      <c r="L1037" s="20">
        <v>3</v>
      </c>
      <c r="M1037" s="19">
        <v>45927</v>
      </c>
      <c r="Q1037" t="s">
        <v>4</v>
      </c>
    </row>
    <row r="1038" spans="1:17" x14ac:dyDescent="0.25">
      <c r="A1038" s="14">
        <v>1216</v>
      </c>
      <c r="B1038" s="19">
        <v>45922</v>
      </c>
      <c r="E1038" s="16" t="s">
        <v>7</v>
      </c>
      <c r="I1038" s="17">
        <v>5</v>
      </c>
      <c r="K1038" s="19">
        <v>45926</v>
      </c>
      <c r="L1038" s="20">
        <v>3</v>
      </c>
      <c r="M1038" s="19">
        <v>45930</v>
      </c>
      <c r="N1038" t="s">
        <v>3</v>
      </c>
    </row>
    <row r="1039" spans="1:17" x14ac:dyDescent="0.25">
      <c r="A1039" s="14">
        <v>2605</v>
      </c>
      <c r="B1039" s="19">
        <v>45922</v>
      </c>
      <c r="E1039" s="16" t="s">
        <v>7</v>
      </c>
      <c r="I1039" s="17">
        <v>5</v>
      </c>
      <c r="K1039" s="19">
        <v>45926</v>
      </c>
      <c r="L1039" s="20">
        <v>3</v>
      </c>
      <c r="M1039" s="19">
        <v>45930</v>
      </c>
      <c r="P1039" t="s">
        <v>1</v>
      </c>
    </row>
    <row r="1040" spans="1:17" x14ac:dyDescent="0.25">
      <c r="A1040" s="14">
        <v>4439</v>
      </c>
      <c r="B1040" s="19">
        <v>45923</v>
      </c>
      <c r="E1040" s="16" t="s">
        <v>7</v>
      </c>
      <c r="I1040" s="17">
        <v>5</v>
      </c>
      <c r="K1040" s="19">
        <v>45927</v>
      </c>
      <c r="L1040" s="20">
        <v>3</v>
      </c>
      <c r="M1040" s="19">
        <v>45931</v>
      </c>
      <c r="P1040" t="s">
        <v>1</v>
      </c>
    </row>
    <row r="1041" spans="1:17" x14ac:dyDescent="0.25">
      <c r="A1041" s="14">
        <v>2887</v>
      </c>
      <c r="B1041" s="19">
        <v>45923</v>
      </c>
      <c r="E1041" s="16" t="s">
        <v>7</v>
      </c>
      <c r="I1041" s="17">
        <v>5</v>
      </c>
      <c r="K1041" s="19">
        <v>45927</v>
      </c>
      <c r="L1041" s="20">
        <v>3</v>
      </c>
      <c r="M1041" s="19">
        <v>45931</v>
      </c>
      <c r="N1041" t="s">
        <v>3</v>
      </c>
    </row>
    <row r="1042" spans="1:17" x14ac:dyDescent="0.25">
      <c r="A1042" s="14">
        <v>4255</v>
      </c>
      <c r="B1042" s="19">
        <v>45923</v>
      </c>
      <c r="E1042" s="16" t="s">
        <v>25</v>
      </c>
      <c r="I1042" s="17">
        <v>5</v>
      </c>
      <c r="K1042" s="19">
        <v>45927</v>
      </c>
      <c r="L1042" s="20">
        <v>5</v>
      </c>
      <c r="M1042" s="19">
        <v>45933</v>
      </c>
      <c r="P1042" t="s">
        <v>1</v>
      </c>
    </row>
    <row r="1043" spans="1:17" x14ac:dyDescent="0.25">
      <c r="A1043" s="14">
        <v>3458</v>
      </c>
      <c r="B1043" s="19">
        <v>45923</v>
      </c>
      <c r="E1043" s="16" t="s">
        <v>21</v>
      </c>
      <c r="I1043" s="17">
        <v>5</v>
      </c>
      <c r="K1043" s="19">
        <v>45927</v>
      </c>
      <c r="L1043" s="20">
        <v>9</v>
      </c>
      <c r="M1043" s="19">
        <v>45937</v>
      </c>
      <c r="O1043" t="s">
        <v>5</v>
      </c>
    </row>
    <row r="1044" spans="1:17" x14ac:dyDescent="0.25">
      <c r="A1044" s="14">
        <v>4278</v>
      </c>
      <c r="B1044" s="19">
        <v>45924</v>
      </c>
      <c r="E1044" s="16" t="s">
        <v>20</v>
      </c>
      <c r="I1044" s="17">
        <v>5</v>
      </c>
      <c r="K1044" s="19">
        <v>45928</v>
      </c>
      <c r="L1044" s="20">
        <v>9</v>
      </c>
      <c r="M1044" s="19">
        <v>45938</v>
      </c>
      <c r="N1044" t="s">
        <v>3</v>
      </c>
    </row>
    <row r="1045" spans="1:17" x14ac:dyDescent="0.25">
      <c r="A1045" s="14">
        <v>3843</v>
      </c>
      <c r="B1045" s="19">
        <v>45924</v>
      </c>
      <c r="E1045" s="16" t="s">
        <v>7</v>
      </c>
      <c r="I1045" s="17">
        <v>5</v>
      </c>
      <c r="K1045" s="19">
        <v>45928</v>
      </c>
      <c r="L1045" s="20">
        <v>3</v>
      </c>
      <c r="M1045" s="19">
        <v>45932</v>
      </c>
      <c r="N1045" t="s">
        <v>3</v>
      </c>
    </row>
    <row r="1046" spans="1:17" x14ac:dyDescent="0.25">
      <c r="A1046" s="14">
        <v>4476</v>
      </c>
      <c r="B1046" s="19">
        <v>45925</v>
      </c>
      <c r="E1046" s="16" t="s">
        <v>25</v>
      </c>
      <c r="I1046" s="17">
        <v>5</v>
      </c>
      <c r="K1046" s="19">
        <v>45929</v>
      </c>
      <c r="L1046" s="20">
        <v>5</v>
      </c>
      <c r="M1046" s="19">
        <v>45935</v>
      </c>
      <c r="Q1046" t="s">
        <v>4</v>
      </c>
    </row>
    <row r="1047" spans="1:17" x14ac:dyDescent="0.25">
      <c r="A1047" s="14">
        <v>4764</v>
      </c>
      <c r="B1047" s="19">
        <v>45926</v>
      </c>
      <c r="E1047" s="16" t="s">
        <v>20</v>
      </c>
      <c r="I1047" s="17">
        <v>5</v>
      </c>
      <c r="K1047" s="19">
        <v>45930</v>
      </c>
      <c r="L1047" s="20">
        <v>9</v>
      </c>
      <c r="M1047" s="19">
        <v>45940</v>
      </c>
      <c r="Q1047" t="s">
        <v>4</v>
      </c>
    </row>
    <row r="1048" spans="1:17" x14ac:dyDescent="0.25">
      <c r="A1048" s="14">
        <v>3533</v>
      </c>
      <c r="B1048" s="19">
        <v>45926</v>
      </c>
      <c r="E1048" s="16" t="s">
        <v>20</v>
      </c>
      <c r="I1048" s="17">
        <v>5</v>
      </c>
      <c r="K1048" s="19">
        <v>45930</v>
      </c>
      <c r="L1048" s="20">
        <v>9</v>
      </c>
      <c r="M1048" s="19">
        <v>45940</v>
      </c>
      <c r="P1048" t="s">
        <v>1</v>
      </c>
    </row>
    <row r="1049" spans="1:17" x14ac:dyDescent="0.25">
      <c r="A1049" s="14">
        <v>3854</v>
      </c>
      <c r="B1049" s="19">
        <v>45926</v>
      </c>
      <c r="E1049" s="16" t="s">
        <v>25</v>
      </c>
      <c r="I1049" s="17">
        <v>5</v>
      </c>
      <c r="K1049" s="19">
        <v>45930</v>
      </c>
      <c r="L1049" s="20">
        <v>5</v>
      </c>
      <c r="M1049" s="19">
        <v>45936</v>
      </c>
      <c r="P1049" t="s">
        <v>1</v>
      </c>
    </row>
    <row r="1050" spans="1:17" x14ac:dyDescent="0.25">
      <c r="A1050" s="14">
        <v>4558</v>
      </c>
      <c r="B1050" s="19">
        <v>45926</v>
      </c>
      <c r="E1050" s="16" t="s">
        <v>7</v>
      </c>
      <c r="I1050" s="17">
        <v>5</v>
      </c>
      <c r="K1050" s="19">
        <v>45930</v>
      </c>
      <c r="L1050" s="20">
        <v>3</v>
      </c>
      <c r="M1050" s="19">
        <v>45934</v>
      </c>
      <c r="N1050" t="s">
        <v>3</v>
      </c>
    </row>
    <row r="1051" spans="1:17" x14ac:dyDescent="0.25">
      <c r="A1051" s="14">
        <v>3207</v>
      </c>
      <c r="B1051" s="19">
        <v>45927</v>
      </c>
      <c r="E1051" s="16" t="s">
        <v>7</v>
      </c>
      <c r="I1051" s="17">
        <v>5</v>
      </c>
      <c r="K1051" s="19">
        <v>45931</v>
      </c>
      <c r="L1051" s="20">
        <v>3</v>
      </c>
      <c r="M1051" s="19">
        <v>45935</v>
      </c>
      <c r="P1051" t="s">
        <v>1</v>
      </c>
    </row>
    <row r="1052" spans="1:17" x14ac:dyDescent="0.25">
      <c r="A1052" s="14">
        <v>4476</v>
      </c>
      <c r="B1052" s="19">
        <v>45927</v>
      </c>
      <c r="E1052" s="16" t="s">
        <v>20</v>
      </c>
      <c r="I1052" s="17">
        <v>5</v>
      </c>
      <c r="K1052" s="19">
        <v>45931</v>
      </c>
      <c r="L1052" s="20">
        <v>9</v>
      </c>
      <c r="M1052" s="19">
        <v>45941</v>
      </c>
      <c r="Q1052" t="s">
        <v>4</v>
      </c>
    </row>
    <row r="1053" spans="1:17" x14ac:dyDescent="0.25">
      <c r="A1053" s="14">
        <v>4017</v>
      </c>
      <c r="B1053" s="19">
        <v>45958</v>
      </c>
      <c r="E1053" s="16" t="s">
        <v>7</v>
      </c>
      <c r="I1053" s="17">
        <v>5</v>
      </c>
      <c r="K1053" s="19">
        <v>45932</v>
      </c>
      <c r="L1053" s="20">
        <v>3</v>
      </c>
      <c r="M1053" s="19">
        <v>45936</v>
      </c>
      <c r="O1053" t="s">
        <v>5</v>
      </c>
    </row>
    <row r="1054" spans="1:17" x14ac:dyDescent="0.25">
      <c r="A1054" s="14">
        <v>4028</v>
      </c>
      <c r="B1054" s="19">
        <v>45929</v>
      </c>
      <c r="E1054" s="16" t="s">
        <v>7</v>
      </c>
      <c r="I1054" s="17">
        <v>5</v>
      </c>
      <c r="K1054" s="19">
        <v>45933</v>
      </c>
      <c r="L1054" s="20">
        <v>3</v>
      </c>
      <c r="M1054" s="19">
        <v>45937</v>
      </c>
      <c r="N1054" t="s">
        <v>3</v>
      </c>
    </row>
    <row r="1055" spans="1:17" x14ac:dyDescent="0.25">
      <c r="A1055" s="14">
        <v>4398</v>
      </c>
      <c r="B1055" s="19">
        <v>45929</v>
      </c>
      <c r="E1055" s="16" t="s">
        <v>7</v>
      </c>
      <c r="I1055" s="17">
        <v>5</v>
      </c>
      <c r="K1055" s="19">
        <v>45933</v>
      </c>
      <c r="L1055" s="20">
        <v>3</v>
      </c>
      <c r="M1055" s="19">
        <v>45937</v>
      </c>
    </row>
    <row r="1056" spans="1:17" x14ac:dyDescent="0.25">
      <c r="A1056" s="14">
        <v>2887</v>
      </c>
      <c r="B1056" s="19">
        <v>45929</v>
      </c>
      <c r="E1056" s="16" t="s">
        <v>25</v>
      </c>
      <c r="I1056" s="17">
        <v>5</v>
      </c>
      <c r="K1056" s="19">
        <v>45933</v>
      </c>
      <c r="L1056" s="20">
        <v>5</v>
      </c>
      <c r="M1056" s="19">
        <v>45939</v>
      </c>
      <c r="Q1056" t="s">
        <v>4</v>
      </c>
    </row>
    <row r="1057" spans="1:17" x14ac:dyDescent="0.25">
      <c r="A1057" s="14">
        <v>3478</v>
      </c>
      <c r="B1057" s="19">
        <v>45930</v>
      </c>
      <c r="E1057" s="16" t="s">
        <v>7</v>
      </c>
      <c r="I1057" s="17">
        <v>5</v>
      </c>
      <c r="K1057" s="19">
        <v>45934</v>
      </c>
      <c r="L1057" s="20">
        <v>3</v>
      </c>
      <c r="M1057" s="19">
        <v>45938</v>
      </c>
      <c r="O1057" t="s">
        <v>5</v>
      </c>
    </row>
    <row r="1058" spans="1:17" x14ac:dyDescent="0.25">
      <c r="A1058" s="14">
        <v>3718</v>
      </c>
      <c r="B1058" s="19">
        <v>45931</v>
      </c>
      <c r="E1058" s="16" t="s">
        <v>25</v>
      </c>
      <c r="I1058" s="17">
        <v>5</v>
      </c>
      <c r="K1058" s="19">
        <v>45935</v>
      </c>
      <c r="L1058" s="20">
        <v>5</v>
      </c>
      <c r="M1058" s="19">
        <v>45941</v>
      </c>
      <c r="N1058" t="s">
        <v>3</v>
      </c>
    </row>
    <row r="1059" spans="1:17" x14ac:dyDescent="0.25">
      <c r="A1059" s="14">
        <v>4282</v>
      </c>
      <c r="B1059" s="19">
        <v>45931</v>
      </c>
      <c r="E1059" s="16" t="s">
        <v>25</v>
      </c>
      <c r="I1059" s="17">
        <v>5</v>
      </c>
      <c r="K1059" s="19">
        <v>45935</v>
      </c>
      <c r="L1059" s="20">
        <v>5</v>
      </c>
      <c r="M1059" s="19">
        <v>45941</v>
      </c>
      <c r="O1059" t="s">
        <v>5</v>
      </c>
    </row>
    <row r="1060" spans="1:17" x14ac:dyDescent="0.25">
      <c r="A1060" s="14">
        <v>3383</v>
      </c>
      <c r="B1060" s="19">
        <v>45933</v>
      </c>
      <c r="E1060" s="16" t="s">
        <v>7</v>
      </c>
      <c r="I1060" s="17">
        <v>5</v>
      </c>
      <c r="K1060" s="19">
        <v>45937</v>
      </c>
      <c r="L1060" s="20">
        <v>3</v>
      </c>
      <c r="M1060" s="19">
        <v>45941</v>
      </c>
      <c r="Q1060" t="s">
        <v>4</v>
      </c>
    </row>
    <row r="1061" spans="1:17" x14ac:dyDescent="0.25">
      <c r="A1061" s="14">
        <v>4773</v>
      </c>
      <c r="B1061" s="19">
        <v>45934</v>
      </c>
      <c r="E1061" s="16" t="s">
        <v>7</v>
      </c>
      <c r="I1061" s="17">
        <v>5</v>
      </c>
      <c r="K1061" s="19">
        <v>45938</v>
      </c>
      <c r="L1061" s="20">
        <v>3</v>
      </c>
      <c r="M1061" s="19">
        <v>45942</v>
      </c>
      <c r="P1061" t="s">
        <v>1</v>
      </c>
    </row>
    <row r="1062" spans="1:17" x14ac:dyDescent="0.25">
      <c r="A1062" s="14">
        <v>2833</v>
      </c>
      <c r="B1062" s="19">
        <v>45936</v>
      </c>
      <c r="E1062" s="16" t="s">
        <v>20</v>
      </c>
      <c r="I1062" s="17">
        <v>5</v>
      </c>
      <c r="K1062" s="19">
        <v>45940</v>
      </c>
      <c r="L1062" s="20">
        <v>9</v>
      </c>
      <c r="M1062" s="19">
        <v>45950</v>
      </c>
      <c r="N1062" t="s">
        <v>3</v>
      </c>
    </row>
    <row r="1063" spans="1:17" x14ac:dyDescent="0.25">
      <c r="A1063" s="14">
        <v>4320</v>
      </c>
      <c r="B1063" s="19">
        <v>45936</v>
      </c>
      <c r="E1063" s="16" t="s">
        <v>7</v>
      </c>
      <c r="I1063" s="17">
        <v>5</v>
      </c>
      <c r="K1063" s="19">
        <v>45940</v>
      </c>
      <c r="L1063" s="20">
        <v>3</v>
      </c>
      <c r="M1063" s="19">
        <v>45944</v>
      </c>
      <c r="N1063" t="s">
        <v>3</v>
      </c>
      <c r="O1063" t="s">
        <v>5</v>
      </c>
    </row>
    <row r="1064" spans="1:17" x14ac:dyDescent="0.25">
      <c r="A1064" s="14">
        <v>4303</v>
      </c>
      <c r="B1064" s="19">
        <v>45937</v>
      </c>
      <c r="E1064" s="16" t="s">
        <v>25</v>
      </c>
      <c r="I1064" s="17">
        <v>5</v>
      </c>
      <c r="K1064" s="19">
        <v>45941</v>
      </c>
      <c r="L1064" s="20">
        <v>5</v>
      </c>
      <c r="M1064" s="19">
        <v>45947</v>
      </c>
      <c r="P1064" t="s">
        <v>1</v>
      </c>
    </row>
    <row r="1065" spans="1:17" x14ac:dyDescent="0.25">
      <c r="A1065" s="14">
        <v>3026</v>
      </c>
      <c r="B1065" s="19">
        <v>45937</v>
      </c>
      <c r="E1065" s="16" t="s">
        <v>25</v>
      </c>
      <c r="I1065" s="17">
        <v>5</v>
      </c>
      <c r="K1065" s="19">
        <v>45941</v>
      </c>
      <c r="L1065" s="20">
        <v>5</v>
      </c>
      <c r="M1065" s="19">
        <v>45947</v>
      </c>
      <c r="N1065" t="s">
        <v>3</v>
      </c>
    </row>
    <row r="1066" spans="1:17" x14ac:dyDescent="0.25">
      <c r="A1066" s="14">
        <v>4745</v>
      </c>
      <c r="B1066" s="19">
        <v>45938</v>
      </c>
      <c r="E1066" s="16" t="s">
        <v>25</v>
      </c>
      <c r="I1066" s="17">
        <v>5</v>
      </c>
      <c r="K1066" s="19">
        <v>45942</v>
      </c>
      <c r="L1066" s="20">
        <v>5</v>
      </c>
      <c r="M1066" s="19">
        <v>45948</v>
      </c>
      <c r="O1066" t="s">
        <v>5</v>
      </c>
    </row>
    <row r="1067" spans="1:17" x14ac:dyDescent="0.25">
      <c r="A1067" s="14">
        <v>3458</v>
      </c>
      <c r="B1067" s="19">
        <v>45939</v>
      </c>
      <c r="E1067" s="16" t="s">
        <v>25</v>
      </c>
      <c r="I1067" s="17">
        <v>5</v>
      </c>
      <c r="K1067" s="19">
        <v>45943</v>
      </c>
      <c r="L1067" s="20">
        <v>5</v>
      </c>
      <c r="M1067" s="19">
        <v>45949</v>
      </c>
      <c r="P1067" t="s">
        <v>1</v>
      </c>
    </row>
    <row r="1068" spans="1:17" x14ac:dyDescent="0.25">
      <c r="A1068" s="14">
        <v>4064</v>
      </c>
      <c r="B1068" s="19">
        <v>45940</v>
      </c>
      <c r="E1068" s="16" t="s">
        <v>7</v>
      </c>
      <c r="I1068" s="17">
        <v>5</v>
      </c>
      <c r="K1068" s="19">
        <v>45944</v>
      </c>
      <c r="L1068" s="20">
        <v>3</v>
      </c>
      <c r="M1068" s="19">
        <v>45948</v>
      </c>
      <c r="Q1068" t="s">
        <v>4</v>
      </c>
    </row>
    <row r="1069" spans="1:17" x14ac:dyDescent="0.25">
      <c r="A1069" s="14">
        <v>4157</v>
      </c>
      <c r="B1069" s="19">
        <v>45940</v>
      </c>
      <c r="E1069" s="16" t="s">
        <v>25</v>
      </c>
      <c r="G1069" t="s">
        <v>24</v>
      </c>
      <c r="I1069" s="17">
        <v>3</v>
      </c>
      <c r="K1069" s="19">
        <v>45942</v>
      </c>
      <c r="L1069" s="20">
        <v>5</v>
      </c>
      <c r="M1069" s="19">
        <v>45948</v>
      </c>
      <c r="P1069" t="s">
        <v>1</v>
      </c>
    </row>
    <row r="1070" spans="1:17" x14ac:dyDescent="0.25">
      <c r="A1070" s="14">
        <v>3694</v>
      </c>
      <c r="B1070" s="19">
        <v>45942</v>
      </c>
      <c r="E1070" s="16" t="s">
        <v>25</v>
      </c>
      <c r="I1070" s="17">
        <v>5</v>
      </c>
      <c r="K1070" s="19">
        <v>45947</v>
      </c>
      <c r="L1070" s="20">
        <v>5</v>
      </c>
      <c r="M1070" s="19">
        <v>45953</v>
      </c>
      <c r="O1070" t="s">
        <v>5</v>
      </c>
    </row>
    <row r="1071" spans="1:17" x14ac:dyDescent="0.25">
      <c r="A1071" s="14">
        <v>3464</v>
      </c>
      <c r="B1071" s="19">
        <v>45942</v>
      </c>
      <c r="E1071" s="16" t="s">
        <v>25</v>
      </c>
      <c r="I1071" s="17">
        <v>5</v>
      </c>
      <c r="K1071" s="19">
        <v>45947</v>
      </c>
      <c r="L1071" s="20">
        <v>5</v>
      </c>
      <c r="M1071" s="19">
        <v>45953</v>
      </c>
      <c r="O1071" t="s">
        <v>5</v>
      </c>
    </row>
    <row r="1072" spans="1:17" x14ac:dyDescent="0.25">
      <c r="A1072" s="14">
        <v>3458</v>
      </c>
      <c r="B1072" s="19">
        <v>45943</v>
      </c>
      <c r="E1072" s="16" t="s">
        <v>21</v>
      </c>
      <c r="I1072" s="17">
        <v>3</v>
      </c>
      <c r="K1072" s="19">
        <v>45945</v>
      </c>
      <c r="L1072" s="20">
        <v>9</v>
      </c>
      <c r="M1072" s="19">
        <v>45955</v>
      </c>
      <c r="P1072" t="s">
        <v>1</v>
      </c>
    </row>
    <row r="1073" spans="1:17" x14ac:dyDescent="0.25">
      <c r="A1073" s="14">
        <v>4731</v>
      </c>
      <c r="B1073" s="19">
        <v>45943</v>
      </c>
      <c r="E1073" s="16" t="s">
        <v>25</v>
      </c>
      <c r="I1073" s="17">
        <v>3</v>
      </c>
      <c r="K1073" s="19">
        <v>45945</v>
      </c>
      <c r="L1073" s="20">
        <v>5</v>
      </c>
      <c r="M1073" s="19">
        <v>45951</v>
      </c>
      <c r="P1073" t="s">
        <v>1</v>
      </c>
    </row>
    <row r="1074" spans="1:17" x14ac:dyDescent="0.25">
      <c r="A1074" s="14">
        <v>4981</v>
      </c>
      <c r="B1074" s="19">
        <v>45944</v>
      </c>
      <c r="E1074" s="16" t="s">
        <v>25</v>
      </c>
      <c r="I1074" s="17">
        <v>3</v>
      </c>
      <c r="K1074" s="19">
        <v>45946</v>
      </c>
      <c r="L1074" s="20">
        <v>5</v>
      </c>
      <c r="M1074" s="19">
        <v>45952</v>
      </c>
      <c r="Q1074" t="s">
        <v>4</v>
      </c>
    </row>
    <row r="1075" spans="1:17" x14ac:dyDescent="0.25">
      <c r="A1075" s="14">
        <v>3075</v>
      </c>
      <c r="B1075" s="19">
        <v>45944</v>
      </c>
      <c r="E1075" s="16" t="s">
        <v>7</v>
      </c>
      <c r="I1075" s="17">
        <v>5</v>
      </c>
      <c r="K1075" s="19">
        <v>45948</v>
      </c>
      <c r="L1075" s="20">
        <v>3</v>
      </c>
      <c r="M1075" s="19">
        <v>45952</v>
      </c>
      <c r="N1075" t="s">
        <v>3</v>
      </c>
    </row>
    <row r="1076" spans="1:17" x14ac:dyDescent="0.25">
      <c r="A1076" s="14">
        <v>4270</v>
      </c>
      <c r="B1076" s="19">
        <v>45944</v>
      </c>
      <c r="E1076" s="16" t="s">
        <v>7</v>
      </c>
      <c r="I1076" s="17">
        <v>5</v>
      </c>
      <c r="K1076" s="19">
        <v>45948</v>
      </c>
      <c r="L1076" s="20">
        <v>3</v>
      </c>
      <c r="M1076" s="19">
        <v>45952</v>
      </c>
      <c r="P1076" t="s">
        <v>1</v>
      </c>
    </row>
    <row r="1077" spans="1:17" x14ac:dyDescent="0.25">
      <c r="A1077" s="14">
        <v>3026</v>
      </c>
      <c r="B1077" s="19">
        <v>45947</v>
      </c>
      <c r="E1077" s="16" t="s">
        <v>20</v>
      </c>
      <c r="I1077" s="17">
        <v>3</v>
      </c>
      <c r="K1077" s="19">
        <v>45949</v>
      </c>
      <c r="L1077" s="20">
        <v>9</v>
      </c>
      <c r="M1077" s="19">
        <v>45959</v>
      </c>
      <c r="N1077" t="s">
        <v>3</v>
      </c>
    </row>
    <row r="1078" spans="1:17" x14ac:dyDescent="0.25">
      <c r="A1078" s="14">
        <v>4244</v>
      </c>
      <c r="B1078" s="19">
        <v>45947</v>
      </c>
      <c r="E1078" s="16" t="s">
        <v>7</v>
      </c>
      <c r="I1078" s="17">
        <v>5</v>
      </c>
      <c r="K1078" s="19">
        <v>45951</v>
      </c>
      <c r="L1078" s="20">
        <v>3</v>
      </c>
      <c r="M1078" s="19">
        <v>45955</v>
      </c>
      <c r="O1078" t="s">
        <v>5</v>
      </c>
    </row>
    <row r="1079" spans="1:17" x14ac:dyDescent="0.25">
      <c r="A1079" s="14">
        <v>1193</v>
      </c>
      <c r="B1079" s="19">
        <v>45947</v>
      </c>
      <c r="E1079" s="16" t="s">
        <v>25</v>
      </c>
      <c r="I1079" s="17">
        <v>5</v>
      </c>
      <c r="K1079" s="19">
        <v>45951</v>
      </c>
      <c r="L1079" s="20">
        <v>5</v>
      </c>
      <c r="M1079" s="19">
        <v>45957</v>
      </c>
      <c r="P1079" t="s">
        <v>1</v>
      </c>
    </row>
    <row r="1080" spans="1:17" x14ac:dyDescent="0.25">
      <c r="A1080" s="14">
        <v>4132</v>
      </c>
      <c r="B1080" s="19">
        <v>45948</v>
      </c>
      <c r="E1080" s="16" t="s">
        <v>20</v>
      </c>
      <c r="I1080" s="17">
        <v>3</v>
      </c>
      <c r="K1080" s="19">
        <v>45950</v>
      </c>
      <c r="L1080" s="20">
        <v>9</v>
      </c>
      <c r="M1080" s="19">
        <v>45960</v>
      </c>
      <c r="P1080" t="s">
        <v>1</v>
      </c>
    </row>
    <row r="1081" spans="1:17" x14ac:dyDescent="0.25">
      <c r="A1081" s="14">
        <v>4189</v>
      </c>
      <c r="B1081" s="19">
        <v>45948</v>
      </c>
      <c r="E1081" s="16" t="s">
        <v>20</v>
      </c>
      <c r="I1081" s="17">
        <v>5</v>
      </c>
      <c r="K1081" s="19">
        <v>45950</v>
      </c>
      <c r="L1081" s="20">
        <v>9</v>
      </c>
      <c r="M1081" s="19">
        <v>45960</v>
      </c>
      <c r="P1081" t="s">
        <v>1</v>
      </c>
    </row>
    <row r="1082" spans="1:17" x14ac:dyDescent="0.25">
      <c r="A1082" s="14">
        <v>3902</v>
      </c>
      <c r="B1082" s="19">
        <v>45948</v>
      </c>
      <c r="E1082" s="16" t="s">
        <v>0</v>
      </c>
      <c r="I1082" s="17">
        <v>5</v>
      </c>
      <c r="K1082" s="19">
        <v>45952</v>
      </c>
      <c r="L1082" s="20">
        <v>5</v>
      </c>
      <c r="M1082" s="19">
        <v>45958</v>
      </c>
      <c r="N1082" t="s">
        <v>3</v>
      </c>
      <c r="O1082" t="s">
        <v>5</v>
      </c>
    </row>
    <row r="1083" spans="1:17" x14ac:dyDescent="0.25">
      <c r="A1083" s="14">
        <v>4244</v>
      </c>
      <c r="B1083" s="19">
        <v>45948</v>
      </c>
      <c r="E1083" s="16" t="s">
        <v>20</v>
      </c>
      <c r="I1083" s="17">
        <v>5</v>
      </c>
      <c r="K1083" s="19">
        <v>45952</v>
      </c>
      <c r="L1083" s="20">
        <v>9</v>
      </c>
      <c r="M1083" s="19">
        <v>45962</v>
      </c>
      <c r="O1083" t="s">
        <v>5</v>
      </c>
      <c r="Q1083" t="s">
        <v>4</v>
      </c>
    </row>
    <row r="1084" spans="1:17" x14ac:dyDescent="0.25">
      <c r="A1084" s="14">
        <v>3034</v>
      </c>
      <c r="B1084" s="19">
        <v>45950</v>
      </c>
      <c r="E1084" s="16" t="s">
        <v>0</v>
      </c>
      <c r="I1084" s="17">
        <v>5</v>
      </c>
      <c r="K1084" s="19">
        <v>45954</v>
      </c>
      <c r="L1084" s="20">
        <v>5</v>
      </c>
      <c r="M1084" s="19">
        <v>45960</v>
      </c>
      <c r="P1084" t="s">
        <v>1</v>
      </c>
    </row>
    <row r="1085" spans="1:17" x14ac:dyDescent="0.25">
      <c r="A1085" s="14">
        <v>5361</v>
      </c>
      <c r="B1085" s="19">
        <v>45950</v>
      </c>
      <c r="E1085" s="16" t="s">
        <v>7</v>
      </c>
      <c r="I1085" s="17">
        <v>5</v>
      </c>
      <c r="K1085" s="19">
        <v>45954</v>
      </c>
      <c r="L1085" s="20">
        <v>3</v>
      </c>
      <c r="M1085" s="19">
        <v>45958</v>
      </c>
      <c r="Q1085" t="s">
        <v>4</v>
      </c>
    </row>
    <row r="1086" spans="1:17" x14ac:dyDescent="0.25">
      <c r="A1086" s="14">
        <v>4558</v>
      </c>
      <c r="B1086" s="19">
        <v>45951</v>
      </c>
      <c r="E1086" s="16" t="s">
        <v>20</v>
      </c>
      <c r="I1086" s="17">
        <v>5</v>
      </c>
      <c r="K1086" s="19">
        <v>45955</v>
      </c>
      <c r="L1086" s="20">
        <v>9</v>
      </c>
      <c r="M1086" s="19">
        <v>45965</v>
      </c>
      <c r="Q1086" t="s">
        <v>4</v>
      </c>
    </row>
    <row r="1087" spans="1:17" x14ac:dyDescent="0.25">
      <c r="A1087" s="14">
        <v>4672</v>
      </c>
      <c r="B1087" s="19">
        <v>45951</v>
      </c>
      <c r="E1087" s="16" t="s">
        <v>0</v>
      </c>
      <c r="I1087" s="17">
        <v>5</v>
      </c>
      <c r="K1087" s="19">
        <v>45955</v>
      </c>
      <c r="L1087" s="20">
        <v>5</v>
      </c>
      <c r="M1087" s="19">
        <v>45961</v>
      </c>
      <c r="P1087" t="s">
        <v>1</v>
      </c>
    </row>
    <row r="1088" spans="1:17" x14ac:dyDescent="0.25">
      <c r="A1088" s="14">
        <v>4802</v>
      </c>
      <c r="B1088" s="19">
        <v>45951</v>
      </c>
      <c r="E1088" s="16" t="s">
        <v>0</v>
      </c>
      <c r="I1088" s="17">
        <v>5</v>
      </c>
      <c r="K1088" s="19">
        <v>45955</v>
      </c>
      <c r="L1088" s="20">
        <v>5</v>
      </c>
      <c r="M1088" s="19">
        <v>45961</v>
      </c>
      <c r="N1088" t="s">
        <v>3</v>
      </c>
    </row>
    <row r="1089" spans="1:17" x14ac:dyDescent="0.25">
      <c r="A1089" s="14">
        <v>4581</v>
      </c>
      <c r="B1089" s="19">
        <v>45952</v>
      </c>
      <c r="E1089" s="16" t="s">
        <v>7</v>
      </c>
      <c r="I1089" s="17">
        <v>5</v>
      </c>
      <c r="K1089" s="19">
        <v>45956</v>
      </c>
      <c r="L1089" s="20">
        <v>3</v>
      </c>
      <c r="M1089" s="19">
        <v>45960</v>
      </c>
      <c r="P1089" t="s">
        <v>1</v>
      </c>
    </row>
    <row r="1090" spans="1:17" x14ac:dyDescent="0.25">
      <c r="A1090" s="14">
        <v>3694</v>
      </c>
      <c r="B1090" s="19">
        <v>45952</v>
      </c>
      <c r="E1090" s="16" t="s">
        <v>21</v>
      </c>
      <c r="I1090" s="17">
        <v>3</v>
      </c>
      <c r="K1090" s="19">
        <v>45954</v>
      </c>
      <c r="L1090" s="20">
        <v>9</v>
      </c>
      <c r="M1090" s="19">
        <v>45964</v>
      </c>
      <c r="O1090" t="s">
        <v>5</v>
      </c>
    </row>
    <row r="1091" spans="1:17" x14ac:dyDescent="0.25">
      <c r="A1091" s="14">
        <v>1202</v>
      </c>
      <c r="B1091" s="19">
        <v>45952</v>
      </c>
      <c r="E1091" s="16" t="s">
        <v>21</v>
      </c>
      <c r="I1091" s="17">
        <v>5</v>
      </c>
      <c r="K1091" s="19">
        <v>45956</v>
      </c>
      <c r="L1091" s="20">
        <v>9</v>
      </c>
      <c r="M1091" s="19">
        <v>45966</v>
      </c>
      <c r="N1091" t="s">
        <v>3</v>
      </c>
      <c r="P1091" t="s">
        <v>1</v>
      </c>
    </row>
    <row r="1092" spans="1:17" x14ac:dyDescent="0.25">
      <c r="A1092" s="14">
        <v>4017</v>
      </c>
      <c r="B1092" s="19">
        <v>45953</v>
      </c>
      <c r="E1092" s="16" t="s">
        <v>21</v>
      </c>
      <c r="I1092" s="17">
        <v>3</v>
      </c>
      <c r="K1092" s="19">
        <v>45955</v>
      </c>
      <c r="L1092" s="20">
        <v>9</v>
      </c>
      <c r="M1092" s="19">
        <v>45965</v>
      </c>
      <c r="O1092" t="s">
        <v>5</v>
      </c>
    </row>
    <row r="1093" spans="1:17" x14ac:dyDescent="0.25">
      <c r="A1093" s="14">
        <v>4160</v>
      </c>
      <c r="B1093" s="19">
        <v>45953</v>
      </c>
      <c r="E1093" s="16" t="s">
        <v>0</v>
      </c>
      <c r="I1093" s="17">
        <v>5</v>
      </c>
      <c r="K1093" s="19">
        <v>45957</v>
      </c>
      <c r="L1093" s="20">
        <v>5</v>
      </c>
      <c r="M1093" s="19">
        <v>45963</v>
      </c>
      <c r="P1093" t="s">
        <v>1</v>
      </c>
    </row>
    <row r="1094" spans="1:17" x14ac:dyDescent="0.25">
      <c r="A1094" s="14">
        <v>3564</v>
      </c>
      <c r="B1094" s="19">
        <v>45954</v>
      </c>
      <c r="E1094" s="16" t="s">
        <v>7</v>
      </c>
      <c r="I1094" s="17">
        <v>5</v>
      </c>
      <c r="K1094" s="19">
        <v>45958</v>
      </c>
      <c r="L1094" s="20">
        <v>3</v>
      </c>
      <c r="M1094" s="19">
        <v>45962</v>
      </c>
      <c r="O1094" t="s">
        <v>5</v>
      </c>
    </row>
    <row r="1095" spans="1:17" x14ac:dyDescent="0.25">
      <c r="A1095" s="14">
        <v>3253</v>
      </c>
      <c r="B1095" s="19">
        <v>45954</v>
      </c>
      <c r="E1095" s="16" t="s">
        <v>7</v>
      </c>
      <c r="I1095" s="17">
        <v>5</v>
      </c>
      <c r="K1095" s="19">
        <v>45958</v>
      </c>
      <c r="L1095" s="20">
        <v>3</v>
      </c>
      <c r="M1095" s="19">
        <v>45962</v>
      </c>
      <c r="Q1095" t="s">
        <v>4</v>
      </c>
    </row>
    <row r="1096" spans="1:17" x14ac:dyDescent="0.25">
      <c r="A1096" s="14">
        <v>2963</v>
      </c>
      <c r="B1096" s="19">
        <v>45955</v>
      </c>
      <c r="E1096" s="16" t="s">
        <v>7</v>
      </c>
      <c r="I1096" s="17">
        <v>5</v>
      </c>
      <c r="K1096" s="19">
        <v>45959</v>
      </c>
      <c r="L1096" s="20">
        <v>3</v>
      </c>
      <c r="M1096" s="19">
        <v>45963</v>
      </c>
      <c r="P1096" t="s">
        <v>1</v>
      </c>
    </row>
    <row r="1097" spans="1:17" x14ac:dyDescent="0.25">
      <c r="A1097" s="14">
        <v>3300</v>
      </c>
      <c r="B1097" s="19">
        <v>45957</v>
      </c>
      <c r="E1097" s="16" t="s">
        <v>7</v>
      </c>
      <c r="I1097" s="17">
        <v>5</v>
      </c>
      <c r="K1097" s="19">
        <v>45961</v>
      </c>
      <c r="L1097" s="20">
        <v>3</v>
      </c>
      <c r="M1097" s="19">
        <v>45965</v>
      </c>
      <c r="O1097" t="s">
        <v>5</v>
      </c>
    </row>
    <row r="1098" spans="1:17" x14ac:dyDescent="0.25">
      <c r="A1098" s="14">
        <v>3449</v>
      </c>
      <c r="B1098" s="19">
        <v>45957</v>
      </c>
      <c r="E1098" s="16" t="s">
        <v>7</v>
      </c>
      <c r="I1098" s="17">
        <v>5</v>
      </c>
      <c r="K1098" s="19">
        <v>45961</v>
      </c>
      <c r="L1098" s="20">
        <v>3</v>
      </c>
      <c r="M1098" s="19">
        <v>45965</v>
      </c>
      <c r="O1098" t="s">
        <v>5</v>
      </c>
    </row>
    <row r="1099" spans="1:17" x14ac:dyDescent="0.25">
      <c r="A1099" s="14">
        <v>2931</v>
      </c>
      <c r="B1099" s="19">
        <v>45958</v>
      </c>
      <c r="E1099" s="16" t="s">
        <v>25</v>
      </c>
      <c r="I1099" s="17">
        <v>5</v>
      </c>
      <c r="K1099" s="19">
        <v>45962</v>
      </c>
      <c r="L1099" s="20">
        <v>5</v>
      </c>
      <c r="M1099" s="19">
        <v>45968</v>
      </c>
      <c r="N1099" t="s">
        <v>3</v>
      </c>
    </row>
    <row r="1100" spans="1:17" x14ac:dyDescent="0.25">
      <c r="A1100" s="14">
        <v>3225</v>
      </c>
      <c r="B1100" s="19">
        <v>45958</v>
      </c>
      <c r="E1100" s="16" t="s">
        <v>25</v>
      </c>
      <c r="I1100" s="17">
        <v>5</v>
      </c>
      <c r="K1100" s="19">
        <v>45962</v>
      </c>
      <c r="L1100" s="20">
        <v>5</v>
      </c>
      <c r="M1100" s="19">
        <v>45968</v>
      </c>
      <c r="P1100" t="s">
        <v>1</v>
      </c>
    </row>
    <row r="1101" spans="1:17" x14ac:dyDescent="0.25">
      <c r="A1101" s="14">
        <v>4473</v>
      </c>
      <c r="B1101" s="19">
        <v>45958</v>
      </c>
      <c r="E1101" s="16" t="s">
        <v>21</v>
      </c>
      <c r="I1101" s="17">
        <v>5</v>
      </c>
      <c r="K1101" s="19">
        <v>45962</v>
      </c>
      <c r="L1101" s="20">
        <v>9</v>
      </c>
      <c r="M1101" s="19">
        <v>45972</v>
      </c>
      <c r="N1101" t="s">
        <v>3</v>
      </c>
    </row>
    <row r="1102" spans="1:17" x14ac:dyDescent="0.25">
      <c r="A1102" s="14">
        <v>4499</v>
      </c>
      <c r="B1102" s="19">
        <v>45959</v>
      </c>
      <c r="E1102" s="16" t="s">
        <v>25</v>
      </c>
      <c r="I1102" s="17">
        <v>5</v>
      </c>
      <c r="K1102" s="19">
        <v>45963</v>
      </c>
      <c r="L1102" s="20">
        <v>5</v>
      </c>
      <c r="M1102" s="19">
        <v>45969</v>
      </c>
      <c r="P1102" t="s">
        <v>1</v>
      </c>
    </row>
    <row r="1103" spans="1:17" x14ac:dyDescent="0.25">
      <c r="A1103" s="14">
        <v>2333</v>
      </c>
      <c r="B1103" s="19">
        <v>45959</v>
      </c>
      <c r="E1103" s="16" t="s">
        <v>25</v>
      </c>
      <c r="I1103" s="17">
        <v>5</v>
      </c>
      <c r="K1103" s="19">
        <v>45963</v>
      </c>
      <c r="L1103" s="20">
        <v>5</v>
      </c>
      <c r="M1103" s="19">
        <v>45969</v>
      </c>
      <c r="O1103" t="s">
        <v>5</v>
      </c>
    </row>
    <row r="1104" spans="1:17" x14ac:dyDescent="0.25">
      <c r="A1104" s="14">
        <v>3459</v>
      </c>
      <c r="B1104" s="19">
        <v>45959</v>
      </c>
      <c r="E1104" s="16" t="s">
        <v>25</v>
      </c>
      <c r="I1104" s="17">
        <v>5</v>
      </c>
      <c r="K1104" s="19">
        <v>45963</v>
      </c>
      <c r="L1104" s="20">
        <v>5</v>
      </c>
      <c r="M1104" s="19">
        <v>45969</v>
      </c>
      <c r="O1104" t="s">
        <v>5</v>
      </c>
    </row>
    <row r="1105" spans="1:17" x14ac:dyDescent="0.25">
      <c r="A1105" s="14">
        <v>3089</v>
      </c>
      <c r="B1105" s="19">
        <v>45959</v>
      </c>
      <c r="E1105" s="16" t="s">
        <v>21</v>
      </c>
      <c r="I1105" s="17">
        <v>3</v>
      </c>
      <c r="K1105" s="19">
        <v>45961</v>
      </c>
      <c r="L1105" s="20">
        <v>9</v>
      </c>
      <c r="M1105" s="19">
        <v>45971</v>
      </c>
      <c r="O1105" t="s">
        <v>5</v>
      </c>
      <c r="Q1105" t="s">
        <v>4</v>
      </c>
    </row>
    <row r="1106" spans="1:17" x14ac:dyDescent="0.25">
      <c r="A1106" s="14">
        <v>3300</v>
      </c>
      <c r="B1106" s="19">
        <v>45960</v>
      </c>
      <c r="E1106" s="16" t="s">
        <v>25</v>
      </c>
      <c r="I1106" s="17">
        <v>5</v>
      </c>
      <c r="K1106" s="19">
        <v>45964</v>
      </c>
      <c r="L1106" s="20">
        <v>5</v>
      </c>
      <c r="M1106" s="19">
        <v>45970</v>
      </c>
      <c r="N1106" t="s">
        <v>3</v>
      </c>
    </row>
    <row r="1107" spans="1:17" x14ac:dyDescent="0.25">
      <c r="A1107" s="14">
        <v>3483</v>
      </c>
      <c r="B1107" s="19">
        <v>45991</v>
      </c>
      <c r="E1107" s="16" t="s">
        <v>25</v>
      </c>
      <c r="I1107" s="17">
        <v>5</v>
      </c>
      <c r="K1107" s="19">
        <v>45964</v>
      </c>
      <c r="L1107" s="20">
        <v>5</v>
      </c>
      <c r="M1107" s="19">
        <v>45970</v>
      </c>
      <c r="O1107" t="s">
        <v>5</v>
      </c>
    </row>
    <row r="1108" spans="1:17" x14ac:dyDescent="0.25">
      <c r="A1108" s="14">
        <v>3253</v>
      </c>
      <c r="B1108" s="19">
        <v>45991</v>
      </c>
      <c r="E1108" s="16" t="s">
        <v>25</v>
      </c>
      <c r="I1108" s="17">
        <v>3</v>
      </c>
      <c r="K1108" s="19">
        <v>45962</v>
      </c>
      <c r="L1108" s="20">
        <v>5</v>
      </c>
      <c r="M1108" s="19">
        <v>45968</v>
      </c>
      <c r="O1108" t="s">
        <v>5</v>
      </c>
    </row>
    <row r="1109" spans="1:17" x14ac:dyDescent="0.25">
      <c r="A1109" s="14">
        <v>2931</v>
      </c>
      <c r="B1109" s="19">
        <v>45991</v>
      </c>
      <c r="E1109" s="16" t="s">
        <v>21</v>
      </c>
      <c r="I1109" s="17">
        <v>5</v>
      </c>
      <c r="K1109" s="19">
        <v>45963</v>
      </c>
      <c r="L1109" s="20">
        <v>5</v>
      </c>
      <c r="M1109" s="19">
        <v>45970</v>
      </c>
      <c r="N1109" t="s">
        <v>3</v>
      </c>
    </row>
    <row r="1110" spans="1:17" x14ac:dyDescent="0.25">
      <c r="A1110" s="14">
        <v>3688</v>
      </c>
      <c r="B1110" s="19">
        <v>45960</v>
      </c>
      <c r="E1110" s="16" t="s">
        <v>7</v>
      </c>
      <c r="I1110" s="17">
        <v>5</v>
      </c>
      <c r="K1110" s="19">
        <v>45964</v>
      </c>
      <c r="L1110" s="20">
        <v>3</v>
      </c>
      <c r="M1110" s="19">
        <v>45968</v>
      </c>
      <c r="N1110" t="s">
        <v>3</v>
      </c>
    </row>
    <row r="1111" spans="1:17" x14ac:dyDescent="0.25">
      <c r="A1111" s="14">
        <v>4706</v>
      </c>
      <c r="B1111" s="19">
        <v>45960</v>
      </c>
      <c r="E1111" s="16" t="s">
        <v>7</v>
      </c>
      <c r="I1111" s="17">
        <v>5</v>
      </c>
      <c r="K1111" s="19">
        <v>45964</v>
      </c>
      <c r="L1111" s="20">
        <v>3</v>
      </c>
      <c r="M1111" s="19">
        <v>45968</v>
      </c>
      <c r="N1111" t="s">
        <v>3</v>
      </c>
    </row>
    <row r="1112" spans="1:17" x14ac:dyDescent="0.25">
      <c r="A1112" s="14">
        <v>4200</v>
      </c>
      <c r="B1112" s="19">
        <v>45960</v>
      </c>
      <c r="E1112" s="16" t="s">
        <v>7</v>
      </c>
      <c r="I1112" s="17">
        <v>5</v>
      </c>
      <c r="K1112" s="19">
        <v>45964</v>
      </c>
      <c r="L1112" s="20">
        <v>3</v>
      </c>
      <c r="M1112" s="19">
        <v>45968</v>
      </c>
      <c r="Q1112" t="s">
        <v>4</v>
      </c>
    </row>
    <row r="1113" spans="1:17" x14ac:dyDescent="0.25">
      <c r="A1113" s="14">
        <v>2679</v>
      </c>
      <c r="B1113" s="19">
        <v>45961</v>
      </c>
      <c r="E1113" s="16" t="s">
        <v>7</v>
      </c>
      <c r="I1113" s="17">
        <v>5</v>
      </c>
      <c r="K1113" s="19">
        <v>45965</v>
      </c>
      <c r="L1113" s="20">
        <v>3</v>
      </c>
      <c r="M1113" s="19">
        <v>45969</v>
      </c>
      <c r="Q1113" t="s">
        <v>4</v>
      </c>
    </row>
    <row r="1114" spans="1:17" x14ac:dyDescent="0.25">
      <c r="A1114" s="14">
        <v>4970</v>
      </c>
      <c r="B1114" s="19">
        <v>45962</v>
      </c>
      <c r="E1114" s="16" t="s">
        <v>7</v>
      </c>
      <c r="I1114" s="17">
        <v>5</v>
      </c>
      <c r="K1114" s="19">
        <v>45966</v>
      </c>
      <c r="L1114" s="20">
        <v>3</v>
      </c>
      <c r="M1114" s="19">
        <v>45970</v>
      </c>
      <c r="O1114" t="s">
        <v>5</v>
      </c>
    </row>
    <row r="1115" spans="1:17" x14ac:dyDescent="0.25">
      <c r="A1115" s="14">
        <v>4823</v>
      </c>
      <c r="B1115" s="19">
        <v>45962</v>
      </c>
      <c r="E1115" s="16" t="s">
        <v>25</v>
      </c>
      <c r="I1115" s="17">
        <v>5</v>
      </c>
      <c r="K1115" s="19">
        <v>45966</v>
      </c>
      <c r="L1115" s="20">
        <v>5</v>
      </c>
      <c r="M1115" s="19">
        <v>45972</v>
      </c>
      <c r="P1115" t="s">
        <v>1</v>
      </c>
    </row>
    <row r="1116" spans="1:17" x14ac:dyDescent="0.25">
      <c r="A1116" s="14">
        <v>4271</v>
      </c>
      <c r="B1116" s="19">
        <v>45963</v>
      </c>
      <c r="E1116" s="16" t="s">
        <v>7</v>
      </c>
      <c r="I1116" s="17">
        <v>5</v>
      </c>
      <c r="K1116" s="19">
        <v>45967</v>
      </c>
      <c r="L1116" s="20">
        <v>3</v>
      </c>
      <c r="M1116" s="19">
        <v>45971</v>
      </c>
      <c r="Q1116" t="s">
        <v>4</v>
      </c>
    </row>
    <row r="1117" spans="1:17" x14ac:dyDescent="0.25">
      <c r="A1117" s="14">
        <v>4418</v>
      </c>
      <c r="B1117" s="19">
        <v>45965</v>
      </c>
      <c r="E1117" s="16" t="s">
        <v>7</v>
      </c>
      <c r="I1117" s="17">
        <v>5</v>
      </c>
      <c r="K1117" s="19">
        <v>45969</v>
      </c>
      <c r="L1117" s="20">
        <v>3</v>
      </c>
      <c r="M1117" s="19">
        <v>45973</v>
      </c>
      <c r="N1117" t="s">
        <v>3</v>
      </c>
    </row>
    <row r="1118" spans="1:17" x14ac:dyDescent="0.25">
      <c r="A1118" s="14">
        <v>2943</v>
      </c>
      <c r="B1118" s="19">
        <v>45965</v>
      </c>
      <c r="E1118" s="16" t="s">
        <v>7</v>
      </c>
      <c r="I1118" s="17">
        <v>5</v>
      </c>
      <c r="K1118" s="19">
        <v>45969</v>
      </c>
      <c r="L1118" s="20">
        <v>3</v>
      </c>
      <c r="M1118" s="19">
        <v>45973</v>
      </c>
      <c r="O1118" t="s">
        <v>5</v>
      </c>
    </row>
    <row r="1119" spans="1:17" x14ac:dyDescent="0.25">
      <c r="A1119" s="14">
        <v>4544</v>
      </c>
      <c r="B1119" s="19">
        <v>45965</v>
      </c>
      <c r="E1119" s="16" t="s">
        <v>7</v>
      </c>
      <c r="I1119" s="17">
        <v>5</v>
      </c>
      <c r="K1119" s="19">
        <v>45969</v>
      </c>
      <c r="L1119" s="20">
        <v>3</v>
      </c>
      <c r="M1119" s="19">
        <v>45973</v>
      </c>
      <c r="N1119" t="s">
        <v>3</v>
      </c>
    </row>
    <row r="1120" spans="1:17" x14ac:dyDescent="0.25">
      <c r="A1120" s="14">
        <v>3305</v>
      </c>
      <c r="B1120" s="19">
        <v>45966</v>
      </c>
      <c r="E1120" s="16" t="s">
        <v>20</v>
      </c>
      <c r="I1120" s="17">
        <v>5</v>
      </c>
      <c r="K1120" s="19">
        <v>45970</v>
      </c>
      <c r="L1120" s="20">
        <v>9</v>
      </c>
      <c r="M1120" s="19">
        <v>45980</v>
      </c>
      <c r="Q1120" t="s">
        <v>4</v>
      </c>
    </row>
    <row r="1121" spans="1:17" x14ac:dyDescent="0.25">
      <c r="A1121" s="14">
        <v>4421</v>
      </c>
      <c r="B1121" s="19">
        <v>45966</v>
      </c>
      <c r="E1121" s="16" t="s">
        <v>0</v>
      </c>
      <c r="I1121" s="17">
        <v>5</v>
      </c>
      <c r="K1121" s="19">
        <v>45970</v>
      </c>
      <c r="L1121" s="20">
        <v>5</v>
      </c>
      <c r="M1121" s="19">
        <v>45976</v>
      </c>
      <c r="Q1121" t="s">
        <v>4</v>
      </c>
    </row>
    <row r="1122" spans="1:17" x14ac:dyDescent="0.25">
      <c r="A1122" s="14">
        <v>3694</v>
      </c>
      <c r="B1122" s="19">
        <v>45966</v>
      </c>
      <c r="E1122" s="16" t="s">
        <v>20</v>
      </c>
      <c r="I1122" s="17">
        <v>5</v>
      </c>
      <c r="K1122" s="19">
        <v>45970</v>
      </c>
      <c r="L1122" s="20">
        <v>9</v>
      </c>
      <c r="M1122" s="19">
        <v>45980</v>
      </c>
      <c r="N1122" t="s">
        <v>30</v>
      </c>
      <c r="O1122" t="s">
        <v>5</v>
      </c>
    </row>
    <row r="1123" spans="1:17" x14ac:dyDescent="0.25">
      <c r="A1123" s="14">
        <v>2303</v>
      </c>
      <c r="B1123" s="19">
        <v>45967</v>
      </c>
      <c r="E1123" s="16" t="s">
        <v>0</v>
      </c>
      <c r="I1123" s="17">
        <v>5</v>
      </c>
      <c r="K1123" s="19">
        <v>45971</v>
      </c>
      <c r="L1123" s="20">
        <v>5</v>
      </c>
      <c r="M1123" s="19">
        <v>45977</v>
      </c>
      <c r="O1123" t="s">
        <v>5</v>
      </c>
    </row>
    <row r="1124" spans="1:17" x14ac:dyDescent="0.25">
      <c r="A1124" s="14">
        <v>3476</v>
      </c>
      <c r="B1124" s="19">
        <v>45968</v>
      </c>
      <c r="E1124" s="16" t="s">
        <v>7</v>
      </c>
      <c r="I1124" s="17">
        <v>5</v>
      </c>
      <c r="K1124" s="19">
        <v>45972</v>
      </c>
      <c r="L1124" s="20">
        <v>3</v>
      </c>
      <c r="M1124" s="19">
        <v>45976</v>
      </c>
      <c r="P1124" t="s">
        <v>1</v>
      </c>
    </row>
    <row r="1125" spans="1:17" x14ac:dyDescent="0.25">
      <c r="A1125" s="14">
        <v>5060</v>
      </c>
      <c r="B1125" s="19">
        <v>45968</v>
      </c>
      <c r="E1125" s="16" t="s">
        <v>7</v>
      </c>
      <c r="I1125" s="17">
        <v>5</v>
      </c>
      <c r="K1125" s="19">
        <v>45972</v>
      </c>
      <c r="L1125" s="20">
        <v>3</v>
      </c>
      <c r="M1125" s="19">
        <v>45976</v>
      </c>
      <c r="O1125" t="s">
        <v>5</v>
      </c>
    </row>
    <row r="1126" spans="1:17" x14ac:dyDescent="0.25">
      <c r="A1126" s="14">
        <v>4316</v>
      </c>
      <c r="B1126" s="19">
        <v>45968</v>
      </c>
      <c r="E1126" s="16" t="s">
        <v>7</v>
      </c>
      <c r="I1126" s="17">
        <v>5</v>
      </c>
      <c r="K1126" s="19">
        <v>45972</v>
      </c>
      <c r="L1126" s="20">
        <v>3</v>
      </c>
      <c r="M1126" s="19">
        <v>45976</v>
      </c>
      <c r="O1126" t="s">
        <v>5</v>
      </c>
    </row>
    <row r="1127" spans="1:17" x14ac:dyDescent="0.25">
      <c r="A1127" s="14">
        <v>2924</v>
      </c>
      <c r="B1127" s="19">
        <v>45969</v>
      </c>
      <c r="E1127" s="16" t="s">
        <v>0</v>
      </c>
      <c r="I1127" s="17">
        <v>5</v>
      </c>
      <c r="K1127" s="19">
        <v>45973</v>
      </c>
      <c r="L1127" s="20">
        <v>5</v>
      </c>
      <c r="M1127" s="19">
        <v>45979</v>
      </c>
      <c r="N1127" t="s">
        <v>3</v>
      </c>
    </row>
    <row r="1128" spans="1:17" x14ac:dyDescent="0.25">
      <c r="A1128" s="14">
        <v>574</v>
      </c>
      <c r="B1128" s="19">
        <v>45969</v>
      </c>
      <c r="E1128" s="16" t="s">
        <v>0</v>
      </c>
      <c r="I1128" s="17">
        <v>5</v>
      </c>
      <c r="K1128" s="19">
        <v>45973</v>
      </c>
      <c r="L1128" s="20">
        <v>5</v>
      </c>
      <c r="M1128" s="19">
        <v>45979</v>
      </c>
      <c r="O1128" t="s">
        <v>5</v>
      </c>
      <c r="Q1128" t="s">
        <v>4</v>
      </c>
    </row>
    <row r="1129" spans="1:17" x14ac:dyDescent="0.25">
      <c r="A1129" s="14">
        <v>3253</v>
      </c>
      <c r="B1129" s="19">
        <v>45970</v>
      </c>
      <c r="E1129" s="16" t="s">
        <v>13</v>
      </c>
      <c r="I1129" s="17">
        <v>5</v>
      </c>
      <c r="K1129" s="19">
        <v>45974</v>
      </c>
      <c r="L1129" s="20">
        <v>5</v>
      </c>
      <c r="M1129" s="19">
        <v>45980</v>
      </c>
      <c r="O1129" t="s">
        <v>5</v>
      </c>
      <c r="P1129" t="s">
        <v>1</v>
      </c>
    </row>
    <row r="1130" spans="1:17" x14ac:dyDescent="0.25">
      <c r="A1130" s="14">
        <v>4072</v>
      </c>
      <c r="B1130" s="19">
        <v>45971</v>
      </c>
      <c r="E1130" s="16" t="s">
        <v>13</v>
      </c>
      <c r="I1130" s="17">
        <v>5</v>
      </c>
      <c r="K1130" s="19">
        <v>45975</v>
      </c>
      <c r="L1130" s="20">
        <v>5</v>
      </c>
      <c r="M1130" s="19">
        <v>45981</v>
      </c>
      <c r="N1130" t="s">
        <v>3</v>
      </c>
    </row>
    <row r="1131" spans="1:17" x14ac:dyDescent="0.25">
      <c r="A1131" s="14">
        <v>4576</v>
      </c>
      <c r="B1131" s="19">
        <v>45971</v>
      </c>
      <c r="E1131" s="16" t="s">
        <v>13</v>
      </c>
      <c r="I1131" s="17">
        <v>5</v>
      </c>
      <c r="K1131" s="19">
        <v>45975</v>
      </c>
      <c r="L1131" s="20">
        <v>5</v>
      </c>
      <c r="M1131" s="19">
        <v>45981</v>
      </c>
      <c r="N1131" t="s">
        <v>3</v>
      </c>
    </row>
    <row r="1132" spans="1:17" x14ac:dyDescent="0.25">
      <c r="A1132" s="21">
        <v>3210</v>
      </c>
      <c r="B1132" s="19">
        <v>45972</v>
      </c>
      <c r="E1132" s="16" t="s">
        <v>7</v>
      </c>
      <c r="I1132" s="17">
        <v>5</v>
      </c>
      <c r="K1132" s="19">
        <v>45976</v>
      </c>
      <c r="L1132" s="20">
        <v>3</v>
      </c>
      <c r="M1132" s="19">
        <v>45980</v>
      </c>
      <c r="N1132" t="s">
        <v>3</v>
      </c>
    </row>
    <row r="1133" spans="1:17" x14ac:dyDescent="0.25">
      <c r="A1133" s="21">
        <v>2979</v>
      </c>
      <c r="B1133" s="19">
        <v>45972</v>
      </c>
      <c r="E1133" s="16" t="s">
        <v>13</v>
      </c>
      <c r="I1133" s="17">
        <v>5</v>
      </c>
      <c r="K1133" s="19">
        <v>45976</v>
      </c>
      <c r="L1133" s="20">
        <v>5</v>
      </c>
      <c r="M1133" s="19">
        <v>45982</v>
      </c>
      <c r="N1133" t="s">
        <v>3</v>
      </c>
    </row>
    <row r="1134" spans="1:17" x14ac:dyDescent="0.25">
      <c r="A1134" s="21">
        <v>4499</v>
      </c>
      <c r="B1134" s="19">
        <v>45973</v>
      </c>
      <c r="E1134" s="16" t="s">
        <v>7</v>
      </c>
      <c r="I1134" s="17">
        <v>5</v>
      </c>
      <c r="K1134" s="19">
        <v>45977</v>
      </c>
      <c r="L1134" s="20">
        <v>3</v>
      </c>
      <c r="M1134" s="19">
        <v>45981</v>
      </c>
      <c r="P1134" t="s">
        <v>1</v>
      </c>
    </row>
    <row r="1135" spans="1:17" x14ac:dyDescent="0.25">
      <c r="A1135" s="21">
        <v>4326</v>
      </c>
      <c r="B1135" s="19">
        <v>45973</v>
      </c>
      <c r="E1135" s="16" t="s">
        <v>13</v>
      </c>
      <c r="I1135" s="17">
        <v>5</v>
      </c>
      <c r="K1135" s="19">
        <v>45977</v>
      </c>
      <c r="L1135" s="20">
        <v>5</v>
      </c>
      <c r="M1135" s="19">
        <v>45983</v>
      </c>
      <c r="Q1135" t="s">
        <v>4</v>
      </c>
    </row>
    <row r="1136" spans="1:17" x14ac:dyDescent="0.25">
      <c r="A1136" s="21">
        <v>2819</v>
      </c>
      <c r="B1136" s="19">
        <v>45973</v>
      </c>
      <c r="E1136" s="16" t="s">
        <v>13</v>
      </c>
      <c r="I1136" s="17">
        <v>5</v>
      </c>
      <c r="K1136" s="19">
        <v>45977</v>
      </c>
      <c r="L1136" s="20">
        <v>5</v>
      </c>
      <c r="M1136" s="19">
        <v>45983</v>
      </c>
      <c r="N1136" t="s">
        <v>3</v>
      </c>
    </row>
    <row r="1137" spans="1:17" x14ac:dyDescent="0.25">
      <c r="A1137" s="21">
        <v>4502</v>
      </c>
      <c r="B1137" s="19">
        <v>45975</v>
      </c>
      <c r="E1137" s="16" t="s">
        <v>20</v>
      </c>
      <c r="I1137" s="17">
        <v>3</v>
      </c>
      <c r="K1137" s="19">
        <v>45977</v>
      </c>
      <c r="L1137" s="20">
        <v>9</v>
      </c>
      <c r="M1137" s="19">
        <v>45987</v>
      </c>
      <c r="P1137" t="s">
        <v>1</v>
      </c>
    </row>
    <row r="1138" spans="1:17" x14ac:dyDescent="0.25">
      <c r="A1138" s="21">
        <v>4576</v>
      </c>
      <c r="B1138" s="19">
        <v>45975</v>
      </c>
      <c r="E1138" s="16" t="s">
        <v>20</v>
      </c>
      <c r="I1138" s="17">
        <v>3</v>
      </c>
      <c r="K1138" s="19">
        <v>45977</v>
      </c>
      <c r="L1138" s="20">
        <v>9</v>
      </c>
      <c r="M1138" s="19">
        <v>45987</v>
      </c>
      <c r="N1138" t="s">
        <v>3</v>
      </c>
    </row>
    <row r="1139" spans="1:17" x14ac:dyDescent="0.25">
      <c r="A1139" s="21">
        <v>2996</v>
      </c>
      <c r="B1139" s="19">
        <v>45975</v>
      </c>
      <c r="E1139" s="16" t="s">
        <v>13</v>
      </c>
      <c r="I1139" s="17">
        <v>5</v>
      </c>
      <c r="K1139" s="19">
        <v>45979</v>
      </c>
      <c r="L1139" s="20">
        <v>5</v>
      </c>
      <c r="M1139" s="19">
        <v>45985</v>
      </c>
      <c r="Q1139" t="s">
        <v>4</v>
      </c>
    </row>
    <row r="1140" spans="1:17" x14ac:dyDescent="0.25">
      <c r="A1140" s="21">
        <v>3459</v>
      </c>
      <c r="B1140" s="19">
        <v>45977</v>
      </c>
      <c r="E1140" s="16" t="s">
        <v>13</v>
      </c>
      <c r="I1140" s="17">
        <v>5</v>
      </c>
      <c r="K1140" s="19">
        <v>45981</v>
      </c>
      <c r="L1140" s="20">
        <v>5</v>
      </c>
      <c r="M1140" s="19">
        <v>45987</v>
      </c>
      <c r="O1140" t="s">
        <v>5</v>
      </c>
      <c r="Q1140" t="s">
        <v>4</v>
      </c>
    </row>
    <row r="1141" spans="1:17" x14ac:dyDescent="0.25">
      <c r="A1141" s="21">
        <v>4703</v>
      </c>
      <c r="B1141" s="19">
        <v>45977</v>
      </c>
      <c r="E1141" s="16" t="s">
        <v>21</v>
      </c>
      <c r="I1141" s="17">
        <v>5</v>
      </c>
      <c r="K1141" s="19">
        <v>45981</v>
      </c>
      <c r="L1141" s="20">
        <v>9</v>
      </c>
      <c r="M1141" s="19">
        <v>45991</v>
      </c>
      <c r="P1141" t="s">
        <v>1</v>
      </c>
    </row>
    <row r="1142" spans="1:17" x14ac:dyDescent="0.25">
      <c r="A1142" s="21">
        <v>3768</v>
      </c>
      <c r="B1142" s="19">
        <v>45978</v>
      </c>
      <c r="E1142" s="16" t="s">
        <v>21</v>
      </c>
      <c r="I1142" s="17">
        <v>5</v>
      </c>
      <c r="K1142" s="19">
        <v>45982</v>
      </c>
      <c r="L1142" s="20">
        <v>9</v>
      </c>
      <c r="M1142" s="19">
        <v>45992</v>
      </c>
      <c r="P1142" t="s">
        <v>1</v>
      </c>
    </row>
    <row r="1143" spans="1:17" x14ac:dyDescent="0.25">
      <c r="A1143" s="21">
        <v>2819</v>
      </c>
      <c r="B1143" s="19">
        <v>45978</v>
      </c>
      <c r="E1143" s="16" t="s">
        <v>21</v>
      </c>
      <c r="I1143" s="17">
        <v>5</v>
      </c>
      <c r="K1143" s="19">
        <v>45982</v>
      </c>
      <c r="L1143" s="20">
        <v>9</v>
      </c>
      <c r="M1143" s="19">
        <v>45992</v>
      </c>
      <c r="N1143" t="s">
        <v>3</v>
      </c>
    </row>
    <row r="1144" spans="1:17" x14ac:dyDescent="0.25">
      <c r="A1144" s="21">
        <v>3253</v>
      </c>
      <c r="B1144" s="19">
        <v>45978</v>
      </c>
      <c r="E1144" s="16" t="s">
        <v>21</v>
      </c>
      <c r="I1144" s="17">
        <v>3</v>
      </c>
      <c r="K1144" s="19">
        <v>45980</v>
      </c>
      <c r="L1144" s="20">
        <v>9</v>
      </c>
      <c r="M1144" s="19">
        <v>45990</v>
      </c>
      <c r="O1144" t="s">
        <v>5</v>
      </c>
      <c r="P1144" t="s">
        <v>1</v>
      </c>
      <c r="Q1144" t="s">
        <v>4</v>
      </c>
    </row>
    <row r="1145" spans="1:17" x14ac:dyDescent="0.25">
      <c r="A1145" s="21">
        <v>5213</v>
      </c>
      <c r="B1145" s="19">
        <v>45978</v>
      </c>
      <c r="E1145" s="16" t="s">
        <v>7</v>
      </c>
      <c r="I1145" s="17">
        <v>5</v>
      </c>
      <c r="K1145" s="19">
        <v>45982</v>
      </c>
      <c r="L1145" s="20">
        <v>3</v>
      </c>
      <c r="M1145" s="19">
        <v>45986</v>
      </c>
      <c r="P1145" t="s">
        <v>1</v>
      </c>
    </row>
    <row r="1146" spans="1:17" x14ac:dyDescent="0.25">
      <c r="A1146" s="21">
        <v>5206</v>
      </c>
      <c r="B1146" s="19">
        <v>45979</v>
      </c>
      <c r="E1146" s="16" t="s">
        <v>7</v>
      </c>
      <c r="I1146" s="17">
        <v>5</v>
      </c>
      <c r="K1146" s="19">
        <v>45983</v>
      </c>
      <c r="L1146" s="20">
        <v>3</v>
      </c>
      <c r="M1146" s="19">
        <v>45987</v>
      </c>
      <c r="P1146" t="s">
        <v>1</v>
      </c>
    </row>
    <row r="1147" spans="1:17" x14ac:dyDescent="0.25">
      <c r="A1147" s="21">
        <v>2997</v>
      </c>
      <c r="B1147" s="19">
        <v>45980</v>
      </c>
      <c r="E1147" s="16" t="s">
        <v>13</v>
      </c>
      <c r="I1147" s="17">
        <v>5</v>
      </c>
      <c r="K1147" s="19">
        <v>45984</v>
      </c>
      <c r="L1147" s="20">
        <v>5</v>
      </c>
      <c r="M1147" s="19">
        <v>45990</v>
      </c>
      <c r="O1147" t="s">
        <v>5</v>
      </c>
    </row>
    <row r="1148" spans="1:17" x14ac:dyDescent="0.25">
      <c r="A1148" s="21">
        <v>2864</v>
      </c>
      <c r="B1148" s="19">
        <v>45980</v>
      </c>
      <c r="E1148" s="16" t="s">
        <v>13</v>
      </c>
      <c r="I1148" s="17">
        <v>5</v>
      </c>
      <c r="K1148" s="19">
        <v>45984</v>
      </c>
      <c r="L1148" s="20">
        <v>5</v>
      </c>
      <c r="M1148" s="19">
        <v>45990</v>
      </c>
      <c r="N1148" t="s">
        <v>3</v>
      </c>
    </row>
    <row r="1149" spans="1:17" x14ac:dyDescent="0.25">
      <c r="A1149" s="21">
        <v>2862</v>
      </c>
      <c r="B1149" s="19">
        <v>45982</v>
      </c>
      <c r="E1149" s="16" t="s">
        <v>7</v>
      </c>
      <c r="I1149" s="17">
        <v>5</v>
      </c>
      <c r="K1149" s="19">
        <v>45986</v>
      </c>
      <c r="L1149" s="20">
        <v>3</v>
      </c>
      <c r="M1149" s="19">
        <v>45990</v>
      </c>
      <c r="P1149" t="s">
        <v>1</v>
      </c>
    </row>
    <row r="1150" spans="1:17" x14ac:dyDescent="0.25">
      <c r="A1150" s="21">
        <v>4163</v>
      </c>
      <c r="B1150" s="19">
        <v>45983</v>
      </c>
      <c r="E1150" s="16" t="s">
        <v>25</v>
      </c>
      <c r="I1150" s="17">
        <v>5</v>
      </c>
      <c r="K1150" s="19">
        <v>45987</v>
      </c>
      <c r="L1150" s="20">
        <v>5</v>
      </c>
      <c r="M1150" s="19">
        <v>45993</v>
      </c>
      <c r="O1150" t="s">
        <v>5</v>
      </c>
    </row>
    <row r="1151" spans="1:17" x14ac:dyDescent="0.25">
      <c r="A1151" s="21">
        <v>2996</v>
      </c>
      <c r="B1151" s="19">
        <v>45984</v>
      </c>
      <c r="E1151" s="16" t="s">
        <v>20</v>
      </c>
      <c r="I1151" s="17">
        <v>3</v>
      </c>
      <c r="K1151" s="19">
        <v>45986</v>
      </c>
      <c r="L1151" s="20">
        <v>9</v>
      </c>
      <c r="M1151" s="19">
        <v>45996</v>
      </c>
      <c r="Q1151" t="s">
        <v>4</v>
      </c>
    </row>
    <row r="1152" spans="1:17" x14ac:dyDescent="0.25">
      <c r="A1152" s="21">
        <v>4681</v>
      </c>
      <c r="B1152" s="19">
        <v>45984</v>
      </c>
      <c r="E1152" s="16" t="s">
        <v>13</v>
      </c>
      <c r="I1152" s="17">
        <v>5</v>
      </c>
      <c r="K1152" s="19">
        <v>45988</v>
      </c>
      <c r="L1152" s="20">
        <v>5</v>
      </c>
      <c r="M1152" s="19">
        <v>45994</v>
      </c>
      <c r="N1152" t="s">
        <v>3</v>
      </c>
    </row>
    <row r="1153" spans="1:17" x14ac:dyDescent="0.25">
      <c r="A1153" s="21">
        <v>4421</v>
      </c>
      <c r="B1153" s="19">
        <v>45983</v>
      </c>
      <c r="E1153" s="16" t="s">
        <v>20</v>
      </c>
      <c r="I1153" s="17">
        <v>3</v>
      </c>
      <c r="K1153" s="19">
        <v>45985</v>
      </c>
      <c r="L1153" s="20">
        <v>9</v>
      </c>
      <c r="M1153" s="19">
        <v>45995</v>
      </c>
      <c r="Q1153" t="s">
        <v>4</v>
      </c>
    </row>
    <row r="1154" spans="1:17" x14ac:dyDescent="0.25">
      <c r="A1154" s="21">
        <v>4198</v>
      </c>
      <c r="B1154" s="19">
        <v>45983</v>
      </c>
      <c r="E1154" s="16" t="s">
        <v>13</v>
      </c>
      <c r="I1154" s="17">
        <v>5</v>
      </c>
      <c r="K1154" s="19">
        <v>45987</v>
      </c>
      <c r="L1154" s="20">
        <v>5</v>
      </c>
      <c r="M1154" s="19">
        <v>45993</v>
      </c>
    </row>
    <row r="1155" spans="1:17" x14ac:dyDescent="0.25">
      <c r="A1155" s="21">
        <v>3802</v>
      </c>
      <c r="B1155" s="19">
        <v>45984</v>
      </c>
      <c r="E1155" s="16" t="s">
        <v>20</v>
      </c>
      <c r="I1155" s="17">
        <v>5</v>
      </c>
      <c r="K1155" s="19">
        <v>45988</v>
      </c>
      <c r="L1155" s="20">
        <v>9</v>
      </c>
      <c r="M1155" s="19">
        <v>45998</v>
      </c>
      <c r="N1155" t="s">
        <v>3</v>
      </c>
      <c r="O1155" t="s">
        <v>5</v>
      </c>
    </row>
    <row r="1156" spans="1:17" x14ac:dyDescent="0.25">
      <c r="A1156" s="21">
        <v>4742</v>
      </c>
      <c r="B1156" s="19">
        <v>45984</v>
      </c>
      <c r="E1156" s="16" t="s">
        <v>25</v>
      </c>
      <c r="I1156" s="17">
        <v>5</v>
      </c>
      <c r="K1156" s="19">
        <v>45988</v>
      </c>
      <c r="L1156" s="20">
        <v>5</v>
      </c>
      <c r="M1156" s="19">
        <v>45994</v>
      </c>
      <c r="O1156" t="s">
        <v>5</v>
      </c>
    </row>
    <row r="1157" spans="1:17" x14ac:dyDescent="0.25">
      <c r="A1157" s="21">
        <v>4848</v>
      </c>
      <c r="B1157" s="19">
        <v>45985</v>
      </c>
      <c r="E1157" s="16" t="s">
        <v>13</v>
      </c>
      <c r="I1157" s="17">
        <v>5</v>
      </c>
      <c r="K1157" s="19">
        <v>45989</v>
      </c>
      <c r="L1157" s="20">
        <v>5</v>
      </c>
      <c r="M1157" s="19">
        <v>45995</v>
      </c>
      <c r="O1157" t="s">
        <v>5</v>
      </c>
    </row>
    <row r="1158" spans="1:17" x14ac:dyDescent="0.25">
      <c r="A1158" s="21">
        <v>2517</v>
      </c>
      <c r="B1158" s="19">
        <v>45985</v>
      </c>
      <c r="E1158" s="16" t="s">
        <v>25</v>
      </c>
      <c r="I1158" s="17">
        <v>5</v>
      </c>
      <c r="K1158" s="19">
        <v>45989</v>
      </c>
      <c r="L1158" s="20">
        <v>5</v>
      </c>
      <c r="M1158" s="19">
        <v>45995</v>
      </c>
      <c r="P1158" t="s">
        <v>1</v>
      </c>
    </row>
    <row r="1159" spans="1:17" x14ac:dyDescent="0.25">
      <c r="A1159" s="21">
        <v>3432</v>
      </c>
      <c r="B1159" s="19">
        <v>45985</v>
      </c>
      <c r="E1159" s="16" t="s">
        <v>13</v>
      </c>
      <c r="I1159" s="17">
        <v>5</v>
      </c>
      <c r="K1159" s="19">
        <v>45989</v>
      </c>
      <c r="L1159" s="20">
        <v>5</v>
      </c>
      <c r="M1159" s="19">
        <v>45995</v>
      </c>
      <c r="P1159" t="s">
        <v>1</v>
      </c>
    </row>
    <row r="1160" spans="1:17" x14ac:dyDescent="0.25">
      <c r="A1160" s="21">
        <v>4715</v>
      </c>
      <c r="B1160" s="19">
        <v>45987</v>
      </c>
      <c r="E1160" s="16" t="s">
        <v>25</v>
      </c>
      <c r="I1160" s="17">
        <v>5</v>
      </c>
      <c r="K1160" s="19">
        <v>45991</v>
      </c>
      <c r="L1160" s="20">
        <v>5</v>
      </c>
      <c r="M1160" s="19">
        <v>45997</v>
      </c>
      <c r="P1160" t="s">
        <v>1</v>
      </c>
    </row>
    <row r="1161" spans="1:17" x14ac:dyDescent="0.25">
      <c r="A1161" s="21">
        <v>2333</v>
      </c>
      <c r="B1161" s="19">
        <v>45987</v>
      </c>
      <c r="E1161" s="16" t="s">
        <v>20</v>
      </c>
      <c r="I1161" s="17">
        <v>5</v>
      </c>
      <c r="K1161" s="19">
        <v>45991</v>
      </c>
      <c r="L1161" s="20">
        <v>9</v>
      </c>
      <c r="M1161" s="19">
        <v>46001</v>
      </c>
      <c r="O1161" t="s">
        <v>5</v>
      </c>
    </row>
    <row r="1162" spans="1:17" x14ac:dyDescent="0.25">
      <c r="A1162" s="21">
        <v>2303</v>
      </c>
      <c r="B1162" s="19">
        <v>45987</v>
      </c>
      <c r="E1162" s="16" t="s">
        <v>20</v>
      </c>
      <c r="I1162" s="17">
        <v>5</v>
      </c>
      <c r="K1162" s="19">
        <v>45991</v>
      </c>
      <c r="L1162" s="20">
        <v>9</v>
      </c>
      <c r="M1162" s="19">
        <v>46001</v>
      </c>
      <c r="O1162" t="s">
        <v>5</v>
      </c>
    </row>
    <row r="1163" spans="1:17" x14ac:dyDescent="0.25">
      <c r="A1163" s="21">
        <v>3339</v>
      </c>
      <c r="B1163" s="19">
        <v>45987</v>
      </c>
      <c r="E1163" s="16" t="s">
        <v>25</v>
      </c>
      <c r="I1163" s="17">
        <v>5</v>
      </c>
      <c r="K1163" s="19">
        <v>45991</v>
      </c>
      <c r="L1163" s="20">
        <v>5</v>
      </c>
      <c r="M1163" s="19">
        <v>45997</v>
      </c>
      <c r="N1163" t="s">
        <v>3</v>
      </c>
    </row>
    <row r="1164" spans="1:17" x14ac:dyDescent="0.25">
      <c r="A1164" s="21">
        <v>2904</v>
      </c>
      <c r="B1164" s="19">
        <v>45987</v>
      </c>
      <c r="E1164" s="16" t="s">
        <v>20</v>
      </c>
      <c r="I1164" s="17">
        <v>5</v>
      </c>
      <c r="K1164" s="19">
        <v>45991</v>
      </c>
      <c r="L1164" s="20">
        <v>9</v>
      </c>
      <c r="M1164" s="19">
        <v>46001</v>
      </c>
      <c r="Q1164" t="s">
        <v>4</v>
      </c>
    </row>
    <row r="1165" spans="1:17" x14ac:dyDescent="0.25">
      <c r="A1165" s="21">
        <v>3094</v>
      </c>
      <c r="B1165" s="19">
        <v>45987</v>
      </c>
      <c r="E1165" s="16" t="s">
        <v>7</v>
      </c>
      <c r="I1165" s="17">
        <v>3</v>
      </c>
      <c r="K1165" s="19">
        <v>45989</v>
      </c>
      <c r="L1165" s="20">
        <v>3</v>
      </c>
      <c r="M1165" s="19">
        <v>45993</v>
      </c>
      <c r="P1165" t="s">
        <v>1</v>
      </c>
    </row>
    <row r="1166" spans="1:17" x14ac:dyDescent="0.25">
      <c r="A1166" s="21">
        <v>2108</v>
      </c>
      <c r="B1166" s="19">
        <v>45988</v>
      </c>
      <c r="E1166" s="16" t="s">
        <v>13</v>
      </c>
      <c r="I1166" s="17">
        <v>5</v>
      </c>
      <c r="K1166" s="19">
        <v>45992</v>
      </c>
      <c r="L1166" s="20">
        <v>5</v>
      </c>
      <c r="M1166" s="19">
        <v>45998</v>
      </c>
      <c r="O1166" t="s">
        <v>5</v>
      </c>
    </row>
    <row r="1167" spans="1:17" x14ac:dyDescent="0.25">
      <c r="A1167" s="21">
        <v>3753</v>
      </c>
      <c r="B1167" s="19">
        <v>45990</v>
      </c>
      <c r="E1167" s="16" t="s">
        <v>7</v>
      </c>
      <c r="I1167" s="17">
        <v>5</v>
      </c>
      <c r="K1167" s="19">
        <v>45994</v>
      </c>
      <c r="L1167" s="20">
        <v>3</v>
      </c>
      <c r="M1167" s="19">
        <v>45998</v>
      </c>
      <c r="Q1167" t="s">
        <v>4</v>
      </c>
    </row>
    <row r="1168" spans="1:17" x14ac:dyDescent="0.25">
      <c r="A1168" s="21">
        <v>4263</v>
      </c>
      <c r="B1168" s="19">
        <v>45990</v>
      </c>
      <c r="E1168" s="16" t="s">
        <v>25</v>
      </c>
      <c r="I1168" s="17">
        <v>5</v>
      </c>
      <c r="K1168" s="19">
        <v>45994</v>
      </c>
      <c r="L1168" s="20">
        <v>5</v>
      </c>
      <c r="M1168" s="19">
        <v>46000</v>
      </c>
      <c r="N1168" t="s">
        <v>3</v>
      </c>
    </row>
    <row r="1169" spans="1:17" x14ac:dyDescent="0.25">
      <c r="A1169" s="21">
        <v>4223</v>
      </c>
      <c r="B1169" s="19">
        <v>45990</v>
      </c>
      <c r="E1169" s="16" t="s">
        <v>25</v>
      </c>
      <c r="I1169" s="17">
        <v>5</v>
      </c>
      <c r="K1169" s="19">
        <v>45994</v>
      </c>
      <c r="L1169" s="20">
        <v>5</v>
      </c>
      <c r="M1169" s="19">
        <v>46000</v>
      </c>
      <c r="P1169" t="s">
        <v>1</v>
      </c>
    </row>
    <row r="1170" spans="1:17" x14ac:dyDescent="0.25">
      <c r="A1170" s="21">
        <v>4163</v>
      </c>
      <c r="B1170" s="19">
        <v>45993</v>
      </c>
      <c r="E1170" s="16" t="s">
        <v>21</v>
      </c>
      <c r="I1170" s="17">
        <v>3</v>
      </c>
      <c r="K1170" s="19">
        <v>45995</v>
      </c>
      <c r="L1170" s="20">
        <v>9</v>
      </c>
      <c r="M1170" s="19">
        <v>46005</v>
      </c>
      <c r="O1170" t="s">
        <v>5</v>
      </c>
    </row>
    <row r="1171" spans="1:17" x14ac:dyDescent="0.25">
      <c r="A1171" s="21">
        <v>4989</v>
      </c>
      <c r="B1171" s="19">
        <v>45992</v>
      </c>
      <c r="E1171" s="16" t="s">
        <v>7</v>
      </c>
      <c r="I1171" s="17">
        <v>5</v>
      </c>
      <c r="K1171" s="19">
        <v>45996</v>
      </c>
      <c r="L1171" s="20">
        <v>3</v>
      </c>
      <c r="M1171" s="19">
        <v>46000</v>
      </c>
      <c r="N1171" t="s">
        <v>3</v>
      </c>
    </row>
    <row r="1172" spans="1:17" x14ac:dyDescent="0.25">
      <c r="A1172" s="21">
        <v>3432</v>
      </c>
      <c r="B1172" s="19">
        <v>45993</v>
      </c>
      <c r="E1172" s="16" t="s">
        <v>21</v>
      </c>
      <c r="I1172" s="17">
        <v>3</v>
      </c>
      <c r="K1172" s="19">
        <v>45996</v>
      </c>
      <c r="L1172" s="20">
        <v>9</v>
      </c>
      <c r="M1172" s="19">
        <v>46006</v>
      </c>
      <c r="N1172" t="s">
        <v>3</v>
      </c>
      <c r="P1172" t="s">
        <v>1</v>
      </c>
    </row>
    <row r="1173" spans="1:17" x14ac:dyDescent="0.25">
      <c r="A1173" s="21">
        <v>3025</v>
      </c>
      <c r="B1173" s="19">
        <v>45993</v>
      </c>
      <c r="E1173" s="16" t="s">
        <v>7</v>
      </c>
      <c r="I1173" s="17">
        <v>5</v>
      </c>
      <c r="K1173" s="19">
        <v>45997</v>
      </c>
      <c r="L1173" s="20">
        <v>3</v>
      </c>
      <c r="M1173" s="19">
        <v>46001</v>
      </c>
      <c r="Q1173" t="s">
        <v>4</v>
      </c>
    </row>
    <row r="1174" spans="1:17" x14ac:dyDescent="0.25">
      <c r="A1174" s="21">
        <v>3039</v>
      </c>
      <c r="B1174" s="19">
        <v>45994</v>
      </c>
      <c r="E1174" s="16" t="s">
        <v>7</v>
      </c>
      <c r="I1174" s="17">
        <v>5</v>
      </c>
      <c r="K1174" s="19">
        <v>45998</v>
      </c>
      <c r="L1174" s="20">
        <v>3</v>
      </c>
      <c r="M1174" s="19">
        <v>46002</v>
      </c>
      <c r="P1174" t="s">
        <v>1</v>
      </c>
    </row>
    <row r="1175" spans="1:17" x14ac:dyDescent="0.25">
      <c r="A1175" s="21">
        <v>5416</v>
      </c>
      <c r="B1175" s="19">
        <v>45994</v>
      </c>
      <c r="E1175" s="16" t="s">
        <v>7</v>
      </c>
      <c r="I1175" s="17">
        <v>5</v>
      </c>
      <c r="K1175" s="19">
        <v>45998</v>
      </c>
      <c r="L1175" s="20">
        <v>3</v>
      </c>
      <c r="M1175" s="19">
        <v>46002</v>
      </c>
      <c r="P1175" t="s">
        <v>1</v>
      </c>
    </row>
    <row r="1176" spans="1:17" x14ac:dyDescent="0.25">
      <c r="A1176" s="21">
        <v>4232</v>
      </c>
      <c r="B1176" s="19">
        <v>45994</v>
      </c>
      <c r="E1176" s="16" t="s">
        <v>7</v>
      </c>
      <c r="I1176" s="17">
        <v>5</v>
      </c>
      <c r="K1176" s="19">
        <v>45998</v>
      </c>
      <c r="L1176" s="20">
        <v>3</v>
      </c>
      <c r="M1176" s="19">
        <v>46002</v>
      </c>
      <c r="O1176" t="s">
        <v>5</v>
      </c>
    </row>
    <row r="1177" spans="1:17" x14ac:dyDescent="0.25">
      <c r="A1177" s="21">
        <v>3469</v>
      </c>
      <c r="B1177" s="19">
        <v>45994</v>
      </c>
      <c r="E1177" s="16" t="s">
        <v>7</v>
      </c>
      <c r="I1177" s="17">
        <v>5</v>
      </c>
      <c r="K1177" s="19">
        <v>45998</v>
      </c>
      <c r="L1177" s="20">
        <v>3</v>
      </c>
      <c r="M1177" s="19">
        <v>46002</v>
      </c>
      <c r="O1177" t="s">
        <v>5</v>
      </c>
    </row>
    <row r="1178" spans="1:17" x14ac:dyDescent="0.25">
      <c r="A1178" s="21">
        <v>4157</v>
      </c>
      <c r="B1178" s="19">
        <v>45996</v>
      </c>
      <c r="E1178" s="16" t="s">
        <v>7</v>
      </c>
      <c r="I1178" s="17">
        <v>5</v>
      </c>
      <c r="K1178" s="19">
        <v>46000</v>
      </c>
      <c r="L1178" s="20">
        <v>3</v>
      </c>
      <c r="M1178" s="19">
        <v>46004</v>
      </c>
      <c r="O1178" t="s">
        <v>5</v>
      </c>
    </row>
    <row r="1179" spans="1:17" x14ac:dyDescent="0.25">
      <c r="A1179" s="21">
        <v>4616</v>
      </c>
      <c r="B1179" s="19">
        <v>45996</v>
      </c>
      <c r="E1179" s="16" t="s">
        <v>7</v>
      </c>
      <c r="I1179" s="17">
        <v>5</v>
      </c>
      <c r="K1179" s="19">
        <v>46000</v>
      </c>
      <c r="L1179" s="20">
        <v>3</v>
      </c>
      <c r="M1179" s="19">
        <v>46004</v>
      </c>
      <c r="O1179" t="s">
        <v>5</v>
      </c>
    </row>
    <row r="1180" spans="1:17" x14ac:dyDescent="0.25">
      <c r="A1180" s="21">
        <v>3123</v>
      </c>
      <c r="B1180" s="19">
        <v>45996</v>
      </c>
      <c r="E1180" s="16" t="s">
        <v>20</v>
      </c>
      <c r="I1180" s="17">
        <v>5</v>
      </c>
      <c r="K1180" s="19">
        <v>46000</v>
      </c>
      <c r="L1180" s="20">
        <v>9</v>
      </c>
      <c r="M1180" s="19">
        <v>46010</v>
      </c>
      <c r="O1180" t="s">
        <v>5</v>
      </c>
    </row>
    <row r="1181" spans="1:17" x14ac:dyDescent="0.25">
      <c r="A1181" s="21">
        <v>4234</v>
      </c>
      <c r="B1181" s="19">
        <v>45999</v>
      </c>
      <c r="E1181" s="16" t="s">
        <v>7</v>
      </c>
      <c r="I1181" s="17">
        <v>5</v>
      </c>
      <c r="K1181" s="19">
        <v>46003</v>
      </c>
      <c r="L1181" s="20">
        <v>3</v>
      </c>
      <c r="M1181" s="19">
        <v>46007</v>
      </c>
      <c r="Q1181" t="s">
        <v>4</v>
      </c>
    </row>
    <row r="1182" spans="1:17" x14ac:dyDescent="0.25">
      <c r="A1182" s="21">
        <v>3902</v>
      </c>
      <c r="B1182" s="19">
        <v>46000</v>
      </c>
      <c r="E1182" s="16" t="s">
        <v>20</v>
      </c>
      <c r="I1182" s="17">
        <v>5</v>
      </c>
      <c r="K1182" s="19">
        <v>46004</v>
      </c>
      <c r="L1182" s="20">
        <v>9</v>
      </c>
      <c r="M1182" s="19">
        <v>46014</v>
      </c>
      <c r="N1182" t="s">
        <v>3</v>
      </c>
    </row>
    <row r="1183" spans="1:17" x14ac:dyDescent="0.25">
      <c r="A1183" s="21">
        <v>3350</v>
      </c>
      <c r="B1183" s="19">
        <v>46002</v>
      </c>
      <c r="E1183" s="16" t="s">
        <v>20</v>
      </c>
      <c r="I1183" s="17">
        <v>5</v>
      </c>
      <c r="K1183" s="19">
        <v>46006</v>
      </c>
      <c r="L1183" s="20">
        <v>9</v>
      </c>
      <c r="M1183" s="19">
        <v>46016</v>
      </c>
      <c r="O1183" t="s">
        <v>5</v>
      </c>
    </row>
    <row r="1184" spans="1:17" x14ac:dyDescent="0.25">
      <c r="A1184" s="21">
        <v>4064</v>
      </c>
      <c r="B1184" s="19">
        <v>46002</v>
      </c>
      <c r="E1184" s="16" t="s">
        <v>0</v>
      </c>
      <c r="I1184" s="17">
        <v>5</v>
      </c>
      <c r="K1184" s="19">
        <v>46006</v>
      </c>
      <c r="L1184" s="20">
        <v>5</v>
      </c>
      <c r="M1184" s="19">
        <v>46012</v>
      </c>
      <c r="N1184" t="s">
        <v>3</v>
      </c>
    </row>
    <row r="1185" spans="1:17" x14ac:dyDescent="0.25">
      <c r="A1185" s="21">
        <v>4160</v>
      </c>
      <c r="B1185" s="19">
        <v>46002</v>
      </c>
      <c r="E1185" s="16" t="s">
        <v>7</v>
      </c>
      <c r="I1185" s="17">
        <v>5</v>
      </c>
      <c r="K1185" s="19">
        <v>46006</v>
      </c>
      <c r="L1185" s="20">
        <v>3</v>
      </c>
      <c r="M1185" s="19">
        <v>46010</v>
      </c>
      <c r="Q1185" t="s">
        <v>4</v>
      </c>
    </row>
    <row r="1186" spans="1:17" x14ac:dyDescent="0.25">
      <c r="A1186" s="21">
        <v>4317</v>
      </c>
      <c r="B1186" s="19">
        <v>46005</v>
      </c>
      <c r="E1186" s="16" t="s">
        <v>7</v>
      </c>
      <c r="I1186" s="17">
        <v>5</v>
      </c>
      <c r="K1186" s="19">
        <v>46009</v>
      </c>
      <c r="L1186" s="20">
        <v>3</v>
      </c>
      <c r="M1186" s="19">
        <v>46013</v>
      </c>
      <c r="Q1186" t="s">
        <v>4</v>
      </c>
    </row>
    <row r="1187" spans="1:17" x14ac:dyDescent="0.25">
      <c r="A1187" s="21">
        <v>4189</v>
      </c>
      <c r="B1187" s="19">
        <v>46009</v>
      </c>
      <c r="E1187" s="16" t="s">
        <v>20</v>
      </c>
      <c r="I1187" s="17">
        <v>3</v>
      </c>
      <c r="K1187" s="19">
        <v>46011</v>
      </c>
      <c r="L1187" s="20">
        <v>9</v>
      </c>
      <c r="M1187" s="19">
        <v>46021</v>
      </c>
      <c r="N1187" t="s">
        <v>3</v>
      </c>
    </row>
    <row r="1188" spans="1:17" x14ac:dyDescent="0.25">
      <c r="A1188" s="21">
        <v>2765</v>
      </c>
      <c r="B1188" s="19">
        <v>46006</v>
      </c>
      <c r="E1188" s="16" t="s">
        <v>20</v>
      </c>
      <c r="I1188" s="17">
        <v>3</v>
      </c>
      <c r="K1188" s="19">
        <v>46008</v>
      </c>
      <c r="L1188" s="20">
        <v>9</v>
      </c>
      <c r="M1188" s="19">
        <v>46018</v>
      </c>
      <c r="P1188" t="s">
        <v>1</v>
      </c>
    </row>
    <row r="1189" spans="1:17" x14ac:dyDescent="0.25">
      <c r="A1189" s="21">
        <v>4600</v>
      </c>
      <c r="B1189" s="19">
        <v>46006</v>
      </c>
      <c r="E1189" s="16" t="s">
        <v>7</v>
      </c>
      <c r="I1189" s="17">
        <v>5</v>
      </c>
      <c r="K1189" s="19">
        <v>46010</v>
      </c>
      <c r="L1189" s="20">
        <v>3</v>
      </c>
      <c r="M1189" s="19">
        <v>46014</v>
      </c>
      <c r="O1189" t="s">
        <v>5</v>
      </c>
    </row>
    <row r="1190" spans="1:17" x14ac:dyDescent="0.25">
      <c r="A1190" s="21">
        <v>3764</v>
      </c>
      <c r="B1190" s="19">
        <v>46008</v>
      </c>
      <c r="E1190" s="16" t="s">
        <v>7</v>
      </c>
      <c r="I1190" s="17">
        <v>5</v>
      </c>
      <c r="K1190" s="19">
        <v>46012</v>
      </c>
      <c r="L1190" s="20">
        <v>3</v>
      </c>
      <c r="M1190" s="19">
        <v>46016</v>
      </c>
      <c r="N1190" t="s">
        <v>3</v>
      </c>
    </row>
    <row r="1191" spans="1:17" x14ac:dyDescent="0.25">
      <c r="A1191" s="21">
        <v>1203</v>
      </c>
      <c r="B1191" s="19">
        <v>45706</v>
      </c>
      <c r="E1191" s="16" t="s">
        <v>7</v>
      </c>
      <c r="I1191" s="17">
        <v>5</v>
      </c>
      <c r="K1191" s="19">
        <v>46013</v>
      </c>
      <c r="L1191" s="20">
        <v>3</v>
      </c>
      <c r="M1191" s="19">
        <v>46017</v>
      </c>
      <c r="N1191" t="s">
        <v>3</v>
      </c>
    </row>
    <row r="1192" spans="1:17" x14ac:dyDescent="0.25">
      <c r="A1192" s="21">
        <v>3879</v>
      </c>
      <c r="B1192" s="19">
        <v>45706</v>
      </c>
      <c r="E1192" s="16" t="s">
        <v>0</v>
      </c>
      <c r="I1192" s="17">
        <v>5</v>
      </c>
      <c r="K1192" s="19">
        <v>46013</v>
      </c>
      <c r="L1192" s="20">
        <v>5</v>
      </c>
      <c r="M1192" s="19">
        <v>46019</v>
      </c>
      <c r="N1192" t="s">
        <v>3</v>
      </c>
    </row>
    <row r="1193" spans="1:17" x14ac:dyDescent="0.25">
      <c r="A1193" s="21">
        <v>4144</v>
      </c>
      <c r="B1193" s="19">
        <v>45706</v>
      </c>
      <c r="E1193" s="16" t="s">
        <v>21</v>
      </c>
      <c r="I1193" s="17">
        <v>5</v>
      </c>
      <c r="K1193" s="19">
        <v>46013</v>
      </c>
      <c r="L1193" s="20">
        <v>9</v>
      </c>
      <c r="M1193" s="19">
        <v>46023</v>
      </c>
      <c r="Q1193" t="s">
        <v>4</v>
      </c>
    </row>
    <row r="1194" spans="1:17" x14ac:dyDescent="0.25">
      <c r="A1194" s="21">
        <v>3782</v>
      </c>
      <c r="B1194" s="19">
        <v>45706</v>
      </c>
      <c r="E1194" s="16" t="s">
        <v>21</v>
      </c>
      <c r="I1194" s="17">
        <v>5</v>
      </c>
      <c r="K1194" s="19">
        <v>46013</v>
      </c>
      <c r="L1194" s="20">
        <v>9</v>
      </c>
      <c r="M1194" s="19">
        <v>45658</v>
      </c>
      <c r="O1194" t="s">
        <v>5</v>
      </c>
    </row>
    <row r="1195" spans="1:17" x14ac:dyDescent="0.25">
      <c r="A1195" s="21">
        <v>5131</v>
      </c>
      <c r="B1195" s="19">
        <v>45707</v>
      </c>
      <c r="E1195" s="16" t="s">
        <v>7</v>
      </c>
      <c r="I1195" s="17">
        <v>5</v>
      </c>
      <c r="K1195" s="19">
        <v>46014</v>
      </c>
      <c r="L1195" s="20">
        <v>3</v>
      </c>
      <c r="M1195" s="19">
        <v>46018</v>
      </c>
      <c r="O1195" t="s">
        <v>5</v>
      </c>
    </row>
    <row r="1196" spans="1:17" x14ac:dyDescent="0.25">
      <c r="A1196" s="21">
        <v>4255</v>
      </c>
      <c r="B1196" s="19">
        <v>46010</v>
      </c>
      <c r="E1196" s="16" t="s">
        <v>25</v>
      </c>
      <c r="I1196" s="17">
        <v>5</v>
      </c>
      <c r="K1196" s="19">
        <v>46014</v>
      </c>
      <c r="L1196" s="20">
        <v>5</v>
      </c>
      <c r="M1196" s="19">
        <v>46020</v>
      </c>
      <c r="Q1196" t="s">
        <v>4</v>
      </c>
    </row>
    <row r="1197" spans="1:17" x14ac:dyDescent="0.25">
      <c r="A1197" s="21">
        <v>3065</v>
      </c>
      <c r="B1197" s="19">
        <v>46010</v>
      </c>
      <c r="E1197" s="16" t="s">
        <v>21</v>
      </c>
      <c r="I1197" s="17">
        <v>5</v>
      </c>
      <c r="K1197" s="22">
        <v>46014</v>
      </c>
      <c r="L1197" s="20">
        <v>9</v>
      </c>
      <c r="M1197" s="19">
        <v>46024</v>
      </c>
      <c r="N1197" t="s">
        <v>3</v>
      </c>
    </row>
    <row r="1198" spans="1:17" x14ac:dyDescent="0.25">
      <c r="A1198" s="21">
        <v>4063</v>
      </c>
      <c r="B1198" s="19">
        <v>46011</v>
      </c>
      <c r="E1198" s="16" t="s">
        <v>21</v>
      </c>
      <c r="I1198" s="17">
        <v>5</v>
      </c>
      <c r="K1198" s="19">
        <v>46015</v>
      </c>
      <c r="L1198" s="20">
        <v>9</v>
      </c>
      <c r="M1198" s="19">
        <v>46025</v>
      </c>
      <c r="N1198" t="s">
        <v>3</v>
      </c>
    </row>
    <row r="1199" spans="1:17" x14ac:dyDescent="0.25">
      <c r="A1199" s="21">
        <v>3877</v>
      </c>
      <c r="B1199" s="19">
        <v>46011</v>
      </c>
      <c r="E1199" s="16" t="s">
        <v>21</v>
      </c>
      <c r="I1199" s="17">
        <v>5</v>
      </c>
      <c r="K1199" s="19">
        <v>46015</v>
      </c>
      <c r="L1199" s="20">
        <v>9</v>
      </c>
      <c r="M1199" s="19">
        <v>46025</v>
      </c>
      <c r="Q1199" t="s">
        <v>4</v>
      </c>
    </row>
    <row r="1200" spans="1:17" x14ac:dyDescent="0.25">
      <c r="A1200" s="21">
        <v>2899</v>
      </c>
      <c r="B1200" s="19">
        <v>46012</v>
      </c>
      <c r="E1200" s="16" t="s">
        <v>7</v>
      </c>
      <c r="I1200" s="17">
        <v>5</v>
      </c>
      <c r="K1200" s="19">
        <v>46016</v>
      </c>
      <c r="L1200" s="20">
        <v>3</v>
      </c>
      <c r="M1200" s="19">
        <v>46020</v>
      </c>
      <c r="P1200" t="s">
        <v>1</v>
      </c>
    </row>
    <row r="1201" spans="1:17" x14ac:dyDescent="0.25">
      <c r="A1201" s="21">
        <v>3879</v>
      </c>
      <c r="B1201" s="19">
        <v>46012</v>
      </c>
      <c r="E1201" s="16" t="s">
        <v>21</v>
      </c>
      <c r="I1201" s="17">
        <v>5</v>
      </c>
      <c r="K1201" s="19">
        <v>46016</v>
      </c>
      <c r="L1201" s="20">
        <v>9</v>
      </c>
      <c r="M1201" s="19">
        <v>46026</v>
      </c>
      <c r="N1201" t="s">
        <v>3</v>
      </c>
    </row>
    <row r="1202" spans="1:17" x14ac:dyDescent="0.25">
      <c r="A1202" s="21">
        <v>4758</v>
      </c>
      <c r="B1202" s="19">
        <v>46014</v>
      </c>
      <c r="E1202" s="16" t="s">
        <v>7</v>
      </c>
      <c r="I1202" s="17">
        <v>5</v>
      </c>
      <c r="K1202" s="19">
        <v>46018</v>
      </c>
      <c r="L1202" s="20">
        <v>3</v>
      </c>
      <c r="M1202" s="19">
        <v>46022</v>
      </c>
      <c r="Q1202" t="s">
        <v>4</v>
      </c>
    </row>
    <row r="1203" spans="1:17" x14ac:dyDescent="0.25">
      <c r="A1203" s="21">
        <v>2108</v>
      </c>
      <c r="B1203" s="19">
        <v>46015</v>
      </c>
      <c r="E1203" s="16" t="s">
        <v>7</v>
      </c>
      <c r="I1203" s="17">
        <v>5</v>
      </c>
      <c r="K1203" s="19">
        <v>46019</v>
      </c>
      <c r="L1203" s="20">
        <v>3</v>
      </c>
      <c r="M1203" s="19">
        <v>46023</v>
      </c>
      <c r="O1203" t="s">
        <v>5</v>
      </c>
    </row>
    <row r="1204" spans="1:17" x14ac:dyDescent="0.25">
      <c r="A1204" s="21">
        <v>4305</v>
      </c>
      <c r="B1204" s="19">
        <v>46015</v>
      </c>
      <c r="E1204" s="16" t="s">
        <v>25</v>
      </c>
      <c r="I1204" s="17">
        <v>5</v>
      </c>
      <c r="K1204" s="19">
        <v>46019</v>
      </c>
      <c r="L1204" s="20">
        <v>5</v>
      </c>
      <c r="M1204" s="19">
        <v>46025</v>
      </c>
      <c r="P1204" t="s">
        <v>1</v>
      </c>
    </row>
    <row r="1205" spans="1:17" x14ac:dyDescent="0.25">
      <c r="A1205" s="21">
        <v>4075</v>
      </c>
      <c r="B1205" s="19">
        <v>46017</v>
      </c>
      <c r="E1205" s="16" t="s">
        <v>21</v>
      </c>
      <c r="I1205" s="17">
        <v>5</v>
      </c>
      <c r="K1205" s="19">
        <v>46021</v>
      </c>
      <c r="L1205" s="20">
        <v>9</v>
      </c>
      <c r="M1205" s="19">
        <v>46032</v>
      </c>
      <c r="N1205" t="s">
        <v>3</v>
      </c>
    </row>
    <row r="1206" spans="1:17" x14ac:dyDescent="0.25">
      <c r="A1206" s="21">
        <v>4578</v>
      </c>
      <c r="B1206" s="19">
        <v>46018</v>
      </c>
      <c r="E1206" s="16" t="s">
        <v>7</v>
      </c>
      <c r="I1206" s="17">
        <v>5</v>
      </c>
      <c r="K1206" s="19">
        <v>46022</v>
      </c>
      <c r="L1206" s="20">
        <v>3</v>
      </c>
      <c r="M1206" s="19">
        <v>46026</v>
      </c>
      <c r="O1206" t="s">
        <v>5</v>
      </c>
    </row>
    <row r="1207" spans="1:17" x14ac:dyDescent="0.25">
      <c r="A1207" s="21">
        <v>5263</v>
      </c>
      <c r="B1207" s="19">
        <v>46018</v>
      </c>
      <c r="E1207" s="16" t="s">
        <v>7</v>
      </c>
      <c r="I1207" s="17">
        <v>5</v>
      </c>
      <c r="K1207" s="19">
        <v>46022</v>
      </c>
      <c r="L1207" s="20">
        <v>3</v>
      </c>
      <c r="M1207" s="19">
        <v>46026</v>
      </c>
      <c r="O1207" t="s">
        <v>5</v>
      </c>
    </row>
    <row r="1208" spans="1:17" x14ac:dyDescent="0.25">
      <c r="A1208" s="21">
        <v>3210</v>
      </c>
      <c r="B1208" s="19">
        <v>46018</v>
      </c>
      <c r="E1208" s="16" t="s">
        <v>21</v>
      </c>
      <c r="I1208" s="17">
        <v>5</v>
      </c>
      <c r="K1208" s="19">
        <v>46387</v>
      </c>
      <c r="L1208" s="20">
        <v>9</v>
      </c>
      <c r="M1208" s="19">
        <v>46032</v>
      </c>
      <c r="O1208" t="s">
        <v>5</v>
      </c>
    </row>
    <row r="1209" spans="1:17" x14ac:dyDescent="0.25">
      <c r="A1209" s="21">
        <v>3891</v>
      </c>
      <c r="B1209" s="19">
        <v>46020</v>
      </c>
      <c r="E1209" s="16" t="s">
        <v>25</v>
      </c>
      <c r="I1209" s="17">
        <v>5</v>
      </c>
      <c r="K1209" s="19">
        <v>46024</v>
      </c>
      <c r="L1209" s="20">
        <v>5</v>
      </c>
      <c r="M1209" s="19">
        <v>46030</v>
      </c>
      <c r="Q1209" t="s">
        <v>4</v>
      </c>
    </row>
    <row r="1210" spans="1:17" x14ac:dyDescent="0.25">
      <c r="A1210" s="21">
        <v>4232</v>
      </c>
      <c r="B1210" s="19">
        <v>46020</v>
      </c>
      <c r="E1210" s="16" t="s">
        <v>25</v>
      </c>
      <c r="I1210" s="17">
        <v>5</v>
      </c>
      <c r="K1210" s="19">
        <v>46024</v>
      </c>
      <c r="L1210" s="20">
        <v>5</v>
      </c>
      <c r="M1210" s="19">
        <v>46030</v>
      </c>
      <c r="O1210" t="s">
        <v>5</v>
      </c>
    </row>
    <row r="1211" spans="1:17" x14ac:dyDescent="0.25">
      <c r="A1211" s="21">
        <v>2875</v>
      </c>
      <c r="B1211" s="19">
        <v>46021</v>
      </c>
      <c r="E1211" s="16" t="s">
        <v>7</v>
      </c>
      <c r="I1211" s="17">
        <v>5</v>
      </c>
      <c r="K1211" s="19">
        <v>46025</v>
      </c>
      <c r="L1211" s="20">
        <v>3</v>
      </c>
      <c r="M1211" s="19">
        <v>46029</v>
      </c>
      <c r="O1211" t="s">
        <v>5</v>
      </c>
    </row>
    <row r="1212" spans="1:17" x14ac:dyDescent="0.25">
      <c r="A1212" s="21">
        <v>4949</v>
      </c>
      <c r="B1212" s="19">
        <v>46021</v>
      </c>
      <c r="E1212" s="16" t="s">
        <v>20</v>
      </c>
      <c r="I1212" s="17">
        <v>3</v>
      </c>
      <c r="K1212" s="19">
        <v>46024</v>
      </c>
      <c r="L1212" s="20">
        <v>9</v>
      </c>
      <c r="M1212" s="19">
        <v>46034</v>
      </c>
      <c r="P1212" t="s">
        <v>1</v>
      </c>
    </row>
    <row r="1213" spans="1:17" x14ac:dyDescent="0.25">
      <c r="A1213" s="21">
        <v>4335</v>
      </c>
      <c r="B1213" s="19">
        <v>46022</v>
      </c>
      <c r="E1213" s="16" t="s">
        <v>7</v>
      </c>
      <c r="I1213" s="17">
        <v>5</v>
      </c>
      <c r="K1213" s="19">
        <v>46026</v>
      </c>
      <c r="L1213" s="20">
        <v>3</v>
      </c>
      <c r="M1213" s="19">
        <v>46031</v>
      </c>
      <c r="P1213" t="s">
        <v>1</v>
      </c>
    </row>
    <row r="1214" spans="1:17" x14ac:dyDescent="0.25">
      <c r="A1214" s="21">
        <v>3480</v>
      </c>
      <c r="B1214" s="19">
        <v>46024</v>
      </c>
      <c r="E1214" s="16" t="s">
        <v>7</v>
      </c>
      <c r="I1214" s="17">
        <v>5</v>
      </c>
      <c r="K1214" s="19">
        <v>46028</v>
      </c>
      <c r="L1214" s="20">
        <v>3</v>
      </c>
      <c r="M1214" s="19">
        <v>46032</v>
      </c>
      <c r="Q1214" t="s">
        <v>4</v>
      </c>
    </row>
    <row r="1215" spans="1:17" x14ac:dyDescent="0.25">
      <c r="A1215" s="21">
        <v>3423</v>
      </c>
      <c r="B1215" s="19">
        <v>46024</v>
      </c>
      <c r="E1215" s="16" t="s">
        <v>7</v>
      </c>
      <c r="I1215" s="17">
        <v>5</v>
      </c>
      <c r="K1215" s="19">
        <v>46028</v>
      </c>
      <c r="L1215" s="20">
        <v>3</v>
      </c>
      <c r="M1215" s="19">
        <v>46032</v>
      </c>
      <c r="Q1215" t="s">
        <v>4</v>
      </c>
    </row>
    <row r="1216" spans="1:17" x14ac:dyDescent="0.25">
      <c r="A1216" s="21">
        <v>4216</v>
      </c>
      <c r="B1216" s="19">
        <v>46024</v>
      </c>
      <c r="E1216" s="16" t="s">
        <v>7</v>
      </c>
      <c r="I1216" s="17">
        <v>5</v>
      </c>
      <c r="K1216" s="19">
        <v>46028</v>
      </c>
      <c r="L1216" s="20">
        <v>3</v>
      </c>
      <c r="M1216" s="19">
        <v>46032</v>
      </c>
      <c r="Q1216" t="s">
        <v>4</v>
      </c>
    </row>
    <row r="1217" spans="1:17" x14ac:dyDescent="0.25">
      <c r="A1217" s="21">
        <v>1203</v>
      </c>
      <c r="B1217" s="19">
        <v>46024</v>
      </c>
      <c r="E1217" s="16" t="s">
        <v>25</v>
      </c>
      <c r="I1217" s="17">
        <v>5</v>
      </c>
      <c r="K1217" s="19">
        <v>46028</v>
      </c>
      <c r="L1217" s="20">
        <v>5</v>
      </c>
      <c r="M1217" s="19">
        <v>46034</v>
      </c>
      <c r="N1217" t="s">
        <v>3</v>
      </c>
    </row>
    <row r="1218" spans="1:17" x14ac:dyDescent="0.25">
      <c r="A1218" s="21">
        <v>3718</v>
      </c>
      <c r="B1218" s="19">
        <v>46025</v>
      </c>
      <c r="E1218" s="16" t="s">
        <v>7</v>
      </c>
      <c r="I1218" s="17">
        <v>5</v>
      </c>
      <c r="K1218" s="19">
        <v>46029</v>
      </c>
      <c r="L1218" s="20">
        <v>3</v>
      </c>
      <c r="M1218" s="19">
        <v>46033</v>
      </c>
      <c r="Q1218" t="s">
        <v>4</v>
      </c>
    </row>
    <row r="1219" spans="1:17" x14ac:dyDescent="0.25">
      <c r="A1219" s="21">
        <v>3862</v>
      </c>
      <c r="B1219" s="19">
        <v>46025</v>
      </c>
      <c r="E1219" s="16" t="s">
        <v>7</v>
      </c>
      <c r="I1219" s="17">
        <v>5</v>
      </c>
      <c r="K1219" s="19">
        <v>46029</v>
      </c>
      <c r="L1219" s="20">
        <v>3</v>
      </c>
      <c r="M1219" s="19">
        <v>46033</v>
      </c>
      <c r="O1219" t="s">
        <v>5</v>
      </c>
    </row>
    <row r="1220" spans="1:17" x14ac:dyDescent="0.25">
      <c r="A1220" s="21">
        <v>4648</v>
      </c>
      <c r="B1220" s="19">
        <v>46025</v>
      </c>
      <c r="E1220" s="16" t="s">
        <v>7</v>
      </c>
      <c r="I1220" s="17">
        <v>5</v>
      </c>
      <c r="K1220" s="19">
        <v>46029</v>
      </c>
      <c r="L1220" s="20">
        <v>3</v>
      </c>
      <c r="M1220" s="19">
        <v>46033</v>
      </c>
      <c r="Q1220" t="s">
        <v>4</v>
      </c>
    </row>
    <row r="1221" spans="1:17" x14ac:dyDescent="0.25">
      <c r="A1221" s="21">
        <v>4469</v>
      </c>
      <c r="B1221" s="19">
        <v>46026</v>
      </c>
      <c r="E1221" s="16" t="s">
        <v>7</v>
      </c>
      <c r="I1221" s="17">
        <v>5</v>
      </c>
      <c r="K1221" s="19">
        <v>46030</v>
      </c>
      <c r="L1221" s="20">
        <v>3</v>
      </c>
      <c r="M1221" s="19">
        <v>46034</v>
      </c>
      <c r="O1221" t="s">
        <v>5</v>
      </c>
    </row>
    <row r="1222" spans="1:17" x14ac:dyDescent="0.25">
      <c r="A1222" s="21">
        <v>3397</v>
      </c>
      <c r="B1222" s="19">
        <v>46027</v>
      </c>
      <c r="E1222" s="16" t="s">
        <v>31</v>
      </c>
      <c r="I1222" s="17">
        <v>5</v>
      </c>
      <c r="K1222" s="19">
        <v>46031</v>
      </c>
      <c r="L1222" s="20">
        <v>5</v>
      </c>
      <c r="M1222" s="19">
        <v>46037</v>
      </c>
      <c r="N1222" t="s">
        <v>3</v>
      </c>
    </row>
    <row r="1223" spans="1:17" x14ac:dyDescent="0.25">
      <c r="A1223" s="21">
        <v>5356</v>
      </c>
      <c r="B1223" s="19">
        <v>46027</v>
      </c>
      <c r="E1223" s="16" t="s">
        <v>7</v>
      </c>
      <c r="I1223" s="17">
        <v>5</v>
      </c>
      <c r="K1223" s="19">
        <v>46031</v>
      </c>
      <c r="L1223" s="20">
        <v>3</v>
      </c>
      <c r="M1223" s="19">
        <v>46035</v>
      </c>
      <c r="P1223" t="s">
        <v>1</v>
      </c>
    </row>
    <row r="1224" spans="1:17" x14ac:dyDescent="0.25">
      <c r="A1224" s="21">
        <v>4817</v>
      </c>
      <c r="B1224" s="19">
        <v>46028</v>
      </c>
      <c r="E1224" s="16" t="s">
        <v>20</v>
      </c>
      <c r="I1224" s="17">
        <v>3</v>
      </c>
      <c r="K1224" s="19">
        <v>46030</v>
      </c>
      <c r="L1224" s="20">
        <v>9</v>
      </c>
      <c r="M1224" s="19">
        <v>46040</v>
      </c>
      <c r="O1224" t="s">
        <v>5</v>
      </c>
    </row>
    <row r="1225" spans="1:17" x14ac:dyDescent="0.25">
      <c r="A1225" s="21">
        <v>3902</v>
      </c>
      <c r="B1225" s="19">
        <v>46028</v>
      </c>
      <c r="E1225" s="16" t="s">
        <v>20</v>
      </c>
      <c r="I1225" s="17">
        <v>5</v>
      </c>
      <c r="K1225" s="19">
        <v>46032</v>
      </c>
      <c r="L1225" s="20">
        <v>9</v>
      </c>
      <c r="M1225" s="19">
        <v>46042</v>
      </c>
      <c r="P1225" t="s">
        <v>1</v>
      </c>
    </row>
    <row r="1226" spans="1:17" x14ac:dyDescent="0.25">
      <c r="A1226" s="21">
        <v>3594</v>
      </c>
      <c r="B1226" s="19">
        <v>46028</v>
      </c>
      <c r="E1226" s="16" t="s">
        <v>20</v>
      </c>
      <c r="I1226" s="17">
        <v>5</v>
      </c>
      <c r="K1226" s="19">
        <v>46032</v>
      </c>
      <c r="L1226" s="20">
        <v>9</v>
      </c>
      <c r="M1226" s="19">
        <v>46042</v>
      </c>
      <c r="Q1226" t="s">
        <v>4</v>
      </c>
    </row>
    <row r="1227" spans="1:17" x14ac:dyDescent="0.25">
      <c r="A1227" s="21">
        <v>3591</v>
      </c>
      <c r="B1227" s="19">
        <v>46028</v>
      </c>
      <c r="E1227" s="16" t="s">
        <v>0</v>
      </c>
      <c r="I1227" s="17">
        <v>5</v>
      </c>
      <c r="K1227" s="19">
        <v>46032</v>
      </c>
      <c r="L1227" s="20">
        <v>5</v>
      </c>
      <c r="M1227" s="19">
        <v>46038</v>
      </c>
    </row>
    <row r="1228" spans="1:17" x14ac:dyDescent="0.25">
      <c r="A1228" s="21">
        <v>4324</v>
      </c>
      <c r="B1228" s="19">
        <v>46029</v>
      </c>
      <c r="E1228" s="16" t="s">
        <v>7</v>
      </c>
      <c r="I1228" s="17">
        <v>5</v>
      </c>
      <c r="K1228" s="19">
        <v>46033</v>
      </c>
      <c r="L1228" s="20">
        <v>3</v>
      </c>
      <c r="M1228" s="19">
        <v>46037</v>
      </c>
      <c r="P1228" t="s">
        <v>1</v>
      </c>
    </row>
    <row r="1229" spans="1:17" x14ac:dyDescent="0.25">
      <c r="A1229" s="21">
        <v>3526</v>
      </c>
      <c r="B1229" s="19">
        <v>46031</v>
      </c>
      <c r="E1229" s="16" t="s">
        <v>0</v>
      </c>
      <c r="I1229" s="17">
        <v>5</v>
      </c>
      <c r="K1229" s="19">
        <v>46035</v>
      </c>
      <c r="L1229" s="20">
        <v>5</v>
      </c>
      <c r="M1229" s="19">
        <v>46041</v>
      </c>
      <c r="Q1229" t="s">
        <v>4</v>
      </c>
    </row>
    <row r="1230" spans="1:17" x14ac:dyDescent="0.25">
      <c r="A1230" s="21">
        <v>3423</v>
      </c>
      <c r="B1230" s="19">
        <v>46032</v>
      </c>
      <c r="E1230" s="16" t="s">
        <v>25</v>
      </c>
      <c r="I1230" s="17">
        <v>5</v>
      </c>
      <c r="K1230" s="19">
        <v>46036</v>
      </c>
      <c r="L1230" s="20">
        <v>5</v>
      </c>
      <c r="M1230" s="19">
        <v>46042</v>
      </c>
      <c r="Q1230" t="s">
        <v>4</v>
      </c>
    </row>
    <row r="1231" spans="1:17" x14ac:dyDescent="0.25">
      <c r="A1231" s="21">
        <v>4129</v>
      </c>
      <c r="B1231" s="19">
        <v>46033</v>
      </c>
      <c r="E1231" s="16" t="s">
        <v>7</v>
      </c>
      <c r="I1231" s="17">
        <v>5</v>
      </c>
      <c r="K1231" s="19">
        <v>46037</v>
      </c>
      <c r="L1231" s="20">
        <v>5</v>
      </c>
      <c r="M1231" s="19">
        <v>46043</v>
      </c>
      <c r="O1231" t="s">
        <v>5</v>
      </c>
    </row>
    <row r="1232" spans="1:17" x14ac:dyDescent="0.25">
      <c r="A1232" s="21">
        <v>5177</v>
      </c>
      <c r="B1232" s="19">
        <v>46033</v>
      </c>
      <c r="E1232" s="16" t="s">
        <v>7</v>
      </c>
      <c r="I1232" s="17">
        <v>5</v>
      </c>
      <c r="K1232" s="19">
        <v>46037</v>
      </c>
      <c r="L1232" s="20">
        <v>5</v>
      </c>
      <c r="M1232" s="19">
        <v>46043</v>
      </c>
      <c r="Q1232" t="s">
        <v>4</v>
      </c>
    </row>
    <row r="1233" spans="1:17" x14ac:dyDescent="0.25">
      <c r="A1233" s="21">
        <v>4058</v>
      </c>
      <c r="B1233" s="19">
        <v>46034</v>
      </c>
      <c r="E1233" s="16" t="s">
        <v>20</v>
      </c>
      <c r="I1233" s="17">
        <v>4</v>
      </c>
      <c r="K1233" s="19">
        <v>46037</v>
      </c>
      <c r="L1233" s="20">
        <v>9</v>
      </c>
      <c r="M1233" s="19">
        <v>46047</v>
      </c>
      <c r="N1233" t="s">
        <v>3</v>
      </c>
    </row>
    <row r="1234" spans="1:17" x14ac:dyDescent="0.25">
      <c r="A1234" s="21">
        <v>3554</v>
      </c>
      <c r="B1234" s="19">
        <v>46035</v>
      </c>
      <c r="E1234" s="16" t="s">
        <v>7</v>
      </c>
      <c r="I1234" s="17">
        <v>5</v>
      </c>
      <c r="K1234" s="19">
        <v>46039</v>
      </c>
      <c r="L1234" s="20">
        <v>3</v>
      </c>
      <c r="M1234" s="19">
        <v>46043</v>
      </c>
      <c r="N1234" t="s">
        <v>3</v>
      </c>
    </row>
    <row r="1235" spans="1:17" x14ac:dyDescent="0.25">
      <c r="A1235" s="21">
        <v>4452</v>
      </c>
      <c r="B1235" s="19">
        <v>46035</v>
      </c>
      <c r="E1235" s="16" t="s">
        <v>7</v>
      </c>
      <c r="I1235" s="17">
        <v>5</v>
      </c>
      <c r="K1235" s="19">
        <v>46039</v>
      </c>
      <c r="L1235" s="20">
        <v>3</v>
      </c>
      <c r="M1235" s="19">
        <v>46043</v>
      </c>
      <c r="N1235" t="s">
        <v>3</v>
      </c>
    </row>
    <row r="1236" spans="1:17" x14ac:dyDescent="0.25">
      <c r="A1236" s="21">
        <v>4667</v>
      </c>
      <c r="B1236" s="19">
        <v>46035</v>
      </c>
      <c r="E1236" s="16" t="s">
        <v>7</v>
      </c>
      <c r="I1236" s="17">
        <v>5</v>
      </c>
      <c r="K1236" s="19">
        <v>46039</v>
      </c>
      <c r="L1236" s="20">
        <v>3</v>
      </c>
      <c r="M1236" s="19">
        <v>46043</v>
      </c>
      <c r="Q1236" t="s">
        <v>4</v>
      </c>
    </row>
    <row r="1237" spans="1:17" x14ac:dyDescent="0.25">
      <c r="A1237" s="21">
        <v>5250</v>
      </c>
      <c r="B1237" s="19">
        <v>46036</v>
      </c>
      <c r="E1237" s="16" t="s">
        <v>7</v>
      </c>
      <c r="I1237" s="17">
        <v>5</v>
      </c>
      <c r="K1237" s="19">
        <v>46040</v>
      </c>
      <c r="L1237" s="20">
        <v>3</v>
      </c>
      <c r="M1237" s="19">
        <v>46044</v>
      </c>
      <c r="P1237" t="s">
        <v>1</v>
      </c>
    </row>
    <row r="1238" spans="1:17" x14ac:dyDescent="0.25">
      <c r="A1238" s="21">
        <v>3746</v>
      </c>
      <c r="B1238" s="19">
        <v>46036</v>
      </c>
      <c r="E1238" s="16" t="s">
        <v>20</v>
      </c>
      <c r="I1238" s="17">
        <v>5</v>
      </c>
      <c r="K1238" s="19">
        <v>46040</v>
      </c>
      <c r="L1238" s="20">
        <v>9</v>
      </c>
      <c r="M1238" s="19">
        <v>46050</v>
      </c>
      <c r="P1238" t="s">
        <v>1</v>
      </c>
    </row>
    <row r="1239" spans="1:17" x14ac:dyDescent="0.25">
      <c r="A1239" s="21">
        <v>5194</v>
      </c>
      <c r="B1239" s="19">
        <v>46037</v>
      </c>
      <c r="E1239" s="16" t="s">
        <v>7</v>
      </c>
      <c r="I1239" s="17">
        <v>5</v>
      </c>
      <c r="K1239" s="19">
        <v>46041</v>
      </c>
      <c r="L1239" s="20">
        <v>3</v>
      </c>
      <c r="M1239" s="19">
        <v>46045</v>
      </c>
      <c r="Q1239" t="s">
        <v>4</v>
      </c>
    </row>
    <row r="1240" spans="1:17" x14ac:dyDescent="0.25">
      <c r="A1240" s="21">
        <v>3554</v>
      </c>
      <c r="B1240" s="19">
        <v>46037</v>
      </c>
      <c r="E1240" s="16" t="s">
        <v>25</v>
      </c>
      <c r="I1240" s="17">
        <v>5</v>
      </c>
      <c r="K1240" s="19">
        <v>46041</v>
      </c>
      <c r="L1240" s="20">
        <v>9</v>
      </c>
      <c r="M1240" s="19">
        <v>46051</v>
      </c>
      <c r="N1240" t="s">
        <v>3</v>
      </c>
    </row>
    <row r="1241" spans="1:17" x14ac:dyDescent="0.25">
      <c r="A1241" s="21">
        <v>4773</v>
      </c>
      <c r="B1241" s="19">
        <v>46037</v>
      </c>
      <c r="E1241" s="16" t="s">
        <v>7</v>
      </c>
      <c r="I1241" s="17">
        <v>5</v>
      </c>
      <c r="K1241" s="19">
        <v>46041</v>
      </c>
      <c r="L1241" s="20">
        <v>3</v>
      </c>
      <c r="M1241" s="19">
        <v>46045</v>
      </c>
      <c r="P1241" t="s">
        <v>1</v>
      </c>
    </row>
    <row r="1242" spans="1:17" x14ac:dyDescent="0.25">
      <c r="A1242" s="21">
        <v>4501</v>
      </c>
      <c r="B1242" s="19">
        <v>46037</v>
      </c>
      <c r="E1242" s="16" t="s">
        <v>7</v>
      </c>
      <c r="I1242" s="17">
        <v>5</v>
      </c>
      <c r="K1242" s="19">
        <v>46041</v>
      </c>
      <c r="L1242" s="20">
        <v>3</v>
      </c>
      <c r="M1242" s="19">
        <v>46045</v>
      </c>
      <c r="O1242" t="s">
        <v>5</v>
      </c>
    </row>
    <row r="1243" spans="1:17" x14ac:dyDescent="0.25">
      <c r="A1243" s="21">
        <v>5209</v>
      </c>
      <c r="B1243" s="19">
        <v>46038</v>
      </c>
      <c r="E1243" s="16" t="s">
        <v>32</v>
      </c>
      <c r="I1243" s="17">
        <v>4</v>
      </c>
      <c r="K1243" s="19">
        <v>46041</v>
      </c>
      <c r="L1243" s="20">
        <v>3</v>
      </c>
      <c r="M1243" s="19">
        <v>46045</v>
      </c>
      <c r="O1243" t="s">
        <v>5</v>
      </c>
    </row>
    <row r="1244" spans="1:17" x14ac:dyDescent="0.25">
      <c r="A1244" s="21">
        <v>4452</v>
      </c>
      <c r="B1244" s="19">
        <v>46038</v>
      </c>
      <c r="E1244" s="16" t="s">
        <v>32</v>
      </c>
      <c r="I1244" s="17">
        <v>4</v>
      </c>
      <c r="K1244" s="19">
        <v>46041</v>
      </c>
      <c r="L1244" s="20">
        <v>3</v>
      </c>
      <c r="M1244" s="19">
        <v>46045</v>
      </c>
      <c r="N1244" t="s">
        <v>3</v>
      </c>
    </row>
    <row r="1245" spans="1:17" x14ac:dyDescent="0.25">
      <c r="A1245" s="21">
        <v>4385</v>
      </c>
      <c r="B1245" s="19">
        <v>46038</v>
      </c>
      <c r="E1245" s="16" t="s">
        <v>32</v>
      </c>
      <c r="I1245" s="17">
        <v>4</v>
      </c>
      <c r="K1245" s="19">
        <v>46041</v>
      </c>
      <c r="L1245" s="20">
        <v>3</v>
      </c>
      <c r="M1245" s="19">
        <v>46045</v>
      </c>
      <c r="P1245" t="s">
        <v>1</v>
      </c>
    </row>
    <row r="1246" spans="1:17" x14ac:dyDescent="0.25">
      <c r="A1246" s="21">
        <v>4058</v>
      </c>
      <c r="B1246" s="19">
        <v>46038</v>
      </c>
      <c r="E1246" s="16" t="s">
        <v>32</v>
      </c>
      <c r="I1246" s="17">
        <v>4</v>
      </c>
      <c r="K1246" s="19">
        <v>46041</v>
      </c>
      <c r="L1246" s="20">
        <v>3</v>
      </c>
      <c r="M1246" s="19">
        <v>46045</v>
      </c>
      <c r="N1246" t="s">
        <v>3</v>
      </c>
    </row>
    <row r="1247" spans="1:17" x14ac:dyDescent="0.25">
      <c r="A1247" s="21">
        <v>4829</v>
      </c>
      <c r="B1247" s="19">
        <v>46039</v>
      </c>
      <c r="E1247" s="16" t="s">
        <v>32</v>
      </c>
      <c r="I1247" s="17">
        <v>4</v>
      </c>
      <c r="K1247" s="19">
        <v>46042</v>
      </c>
      <c r="L1247" s="20">
        <v>3</v>
      </c>
      <c r="M1247" s="19">
        <v>46046</v>
      </c>
      <c r="P1247" t="s">
        <v>1</v>
      </c>
    </row>
    <row r="1248" spans="1:17" x14ac:dyDescent="0.25">
      <c r="A1248" s="21">
        <v>2885</v>
      </c>
      <c r="B1248" s="19">
        <v>46039</v>
      </c>
      <c r="E1248" t="s">
        <v>33</v>
      </c>
      <c r="I1248" s="17">
        <v>4</v>
      </c>
      <c r="K1248" s="19">
        <v>46042</v>
      </c>
      <c r="L1248" s="23">
        <v>4</v>
      </c>
      <c r="M1248" s="19">
        <v>46046</v>
      </c>
      <c r="Q1248" t="s">
        <v>4</v>
      </c>
    </row>
    <row r="1249" spans="1:17" x14ac:dyDescent="0.25">
      <c r="A1249" s="21">
        <v>3072</v>
      </c>
      <c r="B1249" s="19">
        <v>46039</v>
      </c>
      <c r="E1249" s="16" t="s">
        <v>32</v>
      </c>
      <c r="I1249" s="17">
        <v>4</v>
      </c>
      <c r="K1249" s="19">
        <v>46042</v>
      </c>
      <c r="L1249" s="24">
        <v>3</v>
      </c>
      <c r="M1249" s="19">
        <v>46046</v>
      </c>
      <c r="N1249" t="s">
        <v>3</v>
      </c>
    </row>
    <row r="1250" spans="1:17" x14ac:dyDescent="0.25">
      <c r="A1250" s="21">
        <v>4026</v>
      </c>
      <c r="B1250" s="19">
        <v>46039</v>
      </c>
      <c r="E1250" t="s">
        <v>33</v>
      </c>
      <c r="I1250" s="17">
        <v>4</v>
      </c>
      <c r="K1250" s="19">
        <v>46042</v>
      </c>
      <c r="L1250" s="23">
        <v>4</v>
      </c>
      <c r="M1250" s="19">
        <v>46046</v>
      </c>
      <c r="O1250" t="s">
        <v>5</v>
      </c>
    </row>
    <row r="1251" spans="1:17" x14ac:dyDescent="0.25">
      <c r="A1251" s="21">
        <v>4578</v>
      </c>
      <c r="B1251" s="19">
        <v>46039</v>
      </c>
      <c r="E1251" s="16" t="s">
        <v>32</v>
      </c>
      <c r="I1251" s="17">
        <v>4</v>
      </c>
      <c r="K1251" s="19">
        <v>46042</v>
      </c>
      <c r="L1251" s="24">
        <v>3</v>
      </c>
      <c r="M1251" s="19">
        <v>46046</v>
      </c>
      <c r="O1251" t="s">
        <v>5</v>
      </c>
    </row>
    <row r="1252" spans="1:17" x14ac:dyDescent="0.25">
      <c r="A1252" s="21">
        <v>4111</v>
      </c>
      <c r="B1252" s="19">
        <v>46038</v>
      </c>
      <c r="E1252" s="16" t="s">
        <v>32</v>
      </c>
      <c r="I1252" s="17">
        <v>4</v>
      </c>
      <c r="K1252" s="19">
        <v>46041</v>
      </c>
      <c r="L1252" s="23">
        <v>3</v>
      </c>
      <c r="M1252" s="19">
        <v>46045</v>
      </c>
      <c r="Q1252" t="s">
        <v>4</v>
      </c>
    </row>
    <row r="1253" spans="1:17" x14ac:dyDescent="0.25">
      <c r="A1253" s="21">
        <v>4277</v>
      </c>
      <c r="B1253" s="19">
        <v>46041</v>
      </c>
      <c r="E1253" s="10" t="s">
        <v>25</v>
      </c>
      <c r="I1253" s="17">
        <v>4</v>
      </c>
      <c r="K1253" s="19">
        <v>46044</v>
      </c>
      <c r="L1253" s="24">
        <v>5</v>
      </c>
      <c r="M1253" s="19">
        <v>46050</v>
      </c>
    </row>
    <row r="1254" spans="1:17" x14ac:dyDescent="0.25">
      <c r="A1254" s="21">
        <v>4157</v>
      </c>
      <c r="B1254" s="19">
        <v>46041</v>
      </c>
      <c r="E1254" s="10" t="s">
        <v>25</v>
      </c>
      <c r="I1254" s="17">
        <v>4</v>
      </c>
      <c r="K1254" s="19">
        <v>46044</v>
      </c>
      <c r="L1254" s="23">
        <v>5</v>
      </c>
      <c r="M1254" s="19">
        <v>46050</v>
      </c>
    </row>
    <row r="1255" spans="1:17" x14ac:dyDescent="0.25">
      <c r="A1255" s="21">
        <v>3858</v>
      </c>
      <c r="B1255" s="19">
        <v>46041</v>
      </c>
      <c r="E1255" s="10" t="s">
        <v>25</v>
      </c>
      <c r="I1255" s="17">
        <v>4</v>
      </c>
      <c r="K1255" s="19">
        <v>46044</v>
      </c>
      <c r="L1255" s="24">
        <v>5</v>
      </c>
      <c r="M1255" s="19">
        <v>46050</v>
      </c>
    </row>
    <row r="1256" spans="1:17" x14ac:dyDescent="0.25">
      <c r="A1256" s="21">
        <v>4677</v>
      </c>
      <c r="B1256" s="19">
        <v>46043</v>
      </c>
      <c r="E1256" s="10" t="s">
        <v>32</v>
      </c>
      <c r="I1256" s="17">
        <v>4</v>
      </c>
      <c r="K1256" s="19">
        <v>46046</v>
      </c>
      <c r="L1256" s="23">
        <v>3</v>
      </c>
      <c r="M1256" s="19">
        <v>46050</v>
      </c>
      <c r="P1256" t="s">
        <v>1</v>
      </c>
    </row>
    <row r="1257" spans="1:17" x14ac:dyDescent="0.25">
      <c r="A1257" s="21">
        <v>4452</v>
      </c>
      <c r="B1257" s="19">
        <v>46042</v>
      </c>
      <c r="E1257" s="10" t="s">
        <v>34</v>
      </c>
      <c r="I1257" s="17">
        <v>4</v>
      </c>
      <c r="K1257" s="19">
        <v>46045</v>
      </c>
      <c r="L1257" s="24">
        <v>3</v>
      </c>
      <c r="M1257" s="19">
        <v>46049</v>
      </c>
      <c r="N1257" t="s">
        <v>3</v>
      </c>
    </row>
    <row r="1258" spans="1:17" x14ac:dyDescent="0.25">
      <c r="A1258" s="21">
        <v>4385</v>
      </c>
      <c r="B1258" s="19">
        <v>46043</v>
      </c>
      <c r="E1258" s="10" t="s">
        <v>20</v>
      </c>
      <c r="I1258" s="17">
        <v>4</v>
      </c>
      <c r="K1258" s="19">
        <v>46046</v>
      </c>
      <c r="L1258" s="23">
        <v>9</v>
      </c>
      <c r="M1258" s="19">
        <v>46056</v>
      </c>
      <c r="P1258" t="s">
        <v>1</v>
      </c>
    </row>
    <row r="1259" spans="1:17" x14ac:dyDescent="0.25">
      <c r="A1259" s="21">
        <v>2885</v>
      </c>
      <c r="B1259" s="19">
        <v>46043</v>
      </c>
      <c r="E1259" s="10" t="s">
        <v>20</v>
      </c>
      <c r="I1259" s="17">
        <v>4</v>
      </c>
      <c r="K1259" s="19">
        <v>46046</v>
      </c>
      <c r="L1259" s="24">
        <v>9</v>
      </c>
      <c r="M1259" s="19">
        <v>46056</v>
      </c>
      <c r="Q1259" t="s">
        <v>4</v>
      </c>
    </row>
    <row r="1260" spans="1:17" x14ac:dyDescent="0.25">
      <c r="A1260" s="21">
        <v>4026</v>
      </c>
      <c r="B1260" s="19">
        <v>46043</v>
      </c>
      <c r="E1260" s="10" t="s">
        <v>25</v>
      </c>
      <c r="I1260" s="17">
        <v>4</v>
      </c>
      <c r="K1260" s="19">
        <v>46046</v>
      </c>
      <c r="L1260" s="23">
        <v>5</v>
      </c>
      <c r="M1260" s="19">
        <v>46052</v>
      </c>
      <c r="O1260" t="s">
        <v>5</v>
      </c>
    </row>
    <row r="1261" spans="1:17" x14ac:dyDescent="0.25">
      <c r="A1261" s="21">
        <v>4492</v>
      </c>
      <c r="B1261" s="19">
        <v>46043</v>
      </c>
      <c r="E1261" s="10" t="s">
        <v>20</v>
      </c>
      <c r="I1261" s="17">
        <v>4</v>
      </c>
      <c r="K1261" s="19">
        <v>46046</v>
      </c>
      <c r="L1261" s="24">
        <v>9</v>
      </c>
      <c r="M1261" s="19">
        <v>46056</v>
      </c>
      <c r="N1261" t="s">
        <v>3</v>
      </c>
      <c r="O1261" t="s">
        <v>5</v>
      </c>
      <c r="P1261" t="s">
        <v>1</v>
      </c>
    </row>
    <row r="1262" spans="1:17" x14ac:dyDescent="0.25">
      <c r="A1262" s="21">
        <v>4277</v>
      </c>
      <c r="B1262" s="19">
        <v>46043</v>
      </c>
      <c r="E1262" s="10" t="s">
        <v>20</v>
      </c>
      <c r="I1262" s="17">
        <v>4</v>
      </c>
      <c r="K1262" s="19">
        <v>46046</v>
      </c>
      <c r="L1262" s="23">
        <v>9</v>
      </c>
      <c r="M1262" s="19">
        <v>46056</v>
      </c>
      <c r="O1262" t="s">
        <v>5</v>
      </c>
      <c r="Q1262" t="s">
        <v>4</v>
      </c>
    </row>
    <row r="1263" spans="1:17" x14ac:dyDescent="0.25">
      <c r="A1263" s="21">
        <v>3422</v>
      </c>
      <c r="B1263" s="19">
        <v>46044</v>
      </c>
      <c r="E1263" s="10" t="s">
        <v>32</v>
      </c>
      <c r="I1263" s="17">
        <v>4</v>
      </c>
      <c r="K1263" s="19">
        <v>46047</v>
      </c>
      <c r="L1263" s="24">
        <v>3</v>
      </c>
      <c r="M1263" s="19">
        <v>46051</v>
      </c>
      <c r="O1263" t="s">
        <v>5</v>
      </c>
    </row>
    <row r="1264" spans="1:17" x14ac:dyDescent="0.25">
      <c r="A1264" s="21">
        <v>3330</v>
      </c>
      <c r="B1264" s="15">
        <v>46044</v>
      </c>
      <c r="E1264" s="10" t="s">
        <v>25</v>
      </c>
      <c r="I1264" s="17">
        <v>4</v>
      </c>
      <c r="K1264" s="19">
        <v>46047</v>
      </c>
      <c r="L1264" s="23">
        <v>5</v>
      </c>
      <c r="M1264" s="19">
        <v>46053</v>
      </c>
      <c r="O1264" t="s">
        <v>5</v>
      </c>
    </row>
    <row r="1265" spans="1:17" x14ac:dyDescent="0.25">
      <c r="A1265" s="21">
        <v>3739</v>
      </c>
      <c r="B1265" s="19">
        <v>46045</v>
      </c>
      <c r="E1265" s="10" t="s">
        <v>32</v>
      </c>
      <c r="I1265" s="17">
        <v>4</v>
      </c>
      <c r="K1265" s="19">
        <v>46048</v>
      </c>
      <c r="L1265" s="24">
        <v>3</v>
      </c>
      <c r="M1265" s="19">
        <v>46052</v>
      </c>
      <c r="Q1265" t="s">
        <v>4</v>
      </c>
    </row>
    <row r="1266" spans="1:17" x14ac:dyDescent="0.25">
      <c r="A1266" s="21">
        <v>5191</v>
      </c>
      <c r="B1266" s="19">
        <v>46046</v>
      </c>
      <c r="E1266" s="10" t="s">
        <v>32</v>
      </c>
      <c r="I1266" s="17">
        <v>4</v>
      </c>
      <c r="K1266" s="19">
        <v>46049</v>
      </c>
      <c r="L1266" s="23">
        <v>3</v>
      </c>
      <c r="M1266" s="19">
        <v>46053</v>
      </c>
      <c r="O1266" t="s">
        <v>5</v>
      </c>
    </row>
    <row r="1267" spans="1:17" x14ac:dyDescent="0.25">
      <c r="A1267" s="21">
        <v>4017</v>
      </c>
      <c r="B1267" s="19">
        <v>46046</v>
      </c>
      <c r="E1267" s="10" t="s">
        <v>32</v>
      </c>
      <c r="I1267" s="17">
        <v>4</v>
      </c>
      <c r="K1267" s="19">
        <v>46049</v>
      </c>
      <c r="L1267" s="24">
        <v>3</v>
      </c>
      <c r="M1267" s="19">
        <v>46053</v>
      </c>
      <c r="P1267" t="s">
        <v>1</v>
      </c>
    </row>
    <row r="1268" spans="1:17" x14ac:dyDescent="0.25">
      <c r="A1268" s="21">
        <v>4200</v>
      </c>
      <c r="B1268" s="19">
        <v>46046</v>
      </c>
      <c r="E1268" s="10" t="s">
        <v>32</v>
      </c>
      <c r="I1268" s="17">
        <v>4</v>
      </c>
      <c r="K1268" s="19">
        <v>46049</v>
      </c>
      <c r="L1268" s="23">
        <v>3</v>
      </c>
      <c r="M1268" s="19">
        <v>46053</v>
      </c>
      <c r="P1268" t="s">
        <v>1</v>
      </c>
    </row>
    <row r="1269" spans="1:17" x14ac:dyDescent="0.25">
      <c r="A1269" s="21">
        <v>4664</v>
      </c>
      <c r="B1269" s="19">
        <v>46046</v>
      </c>
      <c r="E1269" s="10" t="s">
        <v>32</v>
      </c>
      <c r="I1269" s="17">
        <v>4</v>
      </c>
      <c r="K1269" s="19">
        <v>46049</v>
      </c>
      <c r="L1269" s="24">
        <v>3</v>
      </c>
      <c r="M1269" s="19">
        <v>46053</v>
      </c>
      <c r="N1269" t="s">
        <v>3</v>
      </c>
    </row>
    <row r="1270" spans="1:17" x14ac:dyDescent="0.25">
      <c r="A1270" s="21">
        <v>3576</v>
      </c>
      <c r="B1270" s="19">
        <v>46047</v>
      </c>
      <c r="E1270" s="10" t="s">
        <v>25</v>
      </c>
      <c r="I1270" s="17">
        <v>4</v>
      </c>
      <c r="K1270" s="19">
        <v>46050</v>
      </c>
      <c r="L1270" s="23">
        <v>5</v>
      </c>
      <c r="M1270" s="19">
        <v>46056</v>
      </c>
      <c r="Q1270" t="s">
        <v>4</v>
      </c>
    </row>
    <row r="1271" spans="1:17" x14ac:dyDescent="0.25">
      <c r="A1271" s="21">
        <v>5202</v>
      </c>
      <c r="B1271" s="19">
        <v>46048</v>
      </c>
      <c r="E1271" s="10" t="s">
        <v>7</v>
      </c>
      <c r="I1271" s="17">
        <v>4</v>
      </c>
      <c r="K1271" s="19">
        <v>46051</v>
      </c>
      <c r="L1271" s="24">
        <v>3</v>
      </c>
      <c r="M1271" s="19">
        <v>46055</v>
      </c>
      <c r="P1271" t="s">
        <v>1</v>
      </c>
    </row>
    <row r="1272" spans="1:17" x14ac:dyDescent="0.25">
      <c r="A1272" s="21">
        <v>4026</v>
      </c>
      <c r="B1272" s="19">
        <v>46048</v>
      </c>
      <c r="E1272" s="10" t="s">
        <v>21</v>
      </c>
      <c r="I1272" s="17">
        <v>4</v>
      </c>
      <c r="K1272" s="19">
        <v>46051</v>
      </c>
      <c r="L1272" s="23">
        <v>9</v>
      </c>
      <c r="M1272" s="19">
        <v>46061</v>
      </c>
      <c r="O1272" t="s">
        <v>5</v>
      </c>
    </row>
    <row r="1273" spans="1:17" x14ac:dyDescent="0.25">
      <c r="A1273" s="21">
        <v>4452</v>
      </c>
      <c r="B1273" s="19">
        <v>46048</v>
      </c>
      <c r="E1273" s="10" t="s">
        <v>21</v>
      </c>
      <c r="I1273" s="17">
        <v>4</v>
      </c>
      <c r="K1273" s="19">
        <v>46051</v>
      </c>
      <c r="L1273" s="24">
        <v>9</v>
      </c>
      <c r="M1273" s="19">
        <v>46061</v>
      </c>
      <c r="N1273" t="s">
        <v>3</v>
      </c>
    </row>
    <row r="1274" spans="1:17" x14ac:dyDescent="0.25">
      <c r="A1274" s="21">
        <v>3746</v>
      </c>
      <c r="B1274" s="19">
        <v>46048</v>
      </c>
      <c r="E1274" s="10" t="s">
        <v>21</v>
      </c>
      <c r="I1274" s="17">
        <v>4</v>
      </c>
      <c r="K1274" s="19">
        <v>46051</v>
      </c>
      <c r="L1274" s="23">
        <v>9</v>
      </c>
      <c r="M1274" s="19">
        <v>46061</v>
      </c>
      <c r="P1274" t="s">
        <v>1</v>
      </c>
    </row>
    <row r="1275" spans="1:17" x14ac:dyDescent="0.25">
      <c r="A1275" s="21">
        <v>2931</v>
      </c>
      <c r="B1275" s="19">
        <v>46049</v>
      </c>
      <c r="E1275" s="10" t="s">
        <v>0</v>
      </c>
      <c r="I1275" s="17">
        <v>4</v>
      </c>
      <c r="K1275" s="19">
        <v>46052</v>
      </c>
      <c r="L1275" s="24">
        <v>5</v>
      </c>
      <c r="M1275" s="19">
        <v>46058</v>
      </c>
      <c r="P1275" t="s">
        <v>1</v>
      </c>
    </row>
    <row r="1276" spans="1:17" x14ac:dyDescent="0.25">
      <c r="A1276" s="21">
        <v>4438</v>
      </c>
      <c r="B1276" s="19">
        <v>46049</v>
      </c>
      <c r="E1276" s="10" t="s">
        <v>0</v>
      </c>
      <c r="I1276" s="17">
        <v>4</v>
      </c>
      <c r="K1276" s="19">
        <v>46052</v>
      </c>
      <c r="L1276" s="23">
        <v>5</v>
      </c>
      <c r="M1276" s="19">
        <v>46058</v>
      </c>
      <c r="P1276" t="s">
        <v>1</v>
      </c>
    </row>
    <row r="1277" spans="1:17" x14ac:dyDescent="0.25">
      <c r="A1277" s="21">
        <v>3511</v>
      </c>
      <c r="B1277" s="19">
        <v>46049</v>
      </c>
      <c r="E1277" s="10" t="s">
        <v>0</v>
      </c>
      <c r="I1277" s="17">
        <v>4</v>
      </c>
      <c r="K1277" s="19">
        <v>46052</v>
      </c>
      <c r="L1277" s="24">
        <v>5</v>
      </c>
      <c r="M1277" s="19">
        <v>46058</v>
      </c>
      <c r="N1277" t="s">
        <v>3</v>
      </c>
    </row>
    <row r="1278" spans="1:17" x14ac:dyDescent="0.25">
      <c r="A1278" s="21">
        <v>4157</v>
      </c>
      <c r="B1278" s="19">
        <v>46049</v>
      </c>
      <c r="E1278" s="10" t="s">
        <v>34</v>
      </c>
      <c r="I1278" s="17">
        <v>4</v>
      </c>
      <c r="K1278" s="19">
        <v>46052</v>
      </c>
      <c r="L1278" s="23">
        <v>3</v>
      </c>
      <c r="M1278" s="19">
        <v>46056</v>
      </c>
      <c r="O1278" t="s">
        <v>5</v>
      </c>
    </row>
    <row r="1279" spans="1:17" x14ac:dyDescent="0.25">
      <c r="A1279" s="21">
        <v>4578</v>
      </c>
      <c r="B1279" s="19">
        <v>46049</v>
      </c>
      <c r="E1279" s="10" t="s">
        <v>20</v>
      </c>
      <c r="I1279" s="17">
        <v>4</v>
      </c>
      <c r="K1279" s="19">
        <v>46052</v>
      </c>
      <c r="L1279" s="24">
        <v>9</v>
      </c>
      <c r="M1279" s="19">
        <v>46062</v>
      </c>
      <c r="O1279" t="s">
        <v>5</v>
      </c>
    </row>
    <row r="1280" spans="1:17" x14ac:dyDescent="0.25">
      <c r="A1280" s="21">
        <v>892</v>
      </c>
      <c r="B1280" s="19">
        <v>46050</v>
      </c>
      <c r="E1280" s="10" t="s">
        <v>7</v>
      </c>
      <c r="I1280" s="17">
        <v>4</v>
      </c>
      <c r="K1280" s="19">
        <v>46053</v>
      </c>
      <c r="L1280" s="23">
        <v>3</v>
      </c>
      <c r="M1280" s="19">
        <v>46058</v>
      </c>
      <c r="Q1280" t="s">
        <v>4</v>
      </c>
    </row>
    <row r="1281" spans="1:17" x14ac:dyDescent="0.25">
      <c r="A1281" s="21">
        <v>4692</v>
      </c>
      <c r="B1281" s="19">
        <v>46050</v>
      </c>
      <c r="E1281" s="10" t="s">
        <v>35</v>
      </c>
      <c r="I1281" s="17">
        <v>4</v>
      </c>
      <c r="K1281" s="19">
        <v>46053</v>
      </c>
      <c r="L1281" s="24">
        <v>4</v>
      </c>
      <c r="M1281" s="19">
        <v>46058</v>
      </c>
      <c r="P1281" t="s">
        <v>1</v>
      </c>
    </row>
    <row r="1282" spans="1:17" x14ac:dyDescent="0.25">
      <c r="A1282" s="21">
        <v>4617</v>
      </c>
      <c r="B1282" s="19">
        <v>46050</v>
      </c>
      <c r="E1282" s="10" t="s">
        <v>0</v>
      </c>
      <c r="I1282" s="17">
        <v>4</v>
      </c>
      <c r="K1282" s="19">
        <v>46053</v>
      </c>
      <c r="L1282" s="23">
        <v>5</v>
      </c>
      <c r="M1282" s="19">
        <v>46059</v>
      </c>
      <c r="N1282" t="s">
        <v>3</v>
      </c>
    </row>
    <row r="1283" spans="1:17" x14ac:dyDescent="0.25">
      <c r="A1283" s="21">
        <v>5194</v>
      </c>
      <c r="B1283" s="19">
        <v>46051</v>
      </c>
      <c r="E1283" s="10" t="s">
        <v>34</v>
      </c>
      <c r="I1283" s="17">
        <v>4</v>
      </c>
      <c r="K1283" s="19">
        <v>46054</v>
      </c>
      <c r="L1283" s="24">
        <v>3</v>
      </c>
      <c r="M1283" s="19">
        <v>46058</v>
      </c>
      <c r="Q1283" t="s">
        <v>4</v>
      </c>
    </row>
    <row r="1284" spans="1:17" x14ac:dyDescent="0.25">
      <c r="A1284" s="21">
        <v>4125</v>
      </c>
      <c r="B1284" s="19">
        <v>46051</v>
      </c>
      <c r="E1284" s="10" t="s">
        <v>35</v>
      </c>
      <c r="I1284" s="17">
        <v>4</v>
      </c>
      <c r="K1284" s="19">
        <v>46054</v>
      </c>
      <c r="L1284" s="23">
        <v>4</v>
      </c>
      <c r="M1284" s="19">
        <v>46059</v>
      </c>
      <c r="P1284" t="s">
        <v>1</v>
      </c>
    </row>
    <row r="1285" spans="1:17" x14ac:dyDescent="0.25">
      <c r="A1285" s="21">
        <v>4601</v>
      </c>
      <c r="B1285" s="19">
        <v>46052</v>
      </c>
      <c r="E1285" s="10" t="s">
        <v>0</v>
      </c>
      <c r="I1285" s="17">
        <v>4</v>
      </c>
      <c r="K1285" s="19">
        <v>46055</v>
      </c>
      <c r="L1285" s="24">
        <v>5</v>
      </c>
      <c r="M1285" s="19">
        <v>46062</v>
      </c>
      <c r="O1285" t="s">
        <v>5</v>
      </c>
    </row>
    <row r="1286" spans="1:17" x14ac:dyDescent="0.25">
      <c r="A1286" s="21">
        <v>5175</v>
      </c>
      <c r="B1286" s="19">
        <v>46053</v>
      </c>
      <c r="E1286" s="10" t="s">
        <v>34</v>
      </c>
      <c r="I1286" s="17">
        <v>4</v>
      </c>
      <c r="K1286" s="19">
        <v>46056</v>
      </c>
      <c r="L1286" s="23">
        <v>3</v>
      </c>
      <c r="M1286" s="19">
        <v>46060</v>
      </c>
      <c r="P1286" t="s">
        <v>1</v>
      </c>
    </row>
    <row r="1287" spans="1:17" x14ac:dyDescent="0.25">
      <c r="A1287" s="21">
        <v>4464</v>
      </c>
      <c r="B1287" s="19">
        <v>46053</v>
      </c>
      <c r="E1287" s="10" t="s">
        <v>34</v>
      </c>
      <c r="I1287" s="17">
        <v>4</v>
      </c>
      <c r="K1287" s="19">
        <v>46056</v>
      </c>
      <c r="L1287" s="24">
        <v>3</v>
      </c>
      <c r="M1287" s="19">
        <v>46060</v>
      </c>
      <c r="N1287" t="s">
        <v>3</v>
      </c>
    </row>
    <row r="1288" spans="1:17" x14ac:dyDescent="0.25">
      <c r="A1288" s="21">
        <v>4617</v>
      </c>
      <c r="B1288" s="19">
        <v>46053</v>
      </c>
      <c r="E1288" s="10" t="s">
        <v>20</v>
      </c>
      <c r="I1288" s="17">
        <v>4</v>
      </c>
      <c r="K1288" s="19">
        <v>46056</v>
      </c>
      <c r="L1288" s="23">
        <v>9</v>
      </c>
      <c r="M1288" s="19">
        <v>46066</v>
      </c>
      <c r="N1288" t="s">
        <v>3</v>
      </c>
    </row>
    <row r="1289" spans="1:17" x14ac:dyDescent="0.25">
      <c r="A1289" s="21">
        <v>4129</v>
      </c>
      <c r="B1289" s="19">
        <v>46055</v>
      </c>
      <c r="E1289" s="10" t="s">
        <v>0</v>
      </c>
      <c r="I1289" s="17">
        <v>4</v>
      </c>
      <c r="K1289" s="19">
        <v>46058</v>
      </c>
      <c r="L1289" s="24">
        <v>5</v>
      </c>
      <c r="M1289" s="19">
        <v>46064</v>
      </c>
      <c r="Q1289" t="s">
        <v>4</v>
      </c>
    </row>
    <row r="1290" spans="1:17" x14ac:dyDescent="0.25">
      <c r="A1290" s="21">
        <v>3439</v>
      </c>
      <c r="B1290" s="19">
        <v>46055</v>
      </c>
      <c r="E1290" s="10" t="s">
        <v>20</v>
      </c>
      <c r="I1290" s="17">
        <v>4</v>
      </c>
      <c r="K1290" s="19">
        <v>46058</v>
      </c>
      <c r="L1290" s="23">
        <v>9</v>
      </c>
      <c r="M1290" s="19">
        <v>46068</v>
      </c>
      <c r="O1290" t="s">
        <v>5</v>
      </c>
    </row>
    <row r="1291" spans="1:17" x14ac:dyDescent="0.25">
      <c r="A1291" s="21">
        <v>3576</v>
      </c>
      <c r="B1291" s="19">
        <v>46056</v>
      </c>
      <c r="E1291" s="10" t="s">
        <v>34</v>
      </c>
      <c r="I1291" s="17">
        <v>4</v>
      </c>
      <c r="K1291" s="19">
        <v>46059</v>
      </c>
      <c r="L1291" s="24">
        <v>3</v>
      </c>
      <c r="M1291" s="19">
        <v>46063</v>
      </c>
      <c r="Q1291" t="s">
        <v>4</v>
      </c>
    </row>
    <row r="1292" spans="1:17" x14ac:dyDescent="0.25">
      <c r="A1292" s="21">
        <v>4692</v>
      </c>
      <c r="B1292" s="19">
        <v>46056</v>
      </c>
      <c r="E1292" s="10" t="s">
        <v>0</v>
      </c>
      <c r="I1292" s="17">
        <v>4</v>
      </c>
      <c r="K1292" s="19">
        <v>46059</v>
      </c>
      <c r="L1292" s="23">
        <v>3</v>
      </c>
      <c r="M1292" s="19">
        <v>46063</v>
      </c>
      <c r="P1292" t="s">
        <v>1</v>
      </c>
      <c r="Q1292" t="s">
        <v>4</v>
      </c>
    </row>
    <row r="1293" spans="1:17" x14ac:dyDescent="0.25">
      <c r="A1293" s="21">
        <v>4260</v>
      </c>
      <c r="B1293" s="19">
        <v>46056</v>
      </c>
      <c r="E1293" s="10" t="s">
        <v>34</v>
      </c>
      <c r="I1293" s="17">
        <v>4</v>
      </c>
      <c r="K1293" s="19">
        <v>46059</v>
      </c>
      <c r="L1293" s="24">
        <v>3</v>
      </c>
      <c r="M1293" s="19">
        <v>46063</v>
      </c>
      <c r="Q1293" t="s">
        <v>4</v>
      </c>
    </row>
    <row r="1294" spans="1:17" x14ac:dyDescent="0.25">
      <c r="A1294" s="21">
        <v>4189</v>
      </c>
      <c r="B1294" s="19">
        <v>46058</v>
      </c>
      <c r="E1294" s="10" t="s">
        <v>34</v>
      </c>
      <c r="I1294" s="17">
        <v>4</v>
      </c>
      <c r="K1294" s="19">
        <v>46061</v>
      </c>
      <c r="L1294" s="23">
        <v>3</v>
      </c>
      <c r="M1294" s="19">
        <v>46065</v>
      </c>
      <c r="O1294" t="s">
        <v>5</v>
      </c>
    </row>
    <row r="1295" spans="1:17" x14ac:dyDescent="0.25">
      <c r="A1295" s="21">
        <v>5485</v>
      </c>
      <c r="B1295" s="19">
        <v>46058</v>
      </c>
      <c r="E1295" s="10" t="s">
        <v>21</v>
      </c>
      <c r="I1295" s="17">
        <v>4</v>
      </c>
      <c r="K1295" s="19">
        <v>46061</v>
      </c>
      <c r="L1295" s="24">
        <v>9</v>
      </c>
      <c r="M1295" s="19">
        <v>46071</v>
      </c>
      <c r="P1295" t="s">
        <v>1</v>
      </c>
    </row>
    <row r="1296" spans="1:17" x14ac:dyDescent="0.25">
      <c r="A1296" s="21">
        <v>4501</v>
      </c>
      <c r="B1296" s="19">
        <v>46059</v>
      </c>
      <c r="E1296" s="10" t="s">
        <v>34</v>
      </c>
      <c r="I1296" s="17">
        <v>4</v>
      </c>
      <c r="K1296" s="19">
        <v>46062</v>
      </c>
      <c r="L1296" s="23">
        <v>3</v>
      </c>
      <c r="M1296" s="19">
        <v>46066</v>
      </c>
      <c r="O1296" t="s">
        <v>5</v>
      </c>
    </row>
    <row r="1297" spans="1:17" x14ac:dyDescent="0.25">
      <c r="A1297" s="21">
        <v>3935</v>
      </c>
      <c r="B1297" s="19">
        <v>46060</v>
      </c>
      <c r="E1297" s="10" t="s">
        <v>34</v>
      </c>
      <c r="I1297" s="17">
        <v>4</v>
      </c>
      <c r="K1297" s="19">
        <v>46063</v>
      </c>
      <c r="L1297" s="24">
        <v>3</v>
      </c>
      <c r="M1297" s="19">
        <v>46067</v>
      </c>
      <c r="N1297" t="s">
        <v>3</v>
      </c>
    </row>
    <row r="1298" spans="1:17" x14ac:dyDescent="0.25">
      <c r="A1298" s="21">
        <v>3596</v>
      </c>
      <c r="B1298" s="19">
        <v>46060</v>
      </c>
      <c r="E1298" s="10" t="s">
        <v>34</v>
      </c>
      <c r="I1298" s="17">
        <v>4</v>
      </c>
      <c r="K1298" s="19">
        <v>46063</v>
      </c>
      <c r="L1298" s="23">
        <v>3</v>
      </c>
      <c r="M1298" s="19">
        <v>46067</v>
      </c>
      <c r="O1298" t="s">
        <v>5</v>
      </c>
    </row>
    <row r="1299" spans="1:17" x14ac:dyDescent="0.25">
      <c r="A1299" s="21">
        <v>2924</v>
      </c>
      <c r="B1299" s="19">
        <v>46061</v>
      </c>
      <c r="E1299" s="10" t="s">
        <v>32</v>
      </c>
      <c r="I1299" s="17">
        <v>4</v>
      </c>
      <c r="K1299" s="19">
        <v>46064</v>
      </c>
      <c r="L1299" s="24">
        <v>3</v>
      </c>
      <c r="M1299" s="19">
        <v>46068</v>
      </c>
      <c r="O1299" t="s">
        <v>5</v>
      </c>
    </row>
    <row r="1300" spans="1:17" x14ac:dyDescent="0.25">
      <c r="A1300" s="21">
        <v>4924</v>
      </c>
      <c r="B1300" s="19">
        <v>46061</v>
      </c>
      <c r="E1300" s="10" t="s">
        <v>32</v>
      </c>
      <c r="I1300" s="17">
        <v>4</v>
      </c>
      <c r="K1300" s="19">
        <v>46064</v>
      </c>
      <c r="L1300" s="23">
        <v>3</v>
      </c>
      <c r="M1300" s="19">
        <v>46068</v>
      </c>
      <c r="P1300" t="s">
        <v>1</v>
      </c>
    </row>
    <row r="1301" spans="1:17" x14ac:dyDescent="0.25">
      <c r="A1301" s="21">
        <v>3428</v>
      </c>
      <c r="B1301" s="19">
        <v>46062</v>
      </c>
      <c r="E1301" s="10" t="s">
        <v>32</v>
      </c>
      <c r="I1301" s="17">
        <v>4</v>
      </c>
      <c r="K1301" s="19">
        <v>46065</v>
      </c>
      <c r="L1301" s="24">
        <v>3</v>
      </c>
      <c r="M1301" s="19">
        <v>46069</v>
      </c>
      <c r="N1301" t="s">
        <v>3</v>
      </c>
    </row>
    <row r="1302" spans="1:17" x14ac:dyDescent="0.25">
      <c r="A1302" s="21">
        <v>4601</v>
      </c>
      <c r="B1302" s="19">
        <v>46063</v>
      </c>
      <c r="E1302" s="10" t="s">
        <v>21</v>
      </c>
      <c r="I1302" s="17">
        <v>4</v>
      </c>
      <c r="K1302" s="19">
        <v>46066</v>
      </c>
      <c r="L1302" s="23">
        <v>9</v>
      </c>
      <c r="M1302" s="19">
        <v>46076</v>
      </c>
      <c r="Q1302" t="s">
        <v>4</v>
      </c>
    </row>
    <row r="1303" spans="1:17" x14ac:dyDescent="0.25">
      <c r="A1303" s="21">
        <v>3935</v>
      </c>
      <c r="B1303" s="19">
        <v>46063</v>
      </c>
      <c r="E1303" s="10" t="s">
        <v>21</v>
      </c>
      <c r="I1303" s="17">
        <v>4</v>
      </c>
      <c r="K1303" s="19">
        <v>46066</v>
      </c>
      <c r="L1303" s="24">
        <v>9</v>
      </c>
      <c r="M1303" s="19">
        <v>46076</v>
      </c>
      <c r="N1303" t="s">
        <v>3</v>
      </c>
    </row>
    <row r="1304" spans="1:17" x14ac:dyDescent="0.25">
      <c r="A1304" s="21">
        <v>5042</v>
      </c>
      <c r="B1304" s="19">
        <v>46064</v>
      </c>
      <c r="E1304" s="10" t="s">
        <v>32</v>
      </c>
      <c r="I1304" s="17">
        <v>4</v>
      </c>
      <c r="K1304" s="19">
        <v>46067</v>
      </c>
      <c r="L1304" s="23">
        <v>3</v>
      </c>
      <c r="M1304" s="19">
        <v>46071</v>
      </c>
      <c r="Q1304" t="s">
        <v>4</v>
      </c>
    </row>
    <row r="1305" spans="1:17" x14ac:dyDescent="0.25">
      <c r="A1305" s="21">
        <v>4791</v>
      </c>
      <c r="B1305" s="19">
        <v>46064</v>
      </c>
      <c r="E1305" s="10" t="s">
        <v>21</v>
      </c>
      <c r="I1305" s="17">
        <v>4</v>
      </c>
      <c r="K1305" s="19">
        <v>46067</v>
      </c>
      <c r="L1305" s="24">
        <v>9</v>
      </c>
      <c r="M1305" s="19">
        <v>46077</v>
      </c>
      <c r="P1305" t="s">
        <v>1</v>
      </c>
    </row>
    <row r="1306" spans="1:17" x14ac:dyDescent="0.25">
      <c r="A1306" s="21">
        <v>4216</v>
      </c>
      <c r="B1306" s="19">
        <v>46065</v>
      </c>
      <c r="E1306" s="10" t="s">
        <v>32</v>
      </c>
      <c r="I1306" s="17">
        <v>4</v>
      </c>
      <c r="K1306" s="19">
        <v>46068</v>
      </c>
      <c r="L1306" s="23">
        <v>3</v>
      </c>
      <c r="M1306" s="19">
        <v>46072</v>
      </c>
      <c r="O1306" t="s">
        <v>5</v>
      </c>
    </row>
    <row r="1307" spans="1:17" x14ac:dyDescent="0.25">
      <c r="A1307" s="21">
        <v>4145</v>
      </c>
      <c r="B1307" s="19">
        <v>46065</v>
      </c>
      <c r="E1307" s="10" t="s">
        <v>32</v>
      </c>
      <c r="I1307" s="17">
        <v>4</v>
      </c>
      <c r="K1307" s="19">
        <v>46068</v>
      </c>
      <c r="L1307" s="24">
        <v>3</v>
      </c>
      <c r="M1307" s="19">
        <v>46072</v>
      </c>
      <c r="N1307" t="s">
        <v>3</v>
      </c>
    </row>
    <row r="1308" spans="1:17" x14ac:dyDescent="0.25">
      <c r="A1308" s="21">
        <v>5492</v>
      </c>
      <c r="B1308" s="19">
        <v>46065</v>
      </c>
      <c r="E1308" s="10" t="s">
        <v>32</v>
      </c>
      <c r="I1308" s="17">
        <v>4</v>
      </c>
      <c r="K1308" s="19">
        <v>46068</v>
      </c>
      <c r="L1308" s="23">
        <v>3</v>
      </c>
      <c r="M1308" s="19">
        <v>46072</v>
      </c>
      <c r="P1308" t="s">
        <v>1</v>
      </c>
    </row>
    <row r="1309" spans="1:17" x14ac:dyDescent="0.25">
      <c r="A1309" s="21">
        <v>2872</v>
      </c>
      <c r="B1309" s="19">
        <v>46066</v>
      </c>
      <c r="E1309" s="10" t="s">
        <v>32</v>
      </c>
      <c r="I1309" s="17">
        <v>4</v>
      </c>
      <c r="K1309" s="19">
        <v>46069</v>
      </c>
      <c r="L1309" s="24">
        <v>3</v>
      </c>
      <c r="M1309" s="19">
        <v>46073</v>
      </c>
      <c r="N1309" t="s">
        <v>3</v>
      </c>
    </row>
    <row r="1310" spans="1:17" x14ac:dyDescent="0.25">
      <c r="A1310" s="21">
        <v>4171</v>
      </c>
      <c r="B1310" s="19">
        <v>46066</v>
      </c>
      <c r="E1310" s="10" t="s">
        <v>32</v>
      </c>
      <c r="I1310" s="17">
        <v>4</v>
      </c>
      <c r="K1310" s="19">
        <v>46069</v>
      </c>
      <c r="L1310" s="23">
        <v>3</v>
      </c>
      <c r="M1310" s="19">
        <v>46073</v>
      </c>
      <c r="Q1310" t="s">
        <v>4</v>
      </c>
    </row>
    <row r="1311" spans="1:17" x14ac:dyDescent="0.25">
      <c r="A1311" s="21">
        <v>3252</v>
      </c>
      <c r="B1311" s="19">
        <v>46067</v>
      </c>
      <c r="E1311" s="10" t="s">
        <v>20</v>
      </c>
      <c r="I1311" s="17">
        <v>4</v>
      </c>
      <c r="K1311" s="19">
        <v>46070</v>
      </c>
      <c r="L1311" s="24">
        <v>9</v>
      </c>
      <c r="M1311" s="19">
        <v>46080</v>
      </c>
      <c r="O1311" t="s">
        <v>5</v>
      </c>
    </row>
    <row r="1312" spans="1:17" x14ac:dyDescent="0.25">
      <c r="A1312" s="21">
        <v>4617</v>
      </c>
      <c r="B1312" s="19">
        <v>46067</v>
      </c>
      <c r="E1312" s="10" t="s">
        <v>20</v>
      </c>
      <c r="I1312" s="17">
        <v>4</v>
      </c>
      <c r="K1312" s="19">
        <v>46070</v>
      </c>
      <c r="L1312" s="23">
        <v>9</v>
      </c>
      <c r="M1312" s="19">
        <v>46080</v>
      </c>
      <c r="N1312" t="s">
        <v>5</v>
      </c>
      <c r="P1312" t="s">
        <v>1</v>
      </c>
    </row>
    <row r="1313" spans="1:17" x14ac:dyDescent="0.25">
      <c r="A1313" s="21">
        <v>5042</v>
      </c>
      <c r="B1313" s="19">
        <v>46067</v>
      </c>
      <c r="E1313" s="10" t="s">
        <v>20</v>
      </c>
      <c r="I1313" s="17">
        <v>4</v>
      </c>
      <c r="K1313" s="19">
        <v>46070</v>
      </c>
      <c r="L1313" s="24">
        <v>9</v>
      </c>
      <c r="M1313" s="19">
        <v>46080</v>
      </c>
      <c r="Q1313" t="s">
        <v>4</v>
      </c>
    </row>
    <row r="1314" spans="1:17" x14ac:dyDescent="0.25">
      <c r="A1314" s="21">
        <v>4731</v>
      </c>
      <c r="B1314" s="19">
        <v>46067</v>
      </c>
      <c r="E1314" s="10" t="s">
        <v>32</v>
      </c>
      <c r="I1314" s="17">
        <v>4</v>
      </c>
      <c r="K1314" s="19">
        <v>46070</v>
      </c>
      <c r="L1314" s="23">
        <v>3</v>
      </c>
      <c r="M1314" s="19">
        <v>46074</v>
      </c>
      <c r="O1314" t="s">
        <v>5</v>
      </c>
    </row>
    <row r="1315" spans="1:17" x14ac:dyDescent="0.25">
      <c r="A1315" s="21">
        <v>3976</v>
      </c>
      <c r="B1315" s="19">
        <v>46068</v>
      </c>
      <c r="E1315" s="10" t="s">
        <v>32</v>
      </c>
      <c r="I1315" s="17">
        <v>4</v>
      </c>
      <c r="K1315" s="19">
        <v>46071</v>
      </c>
      <c r="L1315" s="24">
        <v>3</v>
      </c>
      <c r="M1315" s="19">
        <v>46075</v>
      </c>
      <c r="N1315" t="s">
        <v>3</v>
      </c>
    </row>
    <row r="1316" spans="1:17" x14ac:dyDescent="0.25">
      <c r="A1316" s="21">
        <v>2730</v>
      </c>
      <c r="B1316" s="19">
        <v>46069</v>
      </c>
      <c r="E1316" s="10" t="s">
        <v>32</v>
      </c>
      <c r="I1316" s="17">
        <v>4</v>
      </c>
      <c r="K1316" s="19">
        <v>46072</v>
      </c>
      <c r="L1316" s="23">
        <v>3</v>
      </c>
      <c r="M1316" s="19">
        <v>46076</v>
      </c>
      <c r="N1316" t="s">
        <v>3</v>
      </c>
    </row>
    <row r="1317" spans="1:17" x14ac:dyDescent="0.25">
      <c r="A1317" s="21">
        <v>5230</v>
      </c>
      <c r="B1317" s="19">
        <v>46069</v>
      </c>
      <c r="E1317" s="10" t="s">
        <v>32</v>
      </c>
      <c r="I1317" s="17">
        <v>4</v>
      </c>
      <c r="K1317" s="19">
        <v>46072</v>
      </c>
      <c r="L1317" s="24">
        <v>3</v>
      </c>
      <c r="M1317" s="19">
        <v>46076</v>
      </c>
      <c r="P1317" t="s">
        <v>1</v>
      </c>
    </row>
    <row r="1318" spans="1:17" x14ac:dyDescent="0.25">
      <c r="A1318" s="21">
        <v>3428</v>
      </c>
      <c r="B1318" s="19">
        <v>46069</v>
      </c>
      <c r="E1318" s="10" t="s">
        <v>34</v>
      </c>
      <c r="I1318" s="17">
        <v>4</v>
      </c>
      <c r="K1318" s="19">
        <v>46072</v>
      </c>
      <c r="L1318" s="23">
        <v>3</v>
      </c>
      <c r="M1318" s="19">
        <v>46076</v>
      </c>
      <c r="Q1318" t="s">
        <v>4</v>
      </c>
    </row>
    <row r="1319" spans="1:17" x14ac:dyDescent="0.25">
      <c r="A1319" s="21">
        <v>3761</v>
      </c>
      <c r="B1319" s="19">
        <v>46070</v>
      </c>
      <c r="E1319" s="10" t="s">
        <v>32</v>
      </c>
      <c r="I1319" s="17">
        <v>4</v>
      </c>
      <c r="K1319" s="19">
        <v>46073</v>
      </c>
      <c r="L1319" s="24">
        <v>3</v>
      </c>
      <c r="M1319" s="19">
        <v>46077</v>
      </c>
      <c r="N1319" t="s">
        <v>3</v>
      </c>
    </row>
    <row r="1320" spans="1:17" x14ac:dyDescent="0.25">
      <c r="A1320" s="21">
        <v>4773</v>
      </c>
      <c r="B1320" s="19">
        <v>46071</v>
      </c>
      <c r="E1320" s="10" t="s">
        <v>32</v>
      </c>
      <c r="I1320" s="17">
        <v>4</v>
      </c>
      <c r="K1320" s="19">
        <v>46074</v>
      </c>
      <c r="L1320" s="23">
        <v>3</v>
      </c>
      <c r="M1320" s="19">
        <v>46078</v>
      </c>
      <c r="P1320" t="s">
        <v>1</v>
      </c>
    </row>
    <row r="1321" spans="1:17" x14ac:dyDescent="0.25">
      <c r="A1321" s="21">
        <v>4032</v>
      </c>
      <c r="B1321" s="19">
        <v>46072</v>
      </c>
      <c r="E1321" s="10" t="s">
        <v>32</v>
      </c>
      <c r="I1321" s="17">
        <v>4</v>
      </c>
      <c r="K1321" s="19">
        <v>46075</v>
      </c>
      <c r="L1321" s="24">
        <v>3</v>
      </c>
      <c r="M1321" s="19">
        <v>46079</v>
      </c>
      <c r="Q1321" t="s">
        <v>4</v>
      </c>
    </row>
    <row r="1322" spans="1:17" x14ac:dyDescent="0.25">
      <c r="A1322" s="21">
        <v>3761</v>
      </c>
      <c r="B1322" s="19">
        <v>46073</v>
      </c>
      <c r="E1322" s="10" t="s">
        <v>20</v>
      </c>
      <c r="I1322" s="17">
        <v>4</v>
      </c>
      <c r="K1322" s="19">
        <v>46076</v>
      </c>
      <c r="L1322" s="23">
        <v>9</v>
      </c>
      <c r="M1322" s="19">
        <v>46085</v>
      </c>
      <c r="N1322" t="s">
        <v>3</v>
      </c>
    </row>
    <row r="1323" spans="1:17" x14ac:dyDescent="0.25">
      <c r="A1323" s="21">
        <v>4573</v>
      </c>
      <c r="B1323" s="19">
        <v>46074</v>
      </c>
      <c r="E1323" s="10" t="s">
        <v>32</v>
      </c>
      <c r="I1323" s="17">
        <v>4</v>
      </c>
      <c r="K1323" s="19">
        <v>46077</v>
      </c>
      <c r="L1323" s="24">
        <v>3</v>
      </c>
      <c r="M1323" s="19">
        <v>46081</v>
      </c>
      <c r="Q1323" t="s">
        <v>4</v>
      </c>
    </row>
    <row r="1324" spans="1:17" x14ac:dyDescent="0.25">
      <c r="A1324" s="21">
        <v>1187</v>
      </c>
      <c r="B1324" s="19">
        <v>46073</v>
      </c>
      <c r="E1324" s="10" t="s">
        <v>32</v>
      </c>
      <c r="I1324" s="17">
        <v>4</v>
      </c>
      <c r="K1324" s="19">
        <v>46076</v>
      </c>
      <c r="L1324" s="23">
        <v>3</v>
      </c>
      <c r="M1324" s="19">
        <v>46080</v>
      </c>
      <c r="O1324" t="s">
        <v>5</v>
      </c>
    </row>
    <row r="1325" spans="1:17" x14ac:dyDescent="0.25">
      <c r="A1325" s="21">
        <v>3615</v>
      </c>
      <c r="B1325" s="19">
        <v>46074</v>
      </c>
      <c r="E1325" s="10" t="s">
        <v>32</v>
      </c>
      <c r="I1325" s="20">
        <v>4</v>
      </c>
      <c r="K1325" s="19">
        <v>46077</v>
      </c>
      <c r="L1325" s="24">
        <v>3</v>
      </c>
      <c r="M1325" s="19">
        <v>46081</v>
      </c>
      <c r="N1325" t="s">
        <v>3</v>
      </c>
    </row>
    <row r="1326" spans="1:17" x14ac:dyDescent="0.25">
      <c r="A1326" s="21">
        <v>5492</v>
      </c>
      <c r="B1326" s="19">
        <v>46074</v>
      </c>
      <c r="E1326" s="10" t="s">
        <v>34</v>
      </c>
      <c r="I1326" s="20">
        <v>4</v>
      </c>
      <c r="K1326" s="19">
        <v>46077</v>
      </c>
      <c r="L1326" s="23">
        <v>3</v>
      </c>
      <c r="M1326" s="19">
        <v>46081</v>
      </c>
      <c r="P1326" t="s">
        <v>1</v>
      </c>
    </row>
    <row r="1327" spans="1:17" x14ac:dyDescent="0.25">
      <c r="A1327" s="21">
        <v>4877</v>
      </c>
      <c r="B1327" s="19">
        <v>46076</v>
      </c>
      <c r="E1327" s="10" t="s">
        <v>20</v>
      </c>
      <c r="I1327" s="20">
        <v>4</v>
      </c>
      <c r="K1327" s="19">
        <v>46079</v>
      </c>
      <c r="L1327" s="24">
        <v>9</v>
      </c>
      <c r="M1327" s="19">
        <v>46089</v>
      </c>
      <c r="P1327" t="s">
        <v>1</v>
      </c>
    </row>
    <row r="1328" spans="1:17" x14ac:dyDescent="0.25">
      <c r="A1328" s="21">
        <v>5346</v>
      </c>
      <c r="B1328" s="19">
        <v>46076</v>
      </c>
      <c r="E1328" s="10" t="s">
        <v>20</v>
      </c>
      <c r="I1328" s="20">
        <v>4</v>
      </c>
      <c r="K1328" s="19">
        <v>46079</v>
      </c>
      <c r="L1328" s="23">
        <v>9</v>
      </c>
      <c r="M1328" s="19">
        <v>46089</v>
      </c>
      <c r="P1328" t="s">
        <v>1</v>
      </c>
    </row>
    <row r="1329" spans="1:17" x14ac:dyDescent="0.25">
      <c r="A1329" s="21">
        <v>2944</v>
      </c>
      <c r="B1329" s="19">
        <v>46076</v>
      </c>
      <c r="E1329" s="10" t="s">
        <v>32</v>
      </c>
      <c r="I1329" s="20">
        <v>4</v>
      </c>
      <c r="K1329" s="19">
        <v>46079</v>
      </c>
      <c r="L1329" s="24">
        <v>3</v>
      </c>
      <c r="M1329" s="19">
        <v>46083</v>
      </c>
      <c r="O1329" t="s">
        <v>5</v>
      </c>
    </row>
    <row r="1330" spans="1:17" x14ac:dyDescent="0.25">
      <c r="A1330" s="21">
        <v>4501</v>
      </c>
      <c r="B1330" s="19">
        <v>46078</v>
      </c>
      <c r="E1330" s="10" t="s">
        <v>32</v>
      </c>
      <c r="I1330" s="20">
        <v>4</v>
      </c>
      <c r="K1330" s="19">
        <v>46081</v>
      </c>
      <c r="L1330" s="23">
        <v>3</v>
      </c>
      <c r="M1330" s="19">
        <v>46085</v>
      </c>
      <c r="O1330" t="s">
        <v>5</v>
      </c>
    </row>
    <row r="1331" spans="1:17" x14ac:dyDescent="0.25">
      <c r="A1331" s="21">
        <v>3295</v>
      </c>
      <c r="B1331" s="19">
        <v>46080</v>
      </c>
      <c r="E1331" s="10" t="s">
        <v>20</v>
      </c>
      <c r="I1331" s="20">
        <v>4</v>
      </c>
      <c r="K1331" s="19">
        <v>46083</v>
      </c>
      <c r="L1331" s="24">
        <v>9</v>
      </c>
      <c r="M1331" s="19">
        <v>46093</v>
      </c>
      <c r="O1331" t="s">
        <v>5</v>
      </c>
    </row>
    <row r="1332" spans="1:17" x14ac:dyDescent="0.25">
      <c r="A1332" s="21">
        <v>1187</v>
      </c>
      <c r="B1332" s="19">
        <v>46080</v>
      </c>
      <c r="E1332" s="10" t="s">
        <v>20</v>
      </c>
      <c r="I1332" s="20">
        <v>4</v>
      </c>
      <c r="K1332" s="19">
        <v>46083</v>
      </c>
      <c r="L1332" s="23">
        <v>9</v>
      </c>
      <c r="M1332" s="19">
        <v>46093</v>
      </c>
      <c r="O1332" t="s">
        <v>5</v>
      </c>
    </row>
    <row r="1333" spans="1:17" x14ac:dyDescent="0.25">
      <c r="A1333" s="21">
        <v>3615</v>
      </c>
      <c r="B1333" s="19">
        <v>46080</v>
      </c>
      <c r="E1333" s="10" t="s">
        <v>34</v>
      </c>
      <c r="I1333" s="20">
        <v>4</v>
      </c>
      <c r="K1333" s="19">
        <v>46083</v>
      </c>
      <c r="L1333" s="24">
        <v>3</v>
      </c>
      <c r="M1333" s="19">
        <v>46087</v>
      </c>
      <c r="N1333" t="s">
        <v>3</v>
      </c>
      <c r="P1333" t="s">
        <v>1</v>
      </c>
    </row>
    <row r="1334" spans="1:17" x14ac:dyDescent="0.25">
      <c r="A1334" s="21">
        <v>3723</v>
      </c>
      <c r="B1334" s="19">
        <v>46081</v>
      </c>
      <c r="E1334" s="10" t="s">
        <v>20</v>
      </c>
      <c r="I1334" s="20">
        <v>4</v>
      </c>
      <c r="K1334" s="19">
        <v>46084</v>
      </c>
      <c r="L1334" s="23">
        <v>9</v>
      </c>
      <c r="M1334" s="19">
        <v>46094</v>
      </c>
      <c r="Q1334" t="s">
        <v>4</v>
      </c>
    </row>
    <row r="1335" spans="1:17" x14ac:dyDescent="0.25">
      <c r="A1335" s="21">
        <v>4032</v>
      </c>
      <c r="B1335" s="19">
        <v>46081</v>
      </c>
      <c r="E1335" s="10" t="s">
        <v>20</v>
      </c>
      <c r="I1335" s="20">
        <v>4</v>
      </c>
      <c r="K1335" s="19">
        <v>46084</v>
      </c>
      <c r="L1335" s="24">
        <v>9</v>
      </c>
      <c r="M1335" s="19">
        <v>46094</v>
      </c>
      <c r="Q1335" t="s">
        <v>4</v>
      </c>
    </row>
    <row r="1336" spans="1:17" x14ac:dyDescent="0.25">
      <c r="A1336" s="21">
        <v>5492</v>
      </c>
      <c r="B1336" s="19">
        <v>46081</v>
      </c>
      <c r="E1336" s="10" t="s">
        <v>20</v>
      </c>
      <c r="I1336" s="20">
        <v>4</v>
      </c>
      <c r="K1336" s="19">
        <v>46084</v>
      </c>
      <c r="L1336" s="23">
        <v>9</v>
      </c>
      <c r="M1336" s="19">
        <v>46094</v>
      </c>
      <c r="Q1336" t="s">
        <v>4</v>
      </c>
    </row>
    <row r="1337" spans="1:17" x14ac:dyDescent="0.25">
      <c r="A1337" s="21">
        <v>5472</v>
      </c>
      <c r="B1337" s="19">
        <v>46081</v>
      </c>
      <c r="E1337" s="10" t="s">
        <v>32</v>
      </c>
      <c r="I1337" s="20">
        <v>4</v>
      </c>
      <c r="K1337" s="19">
        <v>46084</v>
      </c>
      <c r="L1337" s="24">
        <v>3</v>
      </c>
      <c r="M1337" s="19">
        <v>46088</v>
      </c>
      <c r="Q1337" t="s">
        <v>4</v>
      </c>
    </row>
    <row r="1338" spans="1:17" x14ac:dyDescent="0.25">
      <c r="A1338" s="21">
        <v>3507</v>
      </c>
      <c r="B1338" s="19">
        <v>46081</v>
      </c>
      <c r="E1338" s="10" t="s">
        <v>32</v>
      </c>
      <c r="I1338" s="20">
        <v>4</v>
      </c>
      <c r="K1338" s="19">
        <v>46084</v>
      </c>
      <c r="L1338" s="23">
        <v>3</v>
      </c>
      <c r="M1338" s="19">
        <v>46088</v>
      </c>
      <c r="N1338" t="s">
        <v>3</v>
      </c>
    </row>
    <row r="1339" spans="1:17" x14ac:dyDescent="0.25">
      <c r="A1339" s="21">
        <v>3449</v>
      </c>
      <c r="B1339" s="19">
        <v>46083</v>
      </c>
      <c r="E1339" s="10" t="s">
        <v>20</v>
      </c>
      <c r="I1339" s="20">
        <v>4</v>
      </c>
      <c r="K1339" s="19">
        <v>46086</v>
      </c>
      <c r="L1339" s="24">
        <v>9</v>
      </c>
      <c r="M1339" s="19">
        <v>46188</v>
      </c>
      <c r="O1339" t="s">
        <v>5</v>
      </c>
    </row>
    <row r="1340" spans="1:17" x14ac:dyDescent="0.25">
      <c r="A1340" s="21">
        <v>3261</v>
      </c>
      <c r="B1340" s="19">
        <v>46083</v>
      </c>
      <c r="E1340" s="10" t="s">
        <v>32</v>
      </c>
      <c r="I1340" s="20">
        <v>4</v>
      </c>
      <c r="K1340" s="19">
        <v>46086</v>
      </c>
      <c r="L1340" s="23">
        <v>3</v>
      </c>
      <c r="M1340" s="19">
        <v>46090</v>
      </c>
    </row>
    <row r="1341" spans="1:17" x14ac:dyDescent="0.25">
      <c r="A1341" s="21">
        <v>3734</v>
      </c>
      <c r="B1341" s="19">
        <v>46082</v>
      </c>
      <c r="E1341" s="10" t="s">
        <v>20</v>
      </c>
      <c r="I1341" s="20">
        <v>4</v>
      </c>
      <c r="K1341" s="19">
        <v>46085</v>
      </c>
      <c r="L1341" s="24">
        <v>9</v>
      </c>
      <c r="M1341" s="19">
        <v>46095</v>
      </c>
      <c r="P1341" t="s">
        <v>1</v>
      </c>
    </row>
    <row r="1342" spans="1:17" x14ac:dyDescent="0.25">
      <c r="A1342" s="21">
        <v>5016</v>
      </c>
      <c r="B1342" s="19">
        <v>46084</v>
      </c>
      <c r="E1342" s="10" t="s">
        <v>32</v>
      </c>
      <c r="I1342" s="20">
        <v>4</v>
      </c>
      <c r="K1342" s="19">
        <v>46087</v>
      </c>
      <c r="L1342" s="23">
        <v>3</v>
      </c>
      <c r="M1342" s="19">
        <v>46091</v>
      </c>
      <c r="O1342" t="s">
        <v>5</v>
      </c>
    </row>
    <row r="1343" spans="1:17" x14ac:dyDescent="0.25">
      <c r="A1343" s="21">
        <v>5485</v>
      </c>
      <c r="B1343" s="19">
        <v>46084</v>
      </c>
      <c r="E1343" s="10" t="s">
        <v>32</v>
      </c>
      <c r="I1343" s="20">
        <v>4</v>
      </c>
      <c r="K1343" s="19">
        <v>46087</v>
      </c>
      <c r="L1343" s="24">
        <v>3</v>
      </c>
      <c r="M1343" s="19">
        <v>46091</v>
      </c>
      <c r="P1343" t="s">
        <v>1</v>
      </c>
    </row>
    <row r="1344" spans="1:17" x14ac:dyDescent="0.25">
      <c r="A1344" s="21">
        <v>3990</v>
      </c>
      <c r="B1344" s="19">
        <v>46084</v>
      </c>
      <c r="E1344" s="10" t="s">
        <v>32</v>
      </c>
      <c r="I1344" s="20">
        <v>4</v>
      </c>
      <c r="K1344" s="19">
        <v>46087</v>
      </c>
      <c r="L1344" s="23">
        <v>3</v>
      </c>
      <c r="M1344" s="19">
        <v>46091</v>
      </c>
      <c r="P1344" t="s">
        <v>1</v>
      </c>
    </row>
    <row r="1345" spans="1:17" x14ac:dyDescent="0.25">
      <c r="A1345" s="21">
        <v>5590</v>
      </c>
      <c r="B1345" s="19">
        <v>46084</v>
      </c>
      <c r="E1345" s="10" t="s">
        <v>32</v>
      </c>
      <c r="I1345" s="20">
        <v>4</v>
      </c>
      <c r="K1345" s="19">
        <v>46087</v>
      </c>
      <c r="L1345" s="24">
        <v>3</v>
      </c>
      <c r="M1345" s="19">
        <v>46091</v>
      </c>
      <c r="Q1345" t="s">
        <v>4</v>
      </c>
    </row>
    <row r="1346" spans="1:17" x14ac:dyDescent="0.25">
      <c r="A1346" s="21">
        <v>3507</v>
      </c>
      <c r="B1346" s="19">
        <v>46084</v>
      </c>
      <c r="E1346" s="10" t="s">
        <v>20</v>
      </c>
      <c r="I1346" s="20">
        <v>4</v>
      </c>
      <c r="K1346" s="19">
        <v>46087</v>
      </c>
      <c r="L1346" s="23">
        <v>9</v>
      </c>
      <c r="M1346" s="19">
        <v>46097</v>
      </c>
      <c r="N1346" t="s">
        <v>3</v>
      </c>
      <c r="P1346" t="s">
        <v>1</v>
      </c>
    </row>
    <row r="1347" spans="1:17" x14ac:dyDescent="0.25">
      <c r="A1347" s="21">
        <v>2996</v>
      </c>
      <c r="B1347" s="19">
        <v>46085</v>
      </c>
      <c r="E1347" s="10" t="s">
        <v>32</v>
      </c>
      <c r="I1347" s="20">
        <v>4</v>
      </c>
      <c r="K1347" s="19">
        <v>46088</v>
      </c>
      <c r="L1347" s="24">
        <v>3</v>
      </c>
      <c r="M1347" s="19">
        <v>46092</v>
      </c>
      <c r="Q1347" t="s">
        <v>4</v>
      </c>
    </row>
    <row r="1348" spans="1:17" x14ac:dyDescent="0.25">
      <c r="A1348" s="21">
        <v>4083</v>
      </c>
      <c r="B1348" s="19">
        <v>46085</v>
      </c>
      <c r="E1348" s="10" t="s">
        <v>32</v>
      </c>
      <c r="I1348" s="20">
        <v>4</v>
      </c>
      <c r="K1348" s="19">
        <v>46088</v>
      </c>
      <c r="L1348" s="23">
        <v>3</v>
      </c>
      <c r="M1348" s="19">
        <v>46092</v>
      </c>
      <c r="O1348" t="s">
        <v>5</v>
      </c>
    </row>
    <row r="1349" spans="1:17" x14ac:dyDescent="0.25">
      <c r="A1349" s="21">
        <v>4129</v>
      </c>
      <c r="B1349" s="19">
        <v>46086</v>
      </c>
      <c r="E1349" s="10" t="s">
        <v>34</v>
      </c>
      <c r="I1349" s="20">
        <v>4</v>
      </c>
      <c r="K1349" s="19">
        <v>46089</v>
      </c>
      <c r="L1349" s="24">
        <v>3</v>
      </c>
      <c r="M1349" s="19">
        <v>46065</v>
      </c>
      <c r="P1349" t="s">
        <v>1</v>
      </c>
    </row>
    <row r="1350" spans="1:17" x14ac:dyDescent="0.25">
      <c r="A1350" s="21">
        <v>4442</v>
      </c>
      <c r="B1350" s="19">
        <v>46087</v>
      </c>
      <c r="E1350" s="10" t="s">
        <v>32</v>
      </c>
      <c r="I1350" s="20">
        <v>4</v>
      </c>
      <c r="K1350" s="19">
        <v>46090</v>
      </c>
      <c r="L1350" s="23">
        <v>3</v>
      </c>
      <c r="M1350" s="19">
        <v>46066</v>
      </c>
      <c r="P1350" t="s">
        <v>1</v>
      </c>
    </row>
    <row r="1351" spans="1:17" x14ac:dyDescent="0.25">
      <c r="A1351" s="21">
        <v>5590</v>
      </c>
      <c r="B1351" s="19">
        <v>46087</v>
      </c>
      <c r="E1351" s="10" t="s">
        <v>20</v>
      </c>
      <c r="I1351" s="20">
        <v>4</v>
      </c>
      <c r="K1351" s="19">
        <v>46090</v>
      </c>
      <c r="L1351" s="24">
        <v>3</v>
      </c>
      <c r="M1351" s="19">
        <v>46100</v>
      </c>
      <c r="Q1351" t="s">
        <v>4</v>
      </c>
    </row>
    <row r="1352" spans="1:17" x14ac:dyDescent="0.25">
      <c r="A1352" s="21">
        <v>3400</v>
      </c>
      <c r="B1352" s="19">
        <v>46088</v>
      </c>
      <c r="E1352" s="10" t="s">
        <v>32</v>
      </c>
      <c r="I1352" s="20">
        <v>4</v>
      </c>
      <c r="K1352" s="19">
        <v>46091</v>
      </c>
      <c r="L1352" s="23">
        <v>3</v>
      </c>
      <c r="M1352" s="19">
        <v>46095</v>
      </c>
      <c r="P1352" t="s">
        <v>1</v>
      </c>
    </row>
    <row r="1353" spans="1:17" x14ac:dyDescent="0.25">
      <c r="A1353" s="21">
        <v>4474</v>
      </c>
      <c r="B1353" s="19">
        <v>46088</v>
      </c>
      <c r="E1353" s="10" t="s">
        <v>32</v>
      </c>
      <c r="I1353" s="20">
        <v>4</v>
      </c>
      <c r="K1353" s="19">
        <v>46091</v>
      </c>
      <c r="L1353" s="24">
        <v>3</v>
      </c>
      <c r="M1353" s="19">
        <v>46095</v>
      </c>
      <c r="N1353" t="s">
        <v>3</v>
      </c>
    </row>
    <row r="1354" spans="1:17" x14ac:dyDescent="0.25">
      <c r="A1354" s="21">
        <v>3483</v>
      </c>
      <c r="B1354" s="19">
        <v>46090</v>
      </c>
      <c r="E1354" s="10" t="s">
        <v>32</v>
      </c>
      <c r="I1354" s="20">
        <v>4</v>
      </c>
      <c r="K1354" s="19">
        <v>46093</v>
      </c>
      <c r="L1354" s="23">
        <v>3</v>
      </c>
      <c r="M1354" s="19">
        <v>46097</v>
      </c>
      <c r="O1354" t="s">
        <v>5</v>
      </c>
    </row>
    <row r="1355" spans="1:17" x14ac:dyDescent="0.25">
      <c r="A1355" s="21">
        <v>4376</v>
      </c>
      <c r="B1355" s="19">
        <v>46089</v>
      </c>
      <c r="E1355" s="10" t="s">
        <v>32</v>
      </c>
      <c r="I1355" s="20">
        <v>4</v>
      </c>
      <c r="K1355" s="19">
        <v>46092</v>
      </c>
      <c r="L1355" s="24">
        <v>3</v>
      </c>
      <c r="M1355" s="19">
        <v>46095</v>
      </c>
      <c r="P1355" t="s">
        <v>1</v>
      </c>
      <c r="Q1355" t="s">
        <v>4</v>
      </c>
    </row>
    <row r="1356" spans="1:17" x14ac:dyDescent="0.25">
      <c r="A1356" s="21">
        <v>4819</v>
      </c>
      <c r="B1356" s="19">
        <v>46089</v>
      </c>
      <c r="E1356" s="10" t="s">
        <v>32</v>
      </c>
      <c r="I1356" s="20">
        <v>4</v>
      </c>
      <c r="K1356" s="19">
        <v>46092</v>
      </c>
      <c r="L1356" s="23">
        <v>3</v>
      </c>
      <c r="M1356" s="19">
        <v>46095</v>
      </c>
      <c r="O1356" t="s">
        <v>5</v>
      </c>
    </row>
    <row r="1357" spans="1:17" x14ac:dyDescent="0.25">
      <c r="A1357" s="21">
        <v>3680</v>
      </c>
      <c r="B1357" s="19">
        <v>46088</v>
      </c>
      <c r="E1357" s="10" t="s">
        <v>20</v>
      </c>
      <c r="I1357" s="20">
        <v>4</v>
      </c>
      <c r="K1357" s="19">
        <v>46091</v>
      </c>
      <c r="L1357" s="24">
        <v>9</v>
      </c>
      <c r="M1357" s="19">
        <v>46101</v>
      </c>
      <c r="N1357" t="s">
        <v>3</v>
      </c>
    </row>
    <row r="1358" spans="1:17" x14ac:dyDescent="0.25">
      <c r="A1358" s="21">
        <v>1075</v>
      </c>
      <c r="B1358" s="19">
        <v>46090</v>
      </c>
      <c r="E1358" s="10" t="s">
        <v>32</v>
      </c>
      <c r="I1358" s="20">
        <v>4</v>
      </c>
      <c r="K1358" s="19">
        <v>46093</v>
      </c>
      <c r="L1358" s="23">
        <v>3</v>
      </c>
      <c r="M1358" s="19">
        <v>46097</v>
      </c>
      <c r="Q1358" t="s">
        <v>4</v>
      </c>
    </row>
    <row r="1359" spans="1:17" x14ac:dyDescent="0.25">
      <c r="A1359" s="21">
        <v>4260</v>
      </c>
      <c r="B1359" s="19">
        <v>46091</v>
      </c>
      <c r="E1359" s="10" t="s">
        <v>32</v>
      </c>
      <c r="I1359" s="20">
        <v>4</v>
      </c>
      <c r="K1359" s="19">
        <v>46094</v>
      </c>
      <c r="L1359" s="24">
        <v>3</v>
      </c>
      <c r="M1359" s="19">
        <v>46098</v>
      </c>
      <c r="Q1359" t="s">
        <v>4</v>
      </c>
    </row>
    <row r="1360" spans="1:17" x14ac:dyDescent="0.25">
      <c r="A1360" s="21">
        <v>4375</v>
      </c>
      <c r="B1360" s="19">
        <v>46091</v>
      </c>
      <c r="E1360" s="10" t="s">
        <v>32</v>
      </c>
      <c r="I1360" s="20">
        <v>4</v>
      </c>
      <c r="K1360" s="19">
        <v>46094</v>
      </c>
      <c r="L1360" s="23">
        <v>3</v>
      </c>
      <c r="M1360" s="19">
        <v>46098</v>
      </c>
      <c r="N1360" t="s">
        <v>3</v>
      </c>
    </row>
    <row r="1361" spans="1:17" x14ac:dyDescent="0.25">
      <c r="A1361" s="21">
        <v>3615</v>
      </c>
      <c r="B1361" s="19">
        <v>46092</v>
      </c>
      <c r="E1361" s="10" t="s">
        <v>33</v>
      </c>
      <c r="I1361" s="20">
        <v>4</v>
      </c>
      <c r="K1361" s="19">
        <v>46095</v>
      </c>
      <c r="L1361" s="24">
        <v>4</v>
      </c>
      <c r="M1361" s="19">
        <v>46100</v>
      </c>
      <c r="N1361" t="s">
        <v>3</v>
      </c>
    </row>
    <row r="1362" spans="1:17" x14ac:dyDescent="0.25">
      <c r="A1362" s="21">
        <v>2886</v>
      </c>
      <c r="B1362" s="19">
        <v>46092</v>
      </c>
      <c r="E1362" s="10" t="s">
        <v>25</v>
      </c>
      <c r="I1362" s="20">
        <v>4</v>
      </c>
      <c r="K1362" s="19">
        <v>46095</v>
      </c>
      <c r="L1362" s="23">
        <v>5</v>
      </c>
      <c r="M1362" s="19">
        <v>46101</v>
      </c>
      <c r="N1362" t="s">
        <v>3</v>
      </c>
    </row>
    <row r="1363" spans="1:17" x14ac:dyDescent="0.25">
      <c r="A1363" s="21">
        <v>4229</v>
      </c>
      <c r="B1363" s="19">
        <v>46092</v>
      </c>
      <c r="E1363" s="10" t="s">
        <v>25</v>
      </c>
      <c r="I1363" s="20">
        <v>4</v>
      </c>
      <c r="K1363" s="19">
        <v>46095</v>
      </c>
      <c r="L1363" s="24">
        <v>5</v>
      </c>
      <c r="M1363" s="19">
        <v>46101</v>
      </c>
      <c r="N1363" t="s">
        <v>3</v>
      </c>
    </row>
    <row r="1364" spans="1:17" x14ac:dyDescent="0.25">
      <c r="A1364" s="21">
        <v>4064</v>
      </c>
      <c r="B1364" s="19">
        <v>46094</v>
      </c>
      <c r="E1364" s="10" t="s">
        <v>32</v>
      </c>
      <c r="I1364" s="20">
        <v>4</v>
      </c>
      <c r="K1364" s="19">
        <v>46097</v>
      </c>
      <c r="L1364" s="23">
        <v>3</v>
      </c>
      <c r="M1364" s="19">
        <v>46101</v>
      </c>
      <c r="Q1364" t="s">
        <v>4</v>
      </c>
    </row>
    <row r="1365" spans="1:17" x14ac:dyDescent="0.25">
      <c r="A1365" s="21">
        <v>1075</v>
      </c>
      <c r="B1365" s="19">
        <v>46094</v>
      </c>
      <c r="E1365" s="10" t="s">
        <v>21</v>
      </c>
      <c r="I1365" s="20">
        <v>4</v>
      </c>
      <c r="K1365" s="19">
        <v>46097</v>
      </c>
      <c r="L1365" s="24">
        <v>9</v>
      </c>
      <c r="M1365" s="19">
        <v>46107</v>
      </c>
      <c r="Q1365" t="s">
        <v>4</v>
      </c>
    </row>
    <row r="1366" spans="1:17" x14ac:dyDescent="0.25">
      <c r="A1366" s="21">
        <v>3190</v>
      </c>
      <c r="B1366" s="19">
        <v>46095</v>
      </c>
      <c r="E1366" s="10" t="s">
        <v>32</v>
      </c>
      <c r="I1366" s="20">
        <v>4</v>
      </c>
      <c r="K1366" s="19">
        <v>46098</v>
      </c>
      <c r="L1366" s="23">
        <v>3</v>
      </c>
      <c r="M1366" s="19">
        <v>46102</v>
      </c>
      <c r="N1366" t="s">
        <v>3</v>
      </c>
    </row>
    <row r="1367" spans="1:17" x14ac:dyDescent="0.25">
      <c r="A1367" s="21">
        <v>4260</v>
      </c>
      <c r="B1367" s="19">
        <v>46095</v>
      </c>
      <c r="E1367" s="10" t="s">
        <v>21</v>
      </c>
      <c r="I1367" s="20">
        <v>4</v>
      </c>
      <c r="K1367" s="19">
        <v>46098</v>
      </c>
      <c r="L1367" s="24">
        <v>9</v>
      </c>
      <c r="M1367" s="19">
        <v>46108</v>
      </c>
      <c r="Q1367" t="s">
        <v>4</v>
      </c>
    </row>
    <row r="1368" spans="1:17" x14ac:dyDescent="0.25">
      <c r="A1368" s="21">
        <v>5052</v>
      </c>
      <c r="B1368" s="19">
        <v>46095</v>
      </c>
      <c r="E1368" s="10" t="s">
        <v>32</v>
      </c>
      <c r="I1368" s="20">
        <v>4</v>
      </c>
      <c r="K1368" s="19">
        <v>46098</v>
      </c>
      <c r="L1368" s="23">
        <v>3</v>
      </c>
      <c r="M1368" s="19">
        <v>46102</v>
      </c>
      <c r="Q1368" t="s">
        <v>4</v>
      </c>
    </row>
    <row r="1369" spans="1:17" x14ac:dyDescent="0.25">
      <c r="A1369" s="21">
        <v>4457</v>
      </c>
      <c r="B1369" s="19">
        <v>46096</v>
      </c>
      <c r="E1369" s="10" t="s">
        <v>32</v>
      </c>
      <c r="I1369" s="20">
        <v>4</v>
      </c>
      <c r="K1369" s="19">
        <v>46099</v>
      </c>
      <c r="L1369" s="24">
        <v>3</v>
      </c>
      <c r="M1369" s="19">
        <v>46103</v>
      </c>
      <c r="P1369" t="s">
        <v>1</v>
      </c>
    </row>
    <row r="1370" spans="1:17" x14ac:dyDescent="0.25">
      <c r="A1370" s="21">
        <v>3483</v>
      </c>
      <c r="B1370" s="19">
        <v>46097</v>
      </c>
      <c r="E1370" s="10" t="s">
        <v>25</v>
      </c>
      <c r="I1370" s="20">
        <v>4</v>
      </c>
      <c r="K1370" s="19">
        <v>46100</v>
      </c>
      <c r="L1370" s="23">
        <v>3</v>
      </c>
      <c r="M1370" s="19">
        <v>46104</v>
      </c>
      <c r="O1370" t="s">
        <v>5</v>
      </c>
    </row>
    <row r="1371" spans="1:17" x14ac:dyDescent="0.25">
      <c r="A1371" s="21">
        <v>4917</v>
      </c>
      <c r="B1371" s="19">
        <v>46098</v>
      </c>
      <c r="E1371" s="10" t="s">
        <v>32</v>
      </c>
      <c r="I1371" s="20">
        <v>4</v>
      </c>
      <c r="K1371" s="19">
        <v>46101</v>
      </c>
      <c r="L1371" s="24">
        <v>3</v>
      </c>
      <c r="M1371" s="19">
        <v>46105</v>
      </c>
      <c r="Q1371" t="s">
        <v>4</v>
      </c>
    </row>
    <row r="1372" spans="1:17" x14ac:dyDescent="0.25">
      <c r="A1372" s="21">
        <v>3232</v>
      </c>
      <c r="B1372" s="19">
        <v>46098</v>
      </c>
      <c r="E1372" s="10" t="s">
        <v>21</v>
      </c>
      <c r="I1372" s="20">
        <v>4</v>
      </c>
      <c r="K1372" s="19">
        <v>46101</v>
      </c>
      <c r="L1372" s="23">
        <v>3</v>
      </c>
      <c r="M1372" s="19">
        <v>46105</v>
      </c>
      <c r="Q1372" t="s">
        <v>4</v>
      </c>
    </row>
    <row r="1373" spans="1:17" x14ac:dyDescent="0.25">
      <c r="A1373" s="21">
        <v>5052</v>
      </c>
      <c r="B1373" s="19">
        <v>46098</v>
      </c>
      <c r="E1373" s="10" t="s">
        <v>21</v>
      </c>
      <c r="I1373" s="20">
        <v>4</v>
      </c>
      <c r="K1373" s="19">
        <v>46101</v>
      </c>
      <c r="L1373" s="24">
        <v>3</v>
      </c>
      <c r="M1373" s="19">
        <v>46105</v>
      </c>
      <c r="P1373" t="s">
        <v>1</v>
      </c>
    </row>
    <row r="1374" spans="1:17" x14ac:dyDescent="0.25">
      <c r="A1374" s="21">
        <v>4204</v>
      </c>
      <c r="B1374" s="19">
        <v>46099</v>
      </c>
      <c r="E1374" s="10" t="s">
        <v>32</v>
      </c>
      <c r="I1374" s="20">
        <v>4</v>
      </c>
      <c r="K1374" s="19">
        <v>46102</v>
      </c>
      <c r="L1374" s="23">
        <v>3</v>
      </c>
      <c r="M1374" s="19">
        <v>46106</v>
      </c>
      <c r="P1374" t="s">
        <v>1</v>
      </c>
    </row>
    <row r="1375" spans="1:17" x14ac:dyDescent="0.25">
      <c r="A1375" s="21">
        <v>2108</v>
      </c>
      <c r="B1375" s="19">
        <v>46099</v>
      </c>
      <c r="E1375" s="10" t="s">
        <v>21</v>
      </c>
      <c r="I1375" s="20">
        <v>4</v>
      </c>
      <c r="K1375" s="19">
        <v>46102</v>
      </c>
      <c r="L1375" s="24">
        <v>3</v>
      </c>
      <c r="M1375" s="19">
        <v>46106</v>
      </c>
      <c r="Q1375" t="s">
        <v>4</v>
      </c>
    </row>
    <row r="1376" spans="1:17" x14ac:dyDescent="0.25">
      <c r="A1376" s="21">
        <v>4385</v>
      </c>
      <c r="B1376" s="19">
        <v>46102</v>
      </c>
      <c r="E1376" s="10" t="s">
        <v>21</v>
      </c>
      <c r="I1376" s="20">
        <v>4</v>
      </c>
      <c r="K1376" s="19">
        <v>46105</v>
      </c>
      <c r="L1376" s="23">
        <v>9</v>
      </c>
      <c r="M1376" s="19">
        <v>46115</v>
      </c>
      <c r="N1376" t="s">
        <v>3</v>
      </c>
    </row>
    <row r="1377" spans="1:17" x14ac:dyDescent="0.25">
      <c r="A1377" s="21">
        <v>4690</v>
      </c>
      <c r="B1377" s="19">
        <v>46103</v>
      </c>
      <c r="E1377" s="10" t="s">
        <v>32</v>
      </c>
      <c r="I1377" s="20">
        <v>4</v>
      </c>
      <c r="K1377" s="19">
        <v>46105</v>
      </c>
      <c r="L1377" s="24">
        <v>3</v>
      </c>
      <c r="M1377" s="19">
        <v>46109</v>
      </c>
      <c r="O1377" t="s">
        <v>5</v>
      </c>
    </row>
    <row r="1378" spans="1:17" x14ac:dyDescent="0.25">
      <c r="A1378" s="21">
        <v>5483</v>
      </c>
      <c r="B1378" s="19">
        <v>46104</v>
      </c>
      <c r="E1378" s="10" t="s">
        <v>32</v>
      </c>
      <c r="I1378" s="20">
        <v>4</v>
      </c>
      <c r="K1378" s="19">
        <v>46107</v>
      </c>
      <c r="L1378" s="23">
        <v>3</v>
      </c>
      <c r="M1378" s="19">
        <v>46117</v>
      </c>
      <c r="N1378" t="s">
        <v>3</v>
      </c>
    </row>
    <row r="1379" spans="1:17" x14ac:dyDescent="0.25">
      <c r="A1379" s="21">
        <v>3232</v>
      </c>
      <c r="B1379" s="19">
        <v>46104</v>
      </c>
      <c r="E1379" s="10" t="s">
        <v>20</v>
      </c>
      <c r="I1379" s="20">
        <v>4</v>
      </c>
      <c r="K1379" s="19">
        <v>46107</v>
      </c>
      <c r="L1379" s="24">
        <v>9</v>
      </c>
      <c r="M1379" s="19">
        <v>46117</v>
      </c>
      <c r="P1379" t="s">
        <v>1</v>
      </c>
    </row>
    <row r="1380" spans="1:17" x14ac:dyDescent="0.25">
      <c r="A1380" s="21">
        <v>3592</v>
      </c>
      <c r="B1380" s="19">
        <v>46104</v>
      </c>
      <c r="E1380" s="10" t="s">
        <v>20</v>
      </c>
      <c r="I1380" s="20">
        <v>4</v>
      </c>
      <c r="K1380" s="15">
        <v>46107</v>
      </c>
      <c r="L1380" s="23">
        <v>9</v>
      </c>
      <c r="M1380" s="19">
        <v>46117</v>
      </c>
      <c r="N1380" t="s">
        <v>3</v>
      </c>
      <c r="P1380" t="s">
        <v>1</v>
      </c>
    </row>
    <row r="1381" spans="1:17" x14ac:dyDescent="0.25">
      <c r="A1381" s="21">
        <v>3680</v>
      </c>
      <c r="B1381" s="19">
        <v>46104</v>
      </c>
      <c r="E1381" s="10" t="s">
        <v>20</v>
      </c>
      <c r="I1381" s="20">
        <v>4</v>
      </c>
      <c r="K1381" s="19">
        <v>46107</v>
      </c>
      <c r="L1381" s="24">
        <v>9</v>
      </c>
      <c r="M1381" s="19">
        <v>46117</v>
      </c>
      <c r="N1381" t="s">
        <v>3</v>
      </c>
    </row>
    <row r="1382" spans="1:17" x14ac:dyDescent="0.25">
      <c r="A1382" s="21">
        <v>4254</v>
      </c>
      <c r="B1382" s="19">
        <v>46104</v>
      </c>
      <c r="E1382" s="10" t="s">
        <v>20</v>
      </c>
      <c r="I1382" s="20">
        <v>4</v>
      </c>
      <c r="K1382" s="19">
        <v>46107</v>
      </c>
      <c r="L1382" s="23">
        <v>9</v>
      </c>
      <c r="M1382" s="19">
        <v>46117</v>
      </c>
      <c r="P1382" t="s">
        <v>1</v>
      </c>
    </row>
    <row r="1383" spans="1:17" x14ac:dyDescent="0.25">
      <c r="A1383" s="21">
        <v>3483</v>
      </c>
      <c r="B1383" s="19">
        <v>46104</v>
      </c>
      <c r="E1383" s="10" t="s">
        <v>20</v>
      </c>
      <c r="I1383" s="20">
        <v>4</v>
      </c>
      <c r="K1383" s="19">
        <v>46107</v>
      </c>
      <c r="L1383" s="24">
        <v>9</v>
      </c>
      <c r="M1383" s="19">
        <v>46117</v>
      </c>
      <c r="N1383" t="s">
        <v>3</v>
      </c>
    </row>
    <row r="1384" spans="1:17" x14ac:dyDescent="0.25">
      <c r="A1384" s="21">
        <v>4428</v>
      </c>
      <c r="B1384" s="19">
        <v>46103</v>
      </c>
      <c r="E1384" s="10" t="s">
        <v>32</v>
      </c>
      <c r="I1384" s="20">
        <v>4</v>
      </c>
      <c r="K1384" s="19">
        <v>46106</v>
      </c>
      <c r="L1384" s="23">
        <v>3</v>
      </c>
      <c r="M1384" s="19">
        <v>46110</v>
      </c>
      <c r="N1384" t="s">
        <v>3</v>
      </c>
    </row>
    <row r="1385" spans="1:17" x14ac:dyDescent="0.25">
      <c r="A1385" s="21">
        <v>3854</v>
      </c>
      <c r="B1385" s="19">
        <v>46104</v>
      </c>
      <c r="E1385" s="10" t="s">
        <v>20</v>
      </c>
      <c r="I1385" s="20">
        <v>4</v>
      </c>
      <c r="K1385" s="19">
        <v>46107</v>
      </c>
      <c r="L1385" s="24">
        <v>9</v>
      </c>
      <c r="M1385" s="19">
        <v>46117</v>
      </c>
      <c r="O1385" t="s">
        <v>5</v>
      </c>
    </row>
    <row r="1386" spans="1:17" x14ac:dyDescent="0.25">
      <c r="A1386" s="21">
        <v>3480</v>
      </c>
      <c r="B1386" s="19">
        <v>46104</v>
      </c>
      <c r="E1386" s="10" t="s">
        <v>0</v>
      </c>
      <c r="I1386" s="20">
        <v>4</v>
      </c>
      <c r="K1386" s="19">
        <v>46107</v>
      </c>
      <c r="L1386" s="23">
        <v>5</v>
      </c>
      <c r="M1386" s="19">
        <v>46113</v>
      </c>
      <c r="N1386" t="s">
        <v>3</v>
      </c>
    </row>
    <row r="1387" spans="1:17" x14ac:dyDescent="0.25">
      <c r="A1387" s="21">
        <v>4260</v>
      </c>
      <c r="B1387" s="19">
        <v>46105</v>
      </c>
      <c r="E1387" s="10" t="s">
        <v>20</v>
      </c>
      <c r="I1387" s="20">
        <v>4</v>
      </c>
      <c r="K1387" s="19">
        <v>46108</v>
      </c>
      <c r="L1387" s="24">
        <v>9</v>
      </c>
      <c r="M1387" s="19">
        <v>46118</v>
      </c>
      <c r="Q1387" t="s">
        <v>4</v>
      </c>
    </row>
    <row r="1388" spans="1:17" x14ac:dyDescent="0.25">
      <c r="A1388" s="21">
        <v>4690</v>
      </c>
      <c r="B1388" s="19">
        <v>46105</v>
      </c>
      <c r="E1388" s="10" t="s">
        <v>20</v>
      </c>
      <c r="I1388" s="20">
        <v>4</v>
      </c>
      <c r="K1388" s="19">
        <v>46108</v>
      </c>
      <c r="L1388" s="23">
        <v>9</v>
      </c>
      <c r="M1388" s="19">
        <v>46118</v>
      </c>
      <c r="O1388" t="s">
        <v>5</v>
      </c>
    </row>
    <row r="1389" spans="1:17" x14ac:dyDescent="0.25">
      <c r="A1389" s="21">
        <v>4229</v>
      </c>
      <c r="B1389" s="19">
        <v>46105</v>
      </c>
      <c r="E1389" s="10" t="s">
        <v>32</v>
      </c>
      <c r="I1389" s="20">
        <v>4</v>
      </c>
      <c r="K1389" s="19">
        <v>46108</v>
      </c>
      <c r="L1389" s="24">
        <v>3</v>
      </c>
      <c r="M1389" s="19">
        <v>46112</v>
      </c>
      <c r="N1389" t="s">
        <v>3</v>
      </c>
    </row>
    <row r="1390" spans="1:17" x14ac:dyDescent="0.25">
      <c r="A1390" s="21">
        <v>3007</v>
      </c>
      <c r="B1390" s="19">
        <v>46107</v>
      </c>
      <c r="E1390" s="10" t="s">
        <v>34</v>
      </c>
      <c r="I1390" s="20">
        <v>4</v>
      </c>
      <c r="K1390" s="19">
        <v>46110</v>
      </c>
      <c r="L1390" s="23">
        <v>3</v>
      </c>
      <c r="M1390" s="19">
        <v>46112</v>
      </c>
      <c r="P1390" t="s">
        <v>1</v>
      </c>
    </row>
    <row r="1391" spans="1:17" x14ac:dyDescent="0.25">
      <c r="A1391" s="21">
        <v>2545</v>
      </c>
      <c r="B1391" s="19">
        <v>46107</v>
      </c>
      <c r="E1391" s="10" t="s">
        <v>20</v>
      </c>
      <c r="I1391" s="20">
        <v>4</v>
      </c>
      <c r="K1391" s="19">
        <v>46110</v>
      </c>
      <c r="L1391" s="24">
        <v>9</v>
      </c>
      <c r="M1391" s="19">
        <v>46119</v>
      </c>
      <c r="N1391" t="s">
        <v>3</v>
      </c>
      <c r="O1391" t="s">
        <v>5</v>
      </c>
    </row>
    <row r="1392" spans="1:17" x14ac:dyDescent="0.25">
      <c r="A1392" s="21">
        <v>4970</v>
      </c>
      <c r="B1392" s="19">
        <v>46108</v>
      </c>
      <c r="E1392" s="10" t="s">
        <v>32</v>
      </c>
      <c r="I1392" s="20">
        <v>4</v>
      </c>
      <c r="K1392" s="19">
        <v>46111</v>
      </c>
      <c r="L1392" s="23">
        <v>3</v>
      </c>
      <c r="M1392" s="19">
        <v>46115</v>
      </c>
      <c r="O1392" t="s">
        <v>5</v>
      </c>
    </row>
    <row r="1393" spans="1:17" x14ac:dyDescent="0.25">
      <c r="A1393" s="21">
        <v>5063</v>
      </c>
      <c r="B1393" s="19">
        <v>46109</v>
      </c>
      <c r="E1393" s="10" t="s">
        <v>32</v>
      </c>
      <c r="I1393" s="20">
        <v>4</v>
      </c>
      <c r="K1393" s="19">
        <v>46112</v>
      </c>
      <c r="L1393" s="24">
        <v>3</v>
      </c>
      <c r="M1393" s="19">
        <v>46116</v>
      </c>
      <c r="Q1393" t="s">
        <v>4</v>
      </c>
    </row>
    <row r="1394" spans="1:17" x14ac:dyDescent="0.25">
      <c r="A1394" s="21">
        <v>3437</v>
      </c>
      <c r="B1394" s="19">
        <v>46110</v>
      </c>
      <c r="E1394" s="10" t="s">
        <v>32</v>
      </c>
      <c r="I1394" s="20">
        <v>4</v>
      </c>
      <c r="K1394" s="19">
        <v>46113</v>
      </c>
      <c r="L1394" s="23">
        <v>3</v>
      </c>
      <c r="M1394" s="19">
        <v>46117</v>
      </c>
      <c r="O1394" t="s">
        <v>5</v>
      </c>
    </row>
    <row r="1395" spans="1:17" x14ac:dyDescent="0.25">
      <c r="A1395" s="21">
        <v>3858</v>
      </c>
      <c r="B1395" s="19">
        <v>46110</v>
      </c>
      <c r="E1395" s="10" t="s">
        <v>32</v>
      </c>
      <c r="I1395" s="20">
        <v>4</v>
      </c>
      <c r="K1395" s="19">
        <v>46113</v>
      </c>
      <c r="L1395" s="24">
        <v>3</v>
      </c>
      <c r="M1395" s="19">
        <v>46117</v>
      </c>
      <c r="N1395" t="s">
        <v>3</v>
      </c>
    </row>
    <row r="1396" spans="1:17" x14ac:dyDescent="0.25">
      <c r="A1396" s="21">
        <v>3007</v>
      </c>
      <c r="B1396" s="19">
        <v>46111</v>
      </c>
      <c r="E1396" s="10" t="s">
        <v>21</v>
      </c>
      <c r="I1396" s="20">
        <v>4</v>
      </c>
      <c r="K1396" s="19">
        <v>46114</v>
      </c>
      <c r="L1396" s="23">
        <v>9</v>
      </c>
      <c r="M1396" s="19">
        <v>46124</v>
      </c>
      <c r="P1396" t="s">
        <v>1</v>
      </c>
      <c r="Q1396" t="s">
        <v>4</v>
      </c>
    </row>
    <row r="1397" spans="1:17" x14ac:dyDescent="0.25">
      <c r="A1397" s="21">
        <v>1051</v>
      </c>
      <c r="B1397" s="19">
        <v>46111</v>
      </c>
      <c r="E1397" s="10" t="s">
        <v>21</v>
      </c>
      <c r="I1397" s="20">
        <v>4</v>
      </c>
      <c r="K1397" s="19">
        <v>46114</v>
      </c>
      <c r="L1397" s="24">
        <v>9</v>
      </c>
      <c r="M1397" s="19">
        <v>46124</v>
      </c>
      <c r="Q1397" t="s">
        <v>4</v>
      </c>
    </row>
    <row r="1398" spans="1:17" x14ac:dyDescent="0.25">
      <c r="A1398" s="21">
        <v>4695</v>
      </c>
      <c r="B1398" s="19">
        <v>46111</v>
      </c>
      <c r="E1398" s="10" t="s">
        <v>32</v>
      </c>
      <c r="I1398" s="20">
        <v>4</v>
      </c>
      <c r="K1398" s="19">
        <v>46114</v>
      </c>
      <c r="L1398" s="23">
        <v>3</v>
      </c>
      <c r="M1398" s="19">
        <v>46118</v>
      </c>
      <c r="Q1398" t="s">
        <v>4</v>
      </c>
    </row>
    <row r="1399" spans="1:17" x14ac:dyDescent="0.25">
      <c r="A1399" s="21">
        <v>3305</v>
      </c>
      <c r="B1399" s="19">
        <v>46112</v>
      </c>
      <c r="E1399" s="10" t="s">
        <v>32</v>
      </c>
      <c r="I1399" s="20">
        <v>4</v>
      </c>
      <c r="K1399" s="19">
        <v>46115</v>
      </c>
      <c r="L1399" s="24">
        <v>3</v>
      </c>
      <c r="M1399" s="19">
        <v>46119</v>
      </c>
      <c r="P1399" t="s">
        <v>1</v>
      </c>
    </row>
    <row r="1400" spans="1:17" x14ac:dyDescent="0.25">
      <c r="A1400" s="21">
        <v>5194</v>
      </c>
      <c r="B1400" s="19">
        <v>46113</v>
      </c>
      <c r="E1400" s="10" t="s">
        <v>21</v>
      </c>
      <c r="I1400" s="20">
        <v>4</v>
      </c>
      <c r="K1400" s="19">
        <v>46116</v>
      </c>
      <c r="L1400" s="23">
        <v>9</v>
      </c>
      <c r="M1400" s="19">
        <v>46126</v>
      </c>
      <c r="Q1400" t="s">
        <v>4</v>
      </c>
    </row>
    <row r="1401" spans="1:17" x14ac:dyDescent="0.25">
      <c r="A1401" s="21">
        <v>3870</v>
      </c>
      <c r="B1401" s="19">
        <v>46113</v>
      </c>
      <c r="E1401" s="10" t="s">
        <v>32</v>
      </c>
      <c r="I1401" s="20">
        <v>4</v>
      </c>
      <c r="K1401" s="19">
        <v>46116</v>
      </c>
      <c r="L1401" s="24">
        <v>3</v>
      </c>
      <c r="M1401" s="19">
        <v>46120</v>
      </c>
      <c r="O1401" t="s">
        <v>5</v>
      </c>
    </row>
    <row r="1402" spans="1:17" x14ac:dyDescent="0.25">
      <c r="A1402" s="21">
        <v>4790</v>
      </c>
      <c r="B1402" s="19">
        <v>46113</v>
      </c>
      <c r="E1402" s="10" t="s">
        <v>32</v>
      </c>
      <c r="I1402" s="20">
        <v>4</v>
      </c>
      <c r="K1402" s="19">
        <v>46116</v>
      </c>
      <c r="L1402" s="23">
        <v>3</v>
      </c>
      <c r="M1402" s="19">
        <v>46120</v>
      </c>
      <c r="N1402" t="s">
        <v>3</v>
      </c>
    </row>
    <row r="1403" spans="1:17" x14ac:dyDescent="0.25">
      <c r="A1403" s="21">
        <v>2988</v>
      </c>
      <c r="B1403" s="19">
        <v>46114</v>
      </c>
      <c r="E1403" s="10" t="s">
        <v>34</v>
      </c>
      <c r="I1403" s="20">
        <v>4</v>
      </c>
      <c r="K1403" s="19">
        <v>46117</v>
      </c>
      <c r="L1403" s="24">
        <v>3</v>
      </c>
      <c r="M1403" s="19">
        <v>46121</v>
      </c>
      <c r="O1403" t="s">
        <v>5</v>
      </c>
    </row>
    <row r="1404" spans="1:17" x14ac:dyDescent="0.25">
      <c r="A1404" s="21">
        <v>4216</v>
      </c>
      <c r="B1404" s="19">
        <v>46114</v>
      </c>
      <c r="E1404" s="10" t="s">
        <v>34</v>
      </c>
      <c r="I1404" s="20">
        <v>4</v>
      </c>
      <c r="K1404" s="19">
        <v>46117</v>
      </c>
      <c r="L1404" s="23">
        <v>3</v>
      </c>
      <c r="M1404" s="19">
        <v>46121</v>
      </c>
      <c r="O1404" t="s">
        <v>5</v>
      </c>
    </row>
    <row r="1405" spans="1:17" x14ac:dyDescent="0.25">
      <c r="A1405" s="21">
        <v>5450</v>
      </c>
      <c r="B1405" s="19">
        <v>46115</v>
      </c>
      <c r="E1405" s="10" t="s">
        <v>7</v>
      </c>
      <c r="I1405" s="20">
        <v>4</v>
      </c>
      <c r="K1405" s="19">
        <v>46118</v>
      </c>
      <c r="L1405" s="24">
        <v>3</v>
      </c>
      <c r="M1405" s="19">
        <v>46122</v>
      </c>
      <c r="P1405" t="s">
        <v>1</v>
      </c>
    </row>
    <row r="1406" spans="1:17" x14ac:dyDescent="0.25">
      <c r="A1406" s="21">
        <v>3989</v>
      </c>
      <c r="B1406" s="19">
        <v>46115</v>
      </c>
      <c r="E1406" s="10" t="s">
        <v>7</v>
      </c>
      <c r="I1406" s="20">
        <v>4</v>
      </c>
      <c r="K1406" s="19">
        <v>46118</v>
      </c>
      <c r="L1406" s="23">
        <v>3</v>
      </c>
      <c r="M1406" s="19">
        <v>46122</v>
      </c>
      <c r="N1406" t="s">
        <v>3</v>
      </c>
    </row>
    <row r="1407" spans="1:17" x14ac:dyDescent="0.25">
      <c r="A1407" s="21">
        <v>2931</v>
      </c>
      <c r="B1407" s="19">
        <v>46116</v>
      </c>
      <c r="E1407" s="10" t="s">
        <v>32</v>
      </c>
      <c r="I1407" s="20">
        <v>4</v>
      </c>
      <c r="K1407" s="19">
        <v>46119</v>
      </c>
      <c r="L1407" s="24">
        <v>3</v>
      </c>
      <c r="M1407" s="19">
        <v>46123</v>
      </c>
      <c r="P1407" t="s">
        <v>1</v>
      </c>
    </row>
    <row r="1408" spans="1:17" x14ac:dyDescent="0.25">
      <c r="A1408" s="21">
        <v>3940</v>
      </c>
      <c r="B1408" s="19">
        <v>46118</v>
      </c>
      <c r="E1408" s="10" t="s">
        <v>20</v>
      </c>
      <c r="I1408" s="20">
        <v>4</v>
      </c>
      <c r="K1408" s="19">
        <v>46121</v>
      </c>
      <c r="L1408" s="23">
        <v>9</v>
      </c>
      <c r="M1408" s="19">
        <v>46131</v>
      </c>
      <c r="N1408" t="s">
        <v>3</v>
      </c>
      <c r="P1408" t="s">
        <v>1</v>
      </c>
    </row>
    <row r="1409" spans="1:17" x14ac:dyDescent="0.25">
      <c r="A1409" s="21">
        <v>3341</v>
      </c>
      <c r="B1409" s="19">
        <v>46118</v>
      </c>
      <c r="E1409" s="10" t="s">
        <v>20</v>
      </c>
      <c r="I1409" s="20">
        <v>4</v>
      </c>
      <c r="K1409" s="19">
        <v>46121</v>
      </c>
      <c r="L1409" s="24">
        <v>9</v>
      </c>
      <c r="M1409" s="19">
        <v>46131</v>
      </c>
      <c r="N1409" t="s">
        <v>3</v>
      </c>
    </row>
    <row r="1410" spans="1:17" x14ac:dyDescent="0.25">
      <c r="A1410" s="21">
        <v>3223</v>
      </c>
      <c r="B1410" s="19">
        <v>46118</v>
      </c>
      <c r="E1410" s="10" t="s">
        <v>7</v>
      </c>
      <c r="I1410" s="20">
        <v>4</v>
      </c>
      <c r="K1410" s="19">
        <v>46121</v>
      </c>
      <c r="L1410" s="23">
        <v>3</v>
      </c>
      <c r="M1410" s="19">
        <v>46125</v>
      </c>
      <c r="O1410" t="s">
        <v>5</v>
      </c>
    </row>
    <row r="1411" spans="1:17" x14ac:dyDescent="0.25">
      <c r="A1411" s="21">
        <v>4370</v>
      </c>
      <c r="B1411" s="19">
        <v>46117</v>
      </c>
      <c r="E1411" s="10" t="s">
        <v>32</v>
      </c>
      <c r="I1411" s="20">
        <v>4</v>
      </c>
      <c r="K1411" s="19">
        <v>46273</v>
      </c>
      <c r="L1411" s="24">
        <v>3</v>
      </c>
      <c r="M1411" s="19">
        <v>46124</v>
      </c>
      <c r="N1411" t="s">
        <v>3</v>
      </c>
    </row>
    <row r="1412" spans="1:17" x14ac:dyDescent="0.25">
      <c r="A1412" s="21">
        <v>4067</v>
      </c>
      <c r="B1412" s="19">
        <v>46118</v>
      </c>
      <c r="E1412" s="10" t="s">
        <v>20</v>
      </c>
      <c r="I1412" s="20">
        <v>4</v>
      </c>
      <c r="K1412" s="19">
        <v>46121</v>
      </c>
      <c r="L1412" s="23">
        <v>9</v>
      </c>
      <c r="M1412" s="19">
        <v>46131</v>
      </c>
      <c r="N1412" t="s">
        <v>3</v>
      </c>
    </row>
    <row r="1413" spans="1:17" x14ac:dyDescent="0.25">
      <c r="A1413" s="21">
        <v>3158</v>
      </c>
      <c r="B1413" s="19">
        <v>46118</v>
      </c>
      <c r="E1413" s="10" t="s">
        <v>20</v>
      </c>
      <c r="I1413" s="20">
        <v>4</v>
      </c>
      <c r="K1413" s="19">
        <v>46121</v>
      </c>
      <c r="L1413" s="24">
        <v>9</v>
      </c>
      <c r="M1413" s="19">
        <v>46131</v>
      </c>
      <c r="O1413" t="s">
        <v>5</v>
      </c>
    </row>
    <row r="1414" spans="1:17" x14ac:dyDescent="0.25">
      <c r="A1414" s="21">
        <v>4970</v>
      </c>
      <c r="B1414" s="19">
        <v>46119</v>
      </c>
      <c r="E1414" s="10" t="s">
        <v>20</v>
      </c>
      <c r="I1414" s="20">
        <v>4</v>
      </c>
      <c r="K1414" s="19">
        <v>46122</v>
      </c>
      <c r="L1414" s="23">
        <v>9</v>
      </c>
      <c r="M1414" s="19">
        <v>46132</v>
      </c>
      <c r="O1414" t="s">
        <v>5</v>
      </c>
    </row>
    <row r="1415" spans="1:17" x14ac:dyDescent="0.25">
      <c r="A1415" s="21">
        <v>5350</v>
      </c>
      <c r="B1415" s="19">
        <v>46120</v>
      </c>
      <c r="E1415" s="10" t="s">
        <v>20</v>
      </c>
      <c r="I1415" s="20">
        <v>4</v>
      </c>
      <c r="K1415" s="19">
        <v>46123</v>
      </c>
      <c r="L1415" s="24">
        <v>9</v>
      </c>
      <c r="M1415" s="19">
        <v>46133</v>
      </c>
      <c r="P1415" t="s">
        <v>1</v>
      </c>
    </row>
    <row r="1416" spans="1:17" x14ac:dyDescent="0.25">
      <c r="A1416" s="21">
        <v>3624</v>
      </c>
      <c r="B1416" s="19">
        <v>46120</v>
      </c>
      <c r="E1416" s="10" t="s">
        <v>7</v>
      </c>
      <c r="I1416" s="20">
        <v>4</v>
      </c>
      <c r="K1416" s="19">
        <v>46123</v>
      </c>
      <c r="L1416" s="23">
        <v>3</v>
      </c>
      <c r="M1416" s="19">
        <v>46127</v>
      </c>
      <c r="O1416" t="s">
        <v>5</v>
      </c>
    </row>
    <row r="1417" spans="1:17" x14ac:dyDescent="0.25">
      <c r="A1417" s="21">
        <v>3617</v>
      </c>
      <c r="B1417" s="19">
        <v>46121</v>
      </c>
      <c r="E1417" s="10" t="s">
        <v>20</v>
      </c>
      <c r="I1417" s="20">
        <v>4</v>
      </c>
      <c r="K1417" s="19">
        <v>46124</v>
      </c>
      <c r="L1417" s="24">
        <v>9</v>
      </c>
      <c r="M1417" s="19">
        <v>46134</v>
      </c>
      <c r="N1417" t="s">
        <v>3</v>
      </c>
      <c r="Q1417" t="s">
        <v>4</v>
      </c>
    </row>
    <row r="1418" spans="1:17" x14ac:dyDescent="0.25">
      <c r="A1418" s="21">
        <v>3597</v>
      </c>
      <c r="B1418" s="19">
        <v>46122</v>
      </c>
      <c r="E1418" s="10" t="s">
        <v>7</v>
      </c>
      <c r="I1418" s="20">
        <v>4</v>
      </c>
      <c r="K1418" s="19">
        <v>46125</v>
      </c>
      <c r="L1418" s="23">
        <v>3</v>
      </c>
      <c r="M1418" s="19">
        <v>46129</v>
      </c>
      <c r="O1418" t="s">
        <v>5</v>
      </c>
    </row>
    <row r="1419" spans="1:17" x14ac:dyDescent="0.25">
      <c r="A1419" s="21">
        <v>5018</v>
      </c>
      <c r="B1419" s="19">
        <v>46123</v>
      </c>
      <c r="E1419" s="10" t="s">
        <v>7</v>
      </c>
      <c r="I1419" s="20">
        <v>4</v>
      </c>
      <c r="K1419" s="19">
        <v>46126</v>
      </c>
      <c r="L1419" s="24">
        <v>3</v>
      </c>
      <c r="M1419" s="19">
        <v>46130</v>
      </c>
      <c r="O1419" t="s">
        <v>5</v>
      </c>
    </row>
    <row r="1420" spans="1:17" x14ac:dyDescent="0.25">
      <c r="A1420" s="21">
        <v>3223</v>
      </c>
      <c r="B1420" s="19">
        <v>46123</v>
      </c>
      <c r="E1420" s="10" t="s">
        <v>34</v>
      </c>
      <c r="I1420" s="20">
        <v>4</v>
      </c>
      <c r="K1420" s="19">
        <v>46126</v>
      </c>
      <c r="L1420" s="23">
        <v>3</v>
      </c>
      <c r="M1420" s="19">
        <v>46130</v>
      </c>
      <c r="O1420" t="s">
        <v>5</v>
      </c>
    </row>
    <row r="1421" spans="1:17" x14ac:dyDescent="0.25">
      <c r="A1421" s="21">
        <v>4488</v>
      </c>
      <c r="B1421" s="19">
        <v>46123</v>
      </c>
      <c r="E1421" s="10" t="s">
        <v>7</v>
      </c>
      <c r="I1421" s="20">
        <v>4</v>
      </c>
      <c r="K1421" s="19">
        <v>46126</v>
      </c>
      <c r="L1421" s="24">
        <v>3</v>
      </c>
      <c r="M1421" s="19">
        <v>46130</v>
      </c>
      <c r="P1421" t="s">
        <v>1</v>
      </c>
    </row>
    <row r="1422" spans="1:17" x14ac:dyDescent="0.25">
      <c r="A1422" s="21">
        <v>3450</v>
      </c>
      <c r="B1422" s="19">
        <v>46123</v>
      </c>
      <c r="E1422" s="10" t="s">
        <v>20</v>
      </c>
      <c r="I1422" s="20">
        <v>4</v>
      </c>
      <c r="K1422" s="19">
        <v>46126</v>
      </c>
      <c r="L1422" s="23">
        <v>9</v>
      </c>
      <c r="M1422" s="19">
        <v>46136</v>
      </c>
      <c r="O1422" t="s">
        <v>5</v>
      </c>
      <c r="Q1422" t="s">
        <v>4</v>
      </c>
    </row>
    <row r="1423" spans="1:17" x14ac:dyDescent="0.25">
      <c r="A1423" s="21">
        <v>4204</v>
      </c>
      <c r="B1423" s="19">
        <v>46124</v>
      </c>
      <c r="E1423" s="10" t="s">
        <v>7</v>
      </c>
      <c r="I1423" s="20">
        <v>4</v>
      </c>
      <c r="K1423" s="19">
        <v>46128</v>
      </c>
      <c r="L1423" s="24">
        <v>3</v>
      </c>
      <c r="M1423" s="19">
        <v>46132</v>
      </c>
      <c r="O1423" t="s">
        <v>5</v>
      </c>
    </row>
    <row r="1424" spans="1:17" x14ac:dyDescent="0.25">
      <c r="A1424" s="21">
        <v>4983</v>
      </c>
      <c r="B1424" s="19">
        <v>46124</v>
      </c>
      <c r="E1424" s="10" t="s">
        <v>7</v>
      </c>
      <c r="I1424" s="20">
        <v>4</v>
      </c>
      <c r="K1424" s="19">
        <v>46128</v>
      </c>
      <c r="L1424" s="23">
        <v>3</v>
      </c>
      <c r="M1424" s="19">
        <v>46132</v>
      </c>
      <c r="O1424" t="s">
        <v>5</v>
      </c>
    </row>
    <row r="1425" spans="1:17" x14ac:dyDescent="0.25">
      <c r="A1425" s="21">
        <v>3805</v>
      </c>
      <c r="B1425" s="19">
        <v>46125</v>
      </c>
      <c r="E1425" s="10" t="s">
        <v>7</v>
      </c>
      <c r="I1425" s="20">
        <v>4</v>
      </c>
      <c r="K1425" s="19">
        <v>46128</v>
      </c>
      <c r="L1425" s="24">
        <v>3</v>
      </c>
      <c r="M1425" s="19">
        <v>46132</v>
      </c>
      <c r="N1425" t="s">
        <v>3</v>
      </c>
    </row>
    <row r="1426" spans="1:17" x14ac:dyDescent="0.25">
      <c r="A1426" s="21">
        <v>4677</v>
      </c>
      <c r="B1426" s="19">
        <v>46125</v>
      </c>
      <c r="E1426" s="10" t="s">
        <v>7</v>
      </c>
      <c r="I1426" s="20">
        <v>4</v>
      </c>
      <c r="K1426" s="19">
        <v>46128</v>
      </c>
      <c r="L1426" s="23">
        <v>3</v>
      </c>
      <c r="M1426" s="19">
        <v>46132</v>
      </c>
      <c r="N1426" t="s">
        <v>3</v>
      </c>
    </row>
    <row r="1427" spans="1:17" x14ac:dyDescent="0.25">
      <c r="A1427" s="21">
        <v>4488</v>
      </c>
      <c r="B1427" s="19">
        <v>46126</v>
      </c>
      <c r="E1427" s="10" t="s">
        <v>20</v>
      </c>
      <c r="I1427" s="20">
        <v>4</v>
      </c>
      <c r="K1427" s="19">
        <v>46129</v>
      </c>
      <c r="L1427" s="24">
        <v>9</v>
      </c>
      <c r="M1427" s="19">
        <v>46139</v>
      </c>
      <c r="P1427" t="s">
        <v>1</v>
      </c>
    </row>
    <row r="1428" spans="1:17" x14ac:dyDescent="0.25">
      <c r="A1428" s="21">
        <v>4006</v>
      </c>
      <c r="B1428" s="19">
        <v>46127</v>
      </c>
      <c r="E1428" s="10" t="s">
        <v>7</v>
      </c>
      <c r="I1428" s="20">
        <v>4</v>
      </c>
      <c r="K1428" s="19">
        <v>46130</v>
      </c>
      <c r="L1428" s="23">
        <v>3</v>
      </c>
      <c r="M1428" s="19">
        <v>46134</v>
      </c>
      <c r="N1428" t="s">
        <v>3</v>
      </c>
    </row>
    <row r="1429" spans="1:17" x14ac:dyDescent="0.25">
      <c r="A1429" s="21">
        <v>4951</v>
      </c>
      <c r="B1429" s="19">
        <v>46127</v>
      </c>
      <c r="E1429" s="10" t="s">
        <v>7</v>
      </c>
      <c r="I1429" s="20">
        <v>4</v>
      </c>
      <c r="K1429" s="19">
        <v>46130</v>
      </c>
      <c r="L1429" s="24">
        <v>3</v>
      </c>
      <c r="M1429" s="19">
        <v>46134</v>
      </c>
      <c r="P1429" t="s">
        <v>1</v>
      </c>
    </row>
    <row r="1430" spans="1:17" x14ac:dyDescent="0.25">
      <c r="A1430" s="21">
        <v>3288</v>
      </c>
      <c r="B1430" s="19">
        <v>46128</v>
      </c>
      <c r="E1430" s="10" t="s">
        <v>34</v>
      </c>
      <c r="I1430" s="20">
        <v>4</v>
      </c>
      <c r="K1430" s="19">
        <v>46131</v>
      </c>
      <c r="L1430" s="23">
        <v>3</v>
      </c>
      <c r="M1430" s="19">
        <v>46135</v>
      </c>
      <c r="N1430" t="s">
        <v>3</v>
      </c>
      <c r="P1430" t="s">
        <v>1</v>
      </c>
    </row>
    <row r="1431" spans="1:17" x14ac:dyDescent="0.25">
      <c r="A1431" s="21">
        <v>3846</v>
      </c>
      <c r="B1431" s="19">
        <v>46128</v>
      </c>
      <c r="E1431" s="10" t="s">
        <v>7</v>
      </c>
      <c r="I1431" s="20">
        <v>4</v>
      </c>
      <c r="K1431" s="19">
        <v>46131</v>
      </c>
      <c r="L1431" s="24">
        <v>3</v>
      </c>
      <c r="M1431" s="19">
        <v>46135</v>
      </c>
      <c r="N1431" t="s">
        <v>3</v>
      </c>
    </row>
    <row r="1432" spans="1:17" x14ac:dyDescent="0.25">
      <c r="A1432" s="21">
        <v>3223</v>
      </c>
      <c r="B1432" s="19">
        <v>46128</v>
      </c>
      <c r="E1432" s="10" t="s">
        <v>20</v>
      </c>
      <c r="I1432" s="20">
        <v>4</v>
      </c>
      <c r="K1432" s="19">
        <v>46128</v>
      </c>
      <c r="L1432" s="23">
        <v>9</v>
      </c>
      <c r="M1432" s="19">
        <v>46138</v>
      </c>
      <c r="N1432" s="19" t="s">
        <v>3</v>
      </c>
      <c r="P1432" t="s">
        <v>1</v>
      </c>
    </row>
    <row r="1433" spans="1:17" x14ac:dyDescent="0.25">
      <c r="A1433" s="21">
        <v>5333</v>
      </c>
      <c r="B1433" s="19">
        <v>46129</v>
      </c>
      <c r="E1433" s="10" t="s">
        <v>7</v>
      </c>
      <c r="I1433" s="20">
        <v>4</v>
      </c>
      <c r="K1433" s="19">
        <v>46132</v>
      </c>
      <c r="L1433" s="24">
        <v>3</v>
      </c>
      <c r="M1433" s="19">
        <v>46136</v>
      </c>
      <c r="P1433" t="s">
        <v>1</v>
      </c>
    </row>
    <row r="1434" spans="1:17" x14ac:dyDescent="0.25">
      <c r="A1434" s="21">
        <v>3177</v>
      </c>
      <c r="B1434" s="19">
        <v>46129</v>
      </c>
      <c r="E1434" s="10" t="s">
        <v>20</v>
      </c>
      <c r="I1434" s="20">
        <v>4</v>
      </c>
      <c r="K1434" s="19">
        <v>46132</v>
      </c>
      <c r="L1434" s="23">
        <v>9</v>
      </c>
      <c r="M1434" s="19">
        <v>46139</v>
      </c>
      <c r="N1434" t="s">
        <v>3</v>
      </c>
    </row>
    <row r="1435" spans="1:17" x14ac:dyDescent="0.25">
      <c r="A1435" s="21">
        <v>3480</v>
      </c>
      <c r="B1435" s="19">
        <v>46129</v>
      </c>
      <c r="E1435" s="10" t="s">
        <v>7</v>
      </c>
      <c r="I1435" s="20">
        <v>4</v>
      </c>
      <c r="K1435" s="19">
        <v>46132</v>
      </c>
      <c r="L1435" s="24">
        <v>3</v>
      </c>
      <c r="M1435" s="19">
        <v>46136</v>
      </c>
      <c r="O1435" t="s">
        <v>5</v>
      </c>
    </row>
    <row r="1436" spans="1:17" x14ac:dyDescent="0.25">
      <c r="A1436" s="21">
        <v>3480</v>
      </c>
      <c r="B1436" s="19">
        <v>46132</v>
      </c>
      <c r="E1436" s="10" t="s">
        <v>34</v>
      </c>
      <c r="I1436" s="20">
        <v>4</v>
      </c>
      <c r="K1436" s="19">
        <v>46135</v>
      </c>
      <c r="L1436" s="23">
        <v>3</v>
      </c>
      <c r="M1436" s="19">
        <v>46139</v>
      </c>
      <c r="O1436" t="s">
        <v>5</v>
      </c>
      <c r="P1436" t="s">
        <v>1</v>
      </c>
    </row>
    <row r="1437" spans="1:17" x14ac:dyDescent="0.25">
      <c r="A1437" s="21">
        <v>3500</v>
      </c>
      <c r="B1437" s="19">
        <v>46132</v>
      </c>
      <c r="E1437" s="10" t="s">
        <v>20</v>
      </c>
      <c r="I1437" s="20">
        <v>4</v>
      </c>
      <c r="K1437" s="19">
        <v>46135</v>
      </c>
      <c r="L1437" s="24">
        <v>9</v>
      </c>
      <c r="M1437" s="19">
        <v>46145</v>
      </c>
      <c r="P1437" t="s">
        <v>1</v>
      </c>
    </row>
    <row r="1438" spans="1:17" x14ac:dyDescent="0.25">
      <c r="A1438" s="21">
        <v>4687</v>
      </c>
      <c r="B1438" s="19">
        <v>46132</v>
      </c>
      <c r="E1438" s="10" t="s">
        <v>7</v>
      </c>
      <c r="I1438" s="20">
        <v>4</v>
      </c>
      <c r="K1438" s="19">
        <v>46135</v>
      </c>
      <c r="L1438" s="23">
        <v>3</v>
      </c>
      <c r="M1438" s="19">
        <v>46139</v>
      </c>
      <c r="O1438" t="s">
        <v>5</v>
      </c>
      <c r="P1438" t="s">
        <v>1</v>
      </c>
    </row>
    <row r="1439" spans="1:17" x14ac:dyDescent="0.25">
      <c r="A1439" s="21">
        <v>3383</v>
      </c>
      <c r="B1439" s="19">
        <v>46132</v>
      </c>
      <c r="E1439" s="10" t="s">
        <v>7</v>
      </c>
      <c r="I1439" s="20">
        <v>4</v>
      </c>
      <c r="K1439" s="19">
        <v>46135</v>
      </c>
      <c r="L1439" s="24">
        <v>3</v>
      </c>
      <c r="M1439" s="19">
        <v>46139</v>
      </c>
      <c r="Q1439" t="s">
        <v>4</v>
      </c>
    </row>
    <row r="1440" spans="1:17" x14ac:dyDescent="0.25">
      <c r="A1440" s="21">
        <v>4687</v>
      </c>
      <c r="B1440" s="19">
        <v>46132</v>
      </c>
      <c r="E1440" s="10" t="s">
        <v>7</v>
      </c>
      <c r="I1440" s="20">
        <v>4</v>
      </c>
      <c r="K1440" s="19">
        <v>46135</v>
      </c>
      <c r="L1440" s="23">
        <v>3</v>
      </c>
      <c r="M1440" s="19">
        <v>46139</v>
      </c>
      <c r="O1440" t="s">
        <v>5</v>
      </c>
      <c r="P1440" t="s">
        <v>1</v>
      </c>
    </row>
    <row r="1441" spans="1:17" x14ac:dyDescent="0.25">
      <c r="A1441" s="21">
        <v>4649</v>
      </c>
      <c r="B1441" s="19">
        <v>46133</v>
      </c>
      <c r="E1441" s="10" t="s">
        <v>7</v>
      </c>
      <c r="I1441" s="20">
        <v>4</v>
      </c>
      <c r="K1441" s="19">
        <v>46136</v>
      </c>
      <c r="L1441" s="24">
        <v>3</v>
      </c>
      <c r="M1441" s="19">
        <v>46140</v>
      </c>
      <c r="N1441" t="s">
        <v>3</v>
      </c>
    </row>
    <row r="1442" spans="1:17" x14ac:dyDescent="0.25">
      <c r="A1442" s="21">
        <v>1749</v>
      </c>
      <c r="B1442" s="19">
        <v>46134</v>
      </c>
      <c r="E1442" s="10" t="s">
        <v>20</v>
      </c>
      <c r="I1442" s="20">
        <v>4</v>
      </c>
      <c r="K1442" s="19">
        <v>46137</v>
      </c>
      <c r="L1442" s="23">
        <v>9</v>
      </c>
      <c r="M1442" s="19">
        <v>46147</v>
      </c>
      <c r="N1442" t="s">
        <v>3</v>
      </c>
      <c r="P1442" t="s">
        <v>1</v>
      </c>
    </row>
    <row r="1443" spans="1:17" x14ac:dyDescent="0.25">
      <c r="A1443" s="21">
        <v>3433</v>
      </c>
      <c r="B1443" s="19">
        <v>46135</v>
      </c>
      <c r="E1443" s="10" t="s">
        <v>20</v>
      </c>
      <c r="I1443" s="20">
        <v>4</v>
      </c>
      <c r="K1443" s="19">
        <v>46138</v>
      </c>
      <c r="L1443" s="24">
        <v>9</v>
      </c>
      <c r="M1443" s="19">
        <v>46148</v>
      </c>
      <c r="O1443" t="s">
        <v>5</v>
      </c>
      <c r="Q1443" t="s">
        <v>4</v>
      </c>
    </row>
    <row r="1444" spans="1:17" x14ac:dyDescent="0.25">
      <c r="A1444" s="21">
        <v>3846</v>
      </c>
      <c r="B1444" s="19">
        <v>46135</v>
      </c>
      <c r="E1444" s="10" t="s">
        <v>34</v>
      </c>
      <c r="I1444" s="20">
        <v>4</v>
      </c>
      <c r="K1444" s="19">
        <v>46138</v>
      </c>
      <c r="L1444" s="23">
        <v>3</v>
      </c>
      <c r="M1444" s="19">
        <v>46142</v>
      </c>
      <c r="N1444" t="s">
        <v>3</v>
      </c>
      <c r="O1444" t="s">
        <v>5</v>
      </c>
    </row>
    <row r="1445" spans="1:17" x14ac:dyDescent="0.25">
      <c r="A1445" s="21">
        <v>4370</v>
      </c>
      <c r="B1445" s="19">
        <v>46136</v>
      </c>
      <c r="E1445" s="10" t="s">
        <v>25</v>
      </c>
      <c r="I1445" s="20">
        <v>4</v>
      </c>
      <c r="K1445" s="19">
        <v>46139</v>
      </c>
      <c r="L1445" s="24">
        <v>5</v>
      </c>
      <c r="M1445" s="25">
        <v>46145</v>
      </c>
      <c r="O1445" t="s">
        <v>5</v>
      </c>
    </row>
    <row r="1446" spans="1:17" x14ac:dyDescent="0.25">
      <c r="A1446" s="21">
        <v>4687</v>
      </c>
      <c r="B1446" s="19">
        <v>46136</v>
      </c>
      <c r="E1446" s="10" t="s">
        <v>20</v>
      </c>
      <c r="I1446" s="20">
        <v>4</v>
      </c>
      <c r="K1446" s="19">
        <v>46139</v>
      </c>
      <c r="L1446" s="23">
        <v>9</v>
      </c>
      <c r="M1446" s="19">
        <v>46149</v>
      </c>
      <c r="O1446" t="s">
        <v>5</v>
      </c>
    </row>
    <row r="1447" spans="1:17" x14ac:dyDescent="0.25">
      <c r="A1447" s="21">
        <v>4163</v>
      </c>
      <c r="B1447" s="19">
        <v>46137</v>
      </c>
      <c r="E1447" s="10" t="s">
        <v>7</v>
      </c>
      <c r="I1447" s="20">
        <v>4</v>
      </c>
      <c r="K1447" s="19">
        <v>46140</v>
      </c>
      <c r="L1447" s="24">
        <v>3</v>
      </c>
      <c r="M1447" s="19">
        <v>46144</v>
      </c>
      <c r="P1447" t="s">
        <v>1</v>
      </c>
    </row>
    <row r="1448" spans="1:17" x14ac:dyDescent="0.25">
      <c r="A1448" s="21">
        <v>3480</v>
      </c>
      <c r="B1448" s="19">
        <v>46137</v>
      </c>
      <c r="E1448" s="10" t="s">
        <v>20</v>
      </c>
      <c r="I1448" s="20">
        <v>4</v>
      </c>
      <c r="K1448" s="19">
        <v>46140</v>
      </c>
      <c r="L1448" s="23">
        <v>9</v>
      </c>
      <c r="M1448" s="19">
        <v>46150</v>
      </c>
      <c r="O1448" t="s">
        <v>5</v>
      </c>
    </row>
    <row r="1449" spans="1:17" x14ac:dyDescent="0.25">
      <c r="A1449" s="21">
        <v>4649</v>
      </c>
      <c r="B1449" s="19">
        <v>46137</v>
      </c>
      <c r="E1449" s="10" t="s">
        <v>34</v>
      </c>
      <c r="I1449" s="20">
        <v>4</v>
      </c>
      <c r="K1449" s="19">
        <v>46140</v>
      </c>
      <c r="L1449" s="24">
        <v>3</v>
      </c>
      <c r="M1449" s="19">
        <v>46144</v>
      </c>
      <c r="N1449" t="s">
        <v>3</v>
      </c>
    </row>
    <row r="1450" spans="1:17" x14ac:dyDescent="0.25">
      <c r="A1450" s="21">
        <v>4041</v>
      </c>
      <c r="B1450" s="19">
        <v>46137</v>
      </c>
      <c r="E1450" s="10" t="s">
        <v>7</v>
      </c>
      <c r="I1450" s="20">
        <v>4</v>
      </c>
      <c r="K1450" s="19">
        <v>46140</v>
      </c>
      <c r="L1450" s="23">
        <v>3</v>
      </c>
      <c r="M1450" s="19">
        <v>46144</v>
      </c>
      <c r="N1450" t="s">
        <v>3</v>
      </c>
      <c r="O1450" t="s">
        <v>5</v>
      </c>
    </row>
    <row r="1451" spans="1:17" x14ac:dyDescent="0.25">
      <c r="A1451" s="21">
        <v>4444</v>
      </c>
      <c r="B1451" s="19">
        <v>46137</v>
      </c>
      <c r="E1451" s="10" t="s">
        <v>7</v>
      </c>
      <c r="I1451" s="20">
        <v>4</v>
      </c>
      <c r="K1451" s="19">
        <v>46140</v>
      </c>
      <c r="L1451" s="24">
        <v>3</v>
      </c>
      <c r="M1451" s="19">
        <v>46144</v>
      </c>
      <c r="Q1451" t="s">
        <v>4</v>
      </c>
    </row>
    <row r="1452" spans="1:17" x14ac:dyDescent="0.25">
      <c r="A1452" s="21">
        <v>3989</v>
      </c>
      <c r="B1452" s="19">
        <v>46137</v>
      </c>
      <c r="E1452" s="10" t="s">
        <v>7</v>
      </c>
      <c r="I1452" s="20">
        <v>4</v>
      </c>
      <c r="K1452" s="19">
        <v>46140</v>
      </c>
      <c r="L1452" s="23">
        <v>3</v>
      </c>
      <c r="M1452" s="19">
        <v>46144</v>
      </c>
      <c r="O1452" t="s">
        <v>5</v>
      </c>
      <c r="P1452" t="s">
        <v>1</v>
      </c>
    </row>
    <row r="1453" spans="1:17" x14ac:dyDescent="0.25">
      <c r="A1453" s="21">
        <v>2279</v>
      </c>
      <c r="B1453" s="19">
        <v>46137</v>
      </c>
      <c r="E1453" s="10" t="s">
        <v>7</v>
      </c>
      <c r="I1453" s="20">
        <v>4</v>
      </c>
      <c r="K1453" s="19">
        <v>46140</v>
      </c>
      <c r="L1453" s="24">
        <v>3</v>
      </c>
      <c r="M1453" s="19">
        <v>46144</v>
      </c>
      <c r="O1453" t="s">
        <v>5</v>
      </c>
    </row>
    <row r="1454" spans="1:17" x14ac:dyDescent="0.25">
      <c r="A1454" s="21">
        <v>3110</v>
      </c>
      <c r="B1454" s="19">
        <v>46137</v>
      </c>
      <c r="E1454" s="10" t="s">
        <v>7</v>
      </c>
      <c r="I1454" s="20">
        <v>4</v>
      </c>
      <c r="K1454" s="19">
        <v>46140</v>
      </c>
      <c r="L1454" s="23">
        <v>3</v>
      </c>
      <c r="M1454" s="19">
        <v>46144</v>
      </c>
      <c r="O1454" t="s">
        <v>5</v>
      </c>
    </row>
    <row r="1455" spans="1:17" x14ac:dyDescent="0.25">
      <c r="A1455" s="21">
        <v>2570</v>
      </c>
      <c r="B1455" s="19">
        <v>46137</v>
      </c>
      <c r="E1455" s="10" t="s">
        <v>7</v>
      </c>
      <c r="I1455" s="20">
        <v>4</v>
      </c>
      <c r="K1455" s="19">
        <v>46140</v>
      </c>
      <c r="L1455" s="24">
        <v>3</v>
      </c>
      <c r="M1455" s="19">
        <v>46144</v>
      </c>
      <c r="N1455" t="s">
        <v>3</v>
      </c>
      <c r="O1455" t="s">
        <v>5</v>
      </c>
      <c r="Q1455" t="s">
        <v>4</v>
      </c>
    </row>
    <row r="1456" spans="1:17" x14ac:dyDescent="0.25">
      <c r="A1456" s="21">
        <v>1203</v>
      </c>
      <c r="B1456" s="19">
        <v>46138</v>
      </c>
      <c r="E1456" s="10" t="s">
        <v>34</v>
      </c>
      <c r="I1456" s="20">
        <v>4</v>
      </c>
      <c r="K1456" s="19">
        <v>46141</v>
      </c>
      <c r="L1456" s="23">
        <v>3</v>
      </c>
      <c r="M1456" s="19">
        <v>46145</v>
      </c>
      <c r="Q1456" t="s">
        <v>4</v>
      </c>
    </row>
    <row r="1457" spans="1:17" x14ac:dyDescent="0.25">
      <c r="A1457" s="21">
        <v>2760</v>
      </c>
      <c r="B1457" s="19">
        <v>46139</v>
      </c>
      <c r="E1457" s="10" t="s">
        <v>34</v>
      </c>
      <c r="I1457" s="20">
        <v>4</v>
      </c>
      <c r="K1457" s="19">
        <v>46142</v>
      </c>
      <c r="L1457" s="24">
        <v>3</v>
      </c>
      <c r="M1457" s="19">
        <v>46146</v>
      </c>
      <c r="Q1457" t="s">
        <v>4</v>
      </c>
    </row>
    <row r="1458" spans="1:17" x14ac:dyDescent="0.25">
      <c r="A1458" s="21">
        <v>4895</v>
      </c>
      <c r="B1458" s="19">
        <v>46139</v>
      </c>
      <c r="E1458" s="10" t="s">
        <v>20</v>
      </c>
      <c r="I1458" s="20">
        <v>4</v>
      </c>
      <c r="K1458" s="19">
        <v>46142</v>
      </c>
      <c r="L1458" s="23">
        <v>9</v>
      </c>
      <c r="M1458" s="19">
        <v>46152</v>
      </c>
      <c r="P1458" t="s">
        <v>1</v>
      </c>
    </row>
    <row r="1459" spans="1:17" x14ac:dyDescent="0.25">
      <c r="A1459" s="21">
        <v>3146</v>
      </c>
      <c r="B1459" s="19">
        <v>46139</v>
      </c>
      <c r="E1459" s="10" t="s">
        <v>20</v>
      </c>
      <c r="I1459" s="20">
        <v>4</v>
      </c>
      <c r="K1459" s="19">
        <v>46142</v>
      </c>
      <c r="L1459" s="24">
        <v>9</v>
      </c>
      <c r="M1459" s="19">
        <v>46152</v>
      </c>
      <c r="Q1459" t="s">
        <v>4</v>
      </c>
    </row>
    <row r="1460" spans="1:17" x14ac:dyDescent="0.25">
      <c r="A1460" s="21">
        <v>2570</v>
      </c>
      <c r="B1460" s="19">
        <v>46141</v>
      </c>
      <c r="E1460" s="10" t="s">
        <v>34</v>
      </c>
      <c r="I1460" s="20">
        <v>4</v>
      </c>
      <c r="K1460" s="19">
        <v>46144</v>
      </c>
      <c r="L1460" s="23">
        <v>3</v>
      </c>
      <c r="M1460" s="19">
        <v>46148</v>
      </c>
      <c r="Q1460" t="s">
        <v>4</v>
      </c>
    </row>
    <row r="1461" spans="1:17" x14ac:dyDescent="0.25">
      <c r="A1461" s="21">
        <v>3334</v>
      </c>
      <c r="B1461" s="19">
        <v>46142</v>
      </c>
      <c r="E1461" s="10" t="s">
        <v>34</v>
      </c>
      <c r="I1461" s="20">
        <v>4</v>
      </c>
      <c r="K1461" s="19">
        <v>46145</v>
      </c>
      <c r="L1461" s="24">
        <v>3</v>
      </c>
      <c r="M1461" s="19">
        <v>46149</v>
      </c>
      <c r="N1461" t="s">
        <v>3</v>
      </c>
    </row>
    <row r="1462" spans="1:17" x14ac:dyDescent="0.25">
      <c r="A1462" s="21">
        <v>4649</v>
      </c>
      <c r="B1462" s="19">
        <v>46142</v>
      </c>
      <c r="E1462" s="10" t="s">
        <v>21</v>
      </c>
      <c r="I1462" s="20">
        <v>4</v>
      </c>
      <c r="K1462" s="19">
        <v>46145</v>
      </c>
      <c r="L1462" s="23">
        <v>9</v>
      </c>
      <c r="M1462" s="19">
        <v>46155</v>
      </c>
      <c r="N1462" t="s">
        <v>3</v>
      </c>
    </row>
    <row r="1463" spans="1:17" x14ac:dyDescent="0.25">
      <c r="A1463" s="21">
        <v>4476</v>
      </c>
      <c r="B1463" s="19">
        <v>46142</v>
      </c>
      <c r="E1463" s="10" t="s">
        <v>7</v>
      </c>
      <c r="I1463" s="20">
        <v>4</v>
      </c>
      <c r="K1463" s="19">
        <v>46145</v>
      </c>
      <c r="L1463" s="24">
        <v>3</v>
      </c>
      <c r="M1463" s="19">
        <v>46149</v>
      </c>
      <c r="O1463" t="s">
        <v>5</v>
      </c>
    </row>
    <row r="1464" spans="1:17" x14ac:dyDescent="0.25">
      <c r="A1464" s="21">
        <v>5351</v>
      </c>
      <c r="B1464" s="19">
        <v>46142</v>
      </c>
      <c r="E1464" s="10" t="s">
        <v>7</v>
      </c>
      <c r="I1464" s="20">
        <v>4</v>
      </c>
      <c r="K1464" s="19">
        <v>46145</v>
      </c>
      <c r="L1464" s="23">
        <v>3</v>
      </c>
      <c r="M1464" s="19">
        <v>46149</v>
      </c>
      <c r="P1464" t="s">
        <v>1</v>
      </c>
    </row>
    <row r="1465" spans="1:17" x14ac:dyDescent="0.25">
      <c r="A1465" s="21">
        <v>4330</v>
      </c>
      <c r="B1465" s="19">
        <v>46142</v>
      </c>
      <c r="E1465" s="10" t="s">
        <v>7</v>
      </c>
      <c r="I1465" s="20">
        <v>4</v>
      </c>
      <c r="K1465" s="19">
        <v>46145</v>
      </c>
      <c r="L1465" s="24">
        <v>3</v>
      </c>
      <c r="M1465" s="19">
        <v>46149</v>
      </c>
      <c r="N1465" t="s">
        <v>3</v>
      </c>
    </row>
    <row r="1466" spans="1:17" x14ac:dyDescent="0.25">
      <c r="A1466" s="21">
        <v>5041</v>
      </c>
      <c r="B1466" s="19">
        <v>46142</v>
      </c>
      <c r="E1466" s="10" t="s">
        <v>7</v>
      </c>
      <c r="I1466" s="20">
        <v>4</v>
      </c>
      <c r="K1466" s="19">
        <v>46145</v>
      </c>
      <c r="L1466" s="23">
        <v>3</v>
      </c>
      <c r="M1466" s="19">
        <v>46149</v>
      </c>
      <c r="Q1466" t="s">
        <v>4</v>
      </c>
    </row>
    <row r="1467" spans="1:17" x14ac:dyDescent="0.25">
      <c r="A1467" s="21">
        <v>2894</v>
      </c>
      <c r="B1467" s="19">
        <v>46142</v>
      </c>
      <c r="E1467" s="10" t="s">
        <v>7</v>
      </c>
      <c r="I1467" s="20">
        <v>4</v>
      </c>
      <c r="K1467" s="19">
        <v>46145</v>
      </c>
      <c r="L1467" s="24">
        <v>3</v>
      </c>
      <c r="M1467" s="19">
        <v>46149</v>
      </c>
      <c r="N1467" t="s">
        <v>3</v>
      </c>
    </row>
    <row r="1468" spans="1:17" x14ac:dyDescent="0.25">
      <c r="A1468" s="21">
        <v>3940</v>
      </c>
      <c r="B1468" s="19">
        <v>46142</v>
      </c>
      <c r="E1468" s="10" t="s">
        <v>7</v>
      </c>
      <c r="I1468" s="20">
        <v>4</v>
      </c>
      <c r="K1468" s="19">
        <v>46145</v>
      </c>
      <c r="L1468" s="23">
        <v>3</v>
      </c>
      <c r="M1468" s="19">
        <v>46149</v>
      </c>
      <c r="Q1468" t="s">
        <v>4</v>
      </c>
    </row>
    <row r="1469" spans="1:17" x14ac:dyDescent="0.25">
      <c r="A1469" s="21">
        <v>3383</v>
      </c>
      <c r="B1469" s="19">
        <v>46142</v>
      </c>
      <c r="E1469" s="10" t="s">
        <v>7</v>
      </c>
      <c r="I1469" s="20">
        <v>4</v>
      </c>
      <c r="K1469" s="19">
        <v>46145</v>
      </c>
      <c r="L1469" s="24">
        <v>3</v>
      </c>
      <c r="M1469" s="19">
        <v>46149</v>
      </c>
      <c r="Q1469" t="s">
        <v>4</v>
      </c>
    </row>
    <row r="1470" spans="1:17" x14ac:dyDescent="0.25">
      <c r="A1470" s="21">
        <v>4501</v>
      </c>
      <c r="B1470" s="19">
        <v>46142</v>
      </c>
      <c r="E1470" s="10" t="s">
        <v>7</v>
      </c>
      <c r="I1470" s="20">
        <v>4</v>
      </c>
      <c r="K1470" s="19">
        <v>46145</v>
      </c>
      <c r="L1470" s="23">
        <v>3</v>
      </c>
      <c r="M1470" s="19">
        <v>46149</v>
      </c>
      <c r="O1470" t="s">
        <v>5</v>
      </c>
    </row>
    <row r="1471" spans="1:17" x14ac:dyDescent="0.25">
      <c r="A1471" s="21">
        <v>5129</v>
      </c>
      <c r="B1471" s="19">
        <v>46142</v>
      </c>
      <c r="E1471" s="10" t="s">
        <v>21</v>
      </c>
      <c r="I1471" s="20">
        <v>4</v>
      </c>
      <c r="K1471" s="19">
        <v>46145</v>
      </c>
      <c r="L1471" s="24">
        <v>9</v>
      </c>
      <c r="M1471" s="19">
        <v>46155</v>
      </c>
      <c r="O1471" t="s">
        <v>5</v>
      </c>
    </row>
    <row r="1472" spans="1:17" x14ac:dyDescent="0.25">
      <c r="A1472" s="21">
        <v>4699</v>
      </c>
      <c r="B1472" s="19">
        <v>46143</v>
      </c>
      <c r="E1472" s="10" t="s">
        <v>7</v>
      </c>
      <c r="I1472" s="20">
        <v>4</v>
      </c>
      <c r="K1472" s="19">
        <v>46146</v>
      </c>
      <c r="L1472" s="23">
        <v>3</v>
      </c>
      <c r="M1472" s="19">
        <v>46150</v>
      </c>
      <c r="P1472" t="s">
        <v>1</v>
      </c>
    </row>
    <row r="1473" spans="1:17" x14ac:dyDescent="0.25">
      <c r="A1473" s="21">
        <v>3759</v>
      </c>
      <c r="B1473" s="19">
        <v>46142</v>
      </c>
      <c r="E1473" s="10" t="s">
        <v>7</v>
      </c>
      <c r="I1473" s="20">
        <v>4</v>
      </c>
      <c r="K1473" s="19">
        <v>46145</v>
      </c>
      <c r="L1473" s="24">
        <v>3</v>
      </c>
      <c r="M1473" s="19">
        <v>46149</v>
      </c>
      <c r="O1473" t="s">
        <v>5</v>
      </c>
    </row>
    <row r="1474" spans="1:17" x14ac:dyDescent="0.25">
      <c r="A1474" s="21">
        <v>3110</v>
      </c>
      <c r="B1474" s="19">
        <v>46143</v>
      </c>
      <c r="E1474" s="10" t="s">
        <v>21</v>
      </c>
      <c r="I1474" s="20">
        <v>4</v>
      </c>
      <c r="K1474" s="19">
        <v>46146</v>
      </c>
      <c r="L1474" s="23">
        <v>9</v>
      </c>
      <c r="M1474" s="19">
        <v>46156</v>
      </c>
      <c r="O1474" t="s">
        <v>5</v>
      </c>
    </row>
    <row r="1475" spans="1:17" x14ac:dyDescent="0.25">
      <c r="A1475" s="21">
        <v>3112</v>
      </c>
      <c r="B1475" s="19">
        <v>46144</v>
      </c>
      <c r="E1475" s="10" t="s">
        <v>7</v>
      </c>
      <c r="I1475" s="20">
        <v>4</v>
      </c>
      <c r="K1475" s="19">
        <v>46147</v>
      </c>
      <c r="L1475" s="24">
        <v>3</v>
      </c>
      <c r="M1475" s="19">
        <v>46151</v>
      </c>
      <c r="N1475" t="s">
        <v>3</v>
      </c>
    </row>
    <row r="1476" spans="1:17" x14ac:dyDescent="0.25">
      <c r="A1476" s="21">
        <v>4184</v>
      </c>
      <c r="B1476" s="19">
        <v>46144</v>
      </c>
      <c r="E1476" s="10" t="s">
        <v>7</v>
      </c>
      <c r="I1476" s="20">
        <v>4</v>
      </c>
      <c r="K1476" s="19">
        <v>46147</v>
      </c>
      <c r="L1476" s="23">
        <v>3</v>
      </c>
      <c r="M1476" s="19">
        <v>46151</v>
      </c>
    </row>
    <row r="1477" spans="1:17" x14ac:dyDescent="0.25">
      <c r="A1477" s="21">
        <v>2385</v>
      </c>
      <c r="B1477" s="19">
        <v>46145</v>
      </c>
      <c r="E1477" s="10" t="s">
        <v>7</v>
      </c>
      <c r="I1477" s="20">
        <v>4</v>
      </c>
      <c r="K1477" s="19">
        <v>46148</v>
      </c>
      <c r="L1477" s="24">
        <v>3</v>
      </c>
      <c r="M1477" s="19">
        <v>46152</v>
      </c>
      <c r="N1477" t="s">
        <v>3</v>
      </c>
    </row>
    <row r="1478" spans="1:17" x14ac:dyDescent="0.25">
      <c r="A1478" s="21">
        <v>2885</v>
      </c>
      <c r="B1478" s="19">
        <v>46145</v>
      </c>
      <c r="E1478" s="10" t="s">
        <v>7</v>
      </c>
      <c r="I1478" s="20">
        <v>4</v>
      </c>
      <c r="K1478" s="19">
        <v>46148</v>
      </c>
      <c r="L1478" s="23">
        <v>3</v>
      </c>
      <c r="M1478" s="19">
        <v>46152</v>
      </c>
      <c r="P1478" t="s">
        <v>1</v>
      </c>
      <c r="Q1478" t="s">
        <v>4</v>
      </c>
    </row>
    <row r="1479" spans="1:17" x14ac:dyDescent="0.25">
      <c r="A1479" s="21">
        <v>4419</v>
      </c>
      <c r="B1479" s="19">
        <v>46145</v>
      </c>
      <c r="E1479" s="10" t="s">
        <v>7</v>
      </c>
      <c r="I1479" s="20">
        <v>4</v>
      </c>
      <c r="K1479" s="19">
        <v>46148</v>
      </c>
      <c r="L1479" s="24">
        <v>3</v>
      </c>
      <c r="M1479" s="19">
        <v>46152</v>
      </c>
      <c r="P1479" t="s">
        <v>1</v>
      </c>
    </row>
    <row r="1480" spans="1:17" x14ac:dyDescent="0.25">
      <c r="A1480" s="21">
        <v>4285</v>
      </c>
      <c r="B1480" s="19">
        <v>46145</v>
      </c>
      <c r="E1480" s="10" t="s">
        <v>7</v>
      </c>
      <c r="I1480" s="20">
        <v>4</v>
      </c>
      <c r="K1480" s="19">
        <v>46148</v>
      </c>
      <c r="L1480" s="23">
        <v>3</v>
      </c>
      <c r="M1480" s="19">
        <v>46152</v>
      </c>
      <c r="O1480" t="s">
        <v>5</v>
      </c>
    </row>
    <row r="1481" spans="1:17" x14ac:dyDescent="0.25">
      <c r="A1481" s="21">
        <v>2570</v>
      </c>
      <c r="B1481" s="19">
        <v>46145</v>
      </c>
      <c r="E1481" s="10" t="s">
        <v>20</v>
      </c>
      <c r="I1481" s="20">
        <v>4</v>
      </c>
      <c r="K1481" s="19">
        <v>46148</v>
      </c>
      <c r="L1481" s="24">
        <v>9</v>
      </c>
      <c r="M1481" s="19">
        <v>46158</v>
      </c>
      <c r="P1481" t="s">
        <v>1</v>
      </c>
      <c r="Q1481" t="s">
        <v>4</v>
      </c>
    </row>
    <row r="1482" spans="1:17" x14ac:dyDescent="0.25">
      <c r="A1482" s="21">
        <v>4325</v>
      </c>
      <c r="B1482" s="19">
        <v>46146</v>
      </c>
      <c r="E1482" s="10" t="s">
        <v>20</v>
      </c>
      <c r="I1482" s="20">
        <v>4</v>
      </c>
      <c r="K1482" s="19">
        <v>46149</v>
      </c>
      <c r="L1482" s="23">
        <v>9</v>
      </c>
      <c r="M1482" s="19">
        <v>46159</v>
      </c>
      <c r="N1482" t="s">
        <v>3</v>
      </c>
    </row>
    <row r="1483" spans="1:17" x14ac:dyDescent="0.25">
      <c r="A1483" s="21">
        <v>3334</v>
      </c>
      <c r="B1483" s="19">
        <v>46146</v>
      </c>
      <c r="E1483" s="10" t="s">
        <v>20</v>
      </c>
      <c r="I1483" s="20">
        <v>4</v>
      </c>
      <c r="K1483" s="19">
        <v>46149</v>
      </c>
      <c r="L1483" s="24">
        <v>9</v>
      </c>
      <c r="M1483" s="19">
        <v>46159</v>
      </c>
      <c r="N1483" t="s">
        <v>3</v>
      </c>
      <c r="O1483" t="s">
        <v>5</v>
      </c>
    </row>
    <row r="1484" spans="1:17" x14ac:dyDescent="0.25">
      <c r="A1484" s="21">
        <v>3579</v>
      </c>
      <c r="B1484" s="19">
        <v>46146</v>
      </c>
      <c r="E1484" s="10" t="s">
        <v>7</v>
      </c>
      <c r="I1484" s="20">
        <v>4</v>
      </c>
      <c r="K1484" s="19">
        <v>46150</v>
      </c>
      <c r="L1484" s="23">
        <v>3</v>
      </c>
      <c r="M1484" s="19">
        <v>46154</v>
      </c>
      <c r="O1484" t="s">
        <v>5</v>
      </c>
      <c r="P1484" t="s">
        <v>1</v>
      </c>
    </row>
    <row r="1485" spans="1:17" x14ac:dyDescent="0.25">
      <c r="A1485" s="21">
        <v>3881</v>
      </c>
      <c r="B1485" s="19">
        <v>46146</v>
      </c>
      <c r="E1485" s="10" t="s">
        <v>7</v>
      </c>
      <c r="I1485" s="20">
        <v>4</v>
      </c>
      <c r="K1485" s="19">
        <v>46150</v>
      </c>
      <c r="L1485" s="24">
        <v>3</v>
      </c>
      <c r="M1485" s="19">
        <v>46154</v>
      </c>
      <c r="Q1485" t="s">
        <v>4</v>
      </c>
    </row>
    <row r="1486" spans="1:17" x14ac:dyDescent="0.25">
      <c r="A1486" s="21">
        <v>5569</v>
      </c>
      <c r="B1486" s="19">
        <v>46146</v>
      </c>
      <c r="E1486" s="10" t="s">
        <v>34</v>
      </c>
      <c r="I1486" s="20">
        <v>4</v>
      </c>
      <c r="K1486" s="19">
        <v>46150</v>
      </c>
      <c r="L1486" s="23">
        <v>3</v>
      </c>
      <c r="M1486" s="19">
        <v>46154</v>
      </c>
      <c r="O1486" t="s">
        <v>5</v>
      </c>
    </row>
    <row r="1487" spans="1:17" x14ac:dyDescent="0.25">
      <c r="A1487" s="21">
        <v>4385</v>
      </c>
      <c r="B1487" s="19">
        <v>46147</v>
      </c>
      <c r="E1487" s="10" t="s">
        <v>20</v>
      </c>
      <c r="I1487" s="20">
        <v>4</v>
      </c>
      <c r="K1487" s="19">
        <v>46151</v>
      </c>
      <c r="L1487" s="24">
        <v>9</v>
      </c>
      <c r="M1487" s="19">
        <v>46161</v>
      </c>
      <c r="N1487" t="s">
        <v>3</v>
      </c>
    </row>
    <row r="1488" spans="1:17" x14ac:dyDescent="0.25">
      <c r="A1488" s="21">
        <v>5108</v>
      </c>
      <c r="B1488" s="19">
        <v>46147</v>
      </c>
      <c r="E1488" s="10" t="s">
        <v>7</v>
      </c>
      <c r="I1488" s="20">
        <v>4</v>
      </c>
      <c r="K1488" s="19">
        <v>46151</v>
      </c>
      <c r="L1488" s="23">
        <v>3</v>
      </c>
      <c r="M1488" s="19">
        <v>46155</v>
      </c>
      <c r="N1488" t="s">
        <v>3</v>
      </c>
    </row>
    <row r="1489" spans="1:17" x14ac:dyDescent="0.25">
      <c r="A1489" s="21">
        <v>4699</v>
      </c>
      <c r="B1489" s="19">
        <v>46147</v>
      </c>
      <c r="E1489" s="10" t="s">
        <v>34</v>
      </c>
      <c r="I1489" s="20">
        <v>4</v>
      </c>
      <c r="K1489" s="19">
        <v>46151</v>
      </c>
      <c r="L1489" s="24">
        <v>3</v>
      </c>
      <c r="M1489" s="19">
        <v>46155</v>
      </c>
      <c r="P1489" t="s">
        <v>1</v>
      </c>
    </row>
    <row r="1490" spans="1:17" x14ac:dyDescent="0.25">
      <c r="A1490" s="21">
        <v>2894</v>
      </c>
      <c r="B1490" s="19">
        <v>46147</v>
      </c>
      <c r="E1490" s="10" t="s">
        <v>34</v>
      </c>
      <c r="I1490" s="20">
        <v>4</v>
      </c>
      <c r="K1490" s="19">
        <v>46151</v>
      </c>
      <c r="L1490" s="23">
        <v>3</v>
      </c>
      <c r="M1490" s="19">
        <v>46155</v>
      </c>
      <c r="N1490" t="s">
        <v>3</v>
      </c>
    </row>
    <row r="1491" spans="1:17" x14ac:dyDescent="0.25">
      <c r="A1491" s="21">
        <v>4269</v>
      </c>
      <c r="B1491" s="19">
        <v>46147</v>
      </c>
      <c r="E1491" s="10" t="s">
        <v>7</v>
      </c>
      <c r="I1491" s="20">
        <v>4</v>
      </c>
      <c r="K1491" s="19">
        <v>46151</v>
      </c>
      <c r="L1491" s="24">
        <v>3</v>
      </c>
      <c r="M1491" s="19">
        <v>46155</v>
      </c>
      <c r="O1491" t="s">
        <v>5</v>
      </c>
    </row>
    <row r="1492" spans="1:17" x14ac:dyDescent="0.25">
      <c r="A1492" s="21">
        <v>3295</v>
      </c>
      <c r="B1492" s="19">
        <v>46148</v>
      </c>
      <c r="E1492" s="10" t="s">
        <v>7</v>
      </c>
      <c r="I1492" s="20">
        <v>4</v>
      </c>
      <c r="K1492" s="19">
        <v>46151</v>
      </c>
      <c r="L1492" s="23">
        <v>3</v>
      </c>
      <c r="M1492" s="19">
        <v>46155</v>
      </c>
      <c r="O1492" t="s">
        <v>5</v>
      </c>
    </row>
    <row r="1493" spans="1:17" x14ac:dyDescent="0.25">
      <c r="A1493" s="21">
        <v>3613</v>
      </c>
      <c r="B1493" s="19">
        <v>46148</v>
      </c>
      <c r="E1493" s="10" t="s">
        <v>7</v>
      </c>
      <c r="I1493" s="20">
        <v>4</v>
      </c>
      <c r="K1493" s="19">
        <v>46151</v>
      </c>
      <c r="L1493" s="24">
        <v>3</v>
      </c>
      <c r="M1493" s="19">
        <v>46155</v>
      </c>
      <c r="O1493" t="s">
        <v>5</v>
      </c>
    </row>
    <row r="1494" spans="1:17" x14ac:dyDescent="0.25">
      <c r="A1494" s="21">
        <v>4326</v>
      </c>
      <c r="B1494" s="19">
        <v>46148</v>
      </c>
      <c r="E1494" s="10" t="s">
        <v>34</v>
      </c>
      <c r="I1494" s="20">
        <v>4</v>
      </c>
      <c r="K1494" s="19">
        <v>46151</v>
      </c>
      <c r="L1494" s="23">
        <v>3</v>
      </c>
      <c r="M1494" s="19">
        <v>46155</v>
      </c>
      <c r="N1494" t="s">
        <v>3</v>
      </c>
    </row>
    <row r="1495" spans="1:17" x14ac:dyDescent="0.25">
      <c r="A1495" s="21">
        <v>4655</v>
      </c>
      <c r="B1495" s="19">
        <v>46149</v>
      </c>
      <c r="E1495" s="10" t="s">
        <v>7</v>
      </c>
      <c r="I1495" s="20">
        <v>4</v>
      </c>
      <c r="K1495" s="19">
        <v>46152</v>
      </c>
      <c r="L1495" s="24">
        <v>3</v>
      </c>
      <c r="M1495" s="19">
        <v>46156</v>
      </c>
      <c r="N1495" t="s">
        <v>3</v>
      </c>
    </row>
    <row r="1496" spans="1:17" x14ac:dyDescent="0.25">
      <c r="A1496" s="21">
        <v>3494</v>
      </c>
      <c r="B1496" s="19">
        <v>46149</v>
      </c>
      <c r="E1496" s="10" t="s">
        <v>21</v>
      </c>
      <c r="I1496" s="20">
        <v>4</v>
      </c>
      <c r="K1496" s="19">
        <v>46152</v>
      </c>
      <c r="L1496" s="23">
        <v>9</v>
      </c>
      <c r="M1496" s="19">
        <v>46162</v>
      </c>
      <c r="N1496" t="s">
        <v>3</v>
      </c>
      <c r="O1496" t="s">
        <v>5</v>
      </c>
    </row>
    <row r="1497" spans="1:17" x14ac:dyDescent="0.25">
      <c r="A1497" s="21">
        <v>4456</v>
      </c>
      <c r="B1497" s="19">
        <v>46149</v>
      </c>
      <c r="E1497" s="10" t="s">
        <v>21</v>
      </c>
      <c r="I1497" s="20">
        <v>4</v>
      </c>
      <c r="K1497" s="19">
        <v>46152</v>
      </c>
      <c r="L1497" s="24">
        <v>9</v>
      </c>
      <c r="M1497" s="19">
        <v>46162</v>
      </c>
      <c r="N1497" t="s">
        <v>3</v>
      </c>
    </row>
    <row r="1498" spans="1:17" x14ac:dyDescent="0.25">
      <c r="A1498" s="21">
        <v>5769</v>
      </c>
      <c r="B1498" s="19">
        <v>46149</v>
      </c>
      <c r="E1498" s="10" t="s">
        <v>7</v>
      </c>
      <c r="I1498" s="20">
        <v>4</v>
      </c>
      <c r="K1498" s="19">
        <v>46152</v>
      </c>
      <c r="L1498" s="23">
        <v>3</v>
      </c>
      <c r="M1498" s="19">
        <v>46156</v>
      </c>
      <c r="Q1498" t="s">
        <v>4</v>
      </c>
    </row>
    <row r="1499" spans="1:17" x14ac:dyDescent="0.25">
      <c r="A1499" s="21">
        <v>3579</v>
      </c>
      <c r="B1499" s="19">
        <v>46150</v>
      </c>
      <c r="E1499" s="10" t="s">
        <v>35</v>
      </c>
      <c r="I1499" s="20">
        <v>4</v>
      </c>
      <c r="K1499" s="19">
        <v>46153</v>
      </c>
      <c r="L1499" s="24">
        <v>4</v>
      </c>
      <c r="M1499" s="19">
        <v>46158</v>
      </c>
      <c r="O1499" t="s">
        <v>5</v>
      </c>
      <c r="P1499" t="s">
        <v>1</v>
      </c>
      <c r="Q1499" t="s">
        <v>4</v>
      </c>
    </row>
    <row r="1500" spans="1:17" x14ac:dyDescent="0.25">
      <c r="A1500" s="21">
        <v>5569</v>
      </c>
      <c r="B1500" s="19">
        <v>46150</v>
      </c>
      <c r="E1500" s="10" t="s">
        <v>21</v>
      </c>
      <c r="I1500" s="20">
        <v>4</v>
      </c>
      <c r="K1500" s="19">
        <v>46153</v>
      </c>
      <c r="L1500" s="23">
        <v>9</v>
      </c>
      <c r="M1500" s="19">
        <v>46163</v>
      </c>
      <c r="O1500" t="s">
        <v>5</v>
      </c>
    </row>
    <row r="1501" spans="1:17" x14ac:dyDescent="0.25">
      <c r="A1501" s="21">
        <v>5350</v>
      </c>
      <c r="B1501" s="19">
        <v>46150</v>
      </c>
      <c r="E1501" s="10" t="s">
        <v>34</v>
      </c>
      <c r="I1501" s="20">
        <v>4</v>
      </c>
      <c r="K1501" s="19">
        <v>46153</v>
      </c>
      <c r="L1501" s="24">
        <v>3</v>
      </c>
      <c r="M1501" s="19">
        <v>46157</v>
      </c>
      <c r="P1501" t="s">
        <v>1</v>
      </c>
    </row>
    <row r="1502" spans="1:17" x14ac:dyDescent="0.25">
      <c r="A1502" s="21">
        <v>4216</v>
      </c>
      <c r="B1502" s="19">
        <v>46150</v>
      </c>
      <c r="E1502" s="10" t="s">
        <v>25</v>
      </c>
      <c r="I1502" s="20">
        <v>4</v>
      </c>
      <c r="K1502" s="19">
        <v>46153</v>
      </c>
      <c r="L1502" s="23">
        <v>5</v>
      </c>
      <c r="M1502" s="19">
        <v>46159</v>
      </c>
      <c r="O1502" t="s">
        <v>5</v>
      </c>
    </row>
    <row r="1503" spans="1:17" x14ac:dyDescent="0.25">
      <c r="A1503" s="21">
        <v>4006</v>
      </c>
      <c r="B1503" s="19">
        <v>46150</v>
      </c>
      <c r="E1503" s="10" t="s">
        <v>7</v>
      </c>
      <c r="I1503" s="20">
        <v>4</v>
      </c>
      <c r="K1503" s="19">
        <v>46153</v>
      </c>
      <c r="L1503" s="24">
        <v>3</v>
      </c>
      <c r="M1503" s="19">
        <v>46157</v>
      </c>
      <c r="O1503" t="s">
        <v>5</v>
      </c>
    </row>
    <row r="1504" spans="1:17" x14ac:dyDescent="0.25">
      <c r="A1504" s="21">
        <v>4205</v>
      </c>
      <c r="B1504" s="19">
        <v>46150</v>
      </c>
      <c r="E1504" s="10" t="s">
        <v>7</v>
      </c>
      <c r="I1504" s="20">
        <v>4</v>
      </c>
      <c r="K1504" s="19">
        <v>46153</v>
      </c>
      <c r="L1504" s="23">
        <v>3</v>
      </c>
      <c r="M1504" s="19">
        <v>46157</v>
      </c>
      <c r="O1504" t="s">
        <v>5</v>
      </c>
    </row>
    <row r="1505" spans="1:17" x14ac:dyDescent="0.25">
      <c r="A1505" s="21">
        <v>4578</v>
      </c>
      <c r="B1505" s="19">
        <v>46151</v>
      </c>
      <c r="E1505" s="10" t="s">
        <v>7</v>
      </c>
      <c r="I1505" s="20">
        <v>4</v>
      </c>
      <c r="K1505" s="19">
        <v>46154</v>
      </c>
      <c r="L1505" s="24">
        <v>3</v>
      </c>
      <c r="M1505" s="19">
        <v>46158</v>
      </c>
      <c r="N1505" t="s">
        <v>3</v>
      </c>
    </row>
    <row r="1506" spans="1:17" x14ac:dyDescent="0.25">
      <c r="A1506" s="21">
        <v>4289</v>
      </c>
      <c r="B1506" s="19">
        <v>46151</v>
      </c>
      <c r="E1506" s="10" t="s">
        <v>20</v>
      </c>
      <c r="I1506" s="20">
        <v>4</v>
      </c>
      <c r="K1506" s="19">
        <v>46154</v>
      </c>
      <c r="L1506" s="23">
        <v>9</v>
      </c>
      <c r="M1506" s="19">
        <v>46164</v>
      </c>
      <c r="Q1506" t="s">
        <v>4</v>
      </c>
    </row>
    <row r="1507" spans="1:17" x14ac:dyDescent="0.25">
      <c r="A1507" s="21">
        <v>4476</v>
      </c>
      <c r="B1507" s="19">
        <v>46151</v>
      </c>
      <c r="E1507" s="10" t="s">
        <v>25</v>
      </c>
      <c r="I1507" s="20">
        <v>4</v>
      </c>
      <c r="K1507" s="19">
        <v>46154</v>
      </c>
      <c r="L1507" s="24">
        <v>5</v>
      </c>
      <c r="M1507" s="19">
        <v>46160</v>
      </c>
      <c r="O1507" t="s">
        <v>5</v>
      </c>
    </row>
    <row r="1508" spans="1:17" x14ac:dyDescent="0.25">
      <c r="A1508" s="21">
        <v>3341</v>
      </c>
      <c r="B1508" s="19">
        <v>46151</v>
      </c>
      <c r="E1508" s="10" t="s">
        <v>20</v>
      </c>
      <c r="I1508" s="20">
        <v>4</v>
      </c>
      <c r="K1508" s="19">
        <v>46154</v>
      </c>
      <c r="L1508" s="23">
        <v>9</v>
      </c>
      <c r="M1508" s="19">
        <v>46164</v>
      </c>
      <c r="P1508" t="s">
        <v>1</v>
      </c>
    </row>
    <row r="1509" spans="1:17" x14ac:dyDescent="0.25">
      <c r="A1509" s="21">
        <v>3852</v>
      </c>
      <c r="B1509" s="19">
        <v>46152</v>
      </c>
      <c r="E1509" s="10" t="s">
        <v>7</v>
      </c>
      <c r="I1509" s="20">
        <v>4</v>
      </c>
      <c r="K1509" s="19">
        <v>46155</v>
      </c>
      <c r="L1509" s="24">
        <v>3</v>
      </c>
      <c r="M1509" s="19">
        <v>46159</v>
      </c>
      <c r="N1509" t="s">
        <v>3</v>
      </c>
    </row>
    <row r="1510" spans="1:17" x14ac:dyDescent="0.25">
      <c r="A1510" s="21">
        <v>5108</v>
      </c>
      <c r="B1510" s="19">
        <v>46153</v>
      </c>
      <c r="E1510" s="10" t="s">
        <v>34</v>
      </c>
      <c r="I1510" s="20">
        <v>4</v>
      </c>
      <c r="K1510" s="19">
        <v>46156</v>
      </c>
      <c r="L1510" s="23">
        <v>3</v>
      </c>
      <c r="M1510" s="19">
        <v>46160</v>
      </c>
      <c r="N1510" t="s">
        <v>3</v>
      </c>
    </row>
    <row r="1511" spans="1:17" x14ac:dyDescent="0.25">
      <c r="A1511" s="21"/>
    </row>
    <row r="1512" spans="1:17" x14ac:dyDescent="0.25">
      <c r="A1512" s="2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2A1A-B772-4631-A1B9-AED993108EE0}">
  <dimension ref="A1:K1117"/>
  <sheetViews>
    <sheetView workbookViewId="0">
      <selection activeCell="D9" sqref="D9"/>
    </sheetView>
  </sheetViews>
  <sheetFormatPr defaultRowHeight="15" x14ac:dyDescent="0.25"/>
  <cols>
    <col min="2" max="2" width="19" bestFit="1" customWidth="1"/>
    <col min="3" max="3" width="15.42578125" bestFit="1" customWidth="1"/>
    <col min="4" max="4" width="15.28515625" bestFit="1" customWidth="1"/>
    <col min="5" max="5" width="11.140625" bestFit="1" customWidth="1"/>
    <col min="7" max="7" width="15.7109375" bestFit="1" customWidth="1"/>
  </cols>
  <sheetData>
    <row r="1" spans="1:11" x14ac:dyDescent="0.25">
      <c r="A1" t="s">
        <v>36</v>
      </c>
      <c r="B1" t="s">
        <v>37</v>
      </c>
      <c r="C1" t="s">
        <v>38</v>
      </c>
      <c r="D1" t="s">
        <v>39</v>
      </c>
    </row>
    <row r="2" spans="1:11" x14ac:dyDescent="0.25">
      <c r="A2" s="50">
        <v>1354</v>
      </c>
      <c r="B2" s="52">
        <v>44927</v>
      </c>
      <c r="C2" s="51" t="s">
        <v>40</v>
      </c>
      <c r="D2" s="53">
        <v>3</v>
      </c>
      <c r="E2" s="54">
        <v>44929</v>
      </c>
      <c r="F2" s="53">
        <v>9</v>
      </c>
      <c r="G2" s="54">
        <v>44939</v>
      </c>
      <c r="H2" s="53" t="s">
        <v>41</v>
      </c>
      <c r="I2" s="53" t="s">
        <v>41</v>
      </c>
      <c r="J2" s="53" t="s">
        <v>1</v>
      </c>
      <c r="K2" s="53" t="s">
        <v>41</v>
      </c>
    </row>
    <row r="3" spans="1:11" x14ac:dyDescent="0.25">
      <c r="A3" s="44">
        <v>1613</v>
      </c>
      <c r="B3" s="46">
        <v>44927</v>
      </c>
      <c r="C3" s="45" t="s">
        <v>40</v>
      </c>
      <c r="D3" s="47">
        <v>5</v>
      </c>
      <c r="E3" s="48">
        <v>44931</v>
      </c>
      <c r="F3" s="47">
        <v>9</v>
      </c>
      <c r="G3" s="48">
        <v>44941</v>
      </c>
      <c r="H3" s="47" t="s">
        <v>41</v>
      </c>
      <c r="I3" s="47" t="s">
        <v>5</v>
      </c>
      <c r="J3" s="47" t="s">
        <v>41</v>
      </c>
      <c r="K3" s="47" t="s">
        <v>41</v>
      </c>
    </row>
    <row r="4" spans="1:11" x14ac:dyDescent="0.25">
      <c r="A4" s="44">
        <v>2781</v>
      </c>
      <c r="B4" s="46">
        <v>44927</v>
      </c>
      <c r="C4" s="45" t="s">
        <v>40</v>
      </c>
      <c r="D4" s="47">
        <v>5</v>
      </c>
      <c r="E4" s="48">
        <v>44931</v>
      </c>
      <c r="F4" s="47">
        <v>9</v>
      </c>
      <c r="G4" s="48">
        <v>44941</v>
      </c>
      <c r="H4" s="47" t="s">
        <v>41</v>
      </c>
      <c r="I4" s="47" t="s">
        <v>41</v>
      </c>
      <c r="J4" s="47" t="s">
        <v>41</v>
      </c>
      <c r="K4" s="47" t="s">
        <v>4</v>
      </c>
    </row>
    <row r="5" spans="1:11" x14ac:dyDescent="0.25">
      <c r="A5" s="44">
        <v>3094</v>
      </c>
      <c r="B5" s="46">
        <v>44927</v>
      </c>
      <c r="C5" s="45" t="s">
        <v>42</v>
      </c>
      <c r="D5" s="47">
        <v>5</v>
      </c>
      <c r="E5" s="48">
        <v>44931</v>
      </c>
      <c r="F5" s="47">
        <v>3</v>
      </c>
      <c r="G5" s="48">
        <v>44935</v>
      </c>
      <c r="H5" s="47" t="s">
        <v>41</v>
      </c>
      <c r="I5" s="47" t="s">
        <v>41</v>
      </c>
      <c r="J5" s="47" t="s">
        <v>1</v>
      </c>
      <c r="K5" s="47" t="s">
        <v>41</v>
      </c>
    </row>
    <row r="6" spans="1:11" x14ac:dyDescent="0.25">
      <c r="A6" s="44">
        <v>456</v>
      </c>
      <c r="B6" s="46">
        <v>44929</v>
      </c>
      <c r="C6" s="45" t="s">
        <v>40</v>
      </c>
      <c r="D6" s="47">
        <v>5</v>
      </c>
      <c r="E6" s="48">
        <v>44933</v>
      </c>
      <c r="F6" s="47">
        <v>9</v>
      </c>
      <c r="G6" s="48">
        <v>44943</v>
      </c>
      <c r="H6" s="47" t="s">
        <v>41</v>
      </c>
      <c r="I6" s="47" t="s">
        <v>5</v>
      </c>
      <c r="J6" s="47" t="s">
        <v>41</v>
      </c>
      <c r="K6" s="47" t="s">
        <v>41</v>
      </c>
    </row>
    <row r="7" spans="1:11" x14ac:dyDescent="0.25">
      <c r="A7" s="44">
        <v>1786</v>
      </c>
      <c r="B7" s="46">
        <v>44929</v>
      </c>
      <c r="C7" s="45" t="s">
        <v>29</v>
      </c>
      <c r="D7" s="47">
        <v>5</v>
      </c>
      <c r="E7" s="48">
        <v>44933</v>
      </c>
      <c r="F7" s="47">
        <v>9</v>
      </c>
      <c r="G7" s="48">
        <v>44943</v>
      </c>
      <c r="H7" s="47" t="s">
        <v>3</v>
      </c>
      <c r="I7" s="47" t="s">
        <v>41</v>
      </c>
      <c r="J7" s="47" t="s">
        <v>1</v>
      </c>
      <c r="K7" s="47" t="s">
        <v>41</v>
      </c>
    </row>
    <row r="8" spans="1:11" x14ac:dyDescent="0.25">
      <c r="A8" s="44">
        <v>1899</v>
      </c>
      <c r="B8" s="46">
        <v>44929</v>
      </c>
      <c r="C8" s="45" t="s">
        <v>43</v>
      </c>
      <c r="D8" s="47">
        <v>5</v>
      </c>
      <c r="E8" s="48">
        <v>44933</v>
      </c>
      <c r="F8" s="47">
        <v>4</v>
      </c>
      <c r="G8" s="48">
        <v>44938</v>
      </c>
      <c r="H8" s="47" t="s">
        <v>41</v>
      </c>
      <c r="I8" s="47" t="s">
        <v>5</v>
      </c>
      <c r="J8" s="47" t="s">
        <v>41</v>
      </c>
      <c r="K8" s="47" t="s">
        <v>41</v>
      </c>
    </row>
    <row r="9" spans="1:11" x14ac:dyDescent="0.25">
      <c r="A9" s="44">
        <v>1059</v>
      </c>
      <c r="B9" s="46">
        <v>44930</v>
      </c>
      <c r="C9" s="45" t="s">
        <v>40</v>
      </c>
      <c r="D9" s="47">
        <v>3</v>
      </c>
      <c r="E9" s="48">
        <v>44932</v>
      </c>
      <c r="F9" s="47">
        <v>9</v>
      </c>
      <c r="G9" s="48">
        <v>44942</v>
      </c>
      <c r="H9" s="47" t="s">
        <v>41</v>
      </c>
      <c r="I9" s="47" t="s">
        <v>5</v>
      </c>
      <c r="J9" s="47" t="s">
        <v>41</v>
      </c>
      <c r="K9" s="47" t="s">
        <v>41</v>
      </c>
    </row>
    <row r="10" spans="1:11" x14ac:dyDescent="0.25">
      <c r="A10" s="44">
        <v>1848</v>
      </c>
      <c r="B10" s="46">
        <v>44930</v>
      </c>
      <c r="C10" s="45" t="s">
        <v>43</v>
      </c>
      <c r="D10" s="47">
        <v>5</v>
      </c>
      <c r="E10" s="48">
        <v>44934</v>
      </c>
      <c r="F10" s="47">
        <v>4</v>
      </c>
      <c r="G10" s="48">
        <v>44939</v>
      </c>
      <c r="H10" s="47" t="s">
        <v>41</v>
      </c>
      <c r="I10" s="47" t="s">
        <v>41</v>
      </c>
      <c r="J10" s="47" t="s">
        <v>41</v>
      </c>
      <c r="K10" s="47" t="s">
        <v>4</v>
      </c>
    </row>
    <row r="11" spans="1:11" x14ac:dyDescent="0.25">
      <c r="A11" s="44">
        <v>2271</v>
      </c>
      <c r="B11" s="46">
        <v>44930</v>
      </c>
      <c r="C11" s="45" t="s">
        <v>44</v>
      </c>
      <c r="D11" s="47">
        <v>5</v>
      </c>
      <c r="E11" s="48">
        <v>44934</v>
      </c>
      <c r="F11" s="47">
        <v>3</v>
      </c>
      <c r="G11" s="48">
        <v>44938</v>
      </c>
      <c r="H11" s="47" t="s">
        <v>41</v>
      </c>
      <c r="I11" s="47" t="s">
        <v>5</v>
      </c>
      <c r="J11" s="47" t="s">
        <v>41</v>
      </c>
      <c r="K11" s="47" t="s">
        <v>41</v>
      </c>
    </row>
    <row r="12" spans="1:11" x14ac:dyDescent="0.25">
      <c r="A12" s="44">
        <v>2568</v>
      </c>
      <c r="B12" s="46">
        <v>44930</v>
      </c>
      <c r="C12" s="45" t="s">
        <v>44</v>
      </c>
      <c r="D12" s="47">
        <v>5</v>
      </c>
      <c r="E12" s="48">
        <v>44934</v>
      </c>
      <c r="F12" s="47">
        <v>3</v>
      </c>
      <c r="G12" s="48">
        <v>44938</v>
      </c>
      <c r="H12" s="47" t="s">
        <v>3</v>
      </c>
      <c r="I12" s="47" t="s">
        <v>5</v>
      </c>
      <c r="J12" s="47" t="s">
        <v>41</v>
      </c>
      <c r="K12" s="47" t="s">
        <v>41</v>
      </c>
    </row>
    <row r="13" spans="1:11" x14ac:dyDescent="0.25">
      <c r="A13" s="44">
        <v>3093</v>
      </c>
      <c r="B13" s="46">
        <v>44930</v>
      </c>
      <c r="C13" s="45" t="s">
        <v>40</v>
      </c>
      <c r="D13" s="47">
        <v>3</v>
      </c>
      <c r="E13" s="48">
        <v>44932</v>
      </c>
      <c r="F13" s="47">
        <v>9</v>
      </c>
      <c r="G13" s="48">
        <v>44942</v>
      </c>
      <c r="H13" s="47" t="s">
        <v>3</v>
      </c>
      <c r="I13" s="47" t="s">
        <v>41</v>
      </c>
      <c r="J13" s="47" t="s">
        <v>1</v>
      </c>
      <c r="K13" s="47" t="s">
        <v>41</v>
      </c>
    </row>
    <row r="14" spans="1:11" x14ac:dyDescent="0.25">
      <c r="A14" s="44">
        <v>1630</v>
      </c>
      <c r="B14" s="46">
        <v>44931</v>
      </c>
      <c r="C14" s="45" t="s">
        <v>29</v>
      </c>
      <c r="D14" s="47">
        <v>5</v>
      </c>
      <c r="E14" s="48">
        <v>44935</v>
      </c>
      <c r="F14" s="47">
        <v>4</v>
      </c>
      <c r="G14" s="48">
        <v>44940</v>
      </c>
      <c r="H14" s="47" t="s">
        <v>41</v>
      </c>
      <c r="I14" s="47" t="s">
        <v>41</v>
      </c>
      <c r="J14" s="47" t="s">
        <v>41</v>
      </c>
      <c r="K14" s="47" t="s">
        <v>4</v>
      </c>
    </row>
    <row r="15" spans="1:11" x14ac:dyDescent="0.25">
      <c r="A15" s="44">
        <v>1871</v>
      </c>
      <c r="B15" s="46">
        <v>44931</v>
      </c>
      <c r="C15" s="45" t="s">
        <v>44</v>
      </c>
      <c r="D15" s="47">
        <v>5</v>
      </c>
      <c r="E15" s="48">
        <v>44935</v>
      </c>
      <c r="F15" s="47">
        <v>3</v>
      </c>
      <c r="G15" s="48">
        <v>44939</v>
      </c>
      <c r="H15" s="47" t="s">
        <v>3</v>
      </c>
      <c r="I15" s="47" t="s">
        <v>5</v>
      </c>
      <c r="J15" s="47" t="s">
        <v>41</v>
      </c>
      <c r="K15" s="47" t="s">
        <v>41</v>
      </c>
    </row>
    <row r="16" spans="1:11" x14ac:dyDescent="0.25">
      <c r="A16" s="44">
        <v>2115</v>
      </c>
      <c r="B16" s="46">
        <v>44931</v>
      </c>
      <c r="C16" s="45" t="s">
        <v>44</v>
      </c>
      <c r="D16" s="47">
        <v>5</v>
      </c>
      <c r="E16" s="48">
        <v>44935</v>
      </c>
      <c r="F16" s="47">
        <v>3</v>
      </c>
      <c r="G16" s="48">
        <v>44939</v>
      </c>
      <c r="H16" s="47" t="s">
        <v>41</v>
      </c>
      <c r="I16" s="47" t="s">
        <v>5</v>
      </c>
      <c r="J16" s="47" t="s">
        <v>41</v>
      </c>
      <c r="K16" s="47" t="s">
        <v>41</v>
      </c>
    </row>
    <row r="17" spans="1:11" x14ac:dyDescent="0.25">
      <c r="A17" s="44">
        <v>2225</v>
      </c>
      <c r="B17" s="46">
        <v>44931</v>
      </c>
      <c r="C17" s="45" t="s">
        <v>29</v>
      </c>
      <c r="D17" s="47">
        <v>5</v>
      </c>
      <c r="E17" s="48">
        <v>44935</v>
      </c>
      <c r="F17" s="47">
        <v>4</v>
      </c>
      <c r="G17" s="48">
        <v>44940</v>
      </c>
      <c r="H17" s="47" t="s">
        <v>41</v>
      </c>
      <c r="I17" s="47" t="s">
        <v>5</v>
      </c>
      <c r="J17" s="47" t="s">
        <v>41</v>
      </c>
      <c r="K17" s="47" t="s">
        <v>41</v>
      </c>
    </row>
    <row r="18" spans="1:11" x14ac:dyDescent="0.25">
      <c r="A18" s="44">
        <v>3323</v>
      </c>
      <c r="B18" s="46">
        <v>44931</v>
      </c>
      <c r="C18" s="45" t="s">
        <v>40</v>
      </c>
      <c r="D18" s="47">
        <v>5</v>
      </c>
      <c r="E18" s="48">
        <v>44935</v>
      </c>
      <c r="F18" s="47">
        <v>9</v>
      </c>
      <c r="G18" s="48">
        <v>44945</v>
      </c>
      <c r="H18" s="47" t="s">
        <v>41</v>
      </c>
      <c r="I18" s="47" t="s">
        <v>41</v>
      </c>
      <c r="J18" s="47" t="s">
        <v>41</v>
      </c>
      <c r="K18" s="47" t="s">
        <v>4</v>
      </c>
    </row>
    <row r="19" spans="1:11" x14ac:dyDescent="0.25">
      <c r="A19" s="44">
        <v>154</v>
      </c>
      <c r="B19" s="46">
        <v>44932</v>
      </c>
      <c r="C19" s="45" t="s">
        <v>42</v>
      </c>
      <c r="D19" s="47">
        <v>5</v>
      </c>
      <c r="E19" s="48">
        <v>44936</v>
      </c>
      <c r="F19" s="47">
        <v>3</v>
      </c>
      <c r="G19" s="48">
        <v>44940</v>
      </c>
      <c r="H19" s="47" t="s">
        <v>3</v>
      </c>
      <c r="I19" s="47" t="s">
        <v>41</v>
      </c>
      <c r="J19" s="47" t="s">
        <v>41</v>
      </c>
      <c r="K19" s="47" t="s">
        <v>41</v>
      </c>
    </row>
    <row r="20" spans="1:11" x14ac:dyDescent="0.25">
      <c r="A20" s="44">
        <v>993</v>
      </c>
      <c r="B20" s="46">
        <v>44932</v>
      </c>
      <c r="C20" s="45" t="s">
        <v>40</v>
      </c>
      <c r="D20" s="47">
        <v>5</v>
      </c>
      <c r="E20" s="48">
        <v>44936</v>
      </c>
      <c r="F20" s="47">
        <v>9</v>
      </c>
      <c r="G20" s="48">
        <v>44946</v>
      </c>
      <c r="H20" s="47" t="s">
        <v>3</v>
      </c>
      <c r="I20" s="47" t="s">
        <v>41</v>
      </c>
      <c r="J20" s="47" t="s">
        <v>41</v>
      </c>
      <c r="K20" s="47" t="s">
        <v>41</v>
      </c>
    </row>
    <row r="21" spans="1:11" x14ac:dyDescent="0.25">
      <c r="A21" s="44">
        <v>1874</v>
      </c>
      <c r="B21" s="46">
        <v>44932</v>
      </c>
      <c r="C21" s="45" t="s">
        <v>40</v>
      </c>
      <c r="D21" s="47">
        <v>5</v>
      </c>
      <c r="E21" s="48">
        <v>44936</v>
      </c>
      <c r="F21" s="47">
        <v>9</v>
      </c>
      <c r="G21" s="48">
        <v>44946</v>
      </c>
      <c r="H21" s="47" t="s">
        <v>41</v>
      </c>
      <c r="I21" s="47" t="s">
        <v>41</v>
      </c>
      <c r="J21" s="47" t="s">
        <v>41</v>
      </c>
      <c r="K21" s="47" t="s">
        <v>4</v>
      </c>
    </row>
    <row r="22" spans="1:11" x14ac:dyDescent="0.25">
      <c r="A22" s="44">
        <v>2440</v>
      </c>
      <c r="B22" s="46">
        <v>44932</v>
      </c>
      <c r="C22" s="45" t="s">
        <v>42</v>
      </c>
      <c r="D22" s="47">
        <v>5</v>
      </c>
      <c r="E22" s="48">
        <v>44936</v>
      </c>
      <c r="F22" s="47">
        <v>3</v>
      </c>
      <c r="G22" s="48">
        <v>44940</v>
      </c>
      <c r="H22" s="47" t="s">
        <v>3</v>
      </c>
      <c r="I22" s="47" t="s">
        <v>41</v>
      </c>
      <c r="J22" s="47" t="s">
        <v>41</v>
      </c>
      <c r="K22" s="47" t="s">
        <v>41</v>
      </c>
    </row>
    <row r="23" spans="1:11" x14ac:dyDescent="0.25">
      <c r="A23" s="44">
        <v>1119</v>
      </c>
      <c r="B23" s="46">
        <v>44934</v>
      </c>
      <c r="C23" s="45" t="s">
        <v>40</v>
      </c>
      <c r="D23" s="47">
        <v>5</v>
      </c>
      <c r="E23" s="48">
        <v>44938</v>
      </c>
      <c r="F23" s="47">
        <v>9</v>
      </c>
      <c r="G23" s="48">
        <v>44948</v>
      </c>
      <c r="H23" s="47" t="s">
        <v>41</v>
      </c>
      <c r="I23" s="47" t="s">
        <v>41</v>
      </c>
      <c r="J23" s="47" t="s">
        <v>41</v>
      </c>
      <c r="K23" s="47" t="s">
        <v>4</v>
      </c>
    </row>
    <row r="24" spans="1:11" x14ac:dyDescent="0.25">
      <c r="A24" s="44">
        <v>1216</v>
      </c>
      <c r="B24" s="46">
        <v>44934</v>
      </c>
      <c r="C24" s="45" t="s">
        <v>43</v>
      </c>
      <c r="D24" s="47">
        <v>5</v>
      </c>
      <c r="E24" s="48">
        <v>44938</v>
      </c>
      <c r="F24" s="47">
        <v>4</v>
      </c>
      <c r="G24" s="48">
        <v>44943</v>
      </c>
      <c r="H24" s="47" t="s">
        <v>41</v>
      </c>
      <c r="I24" s="47" t="s">
        <v>5</v>
      </c>
      <c r="J24" s="47" t="s">
        <v>41</v>
      </c>
      <c r="K24" s="47" t="s">
        <v>41</v>
      </c>
    </row>
    <row r="25" spans="1:11" x14ac:dyDescent="0.25">
      <c r="A25" s="44">
        <v>2506</v>
      </c>
      <c r="B25" s="46">
        <v>44934</v>
      </c>
      <c r="C25" s="45" t="s">
        <v>44</v>
      </c>
      <c r="D25" s="47">
        <v>5</v>
      </c>
      <c r="E25" s="48">
        <v>44938</v>
      </c>
      <c r="F25" s="47">
        <v>3</v>
      </c>
      <c r="G25" s="48">
        <v>44942</v>
      </c>
      <c r="H25" s="47" t="s">
        <v>41</v>
      </c>
      <c r="I25" s="47" t="s">
        <v>5</v>
      </c>
      <c r="J25" s="47" t="s">
        <v>41</v>
      </c>
      <c r="K25" s="47" t="s">
        <v>41</v>
      </c>
    </row>
    <row r="26" spans="1:11" x14ac:dyDescent="0.25">
      <c r="A26" s="44">
        <v>2793</v>
      </c>
      <c r="B26" s="46">
        <v>44934</v>
      </c>
      <c r="C26" s="45" t="s">
        <v>40</v>
      </c>
      <c r="D26" s="47">
        <v>5</v>
      </c>
      <c r="E26" s="48">
        <v>44938</v>
      </c>
      <c r="F26" s="47">
        <v>9</v>
      </c>
      <c r="G26" s="48">
        <v>44948</v>
      </c>
      <c r="H26" s="47" t="s">
        <v>41</v>
      </c>
      <c r="I26" s="47" t="s">
        <v>5</v>
      </c>
      <c r="J26" s="47" t="s">
        <v>41</v>
      </c>
      <c r="K26" s="47" t="s">
        <v>41</v>
      </c>
    </row>
    <row r="27" spans="1:11" x14ac:dyDescent="0.25">
      <c r="A27" s="44">
        <v>194</v>
      </c>
      <c r="B27" s="46">
        <v>44935</v>
      </c>
      <c r="C27" s="45" t="s">
        <v>40</v>
      </c>
      <c r="D27" s="47">
        <v>5</v>
      </c>
      <c r="E27" s="48">
        <v>44939</v>
      </c>
      <c r="F27" s="47">
        <v>9</v>
      </c>
      <c r="G27" s="48">
        <v>44949</v>
      </c>
      <c r="H27" s="47" t="s">
        <v>3</v>
      </c>
      <c r="I27" s="47" t="s">
        <v>41</v>
      </c>
      <c r="J27" s="47" t="s">
        <v>41</v>
      </c>
      <c r="K27" s="47" t="s">
        <v>41</v>
      </c>
    </row>
    <row r="28" spans="1:11" x14ac:dyDescent="0.25">
      <c r="A28" s="44">
        <v>1059</v>
      </c>
      <c r="B28" s="46">
        <v>44935</v>
      </c>
      <c r="C28" s="45" t="s">
        <v>45</v>
      </c>
      <c r="D28" s="47">
        <v>5</v>
      </c>
      <c r="E28" s="48">
        <v>44939</v>
      </c>
      <c r="F28" s="47">
        <v>3</v>
      </c>
      <c r="G28" s="48">
        <v>44943</v>
      </c>
      <c r="H28" s="47" t="s">
        <v>41</v>
      </c>
      <c r="I28" s="47" t="s">
        <v>5</v>
      </c>
      <c r="J28" s="47" t="s">
        <v>41</v>
      </c>
      <c r="K28" s="47" t="s">
        <v>41</v>
      </c>
    </row>
    <row r="29" spans="1:11" x14ac:dyDescent="0.25">
      <c r="A29" s="44">
        <v>1458</v>
      </c>
      <c r="B29" s="46">
        <v>44935</v>
      </c>
      <c r="C29" s="45" t="s">
        <v>43</v>
      </c>
      <c r="D29" s="47">
        <v>3</v>
      </c>
      <c r="E29" s="48">
        <v>44937</v>
      </c>
      <c r="F29" s="47">
        <v>4</v>
      </c>
      <c r="G29" s="48">
        <v>44942</v>
      </c>
      <c r="H29" s="47" t="s">
        <v>41</v>
      </c>
      <c r="I29" s="47" t="s">
        <v>41</v>
      </c>
      <c r="J29" s="47" t="s">
        <v>1</v>
      </c>
      <c r="K29" s="47" t="s">
        <v>41</v>
      </c>
    </row>
    <row r="30" spans="1:11" x14ac:dyDescent="0.25">
      <c r="A30" s="44">
        <v>2054</v>
      </c>
      <c r="B30" s="46">
        <v>44935</v>
      </c>
      <c r="C30" s="45" t="s">
        <v>40</v>
      </c>
      <c r="D30" s="47">
        <v>5</v>
      </c>
      <c r="E30" s="48">
        <v>44939</v>
      </c>
      <c r="F30" s="47">
        <v>9</v>
      </c>
      <c r="G30" s="48">
        <v>44949</v>
      </c>
      <c r="H30" s="47" t="s">
        <v>3</v>
      </c>
      <c r="I30" s="47" t="s">
        <v>41</v>
      </c>
      <c r="J30" s="47" t="s">
        <v>41</v>
      </c>
      <c r="K30" s="47" t="s">
        <v>41</v>
      </c>
    </row>
    <row r="31" spans="1:11" x14ac:dyDescent="0.25">
      <c r="A31" s="44">
        <v>2271</v>
      </c>
      <c r="B31" s="46">
        <v>44935</v>
      </c>
      <c r="C31" s="45" t="s">
        <v>40</v>
      </c>
      <c r="D31" s="47">
        <v>5</v>
      </c>
      <c r="E31" s="48">
        <v>44939</v>
      </c>
      <c r="F31" s="47">
        <v>9</v>
      </c>
      <c r="G31" s="48">
        <v>44949</v>
      </c>
      <c r="H31" s="47" t="s">
        <v>41</v>
      </c>
      <c r="I31" s="47" t="s">
        <v>5</v>
      </c>
      <c r="J31" s="47" t="s">
        <v>41</v>
      </c>
      <c r="K31" s="47" t="s">
        <v>41</v>
      </c>
    </row>
    <row r="32" spans="1:11" x14ac:dyDescent="0.25">
      <c r="A32" s="44">
        <v>2907</v>
      </c>
      <c r="B32" s="46">
        <v>44935</v>
      </c>
      <c r="C32" s="45" t="s">
        <v>43</v>
      </c>
      <c r="D32" s="47">
        <v>5</v>
      </c>
      <c r="E32" s="48">
        <v>44939</v>
      </c>
      <c r="F32" s="47">
        <v>4</v>
      </c>
      <c r="G32" s="48">
        <v>44944</v>
      </c>
      <c r="H32" s="47" t="s">
        <v>3</v>
      </c>
      <c r="I32" s="47" t="s">
        <v>41</v>
      </c>
      <c r="J32" s="47" t="s">
        <v>41</v>
      </c>
      <c r="K32" s="47" t="s">
        <v>41</v>
      </c>
    </row>
    <row r="33" spans="1:11" x14ac:dyDescent="0.25">
      <c r="A33" s="44">
        <v>3074</v>
      </c>
      <c r="B33" s="46">
        <v>44935</v>
      </c>
      <c r="C33" s="45" t="s">
        <v>43</v>
      </c>
      <c r="D33" s="47">
        <v>5</v>
      </c>
      <c r="E33" s="48">
        <v>44939</v>
      </c>
      <c r="F33" s="47">
        <v>4</v>
      </c>
      <c r="G33" s="48">
        <v>44944</v>
      </c>
      <c r="H33" s="47" t="s">
        <v>41</v>
      </c>
      <c r="I33" s="47" t="s">
        <v>41</v>
      </c>
      <c r="J33" s="47" t="s">
        <v>1</v>
      </c>
      <c r="K33" s="47" t="s">
        <v>41</v>
      </c>
    </row>
    <row r="34" spans="1:11" x14ac:dyDescent="0.25">
      <c r="A34" s="44">
        <v>3093</v>
      </c>
      <c r="B34" s="46">
        <v>44935</v>
      </c>
      <c r="C34" s="45" t="s">
        <v>45</v>
      </c>
      <c r="D34" s="47">
        <v>5</v>
      </c>
      <c r="E34" s="48">
        <v>44939</v>
      </c>
      <c r="F34" s="47">
        <v>3</v>
      </c>
      <c r="G34" s="48">
        <v>44943</v>
      </c>
      <c r="H34" s="47" t="s">
        <v>41</v>
      </c>
      <c r="I34" s="47" t="s">
        <v>41</v>
      </c>
      <c r="J34" s="47" t="s">
        <v>1</v>
      </c>
      <c r="K34" s="47" t="s">
        <v>41</v>
      </c>
    </row>
    <row r="35" spans="1:11" x14ac:dyDescent="0.25">
      <c r="A35" s="44">
        <v>10</v>
      </c>
      <c r="B35" s="46">
        <v>44937</v>
      </c>
      <c r="C35" s="45" t="s">
        <v>40</v>
      </c>
      <c r="D35" s="47">
        <v>5</v>
      </c>
      <c r="E35" s="48">
        <v>44941</v>
      </c>
      <c r="F35" s="47">
        <v>9</v>
      </c>
      <c r="G35" s="48">
        <v>44951</v>
      </c>
      <c r="H35" s="47" t="s">
        <v>3</v>
      </c>
      <c r="I35" s="47" t="s">
        <v>41</v>
      </c>
      <c r="J35" s="47" t="s">
        <v>1</v>
      </c>
      <c r="K35" s="47" t="s">
        <v>41</v>
      </c>
    </row>
    <row r="36" spans="1:11" x14ac:dyDescent="0.25">
      <c r="A36" s="44">
        <v>1894</v>
      </c>
      <c r="B36" s="46">
        <v>44937</v>
      </c>
      <c r="C36" s="45" t="s">
        <v>40</v>
      </c>
      <c r="D36" s="47">
        <v>5</v>
      </c>
      <c r="E36" s="48">
        <v>44941</v>
      </c>
      <c r="F36" s="47">
        <v>9</v>
      </c>
      <c r="G36" s="48">
        <v>44951</v>
      </c>
      <c r="H36" s="47" t="s">
        <v>41</v>
      </c>
      <c r="I36" s="47" t="s">
        <v>41</v>
      </c>
      <c r="J36" s="47" t="s">
        <v>41</v>
      </c>
      <c r="K36" s="47" t="s">
        <v>4</v>
      </c>
    </row>
    <row r="37" spans="1:11" x14ac:dyDescent="0.25">
      <c r="A37" s="44">
        <v>2225</v>
      </c>
      <c r="B37" s="46">
        <v>44938</v>
      </c>
      <c r="C37" s="45" t="s">
        <v>43</v>
      </c>
      <c r="D37" s="47">
        <v>5</v>
      </c>
      <c r="E37" s="48">
        <v>44942</v>
      </c>
      <c r="F37" s="47">
        <v>4</v>
      </c>
      <c r="G37" s="48">
        <v>44947</v>
      </c>
      <c r="H37" s="47" t="s">
        <v>41</v>
      </c>
      <c r="I37" s="47" t="s">
        <v>5</v>
      </c>
      <c r="J37" s="47" t="s">
        <v>41</v>
      </c>
      <c r="K37" s="47" t="s">
        <v>41</v>
      </c>
    </row>
    <row r="38" spans="1:11" x14ac:dyDescent="0.25">
      <c r="A38" s="44">
        <v>3395</v>
      </c>
      <c r="B38" s="46">
        <v>44939</v>
      </c>
      <c r="C38" s="45" t="s">
        <v>40</v>
      </c>
      <c r="D38" s="47">
        <v>5</v>
      </c>
      <c r="E38" s="48">
        <v>44943</v>
      </c>
      <c r="F38" s="47">
        <v>9</v>
      </c>
      <c r="G38" s="48">
        <v>44953</v>
      </c>
      <c r="H38" s="47" t="s">
        <v>41</v>
      </c>
      <c r="I38" s="47" t="s">
        <v>41</v>
      </c>
      <c r="J38" s="47" t="s">
        <v>1</v>
      </c>
      <c r="K38" s="47" t="s">
        <v>41</v>
      </c>
    </row>
    <row r="39" spans="1:11" x14ac:dyDescent="0.25">
      <c r="A39" s="44">
        <v>1630</v>
      </c>
      <c r="B39" s="46">
        <v>44940</v>
      </c>
      <c r="C39" s="45" t="s">
        <v>45</v>
      </c>
      <c r="D39" s="47">
        <v>5</v>
      </c>
      <c r="E39" s="48">
        <v>44944</v>
      </c>
      <c r="F39" s="47">
        <v>3</v>
      </c>
      <c r="G39" s="48">
        <v>44948</v>
      </c>
      <c r="H39" s="47" t="s">
        <v>41</v>
      </c>
      <c r="I39" s="47" t="s">
        <v>41</v>
      </c>
      <c r="J39" s="47" t="s">
        <v>41</v>
      </c>
      <c r="K39" s="47" t="s">
        <v>4</v>
      </c>
    </row>
    <row r="40" spans="1:11" x14ac:dyDescent="0.25">
      <c r="A40" s="44">
        <v>1662</v>
      </c>
      <c r="B40" s="46">
        <v>44940</v>
      </c>
      <c r="C40" s="45" t="s">
        <v>40</v>
      </c>
      <c r="D40" s="47">
        <v>5</v>
      </c>
      <c r="E40" s="48">
        <v>44944</v>
      </c>
      <c r="F40" s="47">
        <v>9</v>
      </c>
      <c r="G40" s="48">
        <v>44954</v>
      </c>
      <c r="H40" s="47" t="s">
        <v>41</v>
      </c>
      <c r="I40" s="47" t="s">
        <v>41</v>
      </c>
      <c r="J40" s="47" t="s">
        <v>1</v>
      </c>
      <c r="K40" s="47" t="s">
        <v>41</v>
      </c>
    </row>
    <row r="41" spans="1:11" x14ac:dyDescent="0.25">
      <c r="A41" s="44">
        <v>1780</v>
      </c>
      <c r="B41" s="46">
        <v>44940</v>
      </c>
      <c r="C41" s="45" t="s">
        <v>40</v>
      </c>
      <c r="D41" s="47">
        <v>5</v>
      </c>
      <c r="E41" s="48">
        <v>44944</v>
      </c>
      <c r="F41" s="47">
        <v>9</v>
      </c>
      <c r="G41" s="48">
        <v>44954</v>
      </c>
      <c r="H41" s="47" t="s">
        <v>3</v>
      </c>
      <c r="I41" s="47" t="s">
        <v>41</v>
      </c>
      <c r="J41" s="47" t="s">
        <v>41</v>
      </c>
      <c r="K41" s="47" t="s">
        <v>41</v>
      </c>
    </row>
    <row r="42" spans="1:11" x14ac:dyDescent="0.25">
      <c r="A42" s="44">
        <v>1866</v>
      </c>
      <c r="B42" s="46">
        <v>44940</v>
      </c>
      <c r="C42" s="45" t="s">
        <v>42</v>
      </c>
      <c r="D42" s="47">
        <v>5</v>
      </c>
      <c r="E42" s="48">
        <v>44944</v>
      </c>
      <c r="F42" s="47">
        <v>3</v>
      </c>
      <c r="G42" s="48">
        <v>44948</v>
      </c>
      <c r="H42" s="47" t="s">
        <v>41</v>
      </c>
      <c r="I42" s="47" t="s">
        <v>41</v>
      </c>
      <c r="J42" s="47" t="s">
        <v>41</v>
      </c>
      <c r="K42" s="47" t="s">
        <v>4</v>
      </c>
    </row>
    <row r="43" spans="1:11" x14ac:dyDescent="0.25">
      <c r="A43" s="44">
        <v>2225</v>
      </c>
      <c r="B43" s="46">
        <v>44940</v>
      </c>
      <c r="C43" s="45" t="s">
        <v>44</v>
      </c>
      <c r="D43" s="47">
        <v>5</v>
      </c>
      <c r="E43" s="48">
        <v>44944</v>
      </c>
      <c r="F43" s="47">
        <v>3</v>
      </c>
      <c r="G43" s="48">
        <v>44948</v>
      </c>
      <c r="H43" s="47" t="s">
        <v>41</v>
      </c>
      <c r="I43" s="47" t="s">
        <v>5</v>
      </c>
      <c r="J43" s="47" t="s">
        <v>41</v>
      </c>
      <c r="K43" s="47" t="s">
        <v>41</v>
      </c>
    </row>
    <row r="44" spans="1:11" x14ac:dyDescent="0.25">
      <c r="A44" s="44">
        <v>2793</v>
      </c>
      <c r="B44" s="46">
        <v>44940</v>
      </c>
      <c r="C44" s="45" t="s">
        <v>44</v>
      </c>
      <c r="D44" s="47">
        <v>5</v>
      </c>
      <c r="E44" s="48">
        <v>44944</v>
      </c>
      <c r="F44" s="47">
        <v>3</v>
      </c>
      <c r="G44" s="48">
        <v>44948</v>
      </c>
      <c r="H44" s="47" t="s">
        <v>41</v>
      </c>
      <c r="I44" s="47" t="s">
        <v>5</v>
      </c>
      <c r="J44" s="47" t="s">
        <v>41</v>
      </c>
      <c r="K44" s="47" t="s">
        <v>41</v>
      </c>
    </row>
    <row r="45" spans="1:11" x14ac:dyDescent="0.25">
      <c r="A45" s="44">
        <v>3093</v>
      </c>
      <c r="B45" s="46">
        <v>44940</v>
      </c>
      <c r="C45" s="45" t="s">
        <v>44</v>
      </c>
      <c r="D45" s="47">
        <v>5</v>
      </c>
      <c r="E45" s="48">
        <v>44944</v>
      </c>
      <c r="F45" s="47">
        <v>3</v>
      </c>
      <c r="G45" s="48">
        <v>44948</v>
      </c>
      <c r="H45" s="47" t="s">
        <v>41</v>
      </c>
      <c r="I45" s="47" t="s">
        <v>41</v>
      </c>
      <c r="J45" s="47" t="s">
        <v>1</v>
      </c>
      <c r="K45" s="47" t="s">
        <v>41</v>
      </c>
    </row>
    <row r="46" spans="1:11" x14ac:dyDescent="0.25">
      <c r="A46" s="44">
        <v>2506</v>
      </c>
      <c r="B46" s="46">
        <v>44942</v>
      </c>
      <c r="C46" s="45" t="s">
        <v>40</v>
      </c>
      <c r="D46" s="47">
        <v>5</v>
      </c>
      <c r="E46" s="48">
        <v>44946</v>
      </c>
      <c r="F46" s="47">
        <v>9</v>
      </c>
      <c r="G46" s="48">
        <v>44956</v>
      </c>
      <c r="H46" s="47" t="s">
        <v>41</v>
      </c>
      <c r="I46" s="47" t="s">
        <v>41</v>
      </c>
      <c r="J46" s="47" t="s">
        <v>1</v>
      </c>
      <c r="K46" s="47" t="s">
        <v>41</v>
      </c>
    </row>
    <row r="47" spans="1:11" x14ac:dyDescent="0.25">
      <c r="A47" s="44">
        <v>1193</v>
      </c>
      <c r="B47" s="46">
        <v>44943</v>
      </c>
      <c r="C47" s="45" t="s">
        <v>40</v>
      </c>
      <c r="D47" s="47">
        <v>5</v>
      </c>
      <c r="E47" s="48">
        <v>44947</v>
      </c>
      <c r="F47" s="47">
        <v>9</v>
      </c>
      <c r="G47" s="48">
        <v>44957</v>
      </c>
      <c r="H47" s="47" t="s">
        <v>41</v>
      </c>
      <c r="I47" s="47" t="s">
        <v>41</v>
      </c>
      <c r="J47" s="47" t="s">
        <v>41</v>
      </c>
      <c r="K47" s="47" t="s">
        <v>4</v>
      </c>
    </row>
    <row r="48" spans="1:11" x14ac:dyDescent="0.25">
      <c r="A48" s="44">
        <v>1216</v>
      </c>
      <c r="B48" s="46">
        <v>44943</v>
      </c>
      <c r="C48" s="45" t="s">
        <v>40</v>
      </c>
      <c r="D48" s="47">
        <v>5</v>
      </c>
      <c r="E48" s="48">
        <v>44947</v>
      </c>
      <c r="F48" s="47">
        <v>9</v>
      </c>
      <c r="G48" s="48">
        <v>44957</v>
      </c>
      <c r="H48" s="47" t="s">
        <v>41</v>
      </c>
      <c r="I48" s="47" t="s">
        <v>41</v>
      </c>
      <c r="J48" s="47" t="s">
        <v>41</v>
      </c>
      <c r="K48" s="47" t="s">
        <v>4</v>
      </c>
    </row>
    <row r="49" spans="1:11" x14ac:dyDescent="0.25">
      <c r="A49" s="44">
        <v>3407</v>
      </c>
      <c r="B49" s="46">
        <v>44943</v>
      </c>
      <c r="C49" s="45" t="s">
        <v>42</v>
      </c>
      <c r="D49" s="47">
        <v>5</v>
      </c>
      <c r="E49" s="48">
        <v>44947</v>
      </c>
      <c r="F49" s="47">
        <v>3</v>
      </c>
      <c r="G49" s="48">
        <v>44951</v>
      </c>
      <c r="H49" s="47" t="s">
        <v>41</v>
      </c>
      <c r="I49" s="47" t="s">
        <v>41</v>
      </c>
      <c r="J49" s="47" t="s">
        <v>1</v>
      </c>
      <c r="K49" s="47" t="s">
        <v>41</v>
      </c>
    </row>
    <row r="50" spans="1:11" x14ac:dyDescent="0.25">
      <c r="A50" s="44">
        <v>1826</v>
      </c>
      <c r="B50" s="46">
        <v>44944</v>
      </c>
      <c r="C50" s="45" t="s">
        <v>43</v>
      </c>
      <c r="D50" s="47">
        <v>8</v>
      </c>
      <c r="E50" s="48">
        <v>44951</v>
      </c>
      <c r="F50" s="47">
        <v>4</v>
      </c>
      <c r="G50" s="48">
        <v>44956</v>
      </c>
      <c r="H50" s="47" t="s">
        <v>41</v>
      </c>
      <c r="I50" s="47" t="s">
        <v>41</v>
      </c>
      <c r="J50" s="47" t="s">
        <v>1</v>
      </c>
      <c r="K50" s="47" t="s">
        <v>41</v>
      </c>
    </row>
    <row r="51" spans="1:11" x14ac:dyDescent="0.25">
      <c r="A51" s="44">
        <v>2115</v>
      </c>
      <c r="B51" s="46">
        <v>44944</v>
      </c>
      <c r="C51" s="45" t="s">
        <v>44</v>
      </c>
      <c r="D51" s="47">
        <v>8</v>
      </c>
      <c r="E51" s="48">
        <v>44951</v>
      </c>
      <c r="F51" s="47">
        <v>3</v>
      </c>
      <c r="G51" s="48">
        <v>44955</v>
      </c>
      <c r="H51" s="47" t="s">
        <v>41</v>
      </c>
      <c r="I51" s="47" t="s">
        <v>5</v>
      </c>
      <c r="J51" s="47" t="s">
        <v>41</v>
      </c>
      <c r="K51" s="47" t="s">
        <v>41</v>
      </c>
    </row>
    <row r="52" spans="1:11" x14ac:dyDescent="0.25">
      <c r="A52" s="44">
        <v>2415</v>
      </c>
      <c r="B52" s="46">
        <v>44944</v>
      </c>
      <c r="C52" s="45" t="s">
        <v>42</v>
      </c>
      <c r="D52" s="47">
        <v>4</v>
      </c>
      <c r="E52" s="48">
        <v>44947</v>
      </c>
      <c r="F52" s="47">
        <v>3</v>
      </c>
      <c r="G52" s="48">
        <v>44951</v>
      </c>
      <c r="H52" s="47" t="s">
        <v>3</v>
      </c>
      <c r="I52" s="47" t="s">
        <v>41</v>
      </c>
      <c r="J52" s="47" t="s">
        <v>41</v>
      </c>
      <c r="K52" s="47" t="s">
        <v>41</v>
      </c>
    </row>
    <row r="53" spans="1:11" x14ac:dyDescent="0.25">
      <c r="A53" s="44">
        <v>2979</v>
      </c>
      <c r="B53" s="46">
        <v>44944</v>
      </c>
      <c r="C53" s="45" t="s">
        <v>40</v>
      </c>
      <c r="D53" s="47">
        <v>5</v>
      </c>
      <c r="E53" s="48">
        <v>44948</v>
      </c>
      <c r="F53" s="47">
        <v>9</v>
      </c>
      <c r="G53" s="48">
        <v>44958</v>
      </c>
      <c r="H53" s="47" t="s">
        <v>41</v>
      </c>
      <c r="I53" s="47" t="s">
        <v>41</v>
      </c>
      <c r="J53" s="47" t="s">
        <v>41</v>
      </c>
      <c r="K53" s="47" t="s">
        <v>4</v>
      </c>
    </row>
    <row r="54" spans="1:11" x14ac:dyDescent="0.25">
      <c r="A54" s="44">
        <v>3232</v>
      </c>
      <c r="B54" s="46">
        <v>44944</v>
      </c>
      <c r="C54" s="45" t="s">
        <v>40</v>
      </c>
      <c r="D54" s="47">
        <v>6</v>
      </c>
      <c r="E54" s="48">
        <v>44949</v>
      </c>
      <c r="F54" s="47">
        <v>9</v>
      </c>
      <c r="G54" s="48">
        <v>44959</v>
      </c>
      <c r="H54" s="47" t="s">
        <v>3</v>
      </c>
      <c r="I54" s="47" t="s">
        <v>41</v>
      </c>
      <c r="J54" s="47" t="s">
        <v>41</v>
      </c>
      <c r="K54" s="47" t="s">
        <v>41</v>
      </c>
    </row>
    <row r="55" spans="1:11" x14ac:dyDescent="0.25">
      <c r="A55" s="44">
        <v>3305</v>
      </c>
      <c r="B55" s="46">
        <v>44944</v>
      </c>
      <c r="C55" s="45" t="s">
        <v>40</v>
      </c>
      <c r="D55" s="47">
        <v>6</v>
      </c>
      <c r="E55" s="48">
        <v>44949</v>
      </c>
      <c r="F55" s="47">
        <v>9</v>
      </c>
      <c r="G55" s="48">
        <v>44959</v>
      </c>
      <c r="H55" s="47" t="s">
        <v>3</v>
      </c>
      <c r="I55" s="47" t="s">
        <v>41</v>
      </c>
      <c r="J55" s="47" t="s">
        <v>41</v>
      </c>
      <c r="K55" s="47" t="s">
        <v>41</v>
      </c>
    </row>
    <row r="56" spans="1:11" x14ac:dyDescent="0.25">
      <c r="A56" s="44">
        <v>3335</v>
      </c>
      <c r="B56" s="46">
        <v>44944</v>
      </c>
      <c r="C56" s="45" t="s">
        <v>42</v>
      </c>
      <c r="D56" s="47">
        <v>4</v>
      </c>
      <c r="E56" s="48">
        <v>44947</v>
      </c>
      <c r="F56" s="47">
        <v>3</v>
      </c>
      <c r="G56" s="48">
        <v>44951</v>
      </c>
      <c r="H56" s="47" t="s">
        <v>41</v>
      </c>
      <c r="I56" s="47" t="s">
        <v>41</v>
      </c>
      <c r="J56" s="47" t="s">
        <v>1</v>
      </c>
      <c r="K56" s="47" t="s">
        <v>41</v>
      </c>
    </row>
    <row r="57" spans="1:11" x14ac:dyDescent="0.25">
      <c r="A57" s="44">
        <v>41</v>
      </c>
      <c r="B57" s="46">
        <v>44945</v>
      </c>
      <c r="C57" s="45" t="s">
        <v>40</v>
      </c>
      <c r="D57" s="47">
        <v>5</v>
      </c>
      <c r="E57" s="48">
        <v>44949</v>
      </c>
      <c r="F57" s="47">
        <v>9</v>
      </c>
      <c r="G57" s="48">
        <v>44960</v>
      </c>
      <c r="H57" s="47" t="s">
        <v>41</v>
      </c>
      <c r="I57" s="47" t="s">
        <v>5</v>
      </c>
      <c r="J57" s="47" t="s">
        <v>41</v>
      </c>
      <c r="K57" s="47" t="s">
        <v>41</v>
      </c>
    </row>
    <row r="58" spans="1:11" x14ac:dyDescent="0.25">
      <c r="A58" s="44">
        <v>1041</v>
      </c>
      <c r="B58" s="46">
        <v>44945</v>
      </c>
      <c r="C58" s="45" t="s">
        <v>42</v>
      </c>
      <c r="D58" s="47">
        <v>5</v>
      </c>
      <c r="E58" s="48">
        <v>44949</v>
      </c>
      <c r="F58" s="47">
        <v>3</v>
      </c>
      <c r="G58" s="48">
        <v>44953</v>
      </c>
      <c r="H58" s="47" t="s">
        <v>3</v>
      </c>
      <c r="I58" s="47" t="s">
        <v>41</v>
      </c>
      <c r="J58" s="47" t="s">
        <v>41</v>
      </c>
      <c r="K58" s="47" t="s">
        <v>41</v>
      </c>
    </row>
    <row r="59" spans="1:11" x14ac:dyDescent="0.25">
      <c r="A59" s="44">
        <v>1618</v>
      </c>
      <c r="B59" s="46">
        <v>44945</v>
      </c>
      <c r="C59" s="45" t="s">
        <v>44</v>
      </c>
      <c r="D59" s="47">
        <v>8</v>
      </c>
      <c r="E59" s="48">
        <v>44952</v>
      </c>
      <c r="F59" s="47">
        <v>3</v>
      </c>
      <c r="G59" s="48">
        <v>44956</v>
      </c>
      <c r="H59" s="47" t="s">
        <v>41</v>
      </c>
      <c r="I59" s="47" t="s">
        <v>5</v>
      </c>
      <c r="J59" s="47" t="s">
        <v>41</v>
      </c>
      <c r="K59" s="47" t="s">
        <v>41</v>
      </c>
    </row>
    <row r="60" spans="1:11" x14ac:dyDescent="0.25">
      <c r="A60" s="44">
        <v>2275</v>
      </c>
      <c r="B60" s="46">
        <v>44945</v>
      </c>
      <c r="C60" s="45" t="s">
        <v>42</v>
      </c>
      <c r="D60" s="47">
        <v>5</v>
      </c>
      <c r="E60" s="48">
        <v>44949</v>
      </c>
      <c r="F60" s="47">
        <v>3</v>
      </c>
      <c r="G60" s="48">
        <v>44953</v>
      </c>
      <c r="H60" s="47" t="s">
        <v>41</v>
      </c>
      <c r="I60" s="47" t="s">
        <v>41</v>
      </c>
      <c r="J60" s="47" t="s">
        <v>41</v>
      </c>
      <c r="K60" s="47" t="s">
        <v>4</v>
      </c>
    </row>
    <row r="61" spans="1:11" x14ac:dyDescent="0.25">
      <c r="A61" s="44">
        <v>2354</v>
      </c>
      <c r="B61" s="46">
        <v>44945</v>
      </c>
      <c r="C61" s="45" t="s">
        <v>44</v>
      </c>
      <c r="D61" s="47">
        <v>8</v>
      </c>
      <c r="E61" s="48">
        <v>44952</v>
      </c>
      <c r="F61" s="47">
        <v>3</v>
      </c>
      <c r="G61" s="48">
        <v>44956</v>
      </c>
      <c r="H61" s="47" t="s">
        <v>41</v>
      </c>
      <c r="I61" s="47" t="s">
        <v>41</v>
      </c>
      <c r="J61" s="47" t="s">
        <v>1</v>
      </c>
      <c r="K61" s="47" t="s">
        <v>41</v>
      </c>
    </row>
    <row r="62" spans="1:11" x14ac:dyDescent="0.25">
      <c r="A62" s="44">
        <v>2468</v>
      </c>
      <c r="B62" s="46">
        <v>44945</v>
      </c>
      <c r="C62" s="45" t="s">
        <v>40</v>
      </c>
      <c r="D62" s="47">
        <v>5</v>
      </c>
      <c r="E62" s="48">
        <v>44949</v>
      </c>
      <c r="F62" s="47">
        <v>9</v>
      </c>
      <c r="G62" s="48">
        <v>44959</v>
      </c>
      <c r="H62" s="47" t="s">
        <v>41</v>
      </c>
      <c r="I62" s="47" t="s">
        <v>41</v>
      </c>
      <c r="J62" s="47" t="s">
        <v>1</v>
      </c>
      <c r="K62" s="47" t="s">
        <v>41</v>
      </c>
    </row>
    <row r="63" spans="1:11" x14ac:dyDescent="0.25">
      <c r="A63" s="44">
        <v>2544</v>
      </c>
      <c r="B63" s="46">
        <v>44945</v>
      </c>
      <c r="C63" s="45" t="s">
        <v>40</v>
      </c>
      <c r="D63" s="47">
        <v>5</v>
      </c>
      <c r="E63" s="48">
        <v>44949</v>
      </c>
      <c r="F63" s="47">
        <v>9</v>
      </c>
      <c r="G63" s="48">
        <v>44959</v>
      </c>
      <c r="H63" s="47" t="s">
        <v>3</v>
      </c>
      <c r="I63" s="47" t="s">
        <v>41</v>
      </c>
      <c r="J63" s="47" t="s">
        <v>41</v>
      </c>
      <c r="K63" s="47" t="s">
        <v>41</v>
      </c>
    </row>
    <row r="64" spans="1:11" x14ac:dyDescent="0.25">
      <c r="A64" s="44">
        <v>2663</v>
      </c>
      <c r="B64" s="46">
        <v>44945</v>
      </c>
      <c r="C64" s="45" t="s">
        <v>44</v>
      </c>
      <c r="D64" s="47">
        <v>8</v>
      </c>
      <c r="E64" s="48">
        <v>44952</v>
      </c>
      <c r="F64" s="47">
        <v>3</v>
      </c>
      <c r="G64" s="48">
        <v>44956</v>
      </c>
      <c r="H64" s="47" t="s">
        <v>41</v>
      </c>
      <c r="I64" s="47" t="s">
        <v>41</v>
      </c>
      <c r="J64" s="47" t="s">
        <v>1</v>
      </c>
      <c r="K64" s="47" t="s">
        <v>41</v>
      </c>
    </row>
    <row r="65" spans="1:11" x14ac:dyDescent="0.25">
      <c r="A65" s="44">
        <v>3114</v>
      </c>
      <c r="B65" s="46">
        <v>44945</v>
      </c>
      <c r="C65" s="45" t="s">
        <v>43</v>
      </c>
      <c r="D65" s="47">
        <v>3</v>
      </c>
      <c r="E65" s="48">
        <v>44947</v>
      </c>
      <c r="F65" s="47">
        <v>4</v>
      </c>
      <c r="G65" s="48">
        <v>44952</v>
      </c>
      <c r="H65" s="47" t="s">
        <v>41</v>
      </c>
      <c r="I65" s="47" t="s">
        <v>41</v>
      </c>
      <c r="J65" s="47" t="s">
        <v>1</v>
      </c>
      <c r="K65" s="47" t="s">
        <v>41</v>
      </c>
    </row>
    <row r="66" spans="1:11" x14ac:dyDescent="0.25">
      <c r="A66" s="55">
        <v>3193</v>
      </c>
      <c r="B66" s="46">
        <v>44945</v>
      </c>
      <c r="C66" s="45" t="s">
        <v>40</v>
      </c>
      <c r="D66" s="47">
        <v>5</v>
      </c>
      <c r="E66" s="48">
        <v>44949</v>
      </c>
      <c r="F66" s="47">
        <v>9</v>
      </c>
      <c r="G66" s="48">
        <v>44960</v>
      </c>
      <c r="H66" s="47" t="s">
        <v>3</v>
      </c>
      <c r="I66" s="47" t="s">
        <v>41</v>
      </c>
      <c r="J66" s="47" t="s">
        <v>41</v>
      </c>
      <c r="K66" s="47" t="s">
        <v>41</v>
      </c>
    </row>
    <row r="67" spans="1:11" x14ac:dyDescent="0.25">
      <c r="A67" s="44">
        <v>10</v>
      </c>
      <c r="B67" s="46">
        <v>44947</v>
      </c>
      <c r="C67" s="45" t="s">
        <v>43</v>
      </c>
      <c r="D67" s="47">
        <v>5</v>
      </c>
      <c r="E67" s="48">
        <v>44951</v>
      </c>
      <c r="F67" s="47">
        <v>3</v>
      </c>
      <c r="G67" s="48">
        <v>44955</v>
      </c>
      <c r="H67" s="47" t="s">
        <v>3</v>
      </c>
      <c r="I67" s="47" t="s">
        <v>41</v>
      </c>
      <c r="J67" s="47" t="s">
        <v>41</v>
      </c>
      <c r="K67" s="47" t="s">
        <v>41</v>
      </c>
    </row>
    <row r="68" spans="1:11" x14ac:dyDescent="0.25">
      <c r="A68" s="44">
        <v>2301</v>
      </c>
      <c r="B68" s="46">
        <v>44947</v>
      </c>
      <c r="C68" s="45" t="s">
        <v>40</v>
      </c>
      <c r="D68" s="47">
        <v>5</v>
      </c>
      <c r="E68" s="48">
        <v>44951</v>
      </c>
      <c r="F68" s="47">
        <v>9</v>
      </c>
      <c r="G68" s="48">
        <v>44961</v>
      </c>
      <c r="H68" s="47" t="s">
        <v>3</v>
      </c>
      <c r="I68" s="47" t="s">
        <v>41</v>
      </c>
      <c r="J68" s="47" t="s">
        <v>41</v>
      </c>
      <c r="K68" s="47" t="s">
        <v>41</v>
      </c>
    </row>
    <row r="69" spans="1:11" x14ac:dyDescent="0.25">
      <c r="A69" s="44">
        <v>457</v>
      </c>
      <c r="B69" s="46">
        <v>44948</v>
      </c>
      <c r="C69" s="45" t="s">
        <v>40</v>
      </c>
      <c r="D69" s="47">
        <v>5</v>
      </c>
      <c r="E69" s="48">
        <v>44952</v>
      </c>
      <c r="F69" s="47">
        <v>9</v>
      </c>
      <c r="G69" s="48">
        <v>44961</v>
      </c>
      <c r="H69" s="47" t="s">
        <v>41</v>
      </c>
      <c r="I69" s="47" t="s">
        <v>41</v>
      </c>
      <c r="J69" s="47" t="s">
        <v>1</v>
      </c>
      <c r="K69" s="47" t="s">
        <v>41</v>
      </c>
    </row>
    <row r="70" spans="1:11" x14ac:dyDescent="0.25">
      <c r="A70" s="44">
        <v>1116</v>
      </c>
      <c r="B70" s="46">
        <v>44948</v>
      </c>
      <c r="C70" s="45" t="s">
        <v>40</v>
      </c>
      <c r="D70" s="47">
        <v>5</v>
      </c>
      <c r="E70" s="48">
        <v>44952</v>
      </c>
      <c r="F70" s="47">
        <v>9</v>
      </c>
      <c r="G70" s="48">
        <v>44961</v>
      </c>
      <c r="H70" s="47" t="s">
        <v>41</v>
      </c>
      <c r="I70" s="47" t="s">
        <v>41</v>
      </c>
      <c r="J70" s="47" t="s">
        <v>41</v>
      </c>
      <c r="K70" s="47" t="s">
        <v>4</v>
      </c>
    </row>
    <row r="71" spans="1:11" x14ac:dyDescent="0.25">
      <c r="A71" s="44">
        <v>2253</v>
      </c>
      <c r="B71" s="46">
        <v>44948</v>
      </c>
      <c r="C71" s="45" t="s">
        <v>44</v>
      </c>
      <c r="D71" s="47">
        <v>5</v>
      </c>
      <c r="E71" s="48">
        <v>44952</v>
      </c>
      <c r="F71" s="47">
        <v>3</v>
      </c>
      <c r="G71" s="47" t="s">
        <v>46</v>
      </c>
      <c r="H71" s="47" t="s">
        <v>3</v>
      </c>
      <c r="I71" s="47" t="s">
        <v>41</v>
      </c>
      <c r="J71" s="47" t="s">
        <v>41</v>
      </c>
      <c r="K71" s="47" t="s">
        <v>41</v>
      </c>
    </row>
    <row r="72" spans="1:11" x14ac:dyDescent="0.25">
      <c r="A72" s="44">
        <v>2897</v>
      </c>
      <c r="B72" s="46">
        <v>44948</v>
      </c>
      <c r="C72" s="45" t="s">
        <v>40</v>
      </c>
      <c r="D72" s="47">
        <v>5</v>
      </c>
      <c r="E72" s="48">
        <v>44952</v>
      </c>
      <c r="F72" s="47">
        <v>9</v>
      </c>
      <c r="G72" s="48">
        <v>44962</v>
      </c>
      <c r="H72" s="47" t="s">
        <v>3</v>
      </c>
      <c r="I72" s="47" t="s">
        <v>41</v>
      </c>
      <c r="J72" s="47" t="s">
        <v>41</v>
      </c>
      <c r="K72" s="47" t="s">
        <v>41</v>
      </c>
    </row>
    <row r="73" spans="1:11" x14ac:dyDescent="0.25">
      <c r="A73" s="44">
        <v>1728</v>
      </c>
      <c r="B73" s="46">
        <v>44950</v>
      </c>
      <c r="C73" s="45" t="s">
        <v>40</v>
      </c>
      <c r="D73" s="47">
        <v>5</v>
      </c>
      <c r="E73" s="48">
        <v>44954</v>
      </c>
      <c r="F73" s="47">
        <v>9</v>
      </c>
      <c r="G73" s="48">
        <v>44964</v>
      </c>
      <c r="H73" s="47" t="s">
        <v>3</v>
      </c>
      <c r="I73" s="47" t="s">
        <v>41</v>
      </c>
      <c r="J73" s="47" t="s">
        <v>41</v>
      </c>
      <c r="K73" s="47" t="s">
        <v>41</v>
      </c>
    </row>
    <row r="74" spans="1:11" x14ac:dyDescent="0.25">
      <c r="A74" s="44">
        <v>2267</v>
      </c>
      <c r="B74" s="46">
        <v>44950</v>
      </c>
      <c r="C74" s="45" t="s">
        <v>40</v>
      </c>
      <c r="D74" s="47">
        <v>5</v>
      </c>
      <c r="E74" s="48">
        <v>44954</v>
      </c>
      <c r="F74" s="47">
        <v>9</v>
      </c>
      <c r="G74" s="48">
        <v>44964</v>
      </c>
      <c r="H74" s="47" t="s">
        <v>41</v>
      </c>
      <c r="I74" s="47" t="s">
        <v>41</v>
      </c>
      <c r="J74" s="47" t="s">
        <v>1</v>
      </c>
      <c r="K74" s="47" t="s">
        <v>41</v>
      </c>
    </row>
    <row r="75" spans="1:11" x14ac:dyDescent="0.25">
      <c r="A75" s="44">
        <v>2643</v>
      </c>
      <c r="B75" s="46">
        <v>44950</v>
      </c>
      <c r="C75" s="45" t="s">
        <v>44</v>
      </c>
      <c r="D75" s="47">
        <v>5</v>
      </c>
      <c r="E75" s="48">
        <v>44954</v>
      </c>
      <c r="F75" s="47">
        <v>3</v>
      </c>
      <c r="G75" s="48">
        <v>44958</v>
      </c>
      <c r="H75" s="47" t="s">
        <v>41</v>
      </c>
      <c r="I75" s="47" t="s">
        <v>5</v>
      </c>
      <c r="J75" s="47" t="s">
        <v>41</v>
      </c>
      <c r="K75" s="47" t="s">
        <v>41</v>
      </c>
    </row>
    <row r="76" spans="1:11" x14ac:dyDescent="0.25">
      <c r="A76" s="44">
        <v>783</v>
      </c>
      <c r="B76" s="46">
        <v>44951</v>
      </c>
      <c r="C76" s="45" t="s">
        <v>44</v>
      </c>
      <c r="D76" s="47">
        <v>5</v>
      </c>
      <c r="E76" s="48">
        <v>44955</v>
      </c>
      <c r="F76" s="47">
        <v>3</v>
      </c>
      <c r="G76" s="48">
        <v>44959</v>
      </c>
      <c r="H76" s="47" t="s">
        <v>3</v>
      </c>
      <c r="I76" s="47" t="s">
        <v>41</v>
      </c>
      <c r="J76" s="47" t="s">
        <v>41</v>
      </c>
      <c r="K76" s="47" t="s">
        <v>41</v>
      </c>
    </row>
    <row r="77" spans="1:11" x14ac:dyDescent="0.25">
      <c r="A77" s="44">
        <v>2071</v>
      </c>
      <c r="B77" s="46">
        <v>44951</v>
      </c>
      <c r="C77" s="45" t="s">
        <v>44</v>
      </c>
      <c r="D77" s="47">
        <v>5</v>
      </c>
      <c r="E77" s="48">
        <v>44955</v>
      </c>
      <c r="F77" s="47">
        <v>3</v>
      </c>
      <c r="G77" s="48">
        <v>44959</v>
      </c>
      <c r="H77" s="47" t="s">
        <v>3</v>
      </c>
      <c r="I77" s="47" t="s">
        <v>41</v>
      </c>
      <c r="J77" s="47" t="s">
        <v>41</v>
      </c>
      <c r="K77" s="47" t="s">
        <v>41</v>
      </c>
    </row>
    <row r="78" spans="1:11" x14ac:dyDescent="0.25">
      <c r="A78" s="44">
        <v>2315</v>
      </c>
      <c r="B78" s="46">
        <v>44951</v>
      </c>
      <c r="C78" s="45" t="s">
        <v>44</v>
      </c>
      <c r="D78" s="47">
        <v>5</v>
      </c>
      <c r="E78" s="48">
        <v>44955</v>
      </c>
      <c r="F78" s="47">
        <v>3</v>
      </c>
      <c r="G78" s="48">
        <v>44959</v>
      </c>
      <c r="H78" s="47" t="s">
        <v>41</v>
      </c>
      <c r="I78" s="47" t="s">
        <v>5</v>
      </c>
      <c r="J78" s="47" t="s">
        <v>1</v>
      </c>
      <c r="K78" s="47" t="s">
        <v>41</v>
      </c>
    </row>
    <row r="79" spans="1:11" x14ac:dyDescent="0.25">
      <c r="A79" s="44">
        <v>2415</v>
      </c>
      <c r="B79" s="46">
        <v>44951</v>
      </c>
      <c r="C79" s="45" t="s">
        <v>44</v>
      </c>
      <c r="D79" s="47">
        <v>5</v>
      </c>
      <c r="E79" s="48">
        <v>44955</v>
      </c>
      <c r="F79" s="47">
        <v>3</v>
      </c>
      <c r="G79" s="48">
        <v>44959</v>
      </c>
      <c r="H79" s="47" t="s">
        <v>41</v>
      </c>
      <c r="I79" s="47" t="s">
        <v>5</v>
      </c>
      <c r="J79" s="47" t="s">
        <v>1</v>
      </c>
      <c r="K79" s="47" t="s">
        <v>41</v>
      </c>
    </row>
    <row r="80" spans="1:11" x14ac:dyDescent="0.25">
      <c r="A80" s="44">
        <v>2479</v>
      </c>
      <c r="B80" s="46">
        <v>44951</v>
      </c>
      <c r="C80" s="45" t="s">
        <v>40</v>
      </c>
      <c r="D80" s="47">
        <v>5</v>
      </c>
      <c r="E80" s="48">
        <v>44955</v>
      </c>
      <c r="F80" s="47">
        <v>9</v>
      </c>
      <c r="G80" s="48">
        <v>44965</v>
      </c>
      <c r="H80" s="47" t="s">
        <v>41</v>
      </c>
      <c r="I80" s="47" t="s">
        <v>41</v>
      </c>
      <c r="J80" s="47" t="s">
        <v>41</v>
      </c>
      <c r="K80" s="47" t="s">
        <v>4</v>
      </c>
    </row>
    <row r="81" spans="1:11" x14ac:dyDescent="0.25">
      <c r="A81" s="44">
        <v>2579</v>
      </c>
      <c r="B81" s="46">
        <v>44951</v>
      </c>
      <c r="C81" s="45" t="s">
        <v>44</v>
      </c>
      <c r="D81" s="47">
        <v>5</v>
      </c>
      <c r="E81" s="48">
        <v>44955</v>
      </c>
      <c r="F81" s="47">
        <v>3</v>
      </c>
      <c r="G81" s="48">
        <v>44959</v>
      </c>
      <c r="H81" s="47" t="s">
        <v>41</v>
      </c>
      <c r="I81" s="47" t="s">
        <v>41</v>
      </c>
      <c r="J81" s="47" t="s">
        <v>1</v>
      </c>
      <c r="K81" s="47" t="s">
        <v>41</v>
      </c>
    </row>
    <row r="82" spans="1:11" x14ac:dyDescent="0.25">
      <c r="A82" s="44">
        <v>1618</v>
      </c>
      <c r="B82" s="46">
        <v>44952</v>
      </c>
      <c r="C82" s="45" t="s">
        <v>40</v>
      </c>
      <c r="D82" s="47">
        <v>3</v>
      </c>
      <c r="E82" s="48">
        <v>44954</v>
      </c>
      <c r="F82" s="47">
        <v>9</v>
      </c>
      <c r="G82" s="48">
        <v>44964</v>
      </c>
      <c r="H82" s="47" t="s">
        <v>41</v>
      </c>
      <c r="I82" s="47" t="s">
        <v>5</v>
      </c>
      <c r="J82" s="47" t="s">
        <v>41</v>
      </c>
      <c r="K82" s="47" t="s">
        <v>41</v>
      </c>
    </row>
    <row r="83" spans="1:11" x14ac:dyDescent="0.25">
      <c r="A83" s="44">
        <v>2072</v>
      </c>
      <c r="B83" s="46">
        <v>44952</v>
      </c>
      <c r="C83" s="45" t="s">
        <v>40</v>
      </c>
      <c r="D83" s="47">
        <v>5</v>
      </c>
      <c r="E83" s="48">
        <v>44956</v>
      </c>
      <c r="F83" s="47">
        <v>9</v>
      </c>
      <c r="G83" s="48">
        <v>44966</v>
      </c>
      <c r="H83" s="47" t="s">
        <v>41</v>
      </c>
      <c r="I83" s="47" t="s">
        <v>41</v>
      </c>
      <c r="J83" s="47" t="s">
        <v>41</v>
      </c>
      <c r="K83" s="47" t="s">
        <v>4</v>
      </c>
    </row>
    <row r="84" spans="1:11" x14ac:dyDescent="0.25">
      <c r="A84" s="44">
        <v>2678</v>
      </c>
      <c r="B84" s="46">
        <v>44952</v>
      </c>
      <c r="C84" s="45" t="s">
        <v>44</v>
      </c>
      <c r="D84" s="47">
        <v>5</v>
      </c>
      <c r="E84" s="48">
        <v>44956</v>
      </c>
      <c r="F84" s="47">
        <v>3</v>
      </c>
      <c r="G84" s="48">
        <v>44960</v>
      </c>
      <c r="H84" s="47" t="s">
        <v>3</v>
      </c>
      <c r="I84" s="47" t="s">
        <v>41</v>
      </c>
      <c r="J84" s="47" t="s">
        <v>1</v>
      </c>
      <c r="K84" s="47" t="s">
        <v>4</v>
      </c>
    </row>
    <row r="85" spans="1:11" x14ac:dyDescent="0.25">
      <c r="A85" s="44">
        <v>1216</v>
      </c>
      <c r="B85" s="46">
        <v>44953</v>
      </c>
      <c r="C85" s="45" t="s">
        <v>40</v>
      </c>
      <c r="D85" s="47">
        <v>5</v>
      </c>
      <c r="E85" s="48">
        <v>44957</v>
      </c>
      <c r="F85" s="47">
        <v>9</v>
      </c>
      <c r="G85" s="48">
        <v>44967</v>
      </c>
      <c r="H85" s="47" t="s">
        <v>3</v>
      </c>
      <c r="I85" s="47" t="s">
        <v>41</v>
      </c>
      <c r="J85" s="47" t="s">
        <v>41</v>
      </c>
      <c r="K85" s="47" t="s">
        <v>41</v>
      </c>
    </row>
    <row r="86" spans="1:11" x14ac:dyDescent="0.25">
      <c r="A86" s="44">
        <v>2601</v>
      </c>
      <c r="B86" s="46">
        <v>44953</v>
      </c>
      <c r="C86" s="45" t="s">
        <v>40</v>
      </c>
      <c r="D86" s="47">
        <v>5</v>
      </c>
      <c r="E86" s="48">
        <v>44957</v>
      </c>
      <c r="F86" s="47">
        <v>9</v>
      </c>
      <c r="G86" s="48">
        <v>44967</v>
      </c>
      <c r="H86" s="47" t="s">
        <v>3</v>
      </c>
      <c r="I86" s="47" t="s">
        <v>5</v>
      </c>
      <c r="J86" s="47" t="s">
        <v>41</v>
      </c>
      <c r="K86" s="47" t="s">
        <v>41</v>
      </c>
    </row>
    <row r="87" spans="1:11" x14ac:dyDescent="0.25">
      <c r="A87" s="44">
        <v>2609</v>
      </c>
      <c r="B87" s="46">
        <v>44953</v>
      </c>
      <c r="C87" s="45" t="s">
        <v>44</v>
      </c>
      <c r="D87" s="47">
        <v>5</v>
      </c>
      <c r="E87" s="48">
        <v>44957</v>
      </c>
      <c r="F87" s="47">
        <v>3</v>
      </c>
      <c r="G87" s="48">
        <v>44961</v>
      </c>
      <c r="H87" s="47" t="s">
        <v>3</v>
      </c>
      <c r="I87" s="47" t="s">
        <v>5</v>
      </c>
      <c r="J87" s="47" t="s">
        <v>41</v>
      </c>
      <c r="K87" s="47" t="s">
        <v>41</v>
      </c>
    </row>
    <row r="88" spans="1:11" x14ac:dyDescent="0.25">
      <c r="A88" s="44">
        <v>2897</v>
      </c>
      <c r="B88" s="46">
        <v>44953</v>
      </c>
      <c r="C88" s="45" t="s">
        <v>40</v>
      </c>
      <c r="D88" s="47">
        <v>5</v>
      </c>
      <c r="E88" s="48">
        <v>44957</v>
      </c>
      <c r="F88" s="47">
        <v>9</v>
      </c>
      <c r="G88" s="48">
        <v>44966</v>
      </c>
      <c r="H88" s="47" t="s">
        <v>3</v>
      </c>
      <c r="I88" s="47" t="s">
        <v>5</v>
      </c>
      <c r="J88" s="47" t="s">
        <v>1</v>
      </c>
      <c r="K88" s="47" t="s">
        <v>41</v>
      </c>
    </row>
    <row r="89" spans="1:11" x14ac:dyDescent="0.25">
      <c r="A89" s="44">
        <v>1791</v>
      </c>
      <c r="B89" s="46">
        <v>44954</v>
      </c>
      <c r="C89" s="45" t="s">
        <v>42</v>
      </c>
      <c r="D89" s="47">
        <v>5</v>
      </c>
      <c r="E89" s="48">
        <v>44958</v>
      </c>
      <c r="F89" s="47">
        <v>3</v>
      </c>
      <c r="G89" s="48">
        <v>44962</v>
      </c>
      <c r="H89" s="47" t="s">
        <v>41</v>
      </c>
      <c r="I89" s="47" t="s">
        <v>5</v>
      </c>
      <c r="J89" s="47" t="s">
        <v>41</v>
      </c>
      <c r="K89" s="47" t="s">
        <v>41</v>
      </c>
    </row>
    <row r="90" spans="1:11" x14ac:dyDescent="0.25">
      <c r="A90" s="44">
        <v>1791</v>
      </c>
      <c r="B90" s="46">
        <v>44954</v>
      </c>
      <c r="C90" s="45" t="s">
        <v>40</v>
      </c>
      <c r="D90" s="47">
        <v>5</v>
      </c>
      <c r="E90" s="48">
        <v>44958</v>
      </c>
      <c r="F90" s="47">
        <v>9</v>
      </c>
      <c r="G90" s="48">
        <v>44968</v>
      </c>
      <c r="H90" s="47" t="s">
        <v>41</v>
      </c>
      <c r="I90" s="47" t="s">
        <v>5</v>
      </c>
      <c r="J90" s="47" t="s">
        <v>41</v>
      </c>
      <c r="K90" s="47" t="s">
        <v>41</v>
      </c>
    </row>
    <row r="91" spans="1:11" x14ac:dyDescent="0.25">
      <c r="A91" s="44">
        <v>2210</v>
      </c>
      <c r="B91" s="46">
        <v>44954</v>
      </c>
      <c r="C91" s="45" t="s">
        <v>40</v>
      </c>
      <c r="D91" s="47">
        <v>5</v>
      </c>
      <c r="E91" s="48">
        <v>44958</v>
      </c>
      <c r="F91" s="47">
        <v>9</v>
      </c>
      <c r="G91" s="47" t="s">
        <v>47</v>
      </c>
      <c r="H91" s="47" t="s">
        <v>41</v>
      </c>
      <c r="I91" s="47" t="s">
        <v>41</v>
      </c>
      <c r="J91" s="47" t="s">
        <v>1</v>
      </c>
      <c r="K91" s="47" t="s">
        <v>41</v>
      </c>
    </row>
    <row r="92" spans="1:11" x14ac:dyDescent="0.25">
      <c r="A92" s="44">
        <v>2575</v>
      </c>
      <c r="B92" s="46">
        <v>44954</v>
      </c>
      <c r="C92" s="45" t="s">
        <v>40</v>
      </c>
      <c r="D92" s="47">
        <v>5</v>
      </c>
      <c r="E92" s="48">
        <v>44958</v>
      </c>
      <c r="F92" s="47">
        <v>9</v>
      </c>
      <c r="G92" s="48">
        <v>44968</v>
      </c>
      <c r="H92" s="47" t="s">
        <v>41</v>
      </c>
      <c r="I92" s="47" t="s">
        <v>5</v>
      </c>
      <c r="J92" s="47" t="s">
        <v>41</v>
      </c>
      <c r="K92" s="47" t="s">
        <v>41</v>
      </c>
    </row>
    <row r="93" spans="1:11" x14ac:dyDescent="0.25">
      <c r="A93" s="44">
        <v>1041</v>
      </c>
      <c r="B93" s="46">
        <v>44955</v>
      </c>
      <c r="C93" s="45" t="s">
        <v>40</v>
      </c>
      <c r="D93" s="47">
        <v>5</v>
      </c>
      <c r="E93" s="48">
        <v>44959</v>
      </c>
      <c r="F93" s="47">
        <v>9</v>
      </c>
      <c r="G93" s="48">
        <v>44969</v>
      </c>
      <c r="H93" s="47" t="s">
        <v>3</v>
      </c>
      <c r="I93" s="47" t="s">
        <v>41</v>
      </c>
      <c r="J93" s="47" t="s">
        <v>1</v>
      </c>
      <c r="K93" s="47" t="s">
        <v>41</v>
      </c>
    </row>
    <row r="94" spans="1:11" x14ac:dyDescent="0.25">
      <c r="A94" s="44">
        <v>1861</v>
      </c>
      <c r="B94" s="46">
        <v>44955</v>
      </c>
      <c r="C94" s="45" t="s">
        <v>40</v>
      </c>
      <c r="D94" s="47">
        <v>5</v>
      </c>
      <c r="E94" s="48">
        <v>44959</v>
      </c>
      <c r="F94" s="47">
        <v>9</v>
      </c>
      <c r="G94" s="48">
        <v>44969</v>
      </c>
      <c r="H94" s="47" t="s">
        <v>41</v>
      </c>
      <c r="I94" s="47" t="s">
        <v>5</v>
      </c>
      <c r="J94" s="47" t="s">
        <v>41</v>
      </c>
      <c r="K94" s="47" t="s">
        <v>4</v>
      </c>
    </row>
    <row r="95" spans="1:11" x14ac:dyDescent="0.25">
      <c r="A95" s="44">
        <v>2155</v>
      </c>
      <c r="B95" s="46">
        <v>44955</v>
      </c>
      <c r="C95" s="45" t="s">
        <v>44</v>
      </c>
      <c r="D95" s="47" t="s">
        <v>41</v>
      </c>
      <c r="E95" s="47" t="s">
        <v>41</v>
      </c>
      <c r="F95" s="47" t="s">
        <v>41</v>
      </c>
      <c r="G95" s="47" t="s">
        <v>41</v>
      </c>
      <c r="H95" s="47" t="s">
        <v>41</v>
      </c>
      <c r="I95" s="47" t="s">
        <v>41</v>
      </c>
      <c r="J95" s="47" t="s">
        <v>41</v>
      </c>
      <c r="K95" s="47" t="s">
        <v>41</v>
      </c>
    </row>
    <row r="96" spans="1:11" x14ac:dyDescent="0.25">
      <c r="A96" s="44">
        <v>3317</v>
      </c>
      <c r="B96" s="46">
        <v>44955</v>
      </c>
      <c r="C96" s="45" t="s">
        <v>40</v>
      </c>
      <c r="D96" s="47">
        <v>5</v>
      </c>
      <c r="E96" s="48">
        <v>44959</v>
      </c>
      <c r="F96" s="47">
        <v>9</v>
      </c>
      <c r="G96" s="48">
        <v>44969</v>
      </c>
      <c r="H96" s="47" t="s">
        <v>41</v>
      </c>
      <c r="I96" s="47" t="s">
        <v>41</v>
      </c>
      <c r="J96" s="47" t="s">
        <v>1</v>
      </c>
      <c r="K96" s="47" t="s">
        <v>41</v>
      </c>
    </row>
    <row r="97" spans="1:11" x14ac:dyDescent="0.25">
      <c r="A97" s="44">
        <v>1072</v>
      </c>
      <c r="B97" s="46">
        <v>44956</v>
      </c>
      <c r="C97" s="45" t="s">
        <v>48</v>
      </c>
      <c r="D97" s="47">
        <v>5</v>
      </c>
      <c r="E97" s="48">
        <v>44962</v>
      </c>
      <c r="F97" s="47">
        <v>9</v>
      </c>
      <c r="G97" s="47" t="s">
        <v>49</v>
      </c>
      <c r="H97" s="47" t="s">
        <v>3</v>
      </c>
      <c r="I97" s="47" t="s">
        <v>41</v>
      </c>
      <c r="J97" s="47" t="s">
        <v>41</v>
      </c>
      <c r="K97" s="47" t="s">
        <v>41</v>
      </c>
    </row>
    <row r="98" spans="1:11" x14ac:dyDescent="0.25">
      <c r="A98" s="44">
        <v>1193</v>
      </c>
      <c r="B98" s="46">
        <v>44956</v>
      </c>
      <c r="C98" s="45" t="s">
        <v>50</v>
      </c>
      <c r="D98" s="47">
        <v>5</v>
      </c>
      <c r="E98" s="48">
        <v>44960</v>
      </c>
      <c r="F98" s="47">
        <v>3</v>
      </c>
      <c r="G98" s="48">
        <v>44964</v>
      </c>
      <c r="H98" s="47" t="s">
        <v>3</v>
      </c>
      <c r="I98" s="47" t="s">
        <v>41</v>
      </c>
      <c r="J98" s="47" t="s">
        <v>41</v>
      </c>
      <c r="K98" s="47" t="s">
        <v>41</v>
      </c>
    </row>
    <row r="99" spans="1:11" x14ac:dyDescent="0.25">
      <c r="A99" s="44">
        <v>2532</v>
      </c>
      <c r="B99" s="46">
        <v>44956</v>
      </c>
      <c r="C99" s="45" t="s">
        <v>48</v>
      </c>
      <c r="D99" s="47">
        <v>5</v>
      </c>
      <c r="E99" s="48">
        <v>44960</v>
      </c>
      <c r="F99" s="47">
        <v>9</v>
      </c>
      <c r="G99" s="48">
        <v>44970</v>
      </c>
      <c r="H99" s="47" t="s">
        <v>3</v>
      </c>
      <c r="I99" s="47" t="s">
        <v>41</v>
      </c>
      <c r="J99" s="47" t="s">
        <v>41</v>
      </c>
      <c r="K99" s="47" t="s">
        <v>41</v>
      </c>
    </row>
    <row r="100" spans="1:11" x14ac:dyDescent="0.25">
      <c r="A100" s="44">
        <v>2532</v>
      </c>
      <c r="B100" s="46">
        <v>44956</v>
      </c>
      <c r="C100" s="45" t="s">
        <v>51</v>
      </c>
      <c r="D100" s="47">
        <v>5</v>
      </c>
      <c r="E100" s="48">
        <v>44960</v>
      </c>
      <c r="F100" s="47">
        <v>9</v>
      </c>
      <c r="G100" s="48">
        <v>44970</v>
      </c>
      <c r="H100" s="47" t="s">
        <v>41</v>
      </c>
      <c r="I100" s="47" t="s">
        <v>41</v>
      </c>
      <c r="J100" s="47" t="s">
        <v>1</v>
      </c>
      <c r="K100" s="47" t="s">
        <v>41</v>
      </c>
    </row>
    <row r="101" spans="1:11" x14ac:dyDescent="0.25">
      <c r="A101" s="44">
        <v>3043</v>
      </c>
      <c r="B101" s="46">
        <v>44956</v>
      </c>
      <c r="C101" s="45" t="s">
        <v>48</v>
      </c>
      <c r="D101" s="47">
        <v>5</v>
      </c>
      <c r="E101" s="48">
        <v>44960</v>
      </c>
      <c r="F101" s="47">
        <v>9</v>
      </c>
      <c r="G101" s="48">
        <v>44970</v>
      </c>
      <c r="H101" s="47" t="s">
        <v>41</v>
      </c>
      <c r="I101" s="47" t="s">
        <v>5</v>
      </c>
      <c r="J101" s="47" t="s">
        <v>41</v>
      </c>
      <c r="K101" s="47" t="s">
        <v>41</v>
      </c>
    </row>
    <row r="102" spans="1:11" x14ac:dyDescent="0.25">
      <c r="A102" s="44">
        <v>3043</v>
      </c>
      <c r="B102" s="46">
        <v>44956</v>
      </c>
      <c r="C102" s="45" t="s">
        <v>51</v>
      </c>
      <c r="D102" s="47">
        <v>5</v>
      </c>
      <c r="E102" s="48">
        <v>44960</v>
      </c>
      <c r="F102" s="47">
        <v>9</v>
      </c>
      <c r="G102" s="48">
        <v>44970</v>
      </c>
      <c r="H102" s="47" t="s">
        <v>41</v>
      </c>
      <c r="I102" s="47" t="s">
        <v>5</v>
      </c>
      <c r="J102" s="47" t="s">
        <v>41</v>
      </c>
      <c r="K102" s="47" t="s">
        <v>41</v>
      </c>
    </row>
    <row r="103" spans="1:11" x14ac:dyDescent="0.25">
      <c r="A103" s="44">
        <v>3063</v>
      </c>
      <c r="B103" s="46">
        <v>44956</v>
      </c>
      <c r="C103" s="45" t="s">
        <v>48</v>
      </c>
      <c r="D103" s="47">
        <v>5</v>
      </c>
      <c r="E103" s="48">
        <v>44960</v>
      </c>
      <c r="F103" s="47">
        <v>9</v>
      </c>
      <c r="G103" s="48">
        <v>44970</v>
      </c>
      <c r="H103" s="47" t="s">
        <v>41</v>
      </c>
      <c r="I103" s="47" t="s">
        <v>5</v>
      </c>
      <c r="J103" s="47" t="s">
        <v>41</v>
      </c>
      <c r="K103" s="47" t="s">
        <v>41</v>
      </c>
    </row>
    <row r="104" spans="1:11" x14ac:dyDescent="0.25">
      <c r="A104" s="44">
        <v>3063</v>
      </c>
      <c r="B104" s="46">
        <v>44956</v>
      </c>
      <c r="C104" s="45" t="s">
        <v>51</v>
      </c>
      <c r="D104" s="47">
        <v>5</v>
      </c>
      <c r="E104" s="48">
        <v>44960</v>
      </c>
      <c r="F104" s="47">
        <v>9</v>
      </c>
      <c r="G104" s="48">
        <v>44970</v>
      </c>
      <c r="H104" s="47" t="s">
        <v>41</v>
      </c>
      <c r="I104" s="47" t="s">
        <v>5</v>
      </c>
      <c r="J104" s="47" t="s">
        <v>41</v>
      </c>
      <c r="K104" s="47" t="s">
        <v>41</v>
      </c>
    </row>
    <row r="105" spans="1:11" x14ac:dyDescent="0.25">
      <c r="A105" s="44">
        <v>3495</v>
      </c>
      <c r="B105" s="46">
        <v>44956</v>
      </c>
      <c r="C105" s="45" t="s">
        <v>48</v>
      </c>
      <c r="D105" s="47">
        <v>5</v>
      </c>
      <c r="E105" s="48">
        <v>44960</v>
      </c>
      <c r="F105" s="47">
        <v>9</v>
      </c>
      <c r="G105" s="48">
        <v>44970</v>
      </c>
      <c r="H105" s="47" t="s">
        <v>41</v>
      </c>
      <c r="I105" s="47" t="s">
        <v>41</v>
      </c>
      <c r="J105" s="47" t="s">
        <v>41</v>
      </c>
      <c r="K105" s="47" t="s">
        <v>4</v>
      </c>
    </row>
    <row r="106" spans="1:11" x14ac:dyDescent="0.25">
      <c r="A106" s="44">
        <v>3495</v>
      </c>
      <c r="B106" s="46">
        <v>44956</v>
      </c>
      <c r="C106" s="45" t="s">
        <v>51</v>
      </c>
      <c r="D106" s="47">
        <v>5</v>
      </c>
      <c r="E106" s="48">
        <v>44960</v>
      </c>
      <c r="F106" s="47">
        <v>9</v>
      </c>
      <c r="G106" s="48">
        <v>44970</v>
      </c>
      <c r="H106" s="47" t="s">
        <v>41</v>
      </c>
      <c r="I106" s="47" t="s">
        <v>41</v>
      </c>
      <c r="J106" s="47" t="s">
        <v>41</v>
      </c>
      <c r="K106" s="47" t="s">
        <v>4</v>
      </c>
    </row>
    <row r="107" spans="1:11" x14ac:dyDescent="0.25">
      <c r="A107" s="44">
        <v>1930</v>
      </c>
      <c r="B107" s="46">
        <v>44957</v>
      </c>
      <c r="C107" s="45" t="s">
        <v>52</v>
      </c>
      <c r="D107" s="47">
        <v>8</v>
      </c>
      <c r="E107" s="48">
        <v>44964</v>
      </c>
      <c r="F107" s="47">
        <v>3</v>
      </c>
      <c r="G107" s="48">
        <v>44968</v>
      </c>
      <c r="H107" s="47" t="s">
        <v>3</v>
      </c>
      <c r="I107" s="47" t="s">
        <v>41</v>
      </c>
      <c r="J107" s="47" t="s">
        <v>41</v>
      </c>
      <c r="K107" s="47" t="s">
        <v>41</v>
      </c>
    </row>
    <row r="108" spans="1:11" x14ac:dyDescent="0.25">
      <c r="A108" s="44">
        <v>1930</v>
      </c>
      <c r="B108" s="46">
        <v>44957</v>
      </c>
      <c r="C108" s="45" t="s">
        <v>50</v>
      </c>
      <c r="D108" s="47">
        <v>8</v>
      </c>
      <c r="E108" s="48">
        <v>44964</v>
      </c>
      <c r="F108" s="47">
        <v>3</v>
      </c>
      <c r="G108" s="48">
        <v>44968</v>
      </c>
      <c r="H108" s="47" t="s">
        <v>3</v>
      </c>
      <c r="I108" s="47" t="s">
        <v>41</v>
      </c>
      <c r="J108" s="47" t="s">
        <v>41</v>
      </c>
      <c r="K108" s="47" t="s">
        <v>41</v>
      </c>
    </row>
    <row r="109" spans="1:11" x14ac:dyDescent="0.25">
      <c r="A109" s="44">
        <v>2225</v>
      </c>
      <c r="B109" s="46">
        <v>44957</v>
      </c>
      <c r="C109" s="45" t="s">
        <v>52</v>
      </c>
      <c r="D109" s="47">
        <v>5</v>
      </c>
      <c r="E109" s="48">
        <v>44961</v>
      </c>
      <c r="F109" s="47">
        <v>3</v>
      </c>
      <c r="G109" s="47" t="s">
        <v>53</v>
      </c>
      <c r="H109" s="47" t="s">
        <v>41</v>
      </c>
      <c r="I109" s="47" t="s">
        <v>41</v>
      </c>
      <c r="J109" s="47" t="s">
        <v>41</v>
      </c>
      <c r="K109" s="47" t="s">
        <v>4</v>
      </c>
    </row>
    <row r="110" spans="1:11" x14ac:dyDescent="0.25">
      <c r="A110" s="44">
        <v>2225</v>
      </c>
      <c r="B110" s="46">
        <v>44957</v>
      </c>
      <c r="C110" s="45" t="s">
        <v>50</v>
      </c>
      <c r="D110" s="47">
        <v>5</v>
      </c>
      <c r="E110" s="48">
        <v>44961</v>
      </c>
      <c r="F110" s="47">
        <v>3</v>
      </c>
      <c r="G110" s="48">
        <v>44975</v>
      </c>
      <c r="H110" s="47" t="s">
        <v>41</v>
      </c>
      <c r="I110" s="47" t="s">
        <v>41</v>
      </c>
      <c r="J110" s="47" t="s">
        <v>41</v>
      </c>
      <c r="K110" s="47" t="s">
        <v>4</v>
      </c>
    </row>
    <row r="111" spans="1:11" x14ac:dyDescent="0.25">
      <c r="A111" s="44">
        <v>2415</v>
      </c>
      <c r="B111" s="46">
        <v>44957</v>
      </c>
      <c r="C111" s="45" t="s">
        <v>54</v>
      </c>
      <c r="D111" s="47">
        <v>5</v>
      </c>
      <c r="E111" s="48">
        <v>44961</v>
      </c>
      <c r="F111" s="47">
        <v>4</v>
      </c>
      <c r="G111" s="48">
        <v>44966</v>
      </c>
      <c r="H111" s="47" t="s">
        <v>41</v>
      </c>
      <c r="I111" s="47" t="s">
        <v>41</v>
      </c>
      <c r="J111" s="47" t="s">
        <v>1</v>
      </c>
      <c r="K111" s="47" t="s">
        <v>41</v>
      </c>
    </row>
    <row r="112" spans="1:11" x14ac:dyDescent="0.25">
      <c r="A112" s="56">
        <v>3143</v>
      </c>
      <c r="B112" s="57" t="s">
        <v>55</v>
      </c>
      <c r="C112" s="57" t="s">
        <v>48</v>
      </c>
      <c r="D112" s="58">
        <v>3</v>
      </c>
      <c r="E112" s="59">
        <v>44961</v>
      </c>
      <c r="F112" s="58">
        <v>9</v>
      </c>
      <c r="G112" s="58" t="s">
        <v>56</v>
      </c>
      <c r="H112" s="60" t="s">
        <v>3</v>
      </c>
      <c r="I112" s="60" t="s">
        <v>41</v>
      </c>
      <c r="J112" s="60" t="s">
        <v>41</v>
      </c>
      <c r="K112" s="60" t="s">
        <v>41</v>
      </c>
    </row>
    <row r="113" spans="1:11" x14ac:dyDescent="0.25">
      <c r="A113" s="56">
        <v>3385</v>
      </c>
      <c r="B113" s="57" t="s">
        <v>57</v>
      </c>
      <c r="C113" s="57" t="s">
        <v>58</v>
      </c>
      <c r="D113" s="58">
        <v>5</v>
      </c>
      <c r="E113" s="59">
        <v>44964</v>
      </c>
      <c r="F113" s="58">
        <v>3</v>
      </c>
      <c r="G113" s="58" t="s">
        <v>59</v>
      </c>
      <c r="H113" s="60" t="s">
        <v>41</v>
      </c>
      <c r="I113" s="60" t="s">
        <v>41</v>
      </c>
      <c r="J113" s="60" t="s">
        <v>1</v>
      </c>
      <c r="K113" s="60" t="s">
        <v>41</v>
      </c>
    </row>
    <row r="114" spans="1:11" x14ac:dyDescent="0.25">
      <c r="A114" s="56">
        <v>2601</v>
      </c>
      <c r="B114" s="57" t="s">
        <v>60</v>
      </c>
      <c r="C114" s="57" t="s">
        <v>58</v>
      </c>
      <c r="D114" s="58">
        <v>3</v>
      </c>
      <c r="E114" s="59">
        <v>44964</v>
      </c>
      <c r="F114" s="58">
        <v>3</v>
      </c>
      <c r="G114" s="58" t="s">
        <v>59</v>
      </c>
      <c r="H114" s="60" t="s">
        <v>3</v>
      </c>
      <c r="I114" s="60" t="s">
        <v>5</v>
      </c>
      <c r="J114" s="60" t="s">
        <v>41</v>
      </c>
      <c r="K114" s="60" t="s">
        <v>41</v>
      </c>
    </row>
    <row r="115" spans="1:11" x14ac:dyDescent="0.25">
      <c r="A115" s="56">
        <v>1861</v>
      </c>
      <c r="B115" s="57" t="s">
        <v>61</v>
      </c>
      <c r="C115" s="57" t="s">
        <v>58</v>
      </c>
      <c r="D115" s="58">
        <v>5</v>
      </c>
      <c r="E115" s="59">
        <v>44966</v>
      </c>
      <c r="F115" s="58">
        <v>3</v>
      </c>
      <c r="G115" s="58" t="s">
        <v>62</v>
      </c>
      <c r="H115" s="60" t="s">
        <v>41</v>
      </c>
      <c r="I115" s="60" t="s">
        <v>41</v>
      </c>
      <c r="J115" s="60" t="s">
        <v>41</v>
      </c>
      <c r="K115" s="60" t="s">
        <v>4</v>
      </c>
    </row>
    <row r="116" spans="1:11" x14ac:dyDescent="0.25">
      <c r="A116" s="56">
        <v>1691</v>
      </c>
      <c r="B116" s="57" t="s">
        <v>61</v>
      </c>
      <c r="C116" s="57" t="s">
        <v>48</v>
      </c>
      <c r="D116" s="58">
        <v>5</v>
      </c>
      <c r="E116" s="59">
        <v>44966</v>
      </c>
      <c r="F116" s="58">
        <v>9</v>
      </c>
      <c r="G116" s="59">
        <v>44976</v>
      </c>
      <c r="H116" s="60" t="s">
        <v>3</v>
      </c>
      <c r="I116" s="60" t="s">
        <v>41</v>
      </c>
      <c r="J116" s="60" t="s">
        <v>41</v>
      </c>
      <c r="K116" s="60" t="s">
        <v>41</v>
      </c>
    </row>
    <row r="117" spans="1:11" x14ac:dyDescent="0.25">
      <c r="A117" s="56">
        <v>1555</v>
      </c>
      <c r="B117" s="57" t="s">
        <v>63</v>
      </c>
      <c r="C117" s="57" t="s">
        <v>44</v>
      </c>
      <c r="D117" s="58">
        <v>5</v>
      </c>
      <c r="E117" s="59">
        <v>44967</v>
      </c>
      <c r="F117" s="58">
        <v>3</v>
      </c>
      <c r="G117" s="59">
        <v>44971</v>
      </c>
      <c r="H117" s="60" t="s">
        <v>3</v>
      </c>
      <c r="I117" s="60" t="s">
        <v>41</v>
      </c>
      <c r="J117" s="60" t="s">
        <v>41</v>
      </c>
      <c r="K117" s="60" t="s">
        <v>41</v>
      </c>
    </row>
    <row r="118" spans="1:11" x14ac:dyDescent="0.25">
      <c r="A118" s="56">
        <v>2012</v>
      </c>
      <c r="B118" s="57" t="s">
        <v>63</v>
      </c>
      <c r="C118" s="57" t="s">
        <v>44</v>
      </c>
      <c r="D118" s="58">
        <v>5</v>
      </c>
      <c r="E118" s="59">
        <v>44967</v>
      </c>
      <c r="F118" s="58">
        <v>3</v>
      </c>
      <c r="G118" s="59">
        <v>44971</v>
      </c>
      <c r="H118" s="60" t="s">
        <v>41</v>
      </c>
      <c r="I118" s="60" t="s">
        <v>5</v>
      </c>
      <c r="J118" s="60" t="s">
        <v>41</v>
      </c>
      <c r="K118" s="60" t="s">
        <v>4</v>
      </c>
    </row>
    <row r="119" spans="1:11" x14ac:dyDescent="0.25">
      <c r="A119" s="56">
        <v>1186</v>
      </c>
      <c r="B119" s="57" t="s">
        <v>64</v>
      </c>
      <c r="C119" s="57" t="s">
        <v>48</v>
      </c>
      <c r="D119" s="58">
        <v>5</v>
      </c>
      <c r="E119" s="59">
        <v>44968</v>
      </c>
      <c r="F119" s="58">
        <v>9</v>
      </c>
      <c r="G119" s="59">
        <v>44977</v>
      </c>
      <c r="H119" s="60" t="s">
        <v>41</v>
      </c>
      <c r="I119" s="60" t="s">
        <v>41</v>
      </c>
      <c r="J119" s="60" t="s">
        <v>41</v>
      </c>
      <c r="K119" s="60" t="s">
        <v>4</v>
      </c>
    </row>
    <row r="120" spans="1:11" x14ac:dyDescent="0.25">
      <c r="A120" s="56">
        <v>2998</v>
      </c>
      <c r="B120" s="57" t="s">
        <v>64</v>
      </c>
      <c r="C120" s="57" t="s">
        <v>52</v>
      </c>
      <c r="D120" s="58">
        <v>5</v>
      </c>
      <c r="E120" s="59">
        <v>44968</v>
      </c>
      <c r="F120" s="58">
        <v>3</v>
      </c>
      <c r="G120" s="59">
        <v>44972</v>
      </c>
      <c r="H120" s="60" t="s">
        <v>3</v>
      </c>
      <c r="I120" s="60" t="s">
        <v>41</v>
      </c>
      <c r="J120" s="60" t="s">
        <v>41</v>
      </c>
      <c r="K120" s="60" t="s">
        <v>41</v>
      </c>
    </row>
    <row r="121" spans="1:11" x14ac:dyDescent="0.25">
      <c r="A121" s="56">
        <v>2415</v>
      </c>
      <c r="B121" s="61">
        <v>44957</v>
      </c>
      <c r="C121" s="57" t="s">
        <v>43</v>
      </c>
      <c r="D121" s="58">
        <v>5</v>
      </c>
      <c r="E121" s="59">
        <v>44961</v>
      </c>
      <c r="F121" s="58">
        <v>4</v>
      </c>
      <c r="G121" s="59">
        <v>44966</v>
      </c>
      <c r="H121" s="62" t="s">
        <v>41</v>
      </c>
      <c r="I121" s="62" t="s">
        <v>41</v>
      </c>
      <c r="J121" s="62" t="s">
        <v>1</v>
      </c>
      <c r="K121" s="62" t="s">
        <v>41</v>
      </c>
    </row>
    <row r="122" spans="1:11" x14ac:dyDescent="0.25">
      <c r="A122" s="56">
        <v>2643</v>
      </c>
      <c r="B122" s="61">
        <v>44957</v>
      </c>
      <c r="C122" s="57" t="s">
        <v>54</v>
      </c>
      <c r="D122" s="58">
        <v>5</v>
      </c>
      <c r="E122" s="59">
        <v>44961</v>
      </c>
      <c r="F122" s="58">
        <v>4</v>
      </c>
      <c r="G122" s="59">
        <v>44966</v>
      </c>
      <c r="H122" s="58" t="s">
        <v>41</v>
      </c>
      <c r="I122" s="58" t="s">
        <v>5</v>
      </c>
      <c r="J122" s="58" t="s">
        <v>41</v>
      </c>
      <c r="K122" s="58" t="s">
        <v>41</v>
      </c>
    </row>
    <row r="123" spans="1:11" x14ac:dyDescent="0.25">
      <c r="A123" s="56">
        <v>2643</v>
      </c>
      <c r="B123" s="61">
        <v>44957</v>
      </c>
      <c r="C123" s="57" t="s">
        <v>43</v>
      </c>
      <c r="D123" s="58">
        <v>5</v>
      </c>
      <c r="E123" s="59">
        <v>44961</v>
      </c>
      <c r="F123" s="58">
        <v>4</v>
      </c>
      <c r="G123" s="59">
        <v>44966</v>
      </c>
      <c r="H123" s="58" t="s">
        <v>41</v>
      </c>
      <c r="I123" s="58" t="s">
        <v>5</v>
      </c>
      <c r="J123" s="58" t="s">
        <v>41</v>
      </c>
      <c r="K123" s="58" t="s">
        <v>41</v>
      </c>
    </row>
    <row r="124" spans="1:11" x14ac:dyDescent="0.25">
      <c r="A124" s="56">
        <v>2297</v>
      </c>
      <c r="B124" s="61">
        <v>44958</v>
      </c>
      <c r="C124" s="57" t="s">
        <v>48</v>
      </c>
      <c r="D124" s="58">
        <v>5</v>
      </c>
      <c r="E124" s="59">
        <v>44962</v>
      </c>
      <c r="F124" s="58">
        <v>9</v>
      </c>
      <c r="G124" s="59">
        <v>44972</v>
      </c>
      <c r="H124" s="58" t="s">
        <v>41</v>
      </c>
      <c r="I124" s="58" t="s">
        <v>5</v>
      </c>
      <c r="J124" s="58" t="s">
        <v>41</v>
      </c>
      <c r="K124" s="58" t="s">
        <v>41</v>
      </c>
    </row>
    <row r="125" spans="1:11" x14ac:dyDescent="0.25">
      <c r="A125" s="56">
        <v>2297</v>
      </c>
      <c r="B125" s="61">
        <v>44958</v>
      </c>
      <c r="C125" s="57" t="s">
        <v>51</v>
      </c>
      <c r="D125" s="58">
        <v>5</v>
      </c>
      <c r="E125" s="59">
        <v>44961</v>
      </c>
      <c r="F125" s="58">
        <v>9</v>
      </c>
      <c r="G125" s="59">
        <v>44972</v>
      </c>
      <c r="H125" s="58" t="s">
        <v>41</v>
      </c>
      <c r="I125" s="58" t="s">
        <v>5</v>
      </c>
      <c r="J125" s="58" t="s">
        <v>41</v>
      </c>
      <c r="K125" s="58" t="s">
        <v>41</v>
      </c>
    </row>
    <row r="126" spans="1:11" x14ac:dyDescent="0.25">
      <c r="A126" s="56">
        <v>457</v>
      </c>
      <c r="B126" s="61">
        <v>44959</v>
      </c>
      <c r="C126" s="57" t="s">
        <v>52</v>
      </c>
      <c r="D126" s="58">
        <v>8</v>
      </c>
      <c r="E126" s="59">
        <v>44966</v>
      </c>
      <c r="F126" s="58">
        <v>3</v>
      </c>
      <c r="G126" s="59">
        <v>44970</v>
      </c>
      <c r="H126" s="58" t="s">
        <v>41</v>
      </c>
      <c r="I126" s="58" t="s">
        <v>41</v>
      </c>
      <c r="J126" s="58" t="s">
        <v>1</v>
      </c>
      <c r="K126" s="58" t="s">
        <v>41</v>
      </c>
    </row>
    <row r="127" spans="1:11" x14ac:dyDescent="0.25">
      <c r="A127" s="56">
        <v>457</v>
      </c>
      <c r="B127" s="61">
        <v>44959</v>
      </c>
      <c r="C127" s="57" t="s">
        <v>50</v>
      </c>
      <c r="D127" s="58">
        <v>8</v>
      </c>
      <c r="E127" s="59">
        <v>44966</v>
      </c>
      <c r="F127" s="58">
        <v>3</v>
      </c>
      <c r="G127" s="59">
        <v>44970</v>
      </c>
      <c r="H127" s="58" t="s">
        <v>41</v>
      </c>
      <c r="I127" s="58" t="s">
        <v>41</v>
      </c>
      <c r="J127" s="58" t="s">
        <v>1</v>
      </c>
      <c r="K127" s="58" t="s">
        <v>41</v>
      </c>
    </row>
    <row r="128" spans="1:11" x14ac:dyDescent="0.25">
      <c r="A128" s="56">
        <v>2998</v>
      </c>
      <c r="B128" s="61">
        <v>44959</v>
      </c>
      <c r="C128" s="57" t="s">
        <v>48</v>
      </c>
      <c r="D128" s="58">
        <v>5</v>
      </c>
      <c r="E128" s="59">
        <v>44963</v>
      </c>
      <c r="F128" s="58">
        <v>9</v>
      </c>
      <c r="G128" s="58" t="s">
        <v>65</v>
      </c>
      <c r="H128" s="58" t="s">
        <v>3</v>
      </c>
      <c r="I128" s="58" t="s">
        <v>41</v>
      </c>
      <c r="J128" s="58" t="s">
        <v>41</v>
      </c>
      <c r="K128" s="58" t="s">
        <v>41</v>
      </c>
    </row>
    <row r="129" spans="1:11" x14ac:dyDescent="0.25">
      <c r="A129" s="56">
        <v>2998</v>
      </c>
      <c r="B129" s="61">
        <v>44959</v>
      </c>
      <c r="C129" s="57" t="s">
        <v>40</v>
      </c>
      <c r="D129" s="58">
        <v>5</v>
      </c>
      <c r="E129" s="59">
        <v>44963</v>
      </c>
      <c r="F129" s="58">
        <v>9</v>
      </c>
      <c r="G129" s="59">
        <v>44973</v>
      </c>
      <c r="H129" s="58" t="s">
        <v>3</v>
      </c>
      <c r="I129" s="58" t="s">
        <v>41</v>
      </c>
      <c r="J129" s="58" t="s">
        <v>41</v>
      </c>
      <c r="K129" s="58" t="s">
        <v>41</v>
      </c>
    </row>
    <row r="130" spans="1:11" x14ac:dyDescent="0.25">
      <c r="A130" s="56">
        <v>3004</v>
      </c>
      <c r="B130" s="61">
        <v>44959</v>
      </c>
      <c r="C130" s="57" t="s">
        <v>40</v>
      </c>
      <c r="D130" s="58">
        <v>5</v>
      </c>
      <c r="E130" s="59">
        <v>44963</v>
      </c>
      <c r="F130" s="58">
        <v>9</v>
      </c>
      <c r="G130" s="59">
        <v>44973</v>
      </c>
      <c r="H130" s="58" t="s">
        <v>3</v>
      </c>
      <c r="I130" s="58" t="s">
        <v>41</v>
      </c>
      <c r="J130" s="58" t="s">
        <v>41</v>
      </c>
      <c r="K130" s="58" t="s">
        <v>41</v>
      </c>
    </row>
    <row r="131" spans="1:11" x14ac:dyDescent="0.25">
      <c r="A131" s="56">
        <v>3143</v>
      </c>
      <c r="B131" s="61">
        <v>44959</v>
      </c>
      <c r="C131" s="57" t="s">
        <v>40</v>
      </c>
      <c r="D131" s="58">
        <v>3</v>
      </c>
      <c r="E131" s="59">
        <v>44961</v>
      </c>
      <c r="F131" s="58">
        <v>9</v>
      </c>
      <c r="G131" s="59">
        <v>44971</v>
      </c>
      <c r="H131" s="58" t="s">
        <v>3</v>
      </c>
      <c r="I131" s="58" t="s">
        <v>41</v>
      </c>
      <c r="J131" s="58" t="s">
        <v>41</v>
      </c>
      <c r="K131" s="58" t="s">
        <v>41</v>
      </c>
    </row>
    <row r="132" spans="1:11" x14ac:dyDescent="0.25">
      <c r="A132" s="56">
        <v>3227</v>
      </c>
      <c r="B132" s="61">
        <v>44959</v>
      </c>
      <c r="C132" s="57" t="s">
        <v>40</v>
      </c>
      <c r="D132" s="58">
        <v>5</v>
      </c>
      <c r="E132" s="59">
        <v>44963</v>
      </c>
      <c r="F132" s="58">
        <v>9</v>
      </c>
      <c r="G132" s="59">
        <v>44973</v>
      </c>
      <c r="H132" s="58" t="s">
        <v>41</v>
      </c>
      <c r="I132" s="58" t="s">
        <v>41</v>
      </c>
      <c r="J132" s="58" t="s">
        <v>41</v>
      </c>
      <c r="K132" s="58" t="s">
        <v>4</v>
      </c>
    </row>
    <row r="133" spans="1:11" x14ac:dyDescent="0.25">
      <c r="A133" s="56">
        <v>3385</v>
      </c>
      <c r="B133" s="61">
        <v>44960</v>
      </c>
      <c r="C133" s="57" t="s">
        <v>50</v>
      </c>
      <c r="D133" s="58">
        <v>5</v>
      </c>
      <c r="E133" s="59">
        <v>44964</v>
      </c>
      <c r="F133" s="58">
        <v>3</v>
      </c>
      <c r="G133" s="59">
        <v>44968</v>
      </c>
      <c r="H133" s="58" t="s">
        <v>41</v>
      </c>
      <c r="I133" s="58" t="s">
        <v>41</v>
      </c>
      <c r="J133" s="58" t="s">
        <v>1</v>
      </c>
      <c r="K133" s="58" t="s">
        <v>41</v>
      </c>
    </row>
    <row r="134" spans="1:11" x14ac:dyDescent="0.25">
      <c r="A134" s="56">
        <v>2601</v>
      </c>
      <c r="B134" s="61">
        <v>44961</v>
      </c>
      <c r="C134" s="57" t="s">
        <v>50</v>
      </c>
      <c r="D134" s="58">
        <v>3</v>
      </c>
      <c r="E134" s="59">
        <v>44964</v>
      </c>
      <c r="F134" s="58">
        <v>3</v>
      </c>
      <c r="G134" s="59">
        <v>44968</v>
      </c>
      <c r="H134" s="58" t="s">
        <v>41</v>
      </c>
      <c r="I134" s="58" t="s">
        <v>5</v>
      </c>
      <c r="J134" s="58" t="s">
        <v>41</v>
      </c>
      <c r="K134" s="58" t="s">
        <v>41</v>
      </c>
    </row>
    <row r="135" spans="1:11" x14ac:dyDescent="0.25">
      <c r="A135" s="56">
        <v>1691</v>
      </c>
      <c r="B135" s="61">
        <v>44962</v>
      </c>
      <c r="C135" s="57" t="s">
        <v>40</v>
      </c>
      <c r="D135" s="58">
        <v>5</v>
      </c>
      <c r="E135" s="59">
        <v>44966</v>
      </c>
      <c r="F135" s="58">
        <v>9</v>
      </c>
      <c r="G135" s="59">
        <v>44976</v>
      </c>
      <c r="H135" s="58" t="s">
        <v>3</v>
      </c>
      <c r="I135" s="58" t="s">
        <v>41</v>
      </c>
      <c r="J135" s="58" t="s">
        <v>41</v>
      </c>
      <c r="K135" s="58" t="s">
        <v>41</v>
      </c>
    </row>
    <row r="136" spans="1:11" x14ac:dyDescent="0.25">
      <c r="A136" s="56">
        <v>1861</v>
      </c>
      <c r="B136" s="61">
        <v>44962</v>
      </c>
      <c r="C136" s="57" t="s">
        <v>50</v>
      </c>
      <c r="D136" s="58">
        <v>5</v>
      </c>
      <c r="E136" s="59">
        <v>44966</v>
      </c>
      <c r="F136" s="58">
        <v>3</v>
      </c>
      <c r="G136" s="59">
        <v>44970</v>
      </c>
      <c r="H136" s="58" t="s">
        <v>41</v>
      </c>
      <c r="I136" s="58" t="s">
        <v>41</v>
      </c>
      <c r="J136" s="58" t="s">
        <v>41</v>
      </c>
      <c r="K136" s="58" t="s">
        <v>4</v>
      </c>
    </row>
    <row r="137" spans="1:11" x14ac:dyDescent="0.25">
      <c r="A137" s="56">
        <v>1555</v>
      </c>
      <c r="B137" s="61">
        <v>44963</v>
      </c>
      <c r="C137" s="57" t="s">
        <v>50</v>
      </c>
      <c r="D137" s="58">
        <v>5</v>
      </c>
      <c r="E137" s="59">
        <v>44966</v>
      </c>
      <c r="F137" s="58">
        <v>3</v>
      </c>
      <c r="G137" s="59">
        <v>44971</v>
      </c>
      <c r="H137" s="58" t="s">
        <v>3</v>
      </c>
      <c r="I137" s="58" t="s">
        <v>41</v>
      </c>
      <c r="J137" s="58" t="s">
        <v>41</v>
      </c>
      <c r="K137" s="58" t="s">
        <v>41</v>
      </c>
    </row>
    <row r="138" spans="1:11" x14ac:dyDescent="0.25">
      <c r="A138" s="56">
        <v>2072</v>
      </c>
      <c r="B138" s="61">
        <v>44963</v>
      </c>
      <c r="C138" s="57" t="s">
        <v>50</v>
      </c>
      <c r="D138" s="58">
        <v>5</v>
      </c>
      <c r="E138" s="59">
        <v>44967</v>
      </c>
      <c r="F138" s="58">
        <v>3</v>
      </c>
      <c r="G138" s="59">
        <v>44971</v>
      </c>
      <c r="H138" s="58" t="s">
        <v>41</v>
      </c>
      <c r="I138" s="58" t="s">
        <v>5</v>
      </c>
      <c r="J138" s="58" t="s">
        <v>41</v>
      </c>
      <c r="K138" s="58" t="s">
        <v>4</v>
      </c>
    </row>
    <row r="139" spans="1:11" x14ac:dyDescent="0.25">
      <c r="A139" s="56">
        <v>1186</v>
      </c>
      <c r="B139" s="61">
        <v>44964</v>
      </c>
      <c r="C139" s="57" t="s">
        <v>40</v>
      </c>
      <c r="D139" s="58">
        <v>5</v>
      </c>
      <c r="E139" s="59">
        <v>44967</v>
      </c>
      <c r="F139" s="58">
        <v>9</v>
      </c>
      <c r="G139" s="59">
        <v>44977</v>
      </c>
      <c r="H139" s="58" t="s">
        <v>41</v>
      </c>
      <c r="I139" s="58" t="s">
        <v>41</v>
      </c>
      <c r="J139" s="58" t="s">
        <v>41</v>
      </c>
      <c r="K139" s="58" t="s">
        <v>4</v>
      </c>
    </row>
    <row r="140" spans="1:11" x14ac:dyDescent="0.25">
      <c r="A140" s="56">
        <v>2998</v>
      </c>
      <c r="B140" s="61">
        <v>44964</v>
      </c>
      <c r="C140" s="57" t="s">
        <v>50</v>
      </c>
      <c r="D140" s="58">
        <v>5</v>
      </c>
      <c r="E140" s="59">
        <v>44968</v>
      </c>
      <c r="F140" s="58">
        <v>3</v>
      </c>
      <c r="G140" s="59">
        <v>44972</v>
      </c>
      <c r="H140" s="58" t="s">
        <v>3</v>
      </c>
      <c r="I140" s="58" t="s">
        <v>41</v>
      </c>
      <c r="J140" s="58" t="s">
        <v>41</v>
      </c>
      <c r="K140" s="58" t="s">
        <v>41</v>
      </c>
    </row>
    <row r="141" spans="1:11" x14ac:dyDescent="0.25">
      <c r="A141" s="56">
        <v>1072</v>
      </c>
      <c r="B141" s="61">
        <v>44965</v>
      </c>
      <c r="C141" s="57" t="s">
        <v>52</v>
      </c>
      <c r="D141" s="58">
        <v>5</v>
      </c>
      <c r="E141" s="59">
        <v>44969</v>
      </c>
      <c r="F141" s="58">
        <v>3</v>
      </c>
      <c r="G141" s="59">
        <v>44973</v>
      </c>
      <c r="H141" s="58" t="s">
        <v>3</v>
      </c>
      <c r="I141" s="58" t="s">
        <v>41</v>
      </c>
      <c r="J141" s="58" t="s">
        <v>41</v>
      </c>
      <c r="K141" s="58" t="s">
        <v>41</v>
      </c>
    </row>
    <row r="142" spans="1:11" x14ac:dyDescent="0.25">
      <c r="A142" s="56">
        <v>1072</v>
      </c>
      <c r="B142" s="61">
        <v>44965</v>
      </c>
      <c r="C142" s="57" t="s">
        <v>50</v>
      </c>
      <c r="D142" s="58">
        <v>5</v>
      </c>
      <c r="E142" s="59">
        <v>44969</v>
      </c>
      <c r="F142" s="58">
        <v>3</v>
      </c>
      <c r="G142" s="59">
        <v>44973</v>
      </c>
      <c r="H142" s="58" t="s">
        <v>3</v>
      </c>
      <c r="I142" s="58" t="s">
        <v>41</v>
      </c>
      <c r="J142" s="58" t="s">
        <v>41</v>
      </c>
      <c r="K142" s="58" t="s">
        <v>4</v>
      </c>
    </row>
    <row r="143" spans="1:11" x14ac:dyDescent="0.25">
      <c r="A143" s="56">
        <v>2415</v>
      </c>
      <c r="B143" s="61">
        <v>44965</v>
      </c>
      <c r="C143" s="57" t="s">
        <v>52</v>
      </c>
      <c r="D143" s="58">
        <v>8</v>
      </c>
      <c r="E143" s="59">
        <v>44972</v>
      </c>
      <c r="F143" s="58">
        <v>3</v>
      </c>
      <c r="G143" s="59">
        <v>44976</v>
      </c>
      <c r="H143" s="58" t="s">
        <v>41</v>
      </c>
      <c r="I143" s="58" t="s">
        <v>41</v>
      </c>
      <c r="J143" s="58" t="s">
        <v>1</v>
      </c>
      <c r="K143" s="58" t="s">
        <v>41</v>
      </c>
    </row>
    <row r="144" spans="1:11" x14ac:dyDescent="0.25">
      <c r="A144" s="56">
        <v>2415</v>
      </c>
      <c r="B144" s="61">
        <v>44965</v>
      </c>
      <c r="C144" s="57" t="s">
        <v>50</v>
      </c>
      <c r="D144" s="58">
        <v>5</v>
      </c>
      <c r="E144" s="59">
        <v>44972</v>
      </c>
      <c r="F144" s="58">
        <v>9</v>
      </c>
      <c r="G144" s="59">
        <v>44976</v>
      </c>
      <c r="H144" s="58" t="s">
        <v>41</v>
      </c>
      <c r="I144" s="58" t="s">
        <v>41</v>
      </c>
      <c r="J144" s="58" t="s">
        <v>1</v>
      </c>
      <c r="K144" s="58" t="s">
        <v>41</v>
      </c>
    </row>
    <row r="145" spans="1:11" x14ac:dyDescent="0.25">
      <c r="A145" s="56">
        <v>3272</v>
      </c>
      <c r="B145" s="61">
        <v>44965</v>
      </c>
      <c r="C145" s="57" t="s">
        <v>50</v>
      </c>
      <c r="D145" s="58">
        <v>5</v>
      </c>
      <c r="E145" s="59">
        <v>44969</v>
      </c>
      <c r="F145" s="58">
        <v>3</v>
      </c>
      <c r="G145" s="59">
        <v>44973</v>
      </c>
      <c r="H145" s="58" t="s">
        <v>41</v>
      </c>
      <c r="I145" s="58" t="s">
        <v>5</v>
      </c>
      <c r="J145" s="58" t="s">
        <v>41</v>
      </c>
      <c r="K145" s="58" t="s">
        <v>41</v>
      </c>
    </row>
    <row r="146" spans="1:11" x14ac:dyDescent="0.25">
      <c r="A146" s="56">
        <v>3278</v>
      </c>
      <c r="B146" s="61">
        <v>44965</v>
      </c>
      <c r="C146" s="57" t="s">
        <v>52</v>
      </c>
      <c r="D146" s="58">
        <v>5</v>
      </c>
      <c r="E146" s="59">
        <v>44969</v>
      </c>
      <c r="F146" s="58">
        <v>3</v>
      </c>
      <c r="G146" s="59">
        <v>44973</v>
      </c>
      <c r="H146" s="58" t="s">
        <v>41</v>
      </c>
      <c r="I146" s="58" t="s">
        <v>5</v>
      </c>
      <c r="J146" s="58" t="s">
        <v>41</v>
      </c>
      <c r="K146" s="58" t="s">
        <v>41</v>
      </c>
    </row>
    <row r="147" spans="1:11" x14ac:dyDescent="0.25">
      <c r="A147" s="56">
        <v>976</v>
      </c>
      <c r="B147" s="61">
        <v>44966</v>
      </c>
      <c r="C147" s="57" t="s">
        <v>54</v>
      </c>
      <c r="D147" s="58">
        <v>5</v>
      </c>
      <c r="E147" s="59">
        <v>44970</v>
      </c>
      <c r="F147" s="58">
        <v>4</v>
      </c>
      <c r="G147" s="59">
        <v>44975</v>
      </c>
      <c r="H147" s="58" t="s">
        <v>41</v>
      </c>
      <c r="I147" s="58" t="s">
        <v>5</v>
      </c>
      <c r="J147" s="58" t="s">
        <v>41</v>
      </c>
      <c r="K147" s="58" t="s">
        <v>41</v>
      </c>
    </row>
    <row r="148" spans="1:11" x14ac:dyDescent="0.25">
      <c r="A148" s="56">
        <v>976</v>
      </c>
      <c r="B148" s="61">
        <v>44966</v>
      </c>
      <c r="C148" s="57" t="s">
        <v>43</v>
      </c>
      <c r="D148" s="58">
        <v>4</v>
      </c>
      <c r="E148" s="59">
        <v>44970</v>
      </c>
      <c r="F148" s="58">
        <v>4</v>
      </c>
      <c r="G148" s="59">
        <v>44975</v>
      </c>
      <c r="H148" s="58" t="s">
        <v>41</v>
      </c>
      <c r="I148" s="58" t="s">
        <v>5</v>
      </c>
      <c r="J148" s="58" t="s">
        <v>41</v>
      </c>
      <c r="K148" s="58" t="s">
        <v>41</v>
      </c>
    </row>
    <row r="149" spans="1:11" x14ac:dyDescent="0.25">
      <c r="A149" s="56">
        <v>2798</v>
      </c>
      <c r="B149" s="61">
        <v>44966</v>
      </c>
      <c r="C149" s="57" t="s">
        <v>48</v>
      </c>
      <c r="D149" s="58">
        <v>5</v>
      </c>
      <c r="E149" s="59">
        <v>44970</v>
      </c>
      <c r="F149" s="58">
        <v>9</v>
      </c>
      <c r="G149" s="59">
        <v>44980</v>
      </c>
      <c r="H149" s="58" t="s">
        <v>3</v>
      </c>
      <c r="I149" s="58" t="s">
        <v>41</v>
      </c>
      <c r="J149" s="58" t="s">
        <v>41</v>
      </c>
      <c r="K149" s="58" t="s">
        <v>41</v>
      </c>
    </row>
    <row r="150" spans="1:11" x14ac:dyDescent="0.25">
      <c r="A150" s="56">
        <v>2798</v>
      </c>
      <c r="B150" s="61">
        <v>44966</v>
      </c>
      <c r="C150" s="57" t="s">
        <v>40</v>
      </c>
      <c r="D150" s="58">
        <v>5</v>
      </c>
      <c r="E150" s="59">
        <v>44970</v>
      </c>
      <c r="F150" s="58">
        <v>4</v>
      </c>
      <c r="G150" s="59">
        <v>44980</v>
      </c>
      <c r="H150" s="58" t="s">
        <v>3</v>
      </c>
      <c r="I150" s="58" t="s">
        <v>41</v>
      </c>
      <c r="J150" s="58" t="s">
        <v>41</v>
      </c>
      <c r="K150" s="58" t="s">
        <v>41</v>
      </c>
    </row>
    <row r="151" spans="1:11" x14ac:dyDescent="0.25">
      <c r="A151" s="56">
        <v>477</v>
      </c>
      <c r="B151" s="61">
        <v>44967</v>
      </c>
      <c r="C151" s="57" t="s">
        <v>44</v>
      </c>
      <c r="D151" s="58">
        <v>5</v>
      </c>
      <c r="E151" s="59">
        <v>44971</v>
      </c>
      <c r="F151" s="58">
        <v>3</v>
      </c>
      <c r="G151" s="59">
        <v>44975</v>
      </c>
      <c r="H151" s="58" t="s">
        <v>41</v>
      </c>
      <c r="I151" s="58" t="s">
        <v>5</v>
      </c>
      <c r="J151" s="58" t="s">
        <v>1</v>
      </c>
      <c r="K151" s="58" t="s">
        <v>41</v>
      </c>
    </row>
    <row r="152" spans="1:11" x14ac:dyDescent="0.25">
      <c r="A152" s="56">
        <v>477</v>
      </c>
      <c r="B152" s="61">
        <v>44967</v>
      </c>
      <c r="C152" s="57" t="s">
        <v>50</v>
      </c>
      <c r="D152" s="58">
        <v>5</v>
      </c>
      <c r="E152" s="59">
        <v>44971</v>
      </c>
      <c r="F152" s="58">
        <v>3</v>
      </c>
      <c r="G152" s="59">
        <v>44975</v>
      </c>
      <c r="H152" s="58" t="s">
        <v>41</v>
      </c>
      <c r="I152" s="58" t="s">
        <v>5</v>
      </c>
      <c r="J152" s="58" t="s">
        <v>1</v>
      </c>
      <c r="K152" s="58" t="s">
        <v>41</v>
      </c>
    </row>
    <row r="153" spans="1:11" x14ac:dyDescent="0.25">
      <c r="A153" s="56">
        <v>1086</v>
      </c>
      <c r="B153" s="61">
        <v>44967</v>
      </c>
      <c r="C153" s="57" t="s">
        <v>54</v>
      </c>
      <c r="D153" s="58">
        <v>4</v>
      </c>
      <c r="E153" s="59">
        <v>44970</v>
      </c>
      <c r="F153" s="58">
        <v>4</v>
      </c>
      <c r="G153" s="59">
        <v>44975</v>
      </c>
      <c r="H153" s="58" t="s">
        <v>41</v>
      </c>
      <c r="I153" s="58" t="s">
        <v>5</v>
      </c>
      <c r="J153" s="58" t="s">
        <v>41</v>
      </c>
      <c r="K153" s="58" t="s">
        <v>41</v>
      </c>
    </row>
    <row r="154" spans="1:11" x14ac:dyDescent="0.25">
      <c r="A154" s="56">
        <v>1086</v>
      </c>
      <c r="B154" s="61">
        <v>44967</v>
      </c>
      <c r="C154" s="57" t="s">
        <v>43</v>
      </c>
      <c r="D154" s="58">
        <v>4</v>
      </c>
      <c r="E154" s="59">
        <v>44970</v>
      </c>
      <c r="F154" s="58">
        <v>4</v>
      </c>
      <c r="G154" s="59">
        <v>44975</v>
      </c>
      <c r="H154" s="58" t="s">
        <v>41</v>
      </c>
      <c r="I154" s="58" t="s">
        <v>5</v>
      </c>
      <c r="J154" s="58" t="s">
        <v>41</v>
      </c>
      <c r="K154" s="58" t="s">
        <v>41</v>
      </c>
    </row>
    <row r="155" spans="1:11" x14ac:dyDescent="0.25">
      <c r="A155" s="56">
        <v>2118</v>
      </c>
      <c r="B155" s="61">
        <v>44968</v>
      </c>
      <c r="C155" s="57" t="s">
        <v>44</v>
      </c>
      <c r="D155" s="58">
        <v>5</v>
      </c>
      <c r="E155" s="59">
        <v>44972</v>
      </c>
      <c r="F155" s="58">
        <v>3</v>
      </c>
      <c r="G155" s="59">
        <v>44976</v>
      </c>
      <c r="H155" s="58" t="s">
        <v>41</v>
      </c>
      <c r="I155" s="58" t="s">
        <v>41</v>
      </c>
      <c r="J155" s="58" t="s">
        <v>41</v>
      </c>
      <c r="K155" s="58" t="s">
        <v>4</v>
      </c>
    </row>
    <row r="156" spans="1:11" x14ac:dyDescent="0.25">
      <c r="A156" s="56">
        <v>2118</v>
      </c>
      <c r="B156" s="61">
        <v>44968</v>
      </c>
      <c r="C156" s="57" t="s">
        <v>50</v>
      </c>
      <c r="D156" s="58">
        <v>5</v>
      </c>
      <c r="E156" s="59">
        <v>44972</v>
      </c>
      <c r="F156" s="58">
        <v>3</v>
      </c>
      <c r="G156" s="59">
        <v>44976</v>
      </c>
      <c r="H156" s="58" t="s">
        <v>41</v>
      </c>
      <c r="I156" s="58" t="s">
        <v>41</v>
      </c>
      <c r="J156" s="58" t="s">
        <v>41</v>
      </c>
      <c r="K156" s="58" t="s">
        <v>4</v>
      </c>
    </row>
    <row r="157" spans="1:11" x14ac:dyDescent="0.25">
      <c r="A157" s="56">
        <v>2540</v>
      </c>
      <c r="B157" s="61">
        <v>44968</v>
      </c>
      <c r="C157" s="57" t="s">
        <v>48</v>
      </c>
      <c r="D157" s="58">
        <v>5</v>
      </c>
      <c r="E157" s="59">
        <v>44972</v>
      </c>
      <c r="F157" s="58">
        <v>9</v>
      </c>
      <c r="G157" s="59">
        <v>44982</v>
      </c>
      <c r="H157" s="58" t="s">
        <v>41</v>
      </c>
      <c r="I157" s="58" t="s">
        <v>5</v>
      </c>
      <c r="J157" s="58" t="s">
        <v>41</v>
      </c>
      <c r="K157" s="58" t="s">
        <v>41</v>
      </c>
    </row>
    <row r="158" spans="1:11" x14ac:dyDescent="0.25">
      <c r="A158" s="56">
        <v>2678</v>
      </c>
      <c r="B158" s="61">
        <v>44968</v>
      </c>
      <c r="C158" s="57" t="s">
        <v>50</v>
      </c>
      <c r="D158" s="58">
        <v>5</v>
      </c>
      <c r="E158" s="59">
        <v>44972</v>
      </c>
      <c r="F158" s="58">
        <v>3</v>
      </c>
      <c r="G158" s="59">
        <v>44976</v>
      </c>
      <c r="H158" s="58" t="s">
        <v>3</v>
      </c>
      <c r="I158" s="58" t="s">
        <v>41</v>
      </c>
      <c r="J158" s="58" t="s">
        <v>41</v>
      </c>
      <c r="K158" s="58" t="s">
        <v>41</v>
      </c>
    </row>
    <row r="159" spans="1:11" x14ac:dyDescent="0.25">
      <c r="A159" s="56">
        <v>2971</v>
      </c>
      <c r="B159" s="61">
        <v>44968</v>
      </c>
      <c r="C159" s="57" t="s">
        <v>48</v>
      </c>
      <c r="D159" s="58">
        <v>5</v>
      </c>
      <c r="E159" s="59">
        <v>44972</v>
      </c>
      <c r="F159" s="58">
        <v>9</v>
      </c>
      <c r="G159" s="59">
        <v>44982</v>
      </c>
      <c r="H159" s="58" t="s">
        <v>3</v>
      </c>
      <c r="I159" s="58" t="s">
        <v>41</v>
      </c>
      <c r="J159" s="58" t="s">
        <v>41</v>
      </c>
      <c r="K159" s="58" t="s">
        <v>41</v>
      </c>
    </row>
    <row r="160" spans="1:11" x14ac:dyDescent="0.25">
      <c r="A160" s="56">
        <v>2971</v>
      </c>
      <c r="B160" s="61">
        <v>44968</v>
      </c>
      <c r="C160" s="57" t="s">
        <v>40</v>
      </c>
      <c r="D160" s="58">
        <v>5</v>
      </c>
      <c r="E160" s="59">
        <v>44972</v>
      </c>
      <c r="F160" s="58">
        <v>9</v>
      </c>
      <c r="G160" s="59">
        <v>44982</v>
      </c>
      <c r="H160" s="58" t="s">
        <v>3</v>
      </c>
      <c r="I160" s="58" t="s">
        <v>41</v>
      </c>
      <c r="J160" s="58" t="s">
        <v>41</v>
      </c>
      <c r="K160" s="58" t="s">
        <v>41</v>
      </c>
    </row>
    <row r="161" spans="1:11" x14ac:dyDescent="0.25">
      <c r="A161" s="56">
        <v>2579</v>
      </c>
      <c r="B161" s="61">
        <v>44969</v>
      </c>
      <c r="C161" s="57" t="s">
        <v>48</v>
      </c>
      <c r="D161" s="58">
        <v>5</v>
      </c>
      <c r="E161" s="59">
        <v>44973</v>
      </c>
      <c r="F161" s="58">
        <v>9</v>
      </c>
      <c r="G161" s="59">
        <v>44983</v>
      </c>
      <c r="H161" s="58" t="s">
        <v>41</v>
      </c>
      <c r="I161" s="58" t="s">
        <v>41</v>
      </c>
      <c r="J161" s="58" t="s">
        <v>41</v>
      </c>
      <c r="K161" s="58" t="s">
        <v>41</v>
      </c>
    </row>
    <row r="162" spans="1:11" x14ac:dyDescent="0.25">
      <c r="A162" s="56">
        <v>2579</v>
      </c>
      <c r="B162" s="61">
        <v>44969</v>
      </c>
      <c r="C162" s="57" t="s">
        <v>40</v>
      </c>
      <c r="D162" s="58">
        <v>5</v>
      </c>
      <c r="E162" s="59">
        <v>44973</v>
      </c>
      <c r="F162" s="58">
        <v>9</v>
      </c>
      <c r="G162" s="59">
        <v>44983</v>
      </c>
      <c r="H162" s="58" t="s">
        <v>41</v>
      </c>
      <c r="I162" s="58" t="s">
        <v>41</v>
      </c>
      <c r="J162" s="58" t="s">
        <v>41</v>
      </c>
      <c r="K162" s="58" t="s">
        <v>41</v>
      </c>
    </row>
    <row r="163" spans="1:11" x14ac:dyDescent="0.25">
      <c r="A163" s="56">
        <v>3385</v>
      </c>
      <c r="B163" s="61">
        <v>44969</v>
      </c>
      <c r="C163" s="57" t="s">
        <v>48</v>
      </c>
      <c r="D163" s="58">
        <v>5</v>
      </c>
      <c r="E163" s="59">
        <v>44973</v>
      </c>
      <c r="F163" s="58">
        <v>9</v>
      </c>
      <c r="G163" s="59">
        <v>44983</v>
      </c>
      <c r="H163" s="58" t="s">
        <v>41</v>
      </c>
      <c r="I163" s="58" t="s">
        <v>41</v>
      </c>
      <c r="J163" s="58" t="s">
        <v>1</v>
      </c>
      <c r="K163" s="58" t="s">
        <v>41</v>
      </c>
    </row>
    <row r="164" spans="1:11" x14ac:dyDescent="0.25">
      <c r="A164" s="56">
        <v>3385</v>
      </c>
      <c r="B164" s="61">
        <v>44969</v>
      </c>
      <c r="C164" s="57" t="s">
        <v>40</v>
      </c>
      <c r="D164" s="58">
        <v>5</v>
      </c>
      <c r="E164" s="59">
        <v>44973</v>
      </c>
      <c r="F164" s="58">
        <v>9</v>
      </c>
      <c r="G164" s="59">
        <v>44983</v>
      </c>
      <c r="H164" s="58" t="s">
        <v>41</v>
      </c>
      <c r="I164" s="58" t="s">
        <v>41</v>
      </c>
      <c r="J164" s="58" t="s">
        <v>1</v>
      </c>
      <c r="K164" s="58" t="s">
        <v>41</v>
      </c>
    </row>
    <row r="165" spans="1:11" x14ac:dyDescent="0.25">
      <c r="A165" s="56">
        <v>1041</v>
      </c>
      <c r="B165" s="61">
        <v>44970</v>
      </c>
      <c r="C165" s="57" t="s">
        <v>50</v>
      </c>
      <c r="D165" s="58">
        <v>5</v>
      </c>
      <c r="E165" s="59">
        <v>44974</v>
      </c>
      <c r="F165" s="58">
        <v>3</v>
      </c>
      <c r="G165" s="59">
        <v>44978</v>
      </c>
      <c r="H165" s="58" t="s">
        <v>41</v>
      </c>
      <c r="I165" s="58" t="s">
        <v>41</v>
      </c>
      <c r="J165" s="58" t="s">
        <v>1</v>
      </c>
      <c r="K165" s="58" t="s">
        <v>41</v>
      </c>
    </row>
    <row r="166" spans="1:11" x14ac:dyDescent="0.25">
      <c r="A166" s="56">
        <v>1059</v>
      </c>
      <c r="B166" s="61">
        <v>44970</v>
      </c>
      <c r="C166" s="57" t="s">
        <v>40</v>
      </c>
      <c r="D166" s="58">
        <v>8</v>
      </c>
      <c r="E166" s="59">
        <v>44977</v>
      </c>
      <c r="F166" s="58">
        <v>9</v>
      </c>
      <c r="G166" s="59">
        <v>44959</v>
      </c>
      <c r="H166" s="58" t="s">
        <v>41</v>
      </c>
      <c r="I166" s="58" t="s">
        <v>41</v>
      </c>
      <c r="J166" s="58" t="s">
        <v>41</v>
      </c>
      <c r="K166" s="58" t="s">
        <v>4</v>
      </c>
    </row>
    <row r="167" spans="1:11" x14ac:dyDescent="0.25">
      <c r="A167" s="56">
        <v>2540</v>
      </c>
      <c r="B167" s="61">
        <v>44970</v>
      </c>
      <c r="C167" s="57" t="s">
        <v>40</v>
      </c>
      <c r="D167" s="58">
        <v>5</v>
      </c>
      <c r="E167" s="59">
        <v>44972</v>
      </c>
      <c r="F167" s="58">
        <v>9</v>
      </c>
      <c r="G167" s="59">
        <v>44982</v>
      </c>
      <c r="H167" s="58" t="s">
        <v>41</v>
      </c>
      <c r="I167" s="58" t="s">
        <v>5</v>
      </c>
      <c r="J167" s="58" t="s">
        <v>41</v>
      </c>
      <c r="K167" s="58" t="s">
        <v>41</v>
      </c>
    </row>
    <row r="168" spans="1:11" x14ac:dyDescent="0.25">
      <c r="A168" s="56">
        <v>2831</v>
      </c>
      <c r="B168" s="61">
        <v>44970</v>
      </c>
      <c r="C168" s="57" t="s">
        <v>48</v>
      </c>
      <c r="D168" s="58">
        <v>5</v>
      </c>
      <c r="E168" s="59">
        <v>44974</v>
      </c>
      <c r="F168" s="58">
        <v>9</v>
      </c>
      <c r="G168" s="59">
        <v>44984</v>
      </c>
      <c r="H168" s="58" t="s">
        <v>41</v>
      </c>
      <c r="I168" s="58" t="s">
        <v>41</v>
      </c>
      <c r="J168" s="58" t="s">
        <v>41</v>
      </c>
      <c r="K168" s="58" t="s">
        <v>4</v>
      </c>
    </row>
    <row r="169" spans="1:11" x14ac:dyDescent="0.25">
      <c r="A169" s="56">
        <v>2575</v>
      </c>
      <c r="B169" s="61">
        <v>44971</v>
      </c>
      <c r="C169" s="57" t="s">
        <v>40</v>
      </c>
      <c r="D169" s="58">
        <v>5</v>
      </c>
      <c r="E169" s="59">
        <v>44975</v>
      </c>
      <c r="F169" s="58">
        <v>9</v>
      </c>
      <c r="G169" s="59">
        <v>44985</v>
      </c>
      <c r="H169" s="58" t="s">
        <v>41</v>
      </c>
      <c r="I169" s="58" t="s">
        <v>5</v>
      </c>
      <c r="J169" s="58" t="s">
        <v>41</v>
      </c>
      <c r="K169" s="58" t="s">
        <v>41</v>
      </c>
    </row>
    <row r="170" spans="1:11" x14ac:dyDescent="0.25">
      <c r="A170" s="56">
        <v>3019</v>
      </c>
      <c r="B170" s="61">
        <v>44971</v>
      </c>
      <c r="C170" s="57" t="s">
        <v>50</v>
      </c>
      <c r="D170" s="58">
        <v>5</v>
      </c>
      <c r="E170" s="59">
        <v>44975</v>
      </c>
      <c r="F170" s="58">
        <v>5</v>
      </c>
      <c r="G170" s="59">
        <v>44978</v>
      </c>
      <c r="H170" s="58" t="s">
        <v>41</v>
      </c>
      <c r="I170" s="58" t="s">
        <v>41</v>
      </c>
      <c r="J170" s="58" t="s">
        <v>41</v>
      </c>
      <c r="K170" s="58" t="s">
        <v>41</v>
      </c>
    </row>
    <row r="171" spans="1:11" x14ac:dyDescent="0.25">
      <c r="A171" s="56">
        <v>1179</v>
      </c>
      <c r="B171" s="61">
        <v>44973</v>
      </c>
      <c r="C171" s="57" t="s">
        <v>50</v>
      </c>
      <c r="D171" s="58">
        <v>5</v>
      </c>
      <c r="E171" s="59">
        <v>44977</v>
      </c>
      <c r="F171" s="58">
        <v>5</v>
      </c>
      <c r="G171" s="59">
        <v>44979</v>
      </c>
      <c r="H171" s="58" t="s">
        <v>41</v>
      </c>
      <c r="I171" s="58" t="s">
        <v>5</v>
      </c>
      <c r="J171" s="58" t="s">
        <v>41</v>
      </c>
      <c r="K171" s="58" t="s">
        <v>41</v>
      </c>
    </row>
    <row r="172" spans="1:11" x14ac:dyDescent="0.25">
      <c r="A172" s="56">
        <v>991</v>
      </c>
      <c r="B172" s="61">
        <v>44974</v>
      </c>
      <c r="C172" s="57" t="s">
        <v>66</v>
      </c>
      <c r="D172" s="58">
        <v>4</v>
      </c>
      <c r="E172" s="59">
        <v>44977</v>
      </c>
      <c r="F172" s="58">
        <v>3</v>
      </c>
      <c r="G172" s="59">
        <v>44981</v>
      </c>
      <c r="H172" s="58" t="s">
        <v>41</v>
      </c>
      <c r="I172" s="58" t="s">
        <v>5</v>
      </c>
      <c r="J172" s="58" t="s">
        <v>41</v>
      </c>
      <c r="K172" s="58" t="s">
        <v>41</v>
      </c>
    </row>
    <row r="173" spans="1:11" x14ac:dyDescent="0.25">
      <c r="A173" s="56">
        <v>1179</v>
      </c>
      <c r="B173" s="61">
        <v>44974</v>
      </c>
      <c r="C173" s="57" t="s">
        <v>40</v>
      </c>
      <c r="D173" s="58">
        <v>5</v>
      </c>
      <c r="E173" s="59">
        <v>44978</v>
      </c>
      <c r="F173" s="58">
        <v>9</v>
      </c>
      <c r="G173" s="59">
        <v>44988</v>
      </c>
      <c r="H173" s="58" t="s">
        <v>41</v>
      </c>
      <c r="I173" s="58" t="s">
        <v>5</v>
      </c>
      <c r="J173" s="58" t="s">
        <v>41</v>
      </c>
      <c r="K173" s="58" t="s">
        <v>41</v>
      </c>
    </row>
    <row r="174" spans="1:11" x14ac:dyDescent="0.25">
      <c r="A174" s="56">
        <v>2317</v>
      </c>
      <c r="B174" s="61">
        <v>44974</v>
      </c>
      <c r="C174" s="57" t="s">
        <v>50</v>
      </c>
      <c r="D174" s="58">
        <v>6</v>
      </c>
      <c r="E174" s="59">
        <v>44979</v>
      </c>
      <c r="F174" s="58">
        <v>3</v>
      </c>
      <c r="G174" s="59">
        <v>44983</v>
      </c>
      <c r="H174" s="58" t="s">
        <v>41</v>
      </c>
      <c r="I174" s="58" t="s">
        <v>5</v>
      </c>
      <c r="J174" s="58" t="s">
        <v>41</v>
      </c>
      <c r="K174" s="58" t="s">
        <v>41</v>
      </c>
    </row>
    <row r="175" spans="1:11" x14ac:dyDescent="0.25">
      <c r="A175" s="56">
        <v>3307</v>
      </c>
      <c r="B175" s="61">
        <v>44974</v>
      </c>
      <c r="C175" s="57" t="s">
        <v>50</v>
      </c>
      <c r="D175" s="58">
        <v>5</v>
      </c>
      <c r="E175" s="59">
        <v>44978</v>
      </c>
      <c r="F175" s="58">
        <v>3</v>
      </c>
      <c r="G175" s="59">
        <v>44982</v>
      </c>
      <c r="H175" s="58" t="s">
        <v>3</v>
      </c>
      <c r="I175" s="58" t="s">
        <v>5</v>
      </c>
      <c r="J175" s="58" t="s">
        <v>1</v>
      </c>
      <c r="K175" s="58" t="s">
        <v>4</v>
      </c>
    </row>
    <row r="176" spans="1:11" x14ac:dyDescent="0.25">
      <c r="A176" s="56">
        <v>303</v>
      </c>
      <c r="B176" s="61">
        <v>44976</v>
      </c>
      <c r="C176" s="57" t="s">
        <v>50</v>
      </c>
      <c r="D176" s="58">
        <v>5</v>
      </c>
      <c r="E176" s="59">
        <v>44980</v>
      </c>
      <c r="F176" s="58">
        <v>3</v>
      </c>
      <c r="G176" s="59">
        <v>44984</v>
      </c>
      <c r="H176" s="58" t="s">
        <v>41</v>
      </c>
      <c r="I176" s="58" t="s">
        <v>5</v>
      </c>
      <c r="J176" s="58" t="s">
        <v>41</v>
      </c>
      <c r="K176" s="58" t="s">
        <v>41</v>
      </c>
    </row>
    <row r="177" spans="1:11" x14ac:dyDescent="0.25">
      <c r="A177" s="56">
        <v>2273</v>
      </c>
      <c r="B177" s="61">
        <v>44977</v>
      </c>
      <c r="C177" s="57" t="s">
        <v>40</v>
      </c>
      <c r="D177" s="58">
        <v>5</v>
      </c>
      <c r="E177" s="59">
        <v>44981</v>
      </c>
      <c r="F177" s="58">
        <v>9</v>
      </c>
      <c r="G177" s="59">
        <v>44991</v>
      </c>
      <c r="H177" s="58" t="s">
        <v>3</v>
      </c>
      <c r="I177" s="58" t="s">
        <v>41</v>
      </c>
      <c r="J177" s="58" t="s">
        <v>41</v>
      </c>
      <c r="K177" s="58" t="s">
        <v>41</v>
      </c>
    </row>
    <row r="178" spans="1:11" x14ac:dyDescent="0.25">
      <c r="A178" s="56">
        <v>183</v>
      </c>
      <c r="B178" s="61">
        <v>44978</v>
      </c>
      <c r="C178" s="57" t="s">
        <v>40</v>
      </c>
      <c r="D178" s="58">
        <v>5</v>
      </c>
      <c r="E178" s="59">
        <v>44982</v>
      </c>
      <c r="F178" s="58">
        <v>9</v>
      </c>
      <c r="G178" s="59">
        <v>44992</v>
      </c>
      <c r="H178" s="58" t="s">
        <v>41</v>
      </c>
      <c r="I178" s="58" t="s">
        <v>5</v>
      </c>
      <c r="J178" s="58" t="s">
        <v>1</v>
      </c>
      <c r="K178" s="58" t="s">
        <v>41</v>
      </c>
    </row>
    <row r="179" spans="1:11" x14ac:dyDescent="0.25">
      <c r="A179" s="56">
        <v>294</v>
      </c>
      <c r="B179" s="61">
        <v>44978</v>
      </c>
      <c r="C179" s="57" t="s">
        <v>40</v>
      </c>
      <c r="D179" s="58">
        <v>5</v>
      </c>
      <c r="E179" s="59">
        <v>44982</v>
      </c>
      <c r="F179" s="58">
        <v>9</v>
      </c>
      <c r="G179" s="59">
        <v>44992</v>
      </c>
      <c r="H179" s="58" t="s">
        <v>3</v>
      </c>
      <c r="I179" s="58" t="s">
        <v>41</v>
      </c>
      <c r="J179" s="58" t="s">
        <v>41</v>
      </c>
      <c r="K179" s="58" t="s">
        <v>41</v>
      </c>
    </row>
    <row r="180" spans="1:11" x14ac:dyDescent="0.25">
      <c r="A180" s="56">
        <v>1977</v>
      </c>
      <c r="B180" s="61">
        <v>44978</v>
      </c>
      <c r="C180" s="57" t="s">
        <v>50</v>
      </c>
      <c r="D180" s="58">
        <v>5</v>
      </c>
      <c r="E180" s="59">
        <v>44982</v>
      </c>
      <c r="F180" s="58">
        <v>3</v>
      </c>
      <c r="G180" s="59">
        <v>44987</v>
      </c>
      <c r="H180" s="58" t="s">
        <v>41</v>
      </c>
      <c r="I180" s="58" t="s">
        <v>5</v>
      </c>
      <c r="J180" s="58" t="s">
        <v>41</v>
      </c>
      <c r="K180" s="58" t="s">
        <v>41</v>
      </c>
    </row>
    <row r="181" spans="1:11" x14ac:dyDescent="0.25">
      <c r="A181" s="56">
        <v>2626</v>
      </c>
      <c r="B181" s="61">
        <v>44978</v>
      </c>
      <c r="C181" s="57" t="s">
        <v>29</v>
      </c>
      <c r="D181" s="58">
        <v>5</v>
      </c>
      <c r="E181" s="59">
        <v>44982</v>
      </c>
      <c r="F181" s="58">
        <v>4</v>
      </c>
      <c r="G181" s="59">
        <v>44987</v>
      </c>
      <c r="H181" s="58" t="s">
        <v>41</v>
      </c>
      <c r="I181" s="58" t="s">
        <v>5</v>
      </c>
      <c r="J181" s="58" t="s">
        <v>41</v>
      </c>
      <c r="K181" s="58" t="s">
        <v>41</v>
      </c>
    </row>
    <row r="182" spans="1:11" x14ac:dyDescent="0.25">
      <c r="A182" s="56">
        <v>2678</v>
      </c>
      <c r="B182" s="61">
        <v>44978</v>
      </c>
      <c r="C182" s="57" t="s">
        <v>44</v>
      </c>
      <c r="D182" s="58">
        <v>5</v>
      </c>
      <c r="E182" s="59">
        <v>44972</v>
      </c>
      <c r="F182" s="58">
        <v>3</v>
      </c>
      <c r="G182" s="59">
        <v>44976</v>
      </c>
      <c r="H182" s="58" t="s">
        <v>3</v>
      </c>
      <c r="I182" s="58" t="s">
        <v>41</v>
      </c>
      <c r="J182" s="58" t="s">
        <v>41</v>
      </c>
      <c r="K182" s="58" t="s">
        <v>41</v>
      </c>
    </row>
    <row r="183" spans="1:11" x14ac:dyDescent="0.25">
      <c r="A183" s="56">
        <v>2831</v>
      </c>
      <c r="B183" s="61">
        <v>44978</v>
      </c>
      <c r="C183" s="57" t="s">
        <v>40</v>
      </c>
      <c r="D183" s="58">
        <v>5</v>
      </c>
      <c r="E183" s="59">
        <v>44982</v>
      </c>
      <c r="F183" s="58">
        <v>9</v>
      </c>
      <c r="G183" s="59">
        <v>44992</v>
      </c>
      <c r="H183" s="58" t="s">
        <v>41</v>
      </c>
      <c r="I183" s="58" t="s">
        <v>5</v>
      </c>
      <c r="J183" s="58" t="s">
        <v>41</v>
      </c>
      <c r="K183" s="58" t="s">
        <v>4</v>
      </c>
    </row>
    <row r="184" spans="1:11" x14ac:dyDescent="0.25">
      <c r="A184" s="56">
        <v>3160</v>
      </c>
      <c r="B184" s="61">
        <v>44978</v>
      </c>
      <c r="C184" s="57" t="s">
        <v>50</v>
      </c>
      <c r="D184" s="58">
        <v>5</v>
      </c>
      <c r="E184" s="59">
        <v>44980</v>
      </c>
      <c r="F184" s="58">
        <v>3</v>
      </c>
      <c r="G184" s="59">
        <v>44984</v>
      </c>
      <c r="H184" s="58" t="s">
        <v>41</v>
      </c>
      <c r="I184" s="58" t="s">
        <v>5</v>
      </c>
      <c r="J184" s="58" t="s">
        <v>41</v>
      </c>
      <c r="K184" s="58" t="s">
        <v>4</v>
      </c>
    </row>
    <row r="185" spans="1:11" x14ac:dyDescent="0.25">
      <c r="A185" s="56">
        <v>7948</v>
      </c>
      <c r="B185" s="61">
        <v>44978</v>
      </c>
      <c r="C185" s="57" t="s">
        <v>40</v>
      </c>
      <c r="D185" s="58">
        <v>3</v>
      </c>
      <c r="E185" s="59">
        <v>44980</v>
      </c>
      <c r="F185" s="58">
        <v>9</v>
      </c>
      <c r="G185" s="59">
        <v>44990</v>
      </c>
      <c r="H185" s="58" t="s">
        <v>41</v>
      </c>
      <c r="I185" s="58" t="s">
        <v>41</v>
      </c>
      <c r="J185" s="58" t="s">
        <v>41</v>
      </c>
      <c r="K185" s="58" t="s">
        <v>4</v>
      </c>
    </row>
    <row r="186" spans="1:11" x14ac:dyDescent="0.25">
      <c r="A186" s="56">
        <v>2140</v>
      </c>
      <c r="B186" s="61">
        <v>44979</v>
      </c>
      <c r="C186" s="57" t="s">
        <v>40</v>
      </c>
      <c r="D186" s="58">
        <v>5</v>
      </c>
      <c r="E186" s="59">
        <v>44983</v>
      </c>
      <c r="F186" s="58">
        <v>9</v>
      </c>
      <c r="G186" s="59">
        <v>44992</v>
      </c>
      <c r="H186" s="58" t="s">
        <v>41</v>
      </c>
      <c r="I186" s="58" t="s">
        <v>5</v>
      </c>
      <c r="J186" s="58" t="s">
        <v>41</v>
      </c>
      <c r="K186" s="58" t="s">
        <v>41</v>
      </c>
    </row>
    <row r="187" spans="1:11" x14ac:dyDescent="0.25">
      <c r="A187" s="56">
        <v>3194</v>
      </c>
      <c r="B187" s="61">
        <v>44979</v>
      </c>
      <c r="C187" s="57" t="s">
        <v>50</v>
      </c>
      <c r="D187" s="58">
        <v>5</v>
      </c>
      <c r="E187" s="59">
        <v>44983</v>
      </c>
      <c r="F187" s="58">
        <v>3</v>
      </c>
      <c r="G187" s="59">
        <v>44986</v>
      </c>
      <c r="H187" s="58" t="s">
        <v>41</v>
      </c>
      <c r="I187" s="58" t="s">
        <v>41</v>
      </c>
      <c r="J187" s="58" t="s">
        <v>1</v>
      </c>
      <c r="K187" s="58" t="s">
        <v>41</v>
      </c>
    </row>
    <row r="188" spans="1:11" x14ac:dyDescent="0.25">
      <c r="A188" s="56">
        <v>3930</v>
      </c>
      <c r="B188" s="61">
        <v>44979</v>
      </c>
      <c r="C188" s="57" t="s">
        <v>40</v>
      </c>
      <c r="D188" s="58">
        <v>5</v>
      </c>
      <c r="E188" s="59">
        <v>44983</v>
      </c>
      <c r="F188" s="58">
        <v>9</v>
      </c>
      <c r="G188" s="59">
        <v>44992</v>
      </c>
      <c r="H188" s="58" t="s">
        <v>41</v>
      </c>
      <c r="I188" s="58" t="s">
        <v>41</v>
      </c>
      <c r="J188" s="58" t="s">
        <v>1</v>
      </c>
      <c r="K188" s="58" t="s">
        <v>41</v>
      </c>
    </row>
    <row r="189" spans="1:11" x14ac:dyDescent="0.25">
      <c r="A189" s="56">
        <v>3285</v>
      </c>
      <c r="B189" s="61">
        <v>44980</v>
      </c>
      <c r="C189" s="57" t="s">
        <v>50</v>
      </c>
      <c r="D189" s="58">
        <v>5</v>
      </c>
      <c r="E189" s="59">
        <v>44984</v>
      </c>
      <c r="F189" s="58">
        <v>3</v>
      </c>
      <c r="G189" s="59">
        <v>44988</v>
      </c>
      <c r="H189" s="58" t="s">
        <v>41</v>
      </c>
      <c r="I189" s="58" t="s">
        <v>41</v>
      </c>
      <c r="J189" s="58" t="s">
        <v>1</v>
      </c>
      <c r="K189" s="58" t="s">
        <v>41</v>
      </c>
    </row>
    <row r="190" spans="1:11" x14ac:dyDescent="0.25">
      <c r="A190" s="56">
        <v>2450</v>
      </c>
      <c r="B190" s="61">
        <v>44981</v>
      </c>
      <c r="C190" s="57" t="s">
        <v>40</v>
      </c>
      <c r="D190" s="58">
        <v>5</v>
      </c>
      <c r="E190" s="59">
        <v>44985</v>
      </c>
      <c r="F190" s="58">
        <v>9</v>
      </c>
      <c r="G190" s="59">
        <v>44995</v>
      </c>
      <c r="H190" s="58" t="s">
        <v>41</v>
      </c>
      <c r="I190" s="58" t="s">
        <v>41</v>
      </c>
      <c r="J190" s="58" t="s">
        <v>1</v>
      </c>
      <c r="K190" s="58" t="s">
        <v>41</v>
      </c>
    </row>
    <row r="191" spans="1:11" x14ac:dyDescent="0.25">
      <c r="A191" s="56">
        <v>2118</v>
      </c>
      <c r="B191" s="61">
        <v>44982</v>
      </c>
      <c r="C191" s="57" t="s">
        <v>50</v>
      </c>
      <c r="D191" s="58">
        <v>8</v>
      </c>
      <c r="E191" s="59">
        <v>44989</v>
      </c>
      <c r="F191" s="58">
        <v>3</v>
      </c>
      <c r="G191" s="59">
        <v>44993</v>
      </c>
      <c r="H191" s="58" t="s">
        <v>41</v>
      </c>
      <c r="I191" s="58" t="s">
        <v>41</v>
      </c>
      <c r="J191" s="58" t="s">
        <v>41</v>
      </c>
      <c r="K191" s="58" t="s">
        <v>4</v>
      </c>
    </row>
    <row r="192" spans="1:11" x14ac:dyDescent="0.25">
      <c r="A192" s="56">
        <v>2764</v>
      </c>
      <c r="B192" s="61">
        <v>44982</v>
      </c>
      <c r="C192" s="57" t="s">
        <v>40</v>
      </c>
      <c r="D192" s="58">
        <v>5</v>
      </c>
      <c r="E192" s="59">
        <v>44986</v>
      </c>
      <c r="F192" s="58">
        <v>9</v>
      </c>
      <c r="G192" s="59">
        <v>44996</v>
      </c>
      <c r="H192" s="58" t="s">
        <v>41</v>
      </c>
      <c r="I192" s="58" t="s">
        <v>5</v>
      </c>
      <c r="J192" s="58" t="s">
        <v>41</v>
      </c>
      <c r="K192" s="58" t="s">
        <v>41</v>
      </c>
    </row>
    <row r="193" spans="1:11" x14ac:dyDescent="0.25">
      <c r="A193" s="56">
        <v>3022</v>
      </c>
      <c r="B193" s="61">
        <v>44982</v>
      </c>
      <c r="C193" s="57" t="s">
        <v>67</v>
      </c>
      <c r="D193" s="58">
        <v>5</v>
      </c>
      <c r="E193" s="59">
        <v>44986</v>
      </c>
      <c r="F193" s="58">
        <v>3</v>
      </c>
      <c r="G193" s="59">
        <v>44990</v>
      </c>
      <c r="H193" s="58" t="s">
        <v>41</v>
      </c>
      <c r="I193" s="58" t="s">
        <v>41</v>
      </c>
      <c r="J193" s="58" t="s">
        <v>41</v>
      </c>
      <c r="K193" s="58" t="s">
        <v>4</v>
      </c>
    </row>
    <row r="194" spans="1:11" x14ac:dyDescent="0.25">
      <c r="A194" s="56">
        <v>3406</v>
      </c>
      <c r="B194" s="61">
        <v>44982</v>
      </c>
      <c r="C194" s="57" t="s">
        <v>67</v>
      </c>
      <c r="D194" s="58">
        <v>5</v>
      </c>
      <c r="E194" s="59">
        <v>44986</v>
      </c>
      <c r="F194" s="58">
        <v>3</v>
      </c>
      <c r="G194" s="59">
        <v>44990</v>
      </c>
      <c r="H194" s="58" t="s">
        <v>41</v>
      </c>
      <c r="I194" s="58" t="s">
        <v>41</v>
      </c>
      <c r="J194" s="58" t="s">
        <v>41</v>
      </c>
      <c r="K194" s="58" t="s">
        <v>4</v>
      </c>
    </row>
    <row r="195" spans="1:11" x14ac:dyDescent="0.25">
      <c r="A195" s="56">
        <v>3602</v>
      </c>
      <c r="B195" s="61">
        <v>44982</v>
      </c>
      <c r="C195" s="57" t="s">
        <v>67</v>
      </c>
      <c r="D195" s="58">
        <v>5</v>
      </c>
      <c r="E195" s="59">
        <v>44986</v>
      </c>
      <c r="F195" s="58">
        <v>3</v>
      </c>
      <c r="G195" s="59">
        <v>44990</v>
      </c>
      <c r="H195" s="58" t="s">
        <v>3</v>
      </c>
      <c r="I195" s="58" t="s">
        <v>41</v>
      </c>
      <c r="J195" s="58" t="s">
        <v>41</v>
      </c>
      <c r="K195" s="58" t="s">
        <v>41</v>
      </c>
    </row>
    <row r="196" spans="1:11" x14ac:dyDescent="0.25">
      <c r="A196" s="56">
        <v>1877</v>
      </c>
      <c r="B196" s="61">
        <v>44983</v>
      </c>
      <c r="C196" s="57" t="s">
        <v>50</v>
      </c>
      <c r="D196" s="58">
        <v>5</v>
      </c>
      <c r="E196" s="59">
        <v>44987</v>
      </c>
      <c r="F196" s="58">
        <v>3</v>
      </c>
      <c r="G196" s="59">
        <v>44992</v>
      </c>
      <c r="H196" s="58" t="s">
        <v>41</v>
      </c>
      <c r="I196" s="58" t="s">
        <v>5</v>
      </c>
      <c r="J196" s="58" t="s">
        <v>41</v>
      </c>
      <c r="K196" s="58" t="s">
        <v>41</v>
      </c>
    </row>
    <row r="197" spans="1:11" x14ac:dyDescent="0.25">
      <c r="A197" s="56">
        <v>2276</v>
      </c>
      <c r="B197" s="61">
        <v>44983</v>
      </c>
      <c r="C197" s="57" t="s">
        <v>43</v>
      </c>
      <c r="D197" s="58">
        <v>5</v>
      </c>
      <c r="E197" s="59">
        <v>44987</v>
      </c>
      <c r="F197" s="58">
        <v>4</v>
      </c>
      <c r="G197" s="59">
        <v>44993</v>
      </c>
      <c r="H197" s="58" t="s">
        <v>3</v>
      </c>
      <c r="I197" s="58" t="s">
        <v>41</v>
      </c>
      <c r="J197" s="58" t="s">
        <v>41</v>
      </c>
      <c r="K197" s="58" t="s">
        <v>4</v>
      </c>
    </row>
    <row r="198" spans="1:11" x14ac:dyDescent="0.25">
      <c r="A198" s="56">
        <v>2733</v>
      </c>
      <c r="B198" s="61">
        <v>44984</v>
      </c>
      <c r="C198" s="57" t="s">
        <v>40</v>
      </c>
      <c r="D198" s="58">
        <v>5</v>
      </c>
      <c r="E198" s="59">
        <v>44988</v>
      </c>
      <c r="F198" s="58">
        <v>9</v>
      </c>
      <c r="G198" s="59">
        <v>44997</v>
      </c>
      <c r="H198" s="58" t="s">
        <v>41</v>
      </c>
      <c r="I198" s="58" t="s">
        <v>41</v>
      </c>
      <c r="J198" s="58" t="s">
        <v>1</v>
      </c>
      <c r="K198" s="58" t="s">
        <v>41</v>
      </c>
    </row>
    <row r="199" spans="1:11" x14ac:dyDescent="0.25">
      <c r="A199" s="56">
        <v>2958</v>
      </c>
      <c r="B199" s="61">
        <v>44984</v>
      </c>
      <c r="C199" s="57" t="s">
        <v>40</v>
      </c>
      <c r="D199" s="58">
        <v>5</v>
      </c>
      <c r="E199" s="59">
        <v>44988</v>
      </c>
      <c r="F199" s="58">
        <v>9</v>
      </c>
      <c r="G199" s="59">
        <v>44997</v>
      </c>
      <c r="H199" s="58" t="s">
        <v>41</v>
      </c>
      <c r="I199" s="58" t="s">
        <v>41</v>
      </c>
      <c r="J199" s="58" t="s">
        <v>1</v>
      </c>
      <c r="K199" s="58" t="s">
        <v>41</v>
      </c>
    </row>
    <row r="200" spans="1:11" x14ac:dyDescent="0.25">
      <c r="A200" s="56">
        <v>457</v>
      </c>
      <c r="B200" s="61">
        <v>44985</v>
      </c>
      <c r="C200" s="57" t="s">
        <v>40</v>
      </c>
      <c r="D200" s="58">
        <v>5</v>
      </c>
      <c r="E200" s="59">
        <v>44989</v>
      </c>
      <c r="F200" s="58">
        <v>9</v>
      </c>
      <c r="G200" s="59">
        <v>44999</v>
      </c>
      <c r="H200" s="58" t="s">
        <v>41</v>
      </c>
      <c r="I200" s="58" t="s">
        <v>41</v>
      </c>
      <c r="J200" s="58" t="s">
        <v>1</v>
      </c>
      <c r="K200" s="58" t="s">
        <v>41</v>
      </c>
    </row>
    <row r="201" spans="1:11" x14ac:dyDescent="0.25">
      <c r="A201" s="56">
        <v>2940</v>
      </c>
      <c r="B201" s="61">
        <v>44985</v>
      </c>
      <c r="C201" s="57" t="s">
        <v>50</v>
      </c>
      <c r="D201" s="58">
        <v>5</v>
      </c>
      <c r="E201" s="59">
        <v>44989</v>
      </c>
      <c r="F201" s="58">
        <v>3</v>
      </c>
      <c r="G201" s="59">
        <v>44993</v>
      </c>
      <c r="H201" s="58" t="s">
        <v>3</v>
      </c>
      <c r="I201" s="58" t="s">
        <v>41</v>
      </c>
      <c r="J201" s="58" t="s">
        <v>41</v>
      </c>
      <c r="K201" s="58" t="s">
        <v>41</v>
      </c>
    </row>
    <row r="202" spans="1:11" x14ac:dyDescent="0.25">
      <c r="A202" s="56">
        <v>3019</v>
      </c>
      <c r="B202" s="61">
        <v>44985</v>
      </c>
      <c r="C202" s="57" t="s">
        <v>50</v>
      </c>
      <c r="D202" s="58">
        <v>5</v>
      </c>
      <c r="E202" s="59">
        <v>44989</v>
      </c>
      <c r="F202" s="58">
        <v>3</v>
      </c>
      <c r="G202" s="59">
        <v>44994</v>
      </c>
      <c r="H202" s="58" t="s">
        <v>41</v>
      </c>
      <c r="I202" s="58" t="s">
        <v>41</v>
      </c>
      <c r="J202" s="58" t="s">
        <v>41</v>
      </c>
      <c r="K202" s="58" t="s">
        <v>4</v>
      </c>
    </row>
    <row r="203" spans="1:11" x14ac:dyDescent="0.25">
      <c r="A203" s="56">
        <v>3160</v>
      </c>
      <c r="B203" s="61">
        <v>44985</v>
      </c>
      <c r="C203" s="57" t="s">
        <v>40</v>
      </c>
      <c r="D203" s="58">
        <v>5</v>
      </c>
      <c r="E203" s="59">
        <v>44989</v>
      </c>
      <c r="F203" s="58">
        <v>9</v>
      </c>
      <c r="G203" s="59">
        <v>44999</v>
      </c>
      <c r="H203" s="58" t="s">
        <v>41</v>
      </c>
      <c r="I203" s="58" t="s">
        <v>5</v>
      </c>
      <c r="J203" s="58" t="s">
        <v>41</v>
      </c>
      <c r="K203" s="58" t="s">
        <v>41</v>
      </c>
    </row>
    <row r="204" spans="1:11" x14ac:dyDescent="0.25">
      <c r="A204" s="56">
        <v>3387</v>
      </c>
      <c r="B204" s="61">
        <v>44985</v>
      </c>
      <c r="C204" s="57" t="s">
        <v>40</v>
      </c>
      <c r="D204" s="58">
        <v>5</v>
      </c>
      <c r="E204" s="59">
        <v>44989</v>
      </c>
      <c r="F204" s="58">
        <v>9</v>
      </c>
      <c r="G204" s="59">
        <v>45000</v>
      </c>
      <c r="H204" s="58" t="s">
        <v>41</v>
      </c>
      <c r="I204" s="58" t="s">
        <v>5</v>
      </c>
      <c r="J204" s="58" t="s">
        <v>41</v>
      </c>
      <c r="K204" s="58" t="s">
        <v>41</v>
      </c>
    </row>
    <row r="205" spans="1:11" x14ac:dyDescent="0.25">
      <c r="A205" s="44">
        <v>2831</v>
      </c>
      <c r="B205" s="46">
        <v>44986</v>
      </c>
      <c r="C205" s="45" t="s">
        <v>50</v>
      </c>
      <c r="D205" s="47">
        <v>8</v>
      </c>
      <c r="E205" s="48">
        <v>44993</v>
      </c>
      <c r="F205" s="47">
        <v>3</v>
      </c>
      <c r="G205" s="48">
        <v>44996</v>
      </c>
      <c r="H205" s="47" t="s">
        <v>41</v>
      </c>
      <c r="I205" s="47" t="s">
        <v>5</v>
      </c>
      <c r="J205" s="47" t="s">
        <v>41</v>
      </c>
      <c r="K205" s="47" t="s">
        <v>4</v>
      </c>
    </row>
    <row r="206" spans="1:11" x14ac:dyDescent="0.25">
      <c r="A206" s="44">
        <v>3173</v>
      </c>
      <c r="B206" s="46">
        <v>44986</v>
      </c>
      <c r="C206" s="45" t="s">
        <v>40</v>
      </c>
      <c r="D206" s="47">
        <v>5</v>
      </c>
      <c r="E206" s="48">
        <v>44990</v>
      </c>
      <c r="F206" s="47">
        <v>9</v>
      </c>
      <c r="G206" s="48">
        <v>45001</v>
      </c>
      <c r="H206" s="47" t="s">
        <v>3</v>
      </c>
      <c r="I206" s="47" t="s">
        <v>41</v>
      </c>
      <c r="J206" s="47" t="s">
        <v>41</v>
      </c>
      <c r="K206" s="47" t="s">
        <v>41</v>
      </c>
    </row>
    <row r="207" spans="1:11" x14ac:dyDescent="0.25">
      <c r="A207" s="44">
        <v>2462</v>
      </c>
      <c r="B207" s="46">
        <v>44987</v>
      </c>
      <c r="C207" s="45" t="s">
        <v>40</v>
      </c>
      <c r="D207" s="47">
        <v>5</v>
      </c>
      <c r="E207" s="48">
        <v>44990</v>
      </c>
      <c r="F207" s="47">
        <v>9</v>
      </c>
      <c r="G207" s="48">
        <v>45001</v>
      </c>
      <c r="H207" s="47" t="s">
        <v>41</v>
      </c>
      <c r="I207" s="47" t="s">
        <v>41</v>
      </c>
      <c r="J207" s="47" t="s">
        <v>41</v>
      </c>
      <c r="K207" s="47" t="s">
        <v>4</v>
      </c>
    </row>
    <row r="208" spans="1:11" x14ac:dyDescent="0.25">
      <c r="A208" s="44">
        <v>2450</v>
      </c>
      <c r="B208" s="46">
        <v>44988</v>
      </c>
      <c r="C208" s="45" t="s">
        <v>40</v>
      </c>
      <c r="D208" s="47">
        <v>5</v>
      </c>
      <c r="E208" s="48">
        <v>44991</v>
      </c>
      <c r="F208" s="47">
        <v>9</v>
      </c>
      <c r="G208" s="48">
        <v>45002</v>
      </c>
      <c r="H208" s="47" t="s">
        <v>41</v>
      </c>
      <c r="I208" s="47" t="s">
        <v>41</v>
      </c>
      <c r="J208" s="47" t="s">
        <v>41</v>
      </c>
      <c r="K208" s="47" t="s">
        <v>4</v>
      </c>
    </row>
    <row r="209" spans="1:11" x14ac:dyDescent="0.25">
      <c r="A209" s="44">
        <v>3138</v>
      </c>
      <c r="B209" s="46">
        <v>44988</v>
      </c>
      <c r="C209" s="45" t="s">
        <v>40</v>
      </c>
      <c r="D209" s="47">
        <v>3</v>
      </c>
      <c r="E209" s="48">
        <v>44990</v>
      </c>
      <c r="F209" s="47">
        <v>9</v>
      </c>
      <c r="G209" s="48">
        <v>44999</v>
      </c>
      <c r="H209" s="47" t="s">
        <v>41</v>
      </c>
      <c r="I209" s="47" t="s">
        <v>41</v>
      </c>
      <c r="J209" s="47" t="s">
        <v>41</v>
      </c>
      <c r="K209" s="47" t="s">
        <v>4</v>
      </c>
    </row>
    <row r="210" spans="1:11" x14ac:dyDescent="0.25">
      <c r="A210" s="44">
        <v>3123</v>
      </c>
      <c r="B210" s="46">
        <v>44989</v>
      </c>
      <c r="C210" s="45" t="s">
        <v>40</v>
      </c>
      <c r="D210" s="47">
        <v>5</v>
      </c>
      <c r="E210" s="48">
        <v>44993</v>
      </c>
      <c r="F210" s="47">
        <v>9</v>
      </c>
      <c r="G210" s="48">
        <v>45003</v>
      </c>
      <c r="H210" s="47" t="s">
        <v>41</v>
      </c>
      <c r="I210" s="47" t="s">
        <v>41</v>
      </c>
      <c r="J210" s="47" t="s">
        <v>1</v>
      </c>
      <c r="K210" s="47" t="s">
        <v>41</v>
      </c>
    </row>
    <row r="211" spans="1:11" x14ac:dyDescent="0.25">
      <c r="A211" s="44">
        <v>3602</v>
      </c>
      <c r="B211" s="46">
        <v>44989</v>
      </c>
      <c r="C211" s="45" t="s">
        <v>50</v>
      </c>
      <c r="D211" s="47">
        <v>5</v>
      </c>
      <c r="E211" s="48">
        <v>44993</v>
      </c>
      <c r="F211" s="47">
        <v>3</v>
      </c>
      <c r="G211" s="48">
        <v>44996</v>
      </c>
      <c r="H211" s="47" t="s">
        <v>41</v>
      </c>
      <c r="I211" s="47" t="s">
        <v>41</v>
      </c>
      <c r="J211" s="47" t="s">
        <v>41</v>
      </c>
      <c r="K211" s="47" t="s">
        <v>4</v>
      </c>
    </row>
    <row r="212" spans="1:11" x14ac:dyDescent="0.25">
      <c r="A212" s="44">
        <v>117</v>
      </c>
      <c r="B212" s="46">
        <v>44990</v>
      </c>
      <c r="C212" s="45" t="s">
        <v>40</v>
      </c>
      <c r="D212" s="47">
        <v>5</v>
      </c>
      <c r="E212" s="48">
        <v>44994</v>
      </c>
      <c r="F212" s="47">
        <v>9</v>
      </c>
      <c r="G212" s="48">
        <v>45003</v>
      </c>
      <c r="H212" s="47" t="s">
        <v>3</v>
      </c>
      <c r="I212" s="47" t="s">
        <v>41</v>
      </c>
      <c r="J212" s="47" t="s">
        <v>41</v>
      </c>
      <c r="K212" s="47" t="s">
        <v>41</v>
      </c>
    </row>
    <row r="213" spans="1:11" x14ac:dyDescent="0.25">
      <c r="A213" s="44">
        <v>2450</v>
      </c>
      <c r="B213" s="46">
        <v>44991</v>
      </c>
      <c r="C213" s="45" t="s">
        <v>43</v>
      </c>
      <c r="D213" s="47">
        <v>8</v>
      </c>
      <c r="E213" s="48">
        <v>44998</v>
      </c>
      <c r="F213" s="47">
        <v>4</v>
      </c>
      <c r="G213" s="48">
        <v>45003</v>
      </c>
      <c r="H213" s="47" t="s">
        <v>41</v>
      </c>
      <c r="I213" s="47" t="s">
        <v>41</v>
      </c>
      <c r="J213" s="47" t="s">
        <v>1</v>
      </c>
      <c r="K213" s="47" t="s">
        <v>41</v>
      </c>
    </row>
    <row r="214" spans="1:11" x14ac:dyDescent="0.25">
      <c r="A214" s="44">
        <v>2720</v>
      </c>
      <c r="B214" s="46">
        <v>44991</v>
      </c>
      <c r="C214" s="45" t="s">
        <v>50</v>
      </c>
      <c r="D214" s="47">
        <v>5</v>
      </c>
      <c r="E214" s="48">
        <v>44995</v>
      </c>
      <c r="F214" s="47">
        <v>3</v>
      </c>
      <c r="G214" s="48">
        <v>44999</v>
      </c>
      <c r="H214" s="47" t="s">
        <v>3</v>
      </c>
      <c r="I214" s="47" t="s">
        <v>41</v>
      </c>
      <c r="J214" s="47" t="s">
        <v>41</v>
      </c>
      <c r="K214" s="47" t="s">
        <v>41</v>
      </c>
    </row>
    <row r="215" spans="1:11" x14ac:dyDescent="0.25">
      <c r="A215" s="44">
        <v>2958</v>
      </c>
      <c r="B215" s="46">
        <v>44991</v>
      </c>
      <c r="C215" s="45" t="s">
        <v>50</v>
      </c>
      <c r="D215" s="47">
        <v>5</v>
      </c>
      <c r="E215" s="48">
        <v>44995</v>
      </c>
      <c r="F215" s="47">
        <v>3</v>
      </c>
      <c r="G215" s="48">
        <v>44999</v>
      </c>
      <c r="H215" s="47" t="s">
        <v>41</v>
      </c>
      <c r="I215" s="47" t="s">
        <v>41</v>
      </c>
      <c r="J215" s="47" t="s">
        <v>1</v>
      </c>
      <c r="K215" s="47" t="s">
        <v>41</v>
      </c>
    </row>
    <row r="216" spans="1:11" x14ac:dyDescent="0.25">
      <c r="A216" s="44">
        <v>3138</v>
      </c>
      <c r="B216" s="46">
        <v>44992</v>
      </c>
      <c r="C216" s="45" t="s">
        <v>50</v>
      </c>
      <c r="D216" s="47">
        <v>5</v>
      </c>
      <c r="E216" s="48">
        <v>44996</v>
      </c>
      <c r="F216" s="47">
        <v>3</v>
      </c>
      <c r="G216" s="48">
        <v>45001</v>
      </c>
      <c r="H216" s="47" t="s">
        <v>41</v>
      </c>
      <c r="I216" s="47" t="s">
        <v>41</v>
      </c>
      <c r="J216" s="47" t="s">
        <v>41</v>
      </c>
      <c r="K216" s="47" t="s">
        <v>4</v>
      </c>
    </row>
    <row r="217" spans="1:11" x14ac:dyDescent="0.25">
      <c r="A217" s="44">
        <v>3160</v>
      </c>
      <c r="B217" s="46">
        <v>44992</v>
      </c>
      <c r="C217" s="45" t="s">
        <v>29</v>
      </c>
      <c r="D217" s="47">
        <v>8</v>
      </c>
      <c r="E217" s="48">
        <v>44999</v>
      </c>
      <c r="F217" s="47">
        <v>4</v>
      </c>
      <c r="G217" s="48">
        <v>45004</v>
      </c>
      <c r="H217" s="47" t="s">
        <v>41</v>
      </c>
      <c r="I217" s="47" t="s">
        <v>5</v>
      </c>
      <c r="J217" s="47" t="s">
        <v>41</v>
      </c>
      <c r="K217" s="47" t="s">
        <v>41</v>
      </c>
    </row>
    <row r="218" spans="1:11" x14ac:dyDescent="0.25">
      <c r="A218" s="44">
        <v>2240</v>
      </c>
      <c r="B218" s="46">
        <v>44994</v>
      </c>
      <c r="C218" s="45" t="s">
        <v>50</v>
      </c>
      <c r="D218" s="47">
        <v>5</v>
      </c>
      <c r="E218" s="48">
        <v>44998</v>
      </c>
      <c r="F218" s="47">
        <v>3</v>
      </c>
      <c r="G218" s="48">
        <v>45003</v>
      </c>
      <c r="H218" s="47" t="s">
        <v>41</v>
      </c>
      <c r="I218" s="47" t="s">
        <v>41</v>
      </c>
      <c r="J218" s="47" t="s">
        <v>41</v>
      </c>
      <c r="K218" s="47" t="s">
        <v>4</v>
      </c>
    </row>
    <row r="219" spans="1:11" x14ac:dyDescent="0.25">
      <c r="A219" s="44">
        <v>2540</v>
      </c>
      <c r="B219" s="46">
        <v>44994</v>
      </c>
      <c r="C219" s="45" t="s">
        <v>50</v>
      </c>
      <c r="D219" s="47">
        <v>5</v>
      </c>
      <c r="E219" s="48">
        <v>44998</v>
      </c>
      <c r="F219" s="47">
        <v>3</v>
      </c>
      <c r="G219" s="48">
        <v>45003</v>
      </c>
      <c r="H219" s="47" t="s">
        <v>41</v>
      </c>
      <c r="I219" s="47" t="s">
        <v>41</v>
      </c>
      <c r="J219" s="47" t="s">
        <v>41</v>
      </c>
      <c r="K219" s="47" t="s">
        <v>4</v>
      </c>
    </row>
    <row r="220" spans="1:11" x14ac:dyDescent="0.25">
      <c r="A220" s="44">
        <v>2764</v>
      </c>
      <c r="B220" s="46">
        <v>44994</v>
      </c>
      <c r="C220" s="45" t="s">
        <v>29</v>
      </c>
      <c r="D220" s="47">
        <v>1</v>
      </c>
      <c r="E220" s="48">
        <v>44994</v>
      </c>
      <c r="F220" s="47">
        <v>4</v>
      </c>
      <c r="G220" s="48">
        <v>44998</v>
      </c>
      <c r="H220" s="47" t="s">
        <v>41</v>
      </c>
      <c r="I220" s="47" t="s">
        <v>41</v>
      </c>
      <c r="J220" s="47" t="s">
        <v>1</v>
      </c>
      <c r="K220" s="47" t="s">
        <v>41</v>
      </c>
    </row>
    <row r="221" spans="1:11" x14ac:dyDescent="0.25">
      <c r="A221" s="44">
        <v>2317</v>
      </c>
      <c r="B221" s="46">
        <v>44995</v>
      </c>
      <c r="C221" s="45" t="s">
        <v>50</v>
      </c>
      <c r="D221" s="47">
        <v>5</v>
      </c>
      <c r="E221" s="48">
        <v>44999</v>
      </c>
      <c r="F221" s="47">
        <v>3</v>
      </c>
      <c r="G221" s="48">
        <v>45003</v>
      </c>
      <c r="H221" s="47" t="s">
        <v>41</v>
      </c>
      <c r="I221" s="47" t="s">
        <v>5</v>
      </c>
      <c r="J221" s="47" t="s">
        <v>41</v>
      </c>
      <c r="K221" s="47" t="s">
        <v>41</v>
      </c>
    </row>
    <row r="222" spans="1:11" x14ac:dyDescent="0.25">
      <c r="A222" s="44">
        <v>2463</v>
      </c>
      <c r="B222" s="46">
        <v>44995</v>
      </c>
      <c r="C222" s="45" t="s">
        <v>50</v>
      </c>
      <c r="D222" s="47">
        <v>5</v>
      </c>
      <c r="E222" s="48">
        <v>44999</v>
      </c>
      <c r="F222" s="47">
        <v>3</v>
      </c>
      <c r="G222" s="48">
        <v>45004</v>
      </c>
      <c r="H222" s="47" t="s">
        <v>41</v>
      </c>
      <c r="I222" s="47" t="s">
        <v>41</v>
      </c>
      <c r="J222" s="47" t="s">
        <v>1</v>
      </c>
      <c r="K222" s="47" t="s">
        <v>41</v>
      </c>
    </row>
    <row r="223" spans="1:11" x14ac:dyDescent="0.25">
      <c r="A223" s="44">
        <v>2831</v>
      </c>
      <c r="B223" s="46">
        <v>44995</v>
      </c>
      <c r="C223" s="45" t="s">
        <v>40</v>
      </c>
      <c r="D223" s="47">
        <v>5</v>
      </c>
      <c r="E223" s="48">
        <v>44999</v>
      </c>
      <c r="F223" s="47">
        <v>9</v>
      </c>
      <c r="G223" s="48">
        <v>45010</v>
      </c>
      <c r="H223" s="47" t="s">
        <v>41</v>
      </c>
      <c r="I223" s="47" t="s">
        <v>41</v>
      </c>
      <c r="J223" s="47" t="s">
        <v>41</v>
      </c>
      <c r="K223" s="47" t="s">
        <v>4</v>
      </c>
    </row>
    <row r="224" spans="1:11" x14ac:dyDescent="0.25">
      <c r="A224" s="44">
        <v>1649</v>
      </c>
      <c r="B224" s="46">
        <v>44996</v>
      </c>
      <c r="C224" s="45" t="s">
        <v>50</v>
      </c>
      <c r="D224" s="47">
        <v>5</v>
      </c>
      <c r="E224" s="48">
        <v>45000</v>
      </c>
      <c r="F224" s="47">
        <v>3</v>
      </c>
      <c r="G224" s="48">
        <v>45004</v>
      </c>
      <c r="H224" s="47" t="s">
        <v>41</v>
      </c>
      <c r="I224" s="47" t="s">
        <v>5</v>
      </c>
      <c r="J224" s="47" t="s">
        <v>41</v>
      </c>
      <c r="K224" s="47" t="s">
        <v>41</v>
      </c>
    </row>
    <row r="225" spans="1:11" x14ac:dyDescent="0.25">
      <c r="A225" s="44">
        <v>2108</v>
      </c>
      <c r="B225" s="46">
        <v>44996</v>
      </c>
      <c r="C225" s="45" t="s">
        <v>40</v>
      </c>
      <c r="D225" s="47">
        <v>5</v>
      </c>
      <c r="E225" s="48">
        <v>45000</v>
      </c>
      <c r="F225" s="47">
        <v>9</v>
      </c>
      <c r="G225" s="48">
        <v>45010</v>
      </c>
      <c r="H225" s="47" t="s">
        <v>41</v>
      </c>
      <c r="I225" s="47" t="s">
        <v>5</v>
      </c>
      <c r="J225" s="47" t="s">
        <v>41</v>
      </c>
      <c r="K225" s="47" t="s">
        <v>41</v>
      </c>
    </row>
    <row r="226" spans="1:11" x14ac:dyDescent="0.25">
      <c r="A226" s="44">
        <v>2958</v>
      </c>
      <c r="B226" s="46">
        <v>44996</v>
      </c>
      <c r="C226" s="45" t="s">
        <v>29</v>
      </c>
      <c r="D226" s="47">
        <v>5</v>
      </c>
      <c r="E226" s="48">
        <v>45000</v>
      </c>
      <c r="F226" s="47">
        <v>4</v>
      </c>
      <c r="G226" s="48">
        <v>45006</v>
      </c>
      <c r="H226" s="47" t="s">
        <v>3</v>
      </c>
      <c r="I226" s="47" t="s">
        <v>41</v>
      </c>
      <c r="J226" s="47" t="s">
        <v>41</v>
      </c>
      <c r="K226" s="47" t="s">
        <v>41</v>
      </c>
    </row>
    <row r="227" spans="1:11" x14ac:dyDescent="0.25">
      <c r="A227" s="44">
        <v>2149</v>
      </c>
      <c r="B227" s="46">
        <v>44998</v>
      </c>
      <c r="C227" s="45" t="s">
        <v>50</v>
      </c>
      <c r="D227" s="47">
        <v>8</v>
      </c>
      <c r="E227" s="48">
        <v>45005</v>
      </c>
      <c r="F227" s="47">
        <v>3</v>
      </c>
      <c r="G227" s="48">
        <v>45014</v>
      </c>
      <c r="H227" s="47" t="s">
        <v>3</v>
      </c>
      <c r="I227" s="47" t="s">
        <v>41</v>
      </c>
      <c r="J227" s="47" t="s">
        <v>41</v>
      </c>
      <c r="K227" s="47" t="s">
        <v>41</v>
      </c>
    </row>
    <row r="228" spans="1:11" x14ac:dyDescent="0.25">
      <c r="A228" s="44">
        <v>2581</v>
      </c>
      <c r="B228" s="46">
        <v>44998</v>
      </c>
      <c r="C228" s="45" t="s">
        <v>50</v>
      </c>
      <c r="D228" s="47">
        <v>8</v>
      </c>
      <c r="E228" s="48">
        <v>45005</v>
      </c>
      <c r="F228" s="47">
        <v>3</v>
      </c>
      <c r="G228" s="48">
        <v>45014</v>
      </c>
      <c r="H228" s="47" t="s">
        <v>3</v>
      </c>
      <c r="I228" s="47" t="s">
        <v>41</v>
      </c>
      <c r="J228" s="47" t="s">
        <v>41</v>
      </c>
      <c r="K228" s="47" t="s">
        <v>41</v>
      </c>
    </row>
    <row r="229" spans="1:11" x14ac:dyDescent="0.25">
      <c r="A229" s="44">
        <v>3069</v>
      </c>
      <c r="B229" s="46">
        <v>44998</v>
      </c>
      <c r="C229" s="45" t="s">
        <v>40</v>
      </c>
      <c r="D229" s="47">
        <v>5</v>
      </c>
      <c r="E229" s="48">
        <v>45000</v>
      </c>
      <c r="F229" s="47">
        <v>9</v>
      </c>
      <c r="G229" s="48">
        <v>45010</v>
      </c>
      <c r="H229" s="47" t="s">
        <v>41</v>
      </c>
      <c r="I229" s="47" t="s">
        <v>5</v>
      </c>
      <c r="J229" s="47" t="s">
        <v>41</v>
      </c>
      <c r="K229" s="47" t="s">
        <v>41</v>
      </c>
    </row>
    <row r="230" spans="1:11" x14ac:dyDescent="0.25">
      <c r="A230" s="44">
        <v>2876</v>
      </c>
      <c r="B230" s="46">
        <v>44999</v>
      </c>
      <c r="C230" s="45" t="s">
        <v>40</v>
      </c>
      <c r="D230" s="47">
        <v>5</v>
      </c>
      <c r="E230" s="48">
        <v>45003</v>
      </c>
      <c r="F230" s="47">
        <v>9</v>
      </c>
      <c r="G230" s="48">
        <v>45013</v>
      </c>
      <c r="H230" s="47" t="s">
        <v>3</v>
      </c>
      <c r="I230" s="47" t="s">
        <v>41</v>
      </c>
      <c r="J230" s="47" t="s">
        <v>1</v>
      </c>
      <c r="K230" s="47" t="s">
        <v>41</v>
      </c>
    </row>
    <row r="231" spans="1:11" x14ac:dyDescent="0.25">
      <c r="A231" s="44">
        <v>2958</v>
      </c>
      <c r="B231" s="46">
        <v>44999</v>
      </c>
      <c r="C231" s="45" t="s">
        <v>68</v>
      </c>
      <c r="D231" s="47">
        <v>5</v>
      </c>
      <c r="E231" s="48">
        <v>45003</v>
      </c>
      <c r="F231" s="47">
        <v>3</v>
      </c>
      <c r="G231" s="48">
        <v>45007</v>
      </c>
      <c r="H231" s="47" t="s">
        <v>3</v>
      </c>
      <c r="I231" s="47" t="s">
        <v>41</v>
      </c>
      <c r="J231" s="47" t="s">
        <v>41</v>
      </c>
      <c r="K231" s="47" t="s">
        <v>41</v>
      </c>
    </row>
    <row r="232" spans="1:11" x14ac:dyDescent="0.25">
      <c r="A232" s="44">
        <v>3069</v>
      </c>
      <c r="B232" s="46">
        <v>44999</v>
      </c>
      <c r="C232" s="45" t="s">
        <v>40</v>
      </c>
      <c r="D232" s="47">
        <v>5</v>
      </c>
      <c r="E232" s="48">
        <v>45003</v>
      </c>
      <c r="F232" s="47">
        <v>9</v>
      </c>
      <c r="G232" s="48">
        <v>45013</v>
      </c>
      <c r="H232" s="47" t="s">
        <v>41</v>
      </c>
      <c r="I232" s="47" t="s">
        <v>5</v>
      </c>
      <c r="J232" s="47" t="s">
        <v>41</v>
      </c>
      <c r="K232" s="47" t="s">
        <v>4</v>
      </c>
    </row>
    <row r="233" spans="1:11" x14ac:dyDescent="0.25">
      <c r="A233" s="44">
        <v>3160</v>
      </c>
      <c r="B233" s="46">
        <v>44999</v>
      </c>
      <c r="C233" s="45" t="s">
        <v>40</v>
      </c>
      <c r="D233" s="47">
        <v>5</v>
      </c>
      <c r="E233" s="48">
        <v>45003</v>
      </c>
      <c r="F233" s="47">
        <v>9</v>
      </c>
      <c r="G233" s="48">
        <v>45013</v>
      </c>
      <c r="H233" s="47" t="s">
        <v>41</v>
      </c>
      <c r="I233" s="47" t="s">
        <v>5</v>
      </c>
      <c r="J233" s="47" t="s">
        <v>41</v>
      </c>
      <c r="K233" s="47" t="s">
        <v>41</v>
      </c>
    </row>
    <row r="234" spans="1:11" x14ac:dyDescent="0.25">
      <c r="A234" s="44">
        <v>3483</v>
      </c>
      <c r="B234" s="46">
        <v>44999</v>
      </c>
      <c r="C234" s="45" t="s">
        <v>40</v>
      </c>
      <c r="D234" s="47">
        <v>5</v>
      </c>
      <c r="E234" s="48">
        <v>45003</v>
      </c>
      <c r="F234" s="47">
        <v>9</v>
      </c>
      <c r="G234" s="48">
        <v>45014</v>
      </c>
      <c r="H234" s="47" t="s">
        <v>41</v>
      </c>
      <c r="I234" s="47" t="s">
        <v>41</v>
      </c>
      <c r="J234" s="47" t="s">
        <v>41</v>
      </c>
      <c r="K234" s="47" t="s">
        <v>4</v>
      </c>
    </row>
    <row r="235" spans="1:11" x14ac:dyDescent="0.25">
      <c r="A235" s="44">
        <v>1728</v>
      </c>
      <c r="B235" s="46">
        <v>45001</v>
      </c>
      <c r="C235" s="45" t="s">
        <v>50</v>
      </c>
      <c r="D235" s="47">
        <v>8</v>
      </c>
      <c r="E235" s="48">
        <v>45008</v>
      </c>
      <c r="F235" s="47">
        <v>3</v>
      </c>
      <c r="G235" s="48">
        <v>45011</v>
      </c>
      <c r="H235" s="47" t="s">
        <v>3</v>
      </c>
      <c r="I235" s="47" t="s">
        <v>41</v>
      </c>
      <c r="J235" s="47" t="s">
        <v>41</v>
      </c>
      <c r="K235" s="47" t="s">
        <v>41</v>
      </c>
    </row>
    <row r="236" spans="1:11" x14ac:dyDescent="0.25">
      <c r="A236" s="44">
        <v>2225</v>
      </c>
      <c r="B236" s="46">
        <v>45001</v>
      </c>
      <c r="C236" s="45" t="s">
        <v>50</v>
      </c>
      <c r="D236" s="47">
        <v>8</v>
      </c>
      <c r="E236" s="48">
        <v>45008</v>
      </c>
      <c r="F236" s="47">
        <v>3</v>
      </c>
      <c r="G236" s="48">
        <v>45011</v>
      </c>
      <c r="H236" s="47" t="s">
        <v>3</v>
      </c>
      <c r="I236" s="47" t="s">
        <v>5</v>
      </c>
      <c r="J236" s="47" t="s">
        <v>1</v>
      </c>
      <c r="K236" s="47" t="s">
        <v>4</v>
      </c>
    </row>
    <row r="237" spans="1:11" x14ac:dyDescent="0.25">
      <c r="A237" s="44">
        <v>2327</v>
      </c>
      <c r="B237" s="46">
        <v>45001</v>
      </c>
      <c r="C237" s="45" t="s">
        <v>50</v>
      </c>
      <c r="D237" s="47">
        <v>8</v>
      </c>
      <c r="E237" s="48">
        <v>45008</v>
      </c>
      <c r="F237" s="47">
        <v>3</v>
      </c>
      <c r="G237" s="48">
        <v>45011</v>
      </c>
      <c r="H237" s="47" t="s">
        <v>3</v>
      </c>
      <c r="I237" s="47" t="s">
        <v>5</v>
      </c>
      <c r="J237" s="47" t="s">
        <v>1</v>
      </c>
      <c r="K237" s="47" t="s">
        <v>4</v>
      </c>
    </row>
    <row r="238" spans="1:11" x14ac:dyDescent="0.25">
      <c r="A238" s="44">
        <v>2909</v>
      </c>
      <c r="B238" s="46">
        <v>45001</v>
      </c>
      <c r="C238" s="45" t="s">
        <v>40</v>
      </c>
      <c r="D238" s="47">
        <v>5</v>
      </c>
      <c r="E238" s="48">
        <v>45005</v>
      </c>
      <c r="F238" s="47">
        <v>9</v>
      </c>
      <c r="G238" s="48">
        <v>45016</v>
      </c>
      <c r="H238" s="47" t="s">
        <v>3</v>
      </c>
      <c r="I238" s="47" t="s">
        <v>41</v>
      </c>
      <c r="J238" s="47" t="s">
        <v>41</v>
      </c>
      <c r="K238" s="47" t="s">
        <v>41</v>
      </c>
    </row>
    <row r="239" spans="1:11" x14ac:dyDescent="0.25">
      <c r="A239" s="44">
        <v>1838</v>
      </c>
      <c r="B239" s="46">
        <v>45002</v>
      </c>
      <c r="C239" s="45" t="s">
        <v>50</v>
      </c>
      <c r="D239" s="47">
        <v>5</v>
      </c>
      <c r="E239" s="48">
        <v>45006</v>
      </c>
      <c r="F239" s="47">
        <v>3</v>
      </c>
      <c r="G239" s="48">
        <v>45010</v>
      </c>
      <c r="H239" s="47" t="s">
        <v>41</v>
      </c>
      <c r="I239" s="47" t="s">
        <v>41</v>
      </c>
      <c r="J239" s="47" t="s">
        <v>41</v>
      </c>
      <c r="K239" s="47" t="s">
        <v>4</v>
      </c>
    </row>
    <row r="240" spans="1:11" x14ac:dyDescent="0.25">
      <c r="A240" s="44">
        <v>2240</v>
      </c>
      <c r="B240" s="46">
        <v>45002</v>
      </c>
      <c r="C240" s="45" t="s">
        <v>50</v>
      </c>
      <c r="D240" s="47">
        <v>5</v>
      </c>
      <c r="E240" s="48">
        <v>45006</v>
      </c>
      <c r="F240" s="47">
        <v>3</v>
      </c>
      <c r="G240" s="48">
        <v>45010</v>
      </c>
      <c r="H240" s="47" t="s">
        <v>41</v>
      </c>
      <c r="I240" s="47" t="s">
        <v>41</v>
      </c>
      <c r="J240" s="47" t="s">
        <v>41</v>
      </c>
      <c r="K240" s="47" t="s">
        <v>4</v>
      </c>
    </row>
    <row r="241" spans="1:11" x14ac:dyDescent="0.25">
      <c r="A241" s="44">
        <v>2745</v>
      </c>
      <c r="B241" s="46">
        <v>45002</v>
      </c>
      <c r="C241" s="45" t="s">
        <v>40</v>
      </c>
      <c r="D241" s="47">
        <v>5</v>
      </c>
      <c r="E241" s="48">
        <v>45007</v>
      </c>
      <c r="F241" s="47">
        <v>3</v>
      </c>
      <c r="G241" s="48">
        <v>45011</v>
      </c>
      <c r="H241" s="47" t="s">
        <v>3</v>
      </c>
      <c r="I241" s="47" t="s">
        <v>41</v>
      </c>
      <c r="J241" s="47" t="s">
        <v>41</v>
      </c>
      <c r="K241" s="47" t="s">
        <v>41</v>
      </c>
    </row>
    <row r="242" spans="1:11" x14ac:dyDescent="0.25">
      <c r="A242" s="44">
        <v>3138</v>
      </c>
      <c r="B242" s="46">
        <v>45002</v>
      </c>
      <c r="C242" s="45" t="s">
        <v>50</v>
      </c>
      <c r="D242" s="47">
        <v>6</v>
      </c>
      <c r="E242" s="48">
        <v>45007</v>
      </c>
      <c r="F242" s="47">
        <v>3</v>
      </c>
      <c r="G242" s="48">
        <v>45011</v>
      </c>
      <c r="H242" s="47" t="s">
        <v>41</v>
      </c>
      <c r="I242" s="47" t="s">
        <v>5</v>
      </c>
      <c r="J242" s="47" t="s">
        <v>41</v>
      </c>
      <c r="K242" s="47" t="s">
        <v>41</v>
      </c>
    </row>
    <row r="243" spans="1:11" x14ac:dyDescent="0.25">
      <c r="A243" s="44">
        <v>3173</v>
      </c>
      <c r="B243" s="46">
        <v>45002</v>
      </c>
      <c r="C243" s="45" t="s">
        <v>50</v>
      </c>
      <c r="D243" s="47">
        <v>6</v>
      </c>
      <c r="E243" s="48">
        <v>45007</v>
      </c>
      <c r="F243" s="47">
        <v>3</v>
      </c>
      <c r="G243" s="48">
        <v>45011</v>
      </c>
      <c r="H243" s="47" t="s">
        <v>3</v>
      </c>
      <c r="I243" s="47" t="s">
        <v>41</v>
      </c>
      <c r="J243" s="47" t="s">
        <v>41</v>
      </c>
      <c r="K243" s="47" t="s">
        <v>41</v>
      </c>
    </row>
    <row r="244" spans="1:11" x14ac:dyDescent="0.25">
      <c r="A244" s="44">
        <v>3033</v>
      </c>
      <c r="B244" s="46">
        <v>45003</v>
      </c>
      <c r="C244" s="45" t="s">
        <v>50</v>
      </c>
      <c r="D244" s="47">
        <v>5</v>
      </c>
      <c r="E244" s="48">
        <v>45007</v>
      </c>
      <c r="F244" s="47">
        <v>3</v>
      </c>
      <c r="G244" s="48">
        <v>45012</v>
      </c>
      <c r="H244" s="47" t="s">
        <v>41</v>
      </c>
      <c r="I244" s="47" t="s">
        <v>5</v>
      </c>
      <c r="J244" s="47" t="s">
        <v>41</v>
      </c>
      <c r="K244" s="47" t="s">
        <v>41</v>
      </c>
    </row>
    <row r="245" spans="1:11" x14ac:dyDescent="0.25">
      <c r="A245" s="44">
        <v>3050</v>
      </c>
      <c r="B245" s="46">
        <v>45003</v>
      </c>
      <c r="C245" s="45" t="s">
        <v>50</v>
      </c>
      <c r="D245" s="47">
        <v>5</v>
      </c>
      <c r="E245" s="48">
        <v>45007</v>
      </c>
      <c r="F245" s="47">
        <v>3</v>
      </c>
      <c r="G245" s="48">
        <v>45012</v>
      </c>
      <c r="H245" s="47" t="s">
        <v>41</v>
      </c>
      <c r="I245" s="47" t="s">
        <v>41</v>
      </c>
      <c r="J245" s="47" t="s">
        <v>1</v>
      </c>
      <c r="K245" s="47" t="s">
        <v>41</v>
      </c>
    </row>
    <row r="246" spans="1:11" x14ac:dyDescent="0.25">
      <c r="A246" s="44">
        <v>3074</v>
      </c>
      <c r="B246" s="46">
        <v>45003</v>
      </c>
      <c r="C246" s="45" t="s">
        <v>50</v>
      </c>
      <c r="D246" s="47">
        <v>5</v>
      </c>
      <c r="E246" s="48">
        <v>45007</v>
      </c>
      <c r="F246" s="47">
        <v>3</v>
      </c>
      <c r="G246" s="48">
        <v>45012</v>
      </c>
      <c r="H246" s="47" t="s">
        <v>41</v>
      </c>
      <c r="I246" s="47" t="s">
        <v>41</v>
      </c>
      <c r="J246" s="47" t="s">
        <v>41</v>
      </c>
      <c r="K246" s="47" t="s">
        <v>41</v>
      </c>
    </row>
    <row r="247" spans="1:11" x14ac:dyDescent="0.25">
      <c r="A247" s="44">
        <v>2265</v>
      </c>
      <c r="B247" s="46">
        <v>45004</v>
      </c>
      <c r="C247" s="45" t="s">
        <v>50</v>
      </c>
      <c r="D247" s="47">
        <v>5</v>
      </c>
      <c r="E247" s="48">
        <v>45008</v>
      </c>
      <c r="F247" s="47">
        <v>3</v>
      </c>
      <c r="G247" s="48">
        <v>45012</v>
      </c>
      <c r="H247" s="47" t="s">
        <v>3</v>
      </c>
      <c r="I247" s="47" t="s">
        <v>5</v>
      </c>
      <c r="J247" s="47" t="s">
        <v>41</v>
      </c>
      <c r="K247" s="47" t="s">
        <v>4</v>
      </c>
    </row>
    <row r="248" spans="1:11" x14ac:dyDescent="0.25">
      <c r="A248" s="44">
        <v>2876</v>
      </c>
      <c r="B248" s="46">
        <v>45004</v>
      </c>
      <c r="C248" s="45" t="s">
        <v>50</v>
      </c>
      <c r="D248" s="47">
        <v>3</v>
      </c>
      <c r="E248" s="48">
        <v>45006</v>
      </c>
      <c r="F248" s="47">
        <v>3</v>
      </c>
      <c r="G248" s="48">
        <v>45010</v>
      </c>
      <c r="H248" s="47" t="s">
        <v>3</v>
      </c>
      <c r="I248" s="47" t="s">
        <v>41</v>
      </c>
      <c r="J248" s="47" t="s">
        <v>1</v>
      </c>
      <c r="K248" s="47" t="s">
        <v>41</v>
      </c>
    </row>
    <row r="249" spans="1:11" x14ac:dyDescent="0.25">
      <c r="A249" s="44">
        <v>1786</v>
      </c>
      <c r="B249" s="46">
        <v>45006</v>
      </c>
      <c r="C249" s="45" t="s">
        <v>40</v>
      </c>
      <c r="D249" s="47">
        <v>5</v>
      </c>
      <c r="E249" s="48">
        <v>45010</v>
      </c>
      <c r="F249" s="47">
        <v>9</v>
      </c>
      <c r="G249" s="48">
        <v>45021</v>
      </c>
      <c r="H249" s="47" t="s">
        <v>41</v>
      </c>
      <c r="I249" s="47" t="s">
        <v>5</v>
      </c>
      <c r="J249" s="47" t="s">
        <v>1</v>
      </c>
      <c r="K249" s="47" t="s">
        <v>41</v>
      </c>
    </row>
    <row r="250" spans="1:11" x14ac:dyDescent="0.25">
      <c r="A250" s="44">
        <v>1066</v>
      </c>
      <c r="B250" s="46">
        <v>45007</v>
      </c>
      <c r="C250" s="45" t="s">
        <v>50</v>
      </c>
      <c r="D250" s="47">
        <v>7</v>
      </c>
      <c r="E250" s="48">
        <v>45013</v>
      </c>
      <c r="F250" s="47">
        <v>3</v>
      </c>
      <c r="G250" s="48">
        <v>45018</v>
      </c>
      <c r="H250" s="47" t="s">
        <v>41</v>
      </c>
      <c r="I250" s="47" t="s">
        <v>41</v>
      </c>
      <c r="J250" s="47" t="s">
        <v>1</v>
      </c>
      <c r="K250" s="47" t="s">
        <v>41</v>
      </c>
    </row>
    <row r="251" spans="1:11" x14ac:dyDescent="0.25">
      <c r="A251" s="44">
        <v>2790</v>
      </c>
      <c r="B251" s="46">
        <v>45007</v>
      </c>
      <c r="C251" s="45" t="s">
        <v>50</v>
      </c>
      <c r="D251" s="47">
        <v>5</v>
      </c>
      <c r="E251" s="48">
        <v>45011</v>
      </c>
      <c r="F251" s="47">
        <v>3</v>
      </c>
      <c r="G251" s="48">
        <v>45015</v>
      </c>
      <c r="H251" s="47" t="s">
        <v>3</v>
      </c>
      <c r="I251" s="47" t="s">
        <v>5</v>
      </c>
      <c r="J251" s="47" t="s">
        <v>41</v>
      </c>
      <c r="K251" s="47" t="s">
        <v>41</v>
      </c>
    </row>
    <row r="252" spans="1:11" x14ac:dyDescent="0.25">
      <c r="A252" s="44">
        <v>859</v>
      </c>
      <c r="B252" s="46">
        <v>45008</v>
      </c>
      <c r="C252" s="45" t="s">
        <v>40</v>
      </c>
      <c r="D252" s="47">
        <v>5</v>
      </c>
      <c r="E252" s="48">
        <v>45012</v>
      </c>
      <c r="F252" s="47">
        <v>9</v>
      </c>
      <c r="G252" s="48">
        <v>45023</v>
      </c>
      <c r="H252" s="47" t="s">
        <v>41</v>
      </c>
      <c r="I252" s="47" t="s">
        <v>41</v>
      </c>
      <c r="J252" s="47" t="s">
        <v>41</v>
      </c>
      <c r="K252" s="47" t="s">
        <v>4</v>
      </c>
    </row>
    <row r="253" spans="1:11" x14ac:dyDescent="0.25">
      <c r="A253" s="44">
        <v>2909</v>
      </c>
      <c r="B253" s="46">
        <v>45009</v>
      </c>
      <c r="C253" s="45" t="s">
        <v>50</v>
      </c>
      <c r="D253" s="47">
        <v>5</v>
      </c>
      <c r="E253" s="48">
        <v>45013</v>
      </c>
      <c r="F253" s="47">
        <v>3</v>
      </c>
      <c r="G253" s="48">
        <v>45017</v>
      </c>
      <c r="H253" s="47" t="s">
        <v>3</v>
      </c>
      <c r="I253" s="47" t="s">
        <v>5</v>
      </c>
      <c r="J253" s="47" t="s">
        <v>41</v>
      </c>
      <c r="K253" s="47" t="s">
        <v>41</v>
      </c>
    </row>
    <row r="254" spans="1:11" x14ac:dyDescent="0.25">
      <c r="A254" s="44">
        <v>3074</v>
      </c>
      <c r="B254" s="46">
        <v>45009</v>
      </c>
      <c r="C254" s="45" t="s">
        <v>43</v>
      </c>
      <c r="D254" s="47">
        <v>5</v>
      </c>
      <c r="E254" s="48">
        <v>45013</v>
      </c>
      <c r="F254" s="47">
        <v>4</v>
      </c>
      <c r="G254" s="48">
        <v>45018</v>
      </c>
      <c r="H254" s="47" t="s">
        <v>41</v>
      </c>
      <c r="I254" s="47" t="s">
        <v>41</v>
      </c>
      <c r="J254" s="47" t="s">
        <v>41</v>
      </c>
      <c r="K254" s="47" t="s">
        <v>4</v>
      </c>
    </row>
    <row r="255" spans="1:11" x14ac:dyDescent="0.25">
      <c r="A255" s="44">
        <v>2327</v>
      </c>
      <c r="B255" s="46">
        <v>45010</v>
      </c>
      <c r="C255" s="45" t="s">
        <v>43</v>
      </c>
      <c r="D255" s="47">
        <v>5</v>
      </c>
      <c r="E255" s="48">
        <v>45014</v>
      </c>
      <c r="F255" s="47">
        <v>4</v>
      </c>
      <c r="G255" s="48">
        <v>45020</v>
      </c>
      <c r="H255" s="47" t="s">
        <v>41</v>
      </c>
      <c r="I255" s="47" t="s">
        <v>5</v>
      </c>
      <c r="J255" s="47" t="s">
        <v>41</v>
      </c>
      <c r="K255" s="47" t="s">
        <v>41</v>
      </c>
    </row>
    <row r="256" spans="1:11" x14ac:dyDescent="0.25">
      <c r="A256" s="44">
        <v>2329</v>
      </c>
      <c r="B256" s="46">
        <v>45010</v>
      </c>
      <c r="C256" s="45" t="s">
        <v>40</v>
      </c>
      <c r="D256" s="47">
        <v>5</v>
      </c>
      <c r="E256" s="48">
        <v>45014</v>
      </c>
      <c r="F256" s="47">
        <v>9</v>
      </c>
      <c r="G256" s="48">
        <v>45024</v>
      </c>
      <c r="H256" s="47" t="s">
        <v>41</v>
      </c>
      <c r="I256" s="47" t="s">
        <v>41</v>
      </c>
      <c r="J256" s="47" t="s">
        <v>41</v>
      </c>
      <c r="K256" s="47" t="s">
        <v>4</v>
      </c>
    </row>
    <row r="257" spans="1:11" x14ac:dyDescent="0.25">
      <c r="A257" s="44">
        <v>2831</v>
      </c>
      <c r="B257" s="46">
        <v>45010</v>
      </c>
      <c r="C257" s="45" t="s">
        <v>43</v>
      </c>
      <c r="D257" s="47">
        <v>5</v>
      </c>
      <c r="E257" s="48">
        <v>45014</v>
      </c>
      <c r="F257" s="47">
        <v>4</v>
      </c>
      <c r="G257" s="48">
        <v>45020</v>
      </c>
      <c r="H257" s="47" t="s">
        <v>41</v>
      </c>
      <c r="I257" s="47" t="s">
        <v>41</v>
      </c>
      <c r="J257" s="47" t="s">
        <v>41</v>
      </c>
      <c r="K257" s="47" t="s">
        <v>4</v>
      </c>
    </row>
    <row r="258" spans="1:11" x14ac:dyDescent="0.25">
      <c r="A258" s="44">
        <v>3123</v>
      </c>
      <c r="B258" s="46">
        <v>45010</v>
      </c>
      <c r="C258" s="45" t="s">
        <v>50</v>
      </c>
      <c r="D258" s="47">
        <v>5</v>
      </c>
      <c r="E258" s="48">
        <v>45014</v>
      </c>
      <c r="F258" s="47">
        <v>3</v>
      </c>
      <c r="G258" s="48">
        <v>45019</v>
      </c>
      <c r="H258" s="47" t="s">
        <v>3</v>
      </c>
      <c r="I258" s="47" t="s">
        <v>41</v>
      </c>
      <c r="J258" s="47" t="s">
        <v>1</v>
      </c>
      <c r="K258" s="47" t="s">
        <v>41</v>
      </c>
    </row>
    <row r="259" spans="1:11" x14ac:dyDescent="0.25">
      <c r="A259" s="44">
        <v>3138</v>
      </c>
      <c r="B259" s="46">
        <v>45010</v>
      </c>
      <c r="C259" s="45" t="s">
        <v>43</v>
      </c>
      <c r="D259" s="47">
        <v>5</v>
      </c>
      <c r="E259" s="48">
        <v>45014</v>
      </c>
      <c r="F259" s="47">
        <v>4</v>
      </c>
      <c r="G259" s="48">
        <v>45020</v>
      </c>
      <c r="H259" s="47" t="s">
        <v>41</v>
      </c>
      <c r="I259" s="47" t="s">
        <v>5</v>
      </c>
      <c r="J259" s="47" t="s">
        <v>41</v>
      </c>
      <c r="K259" s="47" t="s">
        <v>41</v>
      </c>
    </row>
    <row r="260" spans="1:11" x14ac:dyDescent="0.25">
      <c r="A260" s="44">
        <v>3339</v>
      </c>
      <c r="B260" s="46">
        <v>45010</v>
      </c>
      <c r="C260" s="45" t="s">
        <v>50</v>
      </c>
      <c r="D260" s="47">
        <v>5</v>
      </c>
      <c r="E260" s="48">
        <v>45014</v>
      </c>
      <c r="F260" s="47">
        <v>3</v>
      </c>
      <c r="G260" s="48">
        <v>45019</v>
      </c>
      <c r="H260" s="47" t="s">
        <v>41</v>
      </c>
      <c r="I260" s="47" t="s">
        <v>41</v>
      </c>
      <c r="J260" s="47" t="s">
        <v>1</v>
      </c>
      <c r="K260" s="47" t="s">
        <v>41</v>
      </c>
    </row>
    <row r="261" spans="1:11" x14ac:dyDescent="0.25">
      <c r="A261" s="44">
        <v>2298</v>
      </c>
      <c r="B261" s="46">
        <v>45011</v>
      </c>
      <c r="C261" s="45" t="s">
        <v>50</v>
      </c>
      <c r="D261" s="47">
        <v>5</v>
      </c>
      <c r="E261" s="48">
        <v>45015</v>
      </c>
      <c r="F261" s="47">
        <v>3</v>
      </c>
      <c r="G261" s="48">
        <v>45020</v>
      </c>
      <c r="H261" s="47" t="s">
        <v>3</v>
      </c>
      <c r="I261" s="47" t="s">
        <v>41</v>
      </c>
      <c r="J261" s="47" t="s">
        <v>41</v>
      </c>
      <c r="K261" s="47" t="s">
        <v>41</v>
      </c>
    </row>
    <row r="262" spans="1:11" x14ac:dyDescent="0.25">
      <c r="A262" s="44">
        <v>2506</v>
      </c>
      <c r="B262" s="46">
        <v>45011</v>
      </c>
      <c r="C262" s="45" t="s">
        <v>40</v>
      </c>
      <c r="D262" s="47">
        <v>5</v>
      </c>
      <c r="E262" s="48">
        <v>45015</v>
      </c>
      <c r="F262" s="47">
        <v>9</v>
      </c>
      <c r="G262" s="48">
        <v>45025</v>
      </c>
      <c r="H262" s="47" t="s">
        <v>41</v>
      </c>
      <c r="I262" s="47" t="s">
        <v>5</v>
      </c>
      <c r="J262" s="47" t="s">
        <v>1</v>
      </c>
      <c r="K262" s="47" t="s">
        <v>41</v>
      </c>
    </row>
    <row r="263" spans="1:11" x14ac:dyDescent="0.25">
      <c r="A263" s="44">
        <v>2513</v>
      </c>
      <c r="B263" s="46">
        <v>45012</v>
      </c>
      <c r="C263" s="45" t="s">
        <v>50</v>
      </c>
      <c r="D263" s="47">
        <v>5</v>
      </c>
      <c r="E263" s="48">
        <v>45016</v>
      </c>
      <c r="F263" s="47">
        <v>3</v>
      </c>
      <c r="G263" s="48">
        <v>45020</v>
      </c>
      <c r="H263" s="47" t="s">
        <v>41</v>
      </c>
      <c r="I263" s="47" t="s">
        <v>5</v>
      </c>
      <c r="J263" s="47" t="s">
        <v>41</v>
      </c>
      <c r="K263" s="47" t="s">
        <v>41</v>
      </c>
    </row>
    <row r="264" spans="1:11" x14ac:dyDescent="0.25">
      <c r="A264" s="44">
        <v>2362</v>
      </c>
      <c r="B264" s="46">
        <v>45013</v>
      </c>
      <c r="C264" s="45" t="s">
        <v>50</v>
      </c>
      <c r="D264" s="47">
        <v>5</v>
      </c>
      <c r="E264" s="48">
        <v>45017</v>
      </c>
      <c r="F264" s="47">
        <v>3</v>
      </c>
      <c r="G264" s="48">
        <v>45022</v>
      </c>
      <c r="H264" s="47" t="s">
        <v>41</v>
      </c>
      <c r="I264" s="47" t="s">
        <v>5</v>
      </c>
      <c r="J264" s="47" t="s">
        <v>41</v>
      </c>
      <c r="K264" s="47" t="s">
        <v>41</v>
      </c>
    </row>
    <row r="265" spans="1:11" x14ac:dyDescent="0.25">
      <c r="A265" s="44">
        <v>3033</v>
      </c>
      <c r="B265" s="46">
        <v>45013</v>
      </c>
      <c r="C265" s="45" t="s">
        <v>43</v>
      </c>
      <c r="D265" s="47">
        <v>5</v>
      </c>
      <c r="E265" s="48">
        <v>45017</v>
      </c>
      <c r="F265" s="47">
        <v>4</v>
      </c>
      <c r="G265" s="48">
        <v>45023</v>
      </c>
      <c r="H265" s="47" t="s">
        <v>41</v>
      </c>
      <c r="I265" s="47" t="s">
        <v>5</v>
      </c>
      <c r="J265" s="47" t="s">
        <v>41</v>
      </c>
      <c r="K265" s="47" t="s">
        <v>41</v>
      </c>
    </row>
    <row r="266" spans="1:11" x14ac:dyDescent="0.25">
      <c r="A266" s="44">
        <v>1781</v>
      </c>
      <c r="B266" s="46">
        <v>45015</v>
      </c>
      <c r="C266" s="45" t="s">
        <v>50</v>
      </c>
      <c r="D266" s="47">
        <v>5</v>
      </c>
      <c r="E266" s="48">
        <v>45019</v>
      </c>
      <c r="F266" s="47">
        <v>3</v>
      </c>
      <c r="G266" s="48">
        <v>45024</v>
      </c>
      <c r="H266" s="47" t="s">
        <v>41</v>
      </c>
      <c r="I266" s="47" t="s">
        <v>5</v>
      </c>
      <c r="J266" s="47" t="s">
        <v>41</v>
      </c>
      <c r="K266" s="47" t="s">
        <v>41</v>
      </c>
    </row>
    <row r="267" spans="1:11" x14ac:dyDescent="0.25">
      <c r="A267" s="44">
        <v>2327</v>
      </c>
      <c r="B267" s="46">
        <v>45015</v>
      </c>
      <c r="C267" s="45" t="s">
        <v>40</v>
      </c>
      <c r="D267" s="47">
        <v>5</v>
      </c>
      <c r="E267" s="48">
        <v>45019</v>
      </c>
      <c r="F267" s="47">
        <v>9</v>
      </c>
      <c r="G267" s="48">
        <v>45030</v>
      </c>
      <c r="H267" s="47" t="s">
        <v>41</v>
      </c>
      <c r="I267" s="47" t="s">
        <v>5</v>
      </c>
      <c r="J267" s="47" t="s">
        <v>41</v>
      </c>
      <c r="K267" s="47" t="s">
        <v>41</v>
      </c>
    </row>
    <row r="268" spans="1:11" x14ac:dyDescent="0.25">
      <c r="A268" s="44">
        <v>2544</v>
      </c>
      <c r="B268" s="46">
        <v>45015</v>
      </c>
      <c r="C268" s="45" t="s">
        <v>40</v>
      </c>
      <c r="D268" s="47">
        <v>5</v>
      </c>
      <c r="E268" s="48">
        <v>45019</v>
      </c>
      <c r="F268" s="47">
        <v>9</v>
      </c>
      <c r="G268" s="48">
        <v>45030</v>
      </c>
      <c r="H268" s="47" t="s">
        <v>3</v>
      </c>
      <c r="I268" s="47" t="s">
        <v>5</v>
      </c>
      <c r="J268" s="47" t="s">
        <v>41</v>
      </c>
      <c r="K268" s="47" t="s">
        <v>41</v>
      </c>
    </row>
    <row r="269" spans="1:11" x14ac:dyDescent="0.25">
      <c r="A269" s="44">
        <v>3074</v>
      </c>
      <c r="B269" s="46">
        <v>45015</v>
      </c>
      <c r="C269" s="45" t="s">
        <v>40</v>
      </c>
      <c r="D269" s="47">
        <v>5</v>
      </c>
      <c r="E269" s="48">
        <v>45019</v>
      </c>
      <c r="F269" s="47">
        <v>9</v>
      </c>
      <c r="G269" s="48">
        <v>45030</v>
      </c>
      <c r="H269" s="47" t="s">
        <v>41</v>
      </c>
      <c r="I269" s="47" t="s">
        <v>41</v>
      </c>
      <c r="J269" s="47" t="s">
        <v>41</v>
      </c>
      <c r="K269" s="47" t="s">
        <v>4</v>
      </c>
    </row>
    <row r="270" spans="1:11" x14ac:dyDescent="0.25">
      <c r="A270" s="44">
        <v>2682</v>
      </c>
      <c r="B270" s="46">
        <v>45017</v>
      </c>
      <c r="C270" s="45" t="s">
        <v>50</v>
      </c>
      <c r="D270" s="47">
        <v>5</v>
      </c>
      <c r="E270" s="48">
        <v>45021</v>
      </c>
      <c r="F270" s="47">
        <v>3</v>
      </c>
      <c r="G270" s="48">
        <v>45026</v>
      </c>
      <c r="H270" s="47" t="s">
        <v>41</v>
      </c>
      <c r="I270" s="47" t="s">
        <v>5</v>
      </c>
      <c r="J270" s="47" t="s">
        <v>41</v>
      </c>
      <c r="K270" s="47" t="s">
        <v>41</v>
      </c>
    </row>
    <row r="271" spans="1:11" x14ac:dyDescent="0.25">
      <c r="A271" s="44">
        <v>764</v>
      </c>
      <c r="B271" s="46">
        <v>45018</v>
      </c>
      <c r="C271" s="45" t="s">
        <v>50</v>
      </c>
      <c r="D271" s="47">
        <v>5</v>
      </c>
      <c r="E271" s="48">
        <v>45022</v>
      </c>
      <c r="F271" s="47">
        <v>3</v>
      </c>
      <c r="G271" s="48">
        <v>45027</v>
      </c>
      <c r="H271" s="47" t="s">
        <v>3</v>
      </c>
      <c r="I271" s="47" t="s">
        <v>41</v>
      </c>
      <c r="J271" s="47" t="s">
        <v>41</v>
      </c>
      <c r="K271" s="47" t="s">
        <v>41</v>
      </c>
    </row>
    <row r="272" spans="1:11" x14ac:dyDescent="0.25">
      <c r="A272" s="44">
        <v>1944</v>
      </c>
      <c r="B272" s="46">
        <v>45018</v>
      </c>
      <c r="C272" s="45" t="s">
        <v>50</v>
      </c>
      <c r="D272" s="47">
        <v>5</v>
      </c>
      <c r="E272" s="48">
        <v>45022</v>
      </c>
      <c r="F272" s="47">
        <v>3</v>
      </c>
      <c r="G272" s="48">
        <v>45027</v>
      </c>
      <c r="H272" s="47" t="s">
        <v>3</v>
      </c>
      <c r="I272" s="47" t="s">
        <v>5</v>
      </c>
      <c r="J272" s="47" t="s">
        <v>41</v>
      </c>
      <c r="K272" s="47" t="s">
        <v>41</v>
      </c>
    </row>
    <row r="273" spans="1:11" x14ac:dyDescent="0.25">
      <c r="A273" s="44">
        <v>3022</v>
      </c>
      <c r="B273" s="46">
        <v>45018</v>
      </c>
      <c r="C273" s="45" t="s">
        <v>50</v>
      </c>
      <c r="D273" s="47">
        <v>5</v>
      </c>
      <c r="E273" s="48">
        <v>45022</v>
      </c>
      <c r="F273" s="47">
        <v>3</v>
      </c>
      <c r="G273" s="48">
        <v>45027</v>
      </c>
      <c r="H273" s="47" t="s">
        <v>41</v>
      </c>
      <c r="I273" s="47" t="s">
        <v>41</v>
      </c>
      <c r="J273" s="47" t="s">
        <v>41</v>
      </c>
      <c r="K273" s="47" t="s">
        <v>4</v>
      </c>
    </row>
    <row r="274" spans="1:11" x14ac:dyDescent="0.25">
      <c r="A274" s="44">
        <v>2461</v>
      </c>
      <c r="B274" s="46">
        <v>45019</v>
      </c>
      <c r="C274" s="45" t="s">
        <v>50</v>
      </c>
      <c r="D274" s="47">
        <v>5</v>
      </c>
      <c r="E274" s="48">
        <v>45023</v>
      </c>
      <c r="F274" s="47">
        <v>3</v>
      </c>
      <c r="G274" s="48">
        <v>45027</v>
      </c>
      <c r="H274" s="47" t="s">
        <v>41</v>
      </c>
      <c r="I274" s="47" t="s">
        <v>5</v>
      </c>
      <c r="J274" s="47" t="s">
        <v>41</v>
      </c>
      <c r="K274" s="47" t="s">
        <v>41</v>
      </c>
    </row>
    <row r="275" spans="1:11" x14ac:dyDescent="0.25">
      <c r="A275" s="44">
        <v>1698</v>
      </c>
      <c r="B275" s="46">
        <v>45020</v>
      </c>
      <c r="C275" s="45" t="s">
        <v>40</v>
      </c>
      <c r="D275" s="47">
        <v>5</v>
      </c>
      <c r="E275" s="48">
        <v>45024</v>
      </c>
      <c r="F275" s="47">
        <v>9</v>
      </c>
      <c r="G275" s="48">
        <v>45035</v>
      </c>
      <c r="H275" s="47" t="s">
        <v>41</v>
      </c>
      <c r="I275" s="47" t="s">
        <v>41</v>
      </c>
      <c r="J275" s="47" t="s">
        <v>1</v>
      </c>
      <c r="K275" s="47" t="s">
        <v>41</v>
      </c>
    </row>
    <row r="276" spans="1:11" x14ac:dyDescent="0.25">
      <c r="A276" s="44">
        <v>3138</v>
      </c>
      <c r="B276" s="46">
        <v>45020</v>
      </c>
      <c r="C276" s="45" t="s">
        <v>50</v>
      </c>
      <c r="D276" s="47">
        <v>5</v>
      </c>
      <c r="E276" s="48">
        <v>45024</v>
      </c>
      <c r="F276" s="47">
        <v>3</v>
      </c>
      <c r="G276" s="48">
        <v>45028</v>
      </c>
      <c r="H276" s="47" t="s">
        <v>41</v>
      </c>
      <c r="I276" s="47" t="s">
        <v>5</v>
      </c>
      <c r="J276" s="47" t="s">
        <v>41</v>
      </c>
      <c r="K276" s="47" t="s">
        <v>41</v>
      </c>
    </row>
    <row r="277" spans="1:11" x14ac:dyDescent="0.25">
      <c r="A277" s="44">
        <v>1930</v>
      </c>
      <c r="B277" s="46">
        <v>45021</v>
      </c>
      <c r="C277" s="45" t="s">
        <v>40</v>
      </c>
      <c r="D277" s="47">
        <v>5</v>
      </c>
      <c r="E277" s="48">
        <v>45025</v>
      </c>
      <c r="F277" s="47">
        <v>9</v>
      </c>
      <c r="G277" s="48">
        <v>45035</v>
      </c>
      <c r="H277" s="47" t="s">
        <v>3</v>
      </c>
      <c r="I277" s="47" t="s">
        <v>41</v>
      </c>
      <c r="J277" s="47" t="s">
        <v>41</v>
      </c>
      <c r="K277" s="47" t="s">
        <v>41</v>
      </c>
    </row>
    <row r="278" spans="1:11" x14ac:dyDescent="0.25">
      <c r="A278" s="44">
        <v>2574</v>
      </c>
      <c r="B278" s="46">
        <v>45021</v>
      </c>
      <c r="C278" s="45" t="s">
        <v>40</v>
      </c>
      <c r="D278" s="47">
        <v>5</v>
      </c>
      <c r="E278" s="48">
        <v>45025</v>
      </c>
      <c r="F278" s="47">
        <v>9</v>
      </c>
      <c r="G278" s="48">
        <v>45035</v>
      </c>
      <c r="H278" s="47" t="s">
        <v>41</v>
      </c>
      <c r="I278" s="47" t="s">
        <v>5</v>
      </c>
      <c r="J278" s="47" t="s">
        <v>41</v>
      </c>
      <c r="K278" s="47" t="s">
        <v>4</v>
      </c>
    </row>
    <row r="279" spans="1:11" x14ac:dyDescent="0.25">
      <c r="A279" s="44">
        <v>1060</v>
      </c>
      <c r="B279" s="46">
        <v>45022</v>
      </c>
      <c r="C279" s="45" t="s">
        <v>40</v>
      </c>
      <c r="D279" s="47">
        <v>5</v>
      </c>
      <c r="E279" s="48">
        <v>45026</v>
      </c>
      <c r="F279" s="47">
        <v>9</v>
      </c>
      <c r="G279" s="48">
        <v>45036</v>
      </c>
      <c r="H279" s="47" t="s">
        <v>41</v>
      </c>
      <c r="I279" s="47" t="s">
        <v>5</v>
      </c>
      <c r="J279" s="47" t="s">
        <v>41</v>
      </c>
      <c r="K279" s="47" t="s">
        <v>41</v>
      </c>
    </row>
    <row r="280" spans="1:11" x14ac:dyDescent="0.25">
      <c r="A280" s="44">
        <v>2327</v>
      </c>
      <c r="B280" s="46">
        <v>45022</v>
      </c>
      <c r="C280" s="45" t="s">
        <v>69</v>
      </c>
      <c r="D280" s="47">
        <v>3</v>
      </c>
      <c r="E280" s="48">
        <v>45024</v>
      </c>
      <c r="F280" s="47">
        <v>5</v>
      </c>
      <c r="G280" s="48">
        <v>45030</v>
      </c>
      <c r="H280" s="47" t="s">
        <v>3</v>
      </c>
      <c r="I280" s="47" t="s">
        <v>41</v>
      </c>
      <c r="J280" s="47" t="s">
        <v>41</v>
      </c>
      <c r="K280" s="47" t="s">
        <v>41</v>
      </c>
    </row>
    <row r="281" spans="1:11" x14ac:dyDescent="0.25">
      <c r="A281" s="44">
        <v>2329</v>
      </c>
      <c r="B281" s="46">
        <v>45022</v>
      </c>
      <c r="C281" s="45" t="s">
        <v>69</v>
      </c>
      <c r="D281" s="47">
        <v>3</v>
      </c>
      <c r="E281" s="48">
        <v>45024</v>
      </c>
      <c r="F281" s="47">
        <v>5</v>
      </c>
      <c r="G281" s="48">
        <v>45030</v>
      </c>
      <c r="H281" s="47" t="s">
        <v>41</v>
      </c>
      <c r="I281" s="47" t="s">
        <v>41</v>
      </c>
      <c r="J281" s="47" t="s">
        <v>41</v>
      </c>
      <c r="K281" s="47" t="s">
        <v>4</v>
      </c>
    </row>
    <row r="282" spans="1:11" x14ac:dyDescent="0.25">
      <c r="A282" s="44">
        <v>3086</v>
      </c>
      <c r="B282" s="46">
        <v>45022</v>
      </c>
      <c r="C282" s="45" t="s">
        <v>40</v>
      </c>
      <c r="D282" s="47">
        <v>5</v>
      </c>
      <c r="E282" s="48">
        <v>45026</v>
      </c>
      <c r="F282" s="47">
        <v>9</v>
      </c>
      <c r="G282" s="48">
        <v>45036</v>
      </c>
      <c r="H282" s="47" t="s">
        <v>41</v>
      </c>
      <c r="I282" s="47" t="s">
        <v>5</v>
      </c>
      <c r="J282" s="47" t="s">
        <v>41</v>
      </c>
      <c r="K282" s="47" t="s">
        <v>41</v>
      </c>
    </row>
    <row r="283" spans="1:11" x14ac:dyDescent="0.25">
      <c r="A283" s="44">
        <v>1867</v>
      </c>
      <c r="B283" s="46">
        <v>45023</v>
      </c>
      <c r="C283" s="45" t="s">
        <v>50</v>
      </c>
      <c r="D283" s="47">
        <v>5</v>
      </c>
      <c r="E283" s="48">
        <v>45027</v>
      </c>
      <c r="F283" s="47">
        <v>3</v>
      </c>
      <c r="G283" s="48">
        <v>45032</v>
      </c>
      <c r="H283" s="47" t="s">
        <v>3</v>
      </c>
      <c r="I283" s="47" t="s">
        <v>41</v>
      </c>
      <c r="J283" s="47" t="s">
        <v>41</v>
      </c>
      <c r="K283" s="47" t="s">
        <v>41</v>
      </c>
    </row>
    <row r="284" spans="1:11" x14ac:dyDescent="0.25">
      <c r="A284" s="44">
        <v>1160</v>
      </c>
      <c r="B284" s="46">
        <v>45024</v>
      </c>
      <c r="C284" s="45" t="s">
        <v>69</v>
      </c>
      <c r="D284" s="47">
        <v>5</v>
      </c>
      <c r="E284" s="48">
        <v>45028</v>
      </c>
      <c r="F284" s="47">
        <v>9</v>
      </c>
      <c r="G284" s="48">
        <v>45039</v>
      </c>
      <c r="H284" s="47" t="s">
        <v>41</v>
      </c>
      <c r="I284" s="47" t="s">
        <v>41</v>
      </c>
      <c r="J284" s="47" t="s">
        <v>41</v>
      </c>
      <c r="K284" s="47" t="s">
        <v>4</v>
      </c>
    </row>
    <row r="285" spans="1:11" x14ac:dyDescent="0.25">
      <c r="A285" s="44">
        <v>1180</v>
      </c>
      <c r="B285" s="46">
        <v>45024</v>
      </c>
      <c r="C285" s="45" t="s">
        <v>40</v>
      </c>
      <c r="D285" s="47">
        <v>5</v>
      </c>
      <c r="E285" s="48">
        <v>45028</v>
      </c>
      <c r="F285" s="47">
        <v>9</v>
      </c>
      <c r="G285" s="48">
        <v>45038</v>
      </c>
      <c r="H285" s="47" t="s">
        <v>41</v>
      </c>
      <c r="I285" s="47" t="s">
        <v>41</v>
      </c>
      <c r="J285" s="47" t="s">
        <v>1</v>
      </c>
      <c r="K285" s="47" t="s">
        <v>41</v>
      </c>
    </row>
    <row r="286" spans="1:11" x14ac:dyDescent="0.25">
      <c r="A286" s="44">
        <v>1942</v>
      </c>
      <c r="B286" s="46">
        <v>45024</v>
      </c>
      <c r="C286" s="45" t="s">
        <v>40</v>
      </c>
      <c r="D286" s="47">
        <v>3</v>
      </c>
      <c r="E286" s="48">
        <v>45026</v>
      </c>
      <c r="F286" s="47">
        <v>5</v>
      </c>
      <c r="G286" s="48">
        <v>45032</v>
      </c>
      <c r="H286" s="47" t="s">
        <v>41</v>
      </c>
      <c r="I286" s="47" t="s">
        <v>41</v>
      </c>
      <c r="J286" s="47" t="s">
        <v>41</v>
      </c>
      <c r="K286" s="47" t="s">
        <v>4</v>
      </c>
    </row>
    <row r="287" spans="1:11" x14ac:dyDescent="0.25">
      <c r="A287" s="44">
        <v>1159</v>
      </c>
      <c r="B287" s="46">
        <v>45025</v>
      </c>
      <c r="C287" s="45" t="s">
        <v>69</v>
      </c>
      <c r="D287" s="47">
        <v>3</v>
      </c>
      <c r="E287" s="48">
        <v>45027</v>
      </c>
      <c r="F287" s="47">
        <v>5</v>
      </c>
      <c r="G287" s="48">
        <v>45033</v>
      </c>
      <c r="H287" s="47" t="s">
        <v>3</v>
      </c>
      <c r="I287" s="47" t="s">
        <v>41</v>
      </c>
      <c r="J287" s="47" t="s">
        <v>41</v>
      </c>
      <c r="K287" s="47" t="s">
        <v>41</v>
      </c>
    </row>
    <row r="288" spans="1:11" x14ac:dyDescent="0.25">
      <c r="A288" s="44">
        <v>2327</v>
      </c>
      <c r="B288" s="46">
        <v>45026</v>
      </c>
      <c r="C288" s="45" t="s">
        <v>69</v>
      </c>
      <c r="D288" s="47">
        <v>3</v>
      </c>
      <c r="E288" s="48">
        <v>45027</v>
      </c>
      <c r="F288" s="47">
        <v>5</v>
      </c>
      <c r="G288" s="48">
        <v>45033</v>
      </c>
      <c r="H288" s="47" t="s">
        <v>3</v>
      </c>
      <c r="I288" s="47" t="s">
        <v>5</v>
      </c>
      <c r="J288" s="47" t="s">
        <v>41</v>
      </c>
      <c r="K288" s="47" t="s">
        <v>41</v>
      </c>
    </row>
    <row r="289" spans="1:11" x14ac:dyDescent="0.25">
      <c r="A289" s="44">
        <v>2574</v>
      </c>
      <c r="B289" s="46">
        <v>45026</v>
      </c>
      <c r="C289" s="45" t="s">
        <v>40</v>
      </c>
      <c r="D289" s="47">
        <v>5</v>
      </c>
      <c r="E289" s="48">
        <v>45030</v>
      </c>
      <c r="F289" s="47">
        <v>5</v>
      </c>
      <c r="G289" s="48">
        <v>45037</v>
      </c>
      <c r="H289" s="47" t="s">
        <v>41</v>
      </c>
      <c r="I289" s="47" t="s">
        <v>5</v>
      </c>
      <c r="J289" s="47" t="s">
        <v>41</v>
      </c>
      <c r="K289" s="47" t="s">
        <v>41</v>
      </c>
    </row>
    <row r="290" spans="1:11" x14ac:dyDescent="0.25">
      <c r="A290" s="44">
        <v>2699</v>
      </c>
      <c r="B290" s="46">
        <v>45026</v>
      </c>
      <c r="C290" s="45" t="s">
        <v>40</v>
      </c>
      <c r="D290" s="47">
        <v>5</v>
      </c>
      <c r="E290" s="48">
        <v>45030</v>
      </c>
      <c r="F290" s="47">
        <v>9</v>
      </c>
      <c r="G290" s="48">
        <v>45040</v>
      </c>
      <c r="H290" s="47" t="s">
        <v>41</v>
      </c>
      <c r="I290" s="47" t="s">
        <v>5</v>
      </c>
      <c r="J290" s="47" t="s">
        <v>41</v>
      </c>
      <c r="K290" s="47" t="s">
        <v>41</v>
      </c>
    </row>
    <row r="291" spans="1:11" x14ac:dyDescent="0.25">
      <c r="A291" s="44">
        <v>1060</v>
      </c>
      <c r="B291" s="46">
        <v>45028</v>
      </c>
      <c r="C291" s="45" t="s">
        <v>40</v>
      </c>
      <c r="D291" s="47">
        <v>5</v>
      </c>
      <c r="E291" s="48">
        <v>45032</v>
      </c>
      <c r="F291" s="47">
        <v>9</v>
      </c>
      <c r="G291" s="48">
        <v>45043</v>
      </c>
      <c r="H291" s="47" t="s">
        <v>41</v>
      </c>
      <c r="I291" s="47" t="s">
        <v>41</v>
      </c>
      <c r="J291" s="47" t="s">
        <v>1</v>
      </c>
      <c r="K291" s="47" t="s">
        <v>41</v>
      </c>
    </row>
    <row r="292" spans="1:11" x14ac:dyDescent="0.25">
      <c r="A292" s="44">
        <v>3570</v>
      </c>
      <c r="B292" s="46">
        <v>45028</v>
      </c>
      <c r="C292" s="45" t="s">
        <v>40</v>
      </c>
      <c r="D292" s="47">
        <v>5</v>
      </c>
      <c r="E292" s="48">
        <v>45032</v>
      </c>
      <c r="F292" s="47">
        <v>9</v>
      </c>
      <c r="G292" s="48">
        <v>45042</v>
      </c>
      <c r="H292" s="47" t="s">
        <v>3</v>
      </c>
      <c r="I292" s="47" t="s">
        <v>41</v>
      </c>
      <c r="J292" s="47" t="s">
        <v>41</v>
      </c>
      <c r="K292" s="47" t="s">
        <v>41</v>
      </c>
    </row>
    <row r="293" spans="1:11" x14ac:dyDescent="0.25">
      <c r="A293" s="44">
        <v>873</v>
      </c>
      <c r="B293" s="46">
        <v>45030</v>
      </c>
      <c r="C293" s="45" t="s">
        <v>40</v>
      </c>
      <c r="D293" s="47">
        <v>5</v>
      </c>
      <c r="E293" s="48">
        <v>45034</v>
      </c>
      <c r="F293" s="47">
        <v>9</v>
      </c>
      <c r="G293" s="48">
        <v>45044</v>
      </c>
      <c r="H293" s="47" t="s">
        <v>3</v>
      </c>
      <c r="I293" s="47" t="s">
        <v>41</v>
      </c>
      <c r="J293" s="47" t="s">
        <v>41</v>
      </c>
      <c r="K293" s="47" t="s">
        <v>41</v>
      </c>
    </row>
    <row r="294" spans="1:11" x14ac:dyDescent="0.25">
      <c r="A294" s="44">
        <v>1180</v>
      </c>
      <c r="B294" s="46">
        <v>45030</v>
      </c>
      <c r="C294" s="45" t="s">
        <v>69</v>
      </c>
      <c r="D294" s="47">
        <v>3</v>
      </c>
      <c r="E294" s="48">
        <v>45032</v>
      </c>
      <c r="F294" s="47">
        <v>5</v>
      </c>
      <c r="G294" s="48">
        <v>45040</v>
      </c>
      <c r="H294" s="47" t="s">
        <v>41</v>
      </c>
      <c r="I294" s="47" t="s">
        <v>41</v>
      </c>
      <c r="J294" s="47" t="s">
        <v>1</v>
      </c>
      <c r="K294" s="47" t="s">
        <v>41</v>
      </c>
    </row>
    <row r="295" spans="1:11" x14ac:dyDescent="0.25">
      <c r="A295" s="44">
        <v>2463</v>
      </c>
      <c r="B295" s="46">
        <v>45030</v>
      </c>
      <c r="C295" s="45" t="s">
        <v>40</v>
      </c>
      <c r="D295" s="47">
        <v>5</v>
      </c>
      <c r="E295" s="48">
        <v>45034</v>
      </c>
      <c r="F295" s="47">
        <v>9</v>
      </c>
      <c r="G295" s="48">
        <v>45045</v>
      </c>
      <c r="H295" s="47" t="s">
        <v>41</v>
      </c>
      <c r="I295" s="47" t="s">
        <v>41</v>
      </c>
      <c r="J295" s="47" t="s">
        <v>1</v>
      </c>
      <c r="K295" s="47" t="s">
        <v>41</v>
      </c>
    </row>
    <row r="296" spans="1:11" x14ac:dyDescent="0.25">
      <c r="A296" s="44">
        <v>2572</v>
      </c>
      <c r="B296" s="46">
        <v>45030</v>
      </c>
      <c r="C296" s="45" t="s">
        <v>50</v>
      </c>
      <c r="D296" s="47">
        <v>5</v>
      </c>
      <c r="E296" s="48">
        <v>45034</v>
      </c>
      <c r="F296" s="47">
        <v>3</v>
      </c>
      <c r="G296" s="48">
        <v>45038</v>
      </c>
      <c r="H296" s="47" t="s">
        <v>41</v>
      </c>
      <c r="I296" s="47" t="s">
        <v>41</v>
      </c>
      <c r="J296" s="47" t="s">
        <v>1</v>
      </c>
      <c r="K296" s="47" t="s">
        <v>41</v>
      </c>
    </row>
    <row r="297" spans="1:11" x14ac:dyDescent="0.25">
      <c r="A297" s="44">
        <v>3022</v>
      </c>
      <c r="B297" s="46">
        <v>45030</v>
      </c>
      <c r="C297" s="45" t="s">
        <v>40</v>
      </c>
      <c r="D297" s="47">
        <v>5</v>
      </c>
      <c r="E297" s="48">
        <v>45034</v>
      </c>
      <c r="F297" s="47">
        <v>9</v>
      </c>
      <c r="G297" s="48">
        <v>45044</v>
      </c>
      <c r="H297" s="47" t="s">
        <v>41</v>
      </c>
      <c r="I297" s="47" t="s">
        <v>41</v>
      </c>
      <c r="J297" s="47" t="s">
        <v>41</v>
      </c>
      <c r="K297" s="47" t="s">
        <v>4</v>
      </c>
    </row>
    <row r="298" spans="1:11" x14ac:dyDescent="0.25">
      <c r="A298" s="44">
        <v>3112</v>
      </c>
      <c r="B298" s="46">
        <v>45030</v>
      </c>
      <c r="C298" s="45" t="s">
        <v>50</v>
      </c>
      <c r="D298" s="47">
        <v>5</v>
      </c>
      <c r="E298" s="48">
        <v>45034</v>
      </c>
      <c r="F298" s="47">
        <v>3</v>
      </c>
      <c r="G298" s="48">
        <v>45039</v>
      </c>
      <c r="H298" s="47" t="s">
        <v>41</v>
      </c>
      <c r="I298" s="47" t="s">
        <v>41</v>
      </c>
      <c r="J298" s="47" t="s">
        <v>41</v>
      </c>
      <c r="K298" s="47" t="s">
        <v>4</v>
      </c>
    </row>
    <row r="299" spans="1:11" x14ac:dyDescent="0.25">
      <c r="A299" s="44">
        <v>3176</v>
      </c>
      <c r="B299" s="46">
        <v>45030</v>
      </c>
      <c r="C299" s="45" t="s">
        <v>50</v>
      </c>
      <c r="D299" s="47">
        <v>5</v>
      </c>
      <c r="E299" s="48">
        <v>45034</v>
      </c>
      <c r="F299" s="47">
        <v>3</v>
      </c>
      <c r="G299" s="48">
        <v>45038</v>
      </c>
      <c r="H299" s="47" t="s">
        <v>3</v>
      </c>
      <c r="I299" s="47" t="s">
        <v>41</v>
      </c>
      <c r="J299" s="47" t="s">
        <v>1</v>
      </c>
      <c r="K299" s="47" t="s">
        <v>4</v>
      </c>
    </row>
    <row r="300" spans="1:11" x14ac:dyDescent="0.25">
      <c r="A300" s="44">
        <v>2253</v>
      </c>
      <c r="B300" s="46">
        <v>45031</v>
      </c>
      <c r="C300" s="45" t="s">
        <v>40</v>
      </c>
      <c r="D300" s="47">
        <v>5</v>
      </c>
      <c r="E300" s="48">
        <v>45035</v>
      </c>
      <c r="F300" s="47">
        <v>9</v>
      </c>
      <c r="G300" s="48">
        <v>45045</v>
      </c>
      <c r="H300" s="47" t="s">
        <v>41</v>
      </c>
      <c r="I300" s="47" t="s">
        <v>5</v>
      </c>
      <c r="J300" s="47" t="s">
        <v>41</v>
      </c>
      <c r="K300" s="47" t="s">
        <v>41</v>
      </c>
    </row>
    <row r="301" spans="1:11" x14ac:dyDescent="0.25">
      <c r="A301" s="44">
        <v>2461</v>
      </c>
      <c r="B301" s="46">
        <v>45031</v>
      </c>
      <c r="C301" s="45" t="s">
        <v>40</v>
      </c>
      <c r="D301" s="47">
        <v>5</v>
      </c>
      <c r="E301" s="48">
        <v>45035</v>
      </c>
      <c r="F301" s="47">
        <v>9</v>
      </c>
      <c r="G301" s="48">
        <v>45045</v>
      </c>
      <c r="H301" s="47" t="s">
        <v>41</v>
      </c>
      <c r="I301" s="47" t="s">
        <v>5</v>
      </c>
      <c r="J301" s="47" t="s">
        <v>41</v>
      </c>
      <c r="K301" s="47" t="s">
        <v>41</v>
      </c>
    </row>
    <row r="302" spans="1:11" x14ac:dyDescent="0.25">
      <c r="A302" s="44">
        <v>1039</v>
      </c>
      <c r="B302" s="46">
        <v>45032</v>
      </c>
      <c r="C302" s="45" t="s">
        <v>40</v>
      </c>
      <c r="D302" s="47">
        <v>5</v>
      </c>
      <c r="E302" s="48">
        <v>45036</v>
      </c>
      <c r="F302" s="47">
        <v>9</v>
      </c>
      <c r="G302" s="48">
        <v>45040</v>
      </c>
      <c r="H302" s="47" t="s">
        <v>3</v>
      </c>
      <c r="I302" s="47" t="s">
        <v>41</v>
      </c>
      <c r="J302" s="47" t="s">
        <v>41</v>
      </c>
      <c r="K302" s="47" t="s">
        <v>41</v>
      </c>
    </row>
    <row r="303" spans="1:11" x14ac:dyDescent="0.25">
      <c r="A303" s="44">
        <v>2321</v>
      </c>
      <c r="B303" s="46">
        <v>45032</v>
      </c>
      <c r="C303" s="45" t="s">
        <v>50</v>
      </c>
      <c r="D303" s="47">
        <v>5</v>
      </c>
      <c r="E303" s="48">
        <v>45036</v>
      </c>
      <c r="F303" s="47">
        <v>3</v>
      </c>
      <c r="G303" s="48">
        <v>45041</v>
      </c>
      <c r="H303" s="47" t="s">
        <v>41</v>
      </c>
      <c r="I303" s="47" t="s">
        <v>5</v>
      </c>
      <c r="J303" s="47" t="s">
        <v>41</v>
      </c>
      <c r="K303" s="47" t="s">
        <v>41</v>
      </c>
    </row>
    <row r="304" spans="1:11" x14ac:dyDescent="0.25">
      <c r="A304" s="44">
        <v>2506</v>
      </c>
      <c r="B304" s="46">
        <v>45032</v>
      </c>
      <c r="C304" s="45" t="s">
        <v>69</v>
      </c>
      <c r="D304" s="47">
        <v>4</v>
      </c>
      <c r="E304" s="48">
        <v>45035</v>
      </c>
      <c r="F304" s="47">
        <v>5</v>
      </c>
      <c r="G304" s="48">
        <v>45045</v>
      </c>
      <c r="H304" s="47" t="s">
        <v>41</v>
      </c>
      <c r="I304" s="47" t="s">
        <v>41</v>
      </c>
      <c r="J304" s="47" t="s">
        <v>1</v>
      </c>
      <c r="K304" s="47" t="s">
        <v>41</v>
      </c>
    </row>
    <row r="305" spans="1:11" x14ac:dyDescent="0.25">
      <c r="A305" s="44">
        <v>2798</v>
      </c>
      <c r="B305" s="46">
        <v>45032</v>
      </c>
      <c r="C305" s="45" t="s">
        <v>40</v>
      </c>
      <c r="D305" s="47">
        <v>5</v>
      </c>
      <c r="E305" s="48">
        <v>45036</v>
      </c>
      <c r="F305" s="47">
        <v>9</v>
      </c>
      <c r="G305" s="48">
        <v>45046</v>
      </c>
      <c r="H305" s="47" t="s">
        <v>3</v>
      </c>
      <c r="I305" s="47" t="s">
        <v>5</v>
      </c>
      <c r="J305" s="47" t="s">
        <v>41</v>
      </c>
      <c r="K305" s="47" t="s">
        <v>41</v>
      </c>
    </row>
    <row r="306" spans="1:11" x14ac:dyDescent="0.25">
      <c r="A306" s="44">
        <v>3074</v>
      </c>
      <c r="B306" s="46">
        <v>45033</v>
      </c>
      <c r="C306" s="45" t="s">
        <v>50</v>
      </c>
      <c r="D306" s="47">
        <v>5</v>
      </c>
      <c r="E306" s="48">
        <v>45037</v>
      </c>
      <c r="F306" s="47">
        <v>3</v>
      </c>
      <c r="G306" s="48">
        <v>45041</v>
      </c>
      <c r="H306" s="47" t="s">
        <v>41</v>
      </c>
      <c r="I306" s="47" t="s">
        <v>41</v>
      </c>
      <c r="J306" s="47" t="s">
        <v>41</v>
      </c>
      <c r="K306" s="47" t="s">
        <v>4</v>
      </c>
    </row>
    <row r="307" spans="1:11" x14ac:dyDescent="0.25">
      <c r="A307" s="44">
        <v>3304</v>
      </c>
      <c r="B307" s="46">
        <v>45033</v>
      </c>
      <c r="C307" s="45" t="s">
        <v>40</v>
      </c>
      <c r="D307" s="47">
        <v>5</v>
      </c>
      <c r="E307" s="48">
        <v>45037</v>
      </c>
      <c r="F307" s="47">
        <v>9</v>
      </c>
      <c r="G307" s="48">
        <v>45047</v>
      </c>
      <c r="H307" s="47" t="s">
        <v>41</v>
      </c>
      <c r="I307" s="47" t="s">
        <v>41</v>
      </c>
      <c r="J307" s="47" t="s">
        <v>1</v>
      </c>
      <c r="K307" s="47" t="s">
        <v>41</v>
      </c>
    </row>
    <row r="308" spans="1:11" x14ac:dyDescent="0.25">
      <c r="A308" s="44">
        <v>1360</v>
      </c>
      <c r="B308" s="46">
        <v>45034</v>
      </c>
      <c r="C308" s="45" t="s">
        <v>40</v>
      </c>
      <c r="D308" s="47">
        <v>5</v>
      </c>
      <c r="E308" s="48">
        <v>45038</v>
      </c>
      <c r="F308" s="47">
        <v>3</v>
      </c>
      <c r="G308" s="48">
        <v>45048</v>
      </c>
      <c r="H308" s="47" t="s">
        <v>41</v>
      </c>
      <c r="I308" s="47" t="s">
        <v>5</v>
      </c>
      <c r="J308" s="47" t="s">
        <v>41</v>
      </c>
      <c r="K308" s="47" t="s">
        <v>41</v>
      </c>
    </row>
    <row r="309" spans="1:11" x14ac:dyDescent="0.25">
      <c r="A309" s="44">
        <v>875</v>
      </c>
      <c r="B309" s="46">
        <v>45035</v>
      </c>
      <c r="C309" s="45" t="s">
        <v>50</v>
      </c>
      <c r="D309" s="47">
        <v>5</v>
      </c>
      <c r="E309" s="48">
        <v>45039</v>
      </c>
      <c r="F309" s="47">
        <v>3</v>
      </c>
      <c r="G309" s="48">
        <v>45044</v>
      </c>
      <c r="H309" s="47" t="s">
        <v>3</v>
      </c>
      <c r="I309" s="47" t="s">
        <v>5</v>
      </c>
      <c r="J309" s="47" t="s">
        <v>41</v>
      </c>
      <c r="K309" s="47" t="s">
        <v>41</v>
      </c>
    </row>
    <row r="310" spans="1:11" x14ac:dyDescent="0.25">
      <c r="A310" s="44">
        <v>1867</v>
      </c>
      <c r="B310" s="46">
        <v>45035</v>
      </c>
      <c r="C310" s="45" t="s">
        <v>69</v>
      </c>
      <c r="D310" s="47">
        <v>3</v>
      </c>
      <c r="E310" s="48">
        <v>45037</v>
      </c>
      <c r="F310" s="47">
        <v>5</v>
      </c>
      <c r="G310" s="48">
        <v>45044</v>
      </c>
      <c r="H310" s="47" t="s">
        <v>41</v>
      </c>
      <c r="I310" s="47" t="s">
        <v>41</v>
      </c>
      <c r="J310" s="47" t="s">
        <v>41</v>
      </c>
      <c r="K310" s="47" t="s">
        <v>4</v>
      </c>
    </row>
    <row r="311" spans="1:11" x14ac:dyDescent="0.25">
      <c r="A311" s="44">
        <v>2212</v>
      </c>
      <c r="B311" s="46">
        <v>45035</v>
      </c>
      <c r="C311" s="45" t="s">
        <v>50</v>
      </c>
      <c r="D311" s="47">
        <v>5</v>
      </c>
      <c r="E311" s="48">
        <v>45039</v>
      </c>
      <c r="F311" s="47">
        <v>3</v>
      </c>
      <c r="G311" s="48">
        <v>45045</v>
      </c>
      <c r="H311" s="47" t="s">
        <v>3</v>
      </c>
      <c r="I311" s="47" t="s">
        <v>41</v>
      </c>
      <c r="J311" s="47" t="s">
        <v>41</v>
      </c>
      <c r="K311" s="47" t="s">
        <v>41</v>
      </c>
    </row>
    <row r="312" spans="1:11" x14ac:dyDescent="0.25">
      <c r="A312" s="44">
        <v>2324</v>
      </c>
      <c r="B312" s="46">
        <v>45035</v>
      </c>
      <c r="C312" s="45" t="s">
        <v>40</v>
      </c>
      <c r="D312" s="47">
        <v>5</v>
      </c>
      <c r="E312" s="48">
        <v>45039</v>
      </c>
      <c r="F312" s="47">
        <v>9</v>
      </c>
      <c r="G312" s="48">
        <v>45051</v>
      </c>
      <c r="H312" s="47" t="s">
        <v>41</v>
      </c>
      <c r="I312" s="47" t="s">
        <v>5</v>
      </c>
      <c r="J312" s="47" t="s">
        <v>41</v>
      </c>
      <c r="K312" s="47" t="s">
        <v>41</v>
      </c>
    </row>
    <row r="313" spans="1:11" x14ac:dyDescent="0.25">
      <c r="A313" s="44">
        <v>2327</v>
      </c>
      <c r="B313" s="46">
        <v>45035</v>
      </c>
      <c r="C313" s="45" t="s">
        <v>50</v>
      </c>
      <c r="D313" s="47">
        <v>5</v>
      </c>
      <c r="E313" s="48">
        <v>45039</v>
      </c>
      <c r="F313" s="47">
        <v>3</v>
      </c>
      <c r="G313" s="48">
        <v>45044</v>
      </c>
      <c r="H313" s="47" t="s">
        <v>41</v>
      </c>
      <c r="I313" s="47" t="s">
        <v>5</v>
      </c>
      <c r="J313" s="47" t="s">
        <v>41</v>
      </c>
      <c r="K313" s="47" t="s">
        <v>41</v>
      </c>
    </row>
    <row r="314" spans="1:11" x14ac:dyDescent="0.25">
      <c r="A314" s="44">
        <v>2575</v>
      </c>
      <c r="B314" s="46">
        <v>45035</v>
      </c>
      <c r="C314" s="45" t="s">
        <v>50</v>
      </c>
      <c r="D314" s="47">
        <v>5</v>
      </c>
      <c r="E314" s="48">
        <v>45039</v>
      </c>
      <c r="F314" s="47">
        <v>3</v>
      </c>
      <c r="G314" s="48">
        <v>45045</v>
      </c>
      <c r="H314" s="47" t="s">
        <v>3</v>
      </c>
      <c r="I314" s="47" t="s">
        <v>41</v>
      </c>
      <c r="J314" s="47" t="s">
        <v>41</v>
      </c>
      <c r="K314" s="47" t="s">
        <v>41</v>
      </c>
    </row>
    <row r="315" spans="1:11" x14ac:dyDescent="0.25">
      <c r="A315" s="44">
        <v>2253</v>
      </c>
      <c r="B315" s="46">
        <v>45036</v>
      </c>
      <c r="C315" s="45" t="s">
        <v>69</v>
      </c>
      <c r="D315" s="47">
        <v>3</v>
      </c>
      <c r="E315" s="48">
        <v>45038</v>
      </c>
      <c r="F315" s="47">
        <v>5</v>
      </c>
      <c r="G315" s="48">
        <v>45045</v>
      </c>
      <c r="H315" s="47" t="s">
        <v>41</v>
      </c>
      <c r="I315" s="47" t="s">
        <v>5</v>
      </c>
      <c r="J315" s="47" t="s">
        <v>41</v>
      </c>
      <c r="K315" s="47" t="s">
        <v>41</v>
      </c>
    </row>
    <row r="316" spans="1:11" x14ac:dyDescent="0.25">
      <c r="A316" s="44">
        <v>3130</v>
      </c>
      <c r="B316" s="46">
        <v>45036</v>
      </c>
      <c r="C316" s="45" t="s">
        <v>40</v>
      </c>
      <c r="D316" s="47">
        <v>5</v>
      </c>
      <c r="E316" s="48">
        <v>45041</v>
      </c>
      <c r="F316" s="47">
        <v>9</v>
      </c>
      <c r="G316" s="48">
        <v>45051</v>
      </c>
      <c r="H316" s="47" t="s">
        <v>41</v>
      </c>
      <c r="I316" s="47" t="s">
        <v>5</v>
      </c>
      <c r="J316" s="47" t="s">
        <v>41</v>
      </c>
      <c r="K316" s="47" t="s">
        <v>41</v>
      </c>
    </row>
    <row r="317" spans="1:11" x14ac:dyDescent="0.25">
      <c r="A317" s="44">
        <v>3176</v>
      </c>
      <c r="B317" s="46">
        <v>45038</v>
      </c>
      <c r="C317" s="45" t="s">
        <v>69</v>
      </c>
      <c r="D317" s="47">
        <v>3</v>
      </c>
      <c r="E317" s="48">
        <v>45040</v>
      </c>
      <c r="F317" s="47">
        <v>5</v>
      </c>
      <c r="G317" s="48">
        <v>45047</v>
      </c>
      <c r="H317" s="47" t="s">
        <v>41</v>
      </c>
      <c r="I317" s="47" t="s">
        <v>41</v>
      </c>
      <c r="J317" s="47" t="s">
        <v>41</v>
      </c>
      <c r="K317" s="47" t="s">
        <v>4</v>
      </c>
    </row>
    <row r="318" spans="1:11" x14ac:dyDescent="0.25">
      <c r="A318" s="44">
        <v>1118</v>
      </c>
      <c r="B318" s="46">
        <v>45039</v>
      </c>
      <c r="C318" s="45" t="s">
        <v>50</v>
      </c>
      <c r="D318" s="47">
        <v>5</v>
      </c>
      <c r="E318" s="48">
        <v>45043</v>
      </c>
      <c r="F318" s="47">
        <v>3</v>
      </c>
      <c r="G318" s="48">
        <v>45048</v>
      </c>
      <c r="H318" s="47" t="s">
        <v>41</v>
      </c>
      <c r="I318" s="47" t="s">
        <v>41</v>
      </c>
      <c r="J318" s="47" t="s">
        <v>41</v>
      </c>
      <c r="K318" s="47" t="s">
        <v>4</v>
      </c>
    </row>
    <row r="319" spans="1:11" x14ac:dyDescent="0.25">
      <c r="A319" s="44">
        <v>3479</v>
      </c>
      <c r="B319" s="46">
        <v>45039</v>
      </c>
      <c r="C319" s="45" t="s">
        <v>50</v>
      </c>
      <c r="D319" s="47">
        <v>5</v>
      </c>
      <c r="E319" s="48">
        <v>45043</v>
      </c>
      <c r="F319" s="47">
        <v>3</v>
      </c>
      <c r="G319" s="48">
        <v>45048</v>
      </c>
      <c r="H319" s="47" t="s">
        <v>41</v>
      </c>
      <c r="I319" s="47" t="s">
        <v>41</v>
      </c>
      <c r="J319" s="47" t="s">
        <v>41</v>
      </c>
      <c r="K319" s="47" t="s">
        <v>4</v>
      </c>
    </row>
    <row r="320" spans="1:11" x14ac:dyDescent="0.25">
      <c r="A320" s="44">
        <v>2924</v>
      </c>
      <c r="B320" s="46">
        <v>45040</v>
      </c>
      <c r="C320" s="45" t="s">
        <v>40</v>
      </c>
      <c r="D320" s="47">
        <v>5</v>
      </c>
      <c r="E320" s="48">
        <v>45045</v>
      </c>
      <c r="F320" s="47">
        <v>9</v>
      </c>
      <c r="G320" s="48">
        <v>45054</v>
      </c>
      <c r="H320" s="47" t="s">
        <v>3</v>
      </c>
      <c r="I320" s="47" t="s">
        <v>5</v>
      </c>
      <c r="J320" s="47" t="s">
        <v>41</v>
      </c>
      <c r="K320" s="47" t="s">
        <v>41</v>
      </c>
    </row>
    <row r="321" spans="1:11" x14ac:dyDescent="0.25">
      <c r="A321" s="44">
        <v>1830</v>
      </c>
      <c r="B321" s="46">
        <v>45041</v>
      </c>
      <c r="C321" s="45" t="s">
        <v>50</v>
      </c>
      <c r="D321" s="47">
        <v>5</v>
      </c>
      <c r="E321" s="48">
        <v>45045</v>
      </c>
      <c r="F321" s="47">
        <v>3</v>
      </c>
      <c r="G321" s="48">
        <v>45049</v>
      </c>
      <c r="H321" s="47" t="s">
        <v>41</v>
      </c>
      <c r="I321" s="47" t="s">
        <v>5</v>
      </c>
      <c r="J321" s="47" t="s">
        <v>41</v>
      </c>
      <c r="K321" s="47" t="s">
        <v>4</v>
      </c>
    </row>
    <row r="322" spans="1:11" x14ac:dyDescent="0.25">
      <c r="A322" s="44">
        <v>2461</v>
      </c>
      <c r="B322" s="46">
        <v>45041</v>
      </c>
      <c r="C322" s="45" t="s">
        <v>50</v>
      </c>
      <c r="D322" s="47">
        <v>8</v>
      </c>
      <c r="E322" s="48">
        <v>45049</v>
      </c>
      <c r="F322" s="47">
        <v>3</v>
      </c>
      <c r="G322" s="48">
        <v>45053</v>
      </c>
      <c r="H322" s="47" t="s">
        <v>3</v>
      </c>
      <c r="I322" s="47" t="s">
        <v>41</v>
      </c>
      <c r="J322" s="47" t="s">
        <v>41</v>
      </c>
      <c r="K322" s="47" t="s">
        <v>41</v>
      </c>
    </row>
    <row r="323" spans="1:11" x14ac:dyDescent="0.25">
      <c r="A323" s="44">
        <v>2463</v>
      </c>
      <c r="B323" s="46">
        <v>45041</v>
      </c>
      <c r="C323" s="45" t="s">
        <v>69</v>
      </c>
      <c r="D323" s="47">
        <v>3</v>
      </c>
      <c r="E323" s="48">
        <v>45043</v>
      </c>
      <c r="F323" s="47">
        <v>5</v>
      </c>
      <c r="G323" s="48">
        <v>45049</v>
      </c>
      <c r="H323" s="47" t="s">
        <v>41</v>
      </c>
      <c r="I323" s="47" t="s">
        <v>41</v>
      </c>
      <c r="J323" s="47" t="s">
        <v>1</v>
      </c>
      <c r="K323" s="47" t="s">
        <v>41</v>
      </c>
    </row>
    <row r="324" spans="1:11" x14ac:dyDescent="0.25">
      <c r="A324" s="44">
        <v>2506</v>
      </c>
      <c r="B324" s="46">
        <v>45042</v>
      </c>
      <c r="C324" s="45" t="s">
        <v>50</v>
      </c>
      <c r="D324" s="47">
        <v>5</v>
      </c>
      <c r="E324" s="48">
        <v>45046</v>
      </c>
      <c r="F324" s="47">
        <v>3</v>
      </c>
      <c r="G324" s="48">
        <v>45051</v>
      </c>
      <c r="H324" s="47" t="s">
        <v>41</v>
      </c>
      <c r="I324" s="47" t="s">
        <v>41</v>
      </c>
      <c r="J324" s="47" t="s">
        <v>1</v>
      </c>
      <c r="K324" s="47" t="s">
        <v>41</v>
      </c>
    </row>
    <row r="325" spans="1:11" x14ac:dyDescent="0.25">
      <c r="A325" s="44">
        <v>896</v>
      </c>
      <c r="B325" s="46">
        <v>45043</v>
      </c>
      <c r="C325" s="45" t="s">
        <v>50</v>
      </c>
      <c r="D325" s="47">
        <v>5</v>
      </c>
      <c r="E325" s="48">
        <v>45047</v>
      </c>
      <c r="F325" s="47">
        <v>3</v>
      </c>
      <c r="G325" s="48">
        <v>45051</v>
      </c>
      <c r="H325" s="47" t="s">
        <v>41</v>
      </c>
      <c r="I325" s="47" t="s">
        <v>5</v>
      </c>
      <c r="J325" s="47" t="s">
        <v>41</v>
      </c>
      <c r="K325" s="47" t="s">
        <v>41</v>
      </c>
    </row>
    <row r="326" spans="1:11" x14ac:dyDescent="0.25">
      <c r="A326" s="44">
        <v>1290</v>
      </c>
      <c r="B326" s="46">
        <v>45043</v>
      </c>
      <c r="C326" s="45" t="s">
        <v>69</v>
      </c>
      <c r="D326" s="47">
        <v>3</v>
      </c>
      <c r="E326" s="48">
        <v>45045</v>
      </c>
      <c r="F326" s="47">
        <v>5</v>
      </c>
      <c r="G326" s="48">
        <v>45051</v>
      </c>
      <c r="H326" s="47" t="s">
        <v>3</v>
      </c>
      <c r="I326" s="47" t="s">
        <v>41</v>
      </c>
      <c r="J326" s="47" t="s">
        <v>41</v>
      </c>
      <c r="K326" s="47" t="s">
        <v>41</v>
      </c>
    </row>
    <row r="327" spans="1:11" x14ac:dyDescent="0.25">
      <c r="A327" s="44">
        <v>3176</v>
      </c>
      <c r="B327" s="46">
        <v>45044</v>
      </c>
      <c r="C327" s="45" t="s">
        <v>50</v>
      </c>
      <c r="D327" s="47">
        <v>5</v>
      </c>
      <c r="E327" s="48">
        <v>45048</v>
      </c>
      <c r="F327" s="47">
        <v>3</v>
      </c>
      <c r="G327" s="48">
        <v>45052</v>
      </c>
      <c r="H327" s="47" t="s">
        <v>41</v>
      </c>
      <c r="I327" s="47" t="s">
        <v>41</v>
      </c>
      <c r="J327" s="47" t="s">
        <v>1</v>
      </c>
      <c r="K327" s="47" t="s">
        <v>41</v>
      </c>
    </row>
    <row r="328" spans="1:11" x14ac:dyDescent="0.25">
      <c r="A328" s="44">
        <v>1290</v>
      </c>
      <c r="B328" s="46">
        <v>45045</v>
      </c>
      <c r="C328" s="45" t="s">
        <v>40</v>
      </c>
      <c r="D328" s="47">
        <v>5</v>
      </c>
      <c r="E328" s="48">
        <v>45049</v>
      </c>
      <c r="F328" s="47">
        <v>9</v>
      </c>
      <c r="G328" s="48">
        <v>45059</v>
      </c>
      <c r="H328" s="47" t="s">
        <v>3</v>
      </c>
      <c r="I328" s="47" t="s">
        <v>41</v>
      </c>
      <c r="J328" s="47" t="s">
        <v>41</v>
      </c>
      <c r="K328" s="47" t="s">
        <v>41</v>
      </c>
    </row>
    <row r="329" spans="1:11" x14ac:dyDescent="0.25">
      <c r="A329" s="44">
        <v>2038</v>
      </c>
      <c r="B329" s="46">
        <v>45045</v>
      </c>
      <c r="C329" s="45" t="s">
        <v>40</v>
      </c>
      <c r="D329" s="47">
        <v>5</v>
      </c>
      <c r="E329" s="48">
        <v>45049</v>
      </c>
      <c r="F329" s="47">
        <v>9</v>
      </c>
      <c r="G329" s="48">
        <v>45056</v>
      </c>
      <c r="H329" s="47" t="s">
        <v>41</v>
      </c>
      <c r="I329" s="47" t="s">
        <v>41</v>
      </c>
      <c r="J329" s="47" t="s">
        <v>41</v>
      </c>
      <c r="K329" s="47" t="s">
        <v>4</v>
      </c>
    </row>
    <row r="330" spans="1:11" x14ac:dyDescent="0.25">
      <c r="A330" s="44">
        <v>2070</v>
      </c>
      <c r="B330" s="46">
        <v>45045</v>
      </c>
      <c r="C330" s="45" t="s">
        <v>40</v>
      </c>
      <c r="D330" s="47">
        <v>3</v>
      </c>
      <c r="E330" s="48">
        <v>45047</v>
      </c>
      <c r="F330" s="47">
        <v>9</v>
      </c>
      <c r="G330" s="48">
        <v>45056</v>
      </c>
      <c r="H330" s="47" t="s">
        <v>3</v>
      </c>
      <c r="I330" s="47" t="s">
        <v>41</v>
      </c>
      <c r="J330" s="47" t="s">
        <v>1</v>
      </c>
      <c r="K330" s="47" t="s">
        <v>4</v>
      </c>
    </row>
    <row r="331" spans="1:11" x14ac:dyDescent="0.25">
      <c r="A331" s="44">
        <v>2097</v>
      </c>
      <c r="B331" s="46">
        <v>45045</v>
      </c>
      <c r="C331" s="45" t="s">
        <v>40</v>
      </c>
      <c r="D331" s="47">
        <v>5</v>
      </c>
      <c r="E331" s="48">
        <v>45049</v>
      </c>
      <c r="F331" s="47">
        <v>9</v>
      </c>
      <c r="G331" s="48">
        <v>45059</v>
      </c>
      <c r="H331" s="47" t="s">
        <v>41</v>
      </c>
      <c r="I331" s="47" t="s">
        <v>5</v>
      </c>
      <c r="J331" s="47" t="s">
        <v>41</v>
      </c>
      <c r="K331" s="47" t="s">
        <v>41</v>
      </c>
    </row>
    <row r="332" spans="1:11" x14ac:dyDescent="0.25">
      <c r="A332" s="44">
        <v>2253</v>
      </c>
      <c r="B332" s="46">
        <v>45045</v>
      </c>
      <c r="C332" s="45" t="s">
        <v>29</v>
      </c>
      <c r="D332" s="47">
        <v>8</v>
      </c>
      <c r="E332" s="48">
        <v>45051</v>
      </c>
      <c r="F332" s="47">
        <v>4</v>
      </c>
      <c r="G332" s="48">
        <v>45056</v>
      </c>
      <c r="H332" s="47" t="s">
        <v>41</v>
      </c>
      <c r="I332" s="47" t="s">
        <v>5</v>
      </c>
      <c r="J332" s="47" t="s">
        <v>41</v>
      </c>
      <c r="K332" s="47" t="s">
        <v>41</v>
      </c>
    </row>
    <row r="333" spans="1:11" x14ac:dyDescent="0.25">
      <c r="A333" s="44">
        <v>2324</v>
      </c>
      <c r="B333" s="46">
        <v>45045</v>
      </c>
      <c r="C333" s="45" t="s">
        <v>50</v>
      </c>
      <c r="D333" s="47">
        <v>5</v>
      </c>
      <c r="E333" s="48">
        <v>45049</v>
      </c>
      <c r="F333" s="47">
        <v>3</v>
      </c>
      <c r="G333" s="48">
        <v>45053</v>
      </c>
      <c r="H333" s="47" t="s">
        <v>41</v>
      </c>
      <c r="I333" s="47" t="s">
        <v>5</v>
      </c>
      <c r="J333" s="47" t="s">
        <v>41</v>
      </c>
      <c r="K333" s="47" t="s">
        <v>41</v>
      </c>
    </row>
    <row r="334" spans="1:11" x14ac:dyDescent="0.25">
      <c r="A334" s="44">
        <v>2226</v>
      </c>
      <c r="B334" s="46">
        <v>45046</v>
      </c>
      <c r="C334" s="45" t="s">
        <v>40</v>
      </c>
      <c r="D334" s="47">
        <v>5</v>
      </c>
      <c r="E334" s="48">
        <v>45050</v>
      </c>
      <c r="F334" s="47">
        <v>9</v>
      </c>
      <c r="G334" s="48">
        <v>45061</v>
      </c>
      <c r="H334" s="47" t="s">
        <v>41</v>
      </c>
      <c r="I334" s="47" t="s">
        <v>41</v>
      </c>
      <c r="J334" s="47" t="s">
        <v>4</v>
      </c>
      <c r="K334" s="47" t="s">
        <v>4</v>
      </c>
    </row>
    <row r="335" spans="1:11" x14ac:dyDescent="0.25">
      <c r="A335" s="44">
        <v>2507</v>
      </c>
      <c r="B335" s="46">
        <v>45048</v>
      </c>
      <c r="C335" s="45" t="s">
        <v>70</v>
      </c>
      <c r="D335" s="47">
        <v>3</v>
      </c>
      <c r="E335" s="48">
        <v>45052</v>
      </c>
      <c r="F335" s="47">
        <v>3</v>
      </c>
      <c r="G335" s="48">
        <v>45057</v>
      </c>
      <c r="H335" s="47" t="s">
        <v>41</v>
      </c>
      <c r="I335" s="47" t="s">
        <v>41</v>
      </c>
      <c r="J335" s="47" t="s">
        <v>41</v>
      </c>
      <c r="K335" s="47" t="s">
        <v>41</v>
      </c>
    </row>
    <row r="336" spans="1:11" x14ac:dyDescent="0.25">
      <c r="A336" s="44">
        <v>2890</v>
      </c>
      <c r="B336" s="46">
        <v>45048</v>
      </c>
      <c r="C336" s="45" t="s">
        <v>40</v>
      </c>
      <c r="D336" s="47">
        <v>5</v>
      </c>
      <c r="E336" s="48">
        <v>45051</v>
      </c>
      <c r="F336" s="47">
        <v>9</v>
      </c>
      <c r="G336" s="48">
        <v>45063</v>
      </c>
      <c r="H336" s="47" t="s">
        <v>3</v>
      </c>
      <c r="I336" s="47" t="s">
        <v>41</v>
      </c>
      <c r="J336" s="47" t="s">
        <v>41</v>
      </c>
      <c r="K336" s="47" t="s">
        <v>41</v>
      </c>
    </row>
    <row r="337" spans="1:11" x14ac:dyDescent="0.25">
      <c r="A337" s="44">
        <v>875</v>
      </c>
      <c r="B337" s="46">
        <v>45049</v>
      </c>
      <c r="C337" s="45" t="s">
        <v>40</v>
      </c>
      <c r="D337" s="47">
        <v>5</v>
      </c>
      <c r="E337" s="48">
        <v>45053</v>
      </c>
      <c r="F337" s="47">
        <v>9</v>
      </c>
      <c r="G337" s="48">
        <v>45064</v>
      </c>
      <c r="H337" s="47" t="s">
        <v>3</v>
      </c>
      <c r="I337" s="47" t="s">
        <v>41</v>
      </c>
      <c r="J337" s="47" t="s">
        <v>41</v>
      </c>
      <c r="K337" s="47" t="s">
        <v>41</v>
      </c>
    </row>
    <row r="338" spans="1:11" x14ac:dyDescent="0.25">
      <c r="A338" s="44">
        <v>2329</v>
      </c>
      <c r="B338" s="46">
        <v>45050</v>
      </c>
      <c r="C338" s="45" t="s">
        <v>70</v>
      </c>
      <c r="D338" s="47">
        <v>5</v>
      </c>
      <c r="E338" s="48">
        <v>45054</v>
      </c>
      <c r="F338" s="47">
        <v>3</v>
      </c>
      <c r="G338" s="48">
        <v>45059</v>
      </c>
      <c r="H338" s="47" t="s">
        <v>3</v>
      </c>
      <c r="I338" s="47" t="s">
        <v>5</v>
      </c>
      <c r="J338" s="47" t="s">
        <v>41</v>
      </c>
      <c r="K338" s="47" t="s">
        <v>41</v>
      </c>
    </row>
    <row r="339" spans="1:11" x14ac:dyDescent="0.25">
      <c r="A339" s="44">
        <v>2488</v>
      </c>
      <c r="B339" s="46">
        <v>45050</v>
      </c>
      <c r="C339" s="45" t="s">
        <v>69</v>
      </c>
      <c r="D339" s="47">
        <v>5</v>
      </c>
      <c r="E339" s="48">
        <v>45059</v>
      </c>
      <c r="F339" s="47">
        <v>5</v>
      </c>
      <c r="G339" s="48">
        <v>45070</v>
      </c>
      <c r="H339" s="47" t="s">
        <v>3</v>
      </c>
      <c r="I339" s="47" t="s">
        <v>41</v>
      </c>
      <c r="J339" s="47" t="s">
        <v>41</v>
      </c>
      <c r="K339" s="47" t="s">
        <v>41</v>
      </c>
    </row>
    <row r="340" spans="1:11" x14ac:dyDescent="0.25">
      <c r="A340" s="44">
        <v>1867</v>
      </c>
      <c r="B340" s="46">
        <v>45052</v>
      </c>
      <c r="C340" s="45" t="s">
        <v>40</v>
      </c>
      <c r="D340" s="47">
        <v>5</v>
      </c>
      <c r="E340" s="48">
        <v>45056</v>
      </c>
      <c r="F340" s="47">
        <v>9</v>
      </c>
      <c r="G340" s="48">
        <v>45065</v>
      </c>
      <c r="H340" s="47" t="s">
        <v>3</v>
      </c>
      <c r="I340" s="47" t="s">
        <v>41</v>
      </c>
      <c r="J340" s="47" t="s">
        <v>41</v>
      </c>
      <c r="K340" s="47" t="s">
        <v>41</v>
      </c>
    </row>
    <row r="341" spans="1:11" x14ac:dyDescent="0.25">
      <c r="A341" s="44">
        <v>2341</v>
      </c>
      <c r="B341" s="46">
        <v>45052</v>
      </c>
      <c r="C341" s="45" t="s">
        <v>71</v>
      </c>
      <c r="D341" s="47">
        <v>5</v>
      </c>
      <c r="E341" s="48">
        <v>45056</v>
      </c>
      <c r="F341" s="47">
        <v>3</v>
      </c>
      <c r="G341" s="48">
        <v>45061</v>
      </c>
      <c r="H341" s="47" t="s">
        <v>41</v>
      </c>
      <c r="I341" s="47" t="s">
        <v>5</v>
      </c>
      <c r="J341" s="47" t="s">
        <v>41</v>
      </c>
      <c r="K341" s="47" t="s">
        <v>41</v>
      </c>
    </row>
    <row r="342" spans="1:11" x14ac:dyDescent="0.25">
      <c r="A342" s="44">
        <v>3176</v>
      </c>
      <c r="B342" s="46">
        <v>45052</v>
      </c>
      <c r="C342" s="45" t="s">
        <v>72</v>
      </c>
      <c r="D342" s="47">
        <v>5</v>
      </c>
      <c r="E342" s="48">
        <v>45056</v>
      </c>
      <c r="F342" s="47">
        <v>8</v>
      </c>
      <c r="G342" s="48">
        <v>45064</v>
      </c>
      <c r="H342" s="47" t="s">
        <v>3</v>
      </c>
      <c r="I342" s="47" t="s">
        <v>5</v>
      </c>
      <c r="J342" s="47" t="s">
        <v>1</v>
      </c>
      <c r="K342" s="47" t="s">
        <v>4</v>
      </c>
    </row>
    <row r="343" spans="1:11" x14ac:dyDescent="0.25">
      <c r="A343" s="44">
        <v>3305</v>
      </c>
      <c r="B343" s="46">
        <v>45052</v>
      </c>
      <c r="C343" s="45" t="s">
        <v>71</v>
      </c>
      <c r="D343" s="47">
        <v>5</v>
      </c>
      <c r="E343" s="48">
        <v>45056</v>
      </c>
      <c r="F343" s="47">
        <v>3</v>
      </c>
      <c r="G343" s="48">
        <v>45061</v>
      </c>
      <c r="H343" s="47" t="s">
        <v>3</v>
      </c>
      <c r="I343" s="47" t="s">
        <v>41</v>
      </c>
      <c r="J343" s="47" t="s">
        <v>41</v>
      </c>
      <c r="K343" s="47" t="s">
        <v>41</v>
      </c>
    </row>
    <row r="344" spans="1:11" x14ac:dyDescent="0.25">
      <c r="A344" s="44">
        <v>2297</v>
      </c>
      <c r="B344" s="46">
        <v>45053</v>
      </c>
      <c r="C344" s="45" t="s">
        <v>41</v>
      </c>
      <c r="D344" s="47">
        <v>3</v>
      </c>
      <c r="E344" s="48">
        <v>45057</v>
      </c>
      <c r="F344" s="47">
        <v>3</v>
      </c>
      <c r="G344" s="48">
        <v>45063</v>
      </c>
      <c r="H344" s="47" t="s">
        <v>41</v>
      </c>
      <c r="I344" s="47" t="s">
        <v>5</v>
      </c>
      <c r="J344" s="47" t="s">
        <v>41</v>
      </c>
      <c r="K344" s="47" t="s">
        <v>41</v>
      </c>
    </row>
    <row r="345" spans="1:11" x14ac:dyDescent="0.25">
      <c r="A345" s="44">
        <v>2321</v>
      </c>
      <c r="B345" s="46">
        <v>45053</v>
      </c>
      <c r="C345" s="45" t="s">
        <v>40</v>
      </c>
      <c r="D345" s="47">
        <v>5</v>
      </c>
      <c r="E345" s="48">
        <v>45057</v>
      </c>
      <c r="F345" s="47">
        <v>9</v>
      </c>
      <c r="G345" s="48">
        <v>45062</v>
      </c>
      <c r="H345" s="47" t="s">
        <v>41</v>
      </c>
      <c r="I345" s="47" t="s">
        <v>41</v>
      </c>
      <c r="J345" s="47" t="s">
        <v>1</v>
      </c>
      <c r="K345" s="47" t="s">
        <v>4</v>
      </c>
    </row>
    <row r="346" spans="1:11" x14ac:dyDescent="0.25">
      <c r="A346" s="44">
        <v>875</v>
      </c>
      <c r="B346" s="46">
        <v>45054</v>
      </c>
      <c r="C346" s="45" t="s">
        <v>69</v>
      </c>
      <c r="D346" s="47">
        <v>5</v>
      </c>
      <c r="E346" s="48">
        <v>45057</v>
      </c>
      <c r="F346" s="47">
        <v>5</v>
      </c>
      <c r="G346" s="48">
        <v>45066</v>
      </c>
      <c r="H346" s="47" t="s">
        <v>3</v>
      </c>
      <c r="I346" s="47" t="s">
        <v>5</v>
      </c>
      <c r="J346" s="47" t="s">
        <v>41</v>
      </c>
      <c r="K346" s="47" t="s">
        <v>41</v>
      </c>
    </row>
    <row r="347" spans="1:11" x14ac:dyDescent="0.25">
      <c r="A347" s="44">
        <v>2988</v>
      </c>
      <c r="B347" s="46">
        <v>45056</v>
      </c>
      <c r="C347" s="45" t="s">
        <v>40</v>
      </c>
      <c r="D347" s="47">
        <v>5</v>
      </c>
      <c r="E347" s="48">
        <v>45060</v>
      </c>
      <c r="F347" s="47">
        <v>9</v>
      </c>
      <c r="G347" s="48">
        <v>45069</v>
      </c>
      <c r="H347" s="47" t="s">
        <v>41</v>
      </c>
      <c r="I347" s="47" t="s">
        <v>5</v>
      </c>
      <c r="J347" s="47" t="s">
        <v>41</v>
      </c>
      <c r="K347" s="47" t="s">
        <v>41</v>
      </c>
    </row>
    <row r="348" spans="1:11" x14ac:dyDescent="0.25">
      <c r="A348" s="44">
        <v>2226</v>
      </c>
      <c r="B348" s="46">
        <v>45057</v>
      </c>
      <c r="C348" s="45" t="s">
        <v>40</v>
      </c>
      <c r="D348" s="47">
        <v>3</v>
      </c>
      <c r="E348" s="48">
        <v>45059</v>
      </c>
      <c r="F348" s="47">
        <v>9</v>
      </c>
      <c r="G348" s="48">
        <v>45069</v>
      </c>
      <c r="H348" s="47" t="s">
        <v>41</v>
      </c>
      <c r="I348" s="47" t="s">
        <v>41</v>
      </c>
      <c r="J348" s="47" t="s">
        <v>1</v>
      </c>
      <c r="K348" s="47" t="s">
        <v>41</v>
      </c>
    </row>
    <row r="349" spans="1:11" x14ac:dyDescent="0.25">
      <c r="A349" s="44">
        <v>2507</v>
      </c>
      <c r="B349" s="46">
        <v>45057</v>
      </c>
      <c r="C349" s="45" t="s">
        <v>40</v>
      </c>
      <c r="D349" s="47">
        <v>3</v>
      </c>
      <c r="E349" s="48">
        <v>45059</v>
      </c>
      <c r="F349" s="47">
        <v>9</v>
      </c>
      <c r="G349" s="48">
        <v>45068</v>
      </c>
      <c r="H349" s="47" t="s">
        <v>41</v>
      </c>
      <c r="I349" s="47" t="s">
        <v>5</v>
      </c>
      <c r="J349" s="47" t="s">
        <v>41</v>
      </c>
      <c r="K349" s="47" t="s">
        <v>4</v>
      </c>
    </row>
    <row r="350" spans="1:11" x14ac:dyDescent="0.25">
      <c r="A350" s="44">
        <v>2745</v>
      </c>
      <c r="B350" s="46">
        <v>45057</v>
      </c>
      <c r="C350" s="45" t="s">
        <v>40</v>
      </c>
      <c r="D350" s="47">
        <v>5</v>
      </c>
      <c r="E350" s="48">
        <v>45061</v>
      </c>
      <c r="F350" s="47">
        <v>9</v>
      </c>
      <c r="G350" s="48">
        <v>45068</v>
      </c>
      <c r="H350" s="47" t="s">
        <v>3</v>
      </c>
      <c r="I350" s="47" t="s">
        <v>41</v>
      </c>
      <c r="J350" s="47" t="s">
        <v>41</v>
      </c>
      <c r="K350" s="47" t="s">
        <v>41</v>
      </c>
    </row>
    <row r="351" spans="1:11" x14ac:dyDescent="0.25">
      <c r="A351" s="44">
        <v>875</v>
      </c>
      <c r="B351" s="46">
        <v>45058</v>
      </c>
      <c r="C351" s="45" t="s">
        <v>50</v>
      </c>
      <c r="D351" s="47">
        <v>5</v>
      </c>
      <c r="E351" s="48">
        <v>45062</v>
      </c>
      <c r="F351" s="47">
        <v>3</v>
      </c>
      <c r="G351" s="48">
        <v>45072</v>
      </c>
      <c r="H351" s="47" t="s">
        <v>3</v>
      </c>
      <c r="I351" s="47" t="s">
        <v>5</v>
      </c>
      <c r="J351" s="47" t="s">
        <v>41</v>
      </c>
      <c r="K351" s="47" t="s">
        <v>4</v>
      </c>
    </row>
    <row r="352" spans="1:11" x14ac:dyDescent="0.25">
      <c r="A352" s="44">
        <v>1318</v>
      </c>
      <c r="B352" s="46">
        <v>45058</v>
      </c>
      <c r="C352" s="45" t="s">
        <v>40</v>
      </c>
      <c r="D352" s="47">
        <v>5</v>
      </c>
      <c r="E352" s="48">
        <v>45062</v>
      </c>
      <c r="F352" s="47">
        <v>9</v>
      </c>
      <c r="G352" s="48">
        <v>45067</v>
      </c>
      <c r="H352" s="47" t="s">
        <v>41</v>
      </c>
      <c r="I352" s="47" t="s">
        <v>41</v>
      </c>
      <c r="J352" s="47" t="s">
        <v>41</v>
      </c>
      <c r="K352" s="47" t="s">
        <v>4</v>
      </c>
    </row>
    <row r="353" spans="1:11" x14ac:dyDescent="0.25">
      <c r="A353" s="44">
        <v>1579</v>
      </c>
      <c r="B353" s="46">
        <v>45058</v>
      </c>
      <c r="C353" s="45" t="s">
        <v>40</v>
      </c>
      <c r="D353" s="47">
        <v>5</v>
      </c>
      <c r="E353" s="48">
        <v>45062</v>
      </c>
      <c r="F353" s="47">
        <v>9</v>
      </c>
      <c r="G353" s="48">
        <v>45068</v>
      </c>
      <c r="H353" s="47" t="s">
        <v>3</v>
      </c>
      <c r="I353" s="47" t="s">
        <v>41</v>
      </c>
      <c r="J353" s="47" t="s">
        <v>41</v>
      </c>
      <c r="K353" s="47" t="s">
        <v>41</v>
      </c>
    </row>
    <row r="354" spans="1:11" x14ac:dyDescent="0.25">
      <c r="A354" s="44">
        <v>2054</v>
      </c>
      <c r="B354" s="46">
        <v>45058</v>
      </c>
      <c r="C354" s="45" t="s">
        <v>40</v>
      </c>
      <c r="D354" s="47">
        <v>5</v>
      </c>
      <c r="E354" s="48">
        <v>45062</v>
      </c>
      <c r="F354" s="47">
        <v>9</v>
      </c>
      <c r="G354" s="48">
        <v>45073</v>
      </c>
      <c r="H354" s="47" t="s">
        <v>41</v>
      </c>
      <c r="I354" s="47" t="s">
        <v>41</v>
      </c>
      <c r="J354" s="47" t="s">
        <v>41</v>
      </c>
      <c r="K354" s="47" t="s">
        <v>41</v>
      </c>
    </row>
    <row r="355" spans="1:11" x14ac:dyDescent="0.25">
      <c r="A355" s="44">
        <v>2128</v>
      </c>
      <c r="B355" s="46">
        <v>45059</v>
      </c>
      <c r="C355" s="45" t="s">
        <v>50</v>
      </c>
      <c r="D355" s="47">
        <v>5</v>
      </c>
      <c r="E355" s="48">
        <v>45063</v>
      </c>
      <c r="F355" s="47">
        <v>3</v>
      </c>
      <c r="G355" s="48">
        <v>45073</v>
      </c>
      <c r="H355" s="47" t="s">
        <v>41</v>
      </c>
      <c r="I355" s="47" t="s">
        <v>41</v>
      </c>
      <c r="J355" s="47" t="s">
        <v>1</v>
      </c>
      <c r="K355" s="47" t="s">
        <v>41</v>
      </c>
    </row>
    <row r="356" spans="1:11" x14ac:dyDescent="0.25">
      <c r="A356" s="44">
        <v>2190</v>
      </c>
      <c r="B356" s="46">
        <v>45059</v>
      </c>
      <c r="C356" s="45" t="s">
        <v>50</v>
      </c>
      <c r="D356" s="47">
        <v>5</v>
      </c>
      <c r="E356" s="48">
        <v>45063</v>
      </c>
      <c r="F356" s="47">
        <v>3</v>
      </c>
      <c r="G356" s="48">
        <v>45068</v>
      </c>
      <c r="H356" s="47" t="s">
        <v>3</v>
      </c>
      <c r="I356" s="47" t="s">
        <v>41</v>
      </c>
      <c r="J356" s="47" t="s">
        <v>1</v>
      </c>
      <c r="K356" s="47" t="s">
        <v>41</v>
      </c>
    </row>
    <row r="357" spans="1:11" x14ac:dyDescent="0.25">
      <c r="A357" s="44">
        <v>2974</v>
      </c>
      <c r="B357" s="46">
        <v>45059</v>
      </c>
      <c r="C357" s="45" t="s">
        <v>50</v>
      </c>
      <c r="D357" s="47">
        <v>5</v>
      </c>
      <c r="E357" s="48">
        <v>45064</v>
      </c>
      <c r="F357" s="47">
        <v>3</v>
      </c>
      <c r="G357" s="48">
        <v>45068</v>
      </c>
      <c r="H357" s="47" t="s">
        <v>5</v>
      </c>
      <c r="I357" s="47" t="s">
        <v>41</v>
      </c>
      <c r="J357" s="47" t="s">
        <v>41</v>
      </c>
      <c r="K357" s="47" t="s">
        <v>4</v>
      </c>
    </row>
    <row r="358" spans="1:11" x14ac:dyDescent="0.25">
      <c r="A358" s="44">
        <v>3004</v>
      </c>
      <c r="B358" s="46">
        <v>45059</v>
      </c>
      <c r="C358" s="45" t="s">
        <v>50</v>
      </c>
      <c r="D358" s="47">
        <v>5</v>
      </c>
      <c r="E358" s="48">
        <v>45063</v>
      </c>
      <c r="F358" s="47">
        <v>3</v>
      </c>
      <c r="G358" s="48">
        <v>45068</v>
      </c>
      <c r="H358" s="47" t="s">
        <v>3</v>
      </c>
      <c r="I358" s="47" t="s">
        <v>41</v>
      </c>
      <c r="J358" s="47" t="s">
        <v>41</v>
      </c>
      <c r="K358" s="47" t="s">
        <v>4</v>
      </c>
    </row>
    <row r="359" spans="1:11" x14ac:dyDescent="0.25">
      <c r="A359" s="44">
        <v>3123</v>
      </c>
      <c r="B359" s="46">
        <v>45059</v>
      </c>
      <c r="C359" s="45" t="s">
        <v>50</v>
      </c>
      <c r="D359" s="47">
        <v>5</v>
      </c>
      <c r="E359" s="48">
        <v>45063</v>
      </c>
      <c r="F359" s="47">
        <v>3</v>
      </c>
      <c r="G359" s="48">
        <v>45068</v>
      </c>
      <c r="H359" s="47" t="s">
        <v>41</v>
      </c>
      <c r="I359" s="47" t="s">
        <v>41</v>
      </c>
      <c r="J359" s="47" t="s">
        <v>1</v>
      </c>
      <c r="K359" s="47" t="s">
        <v>41</v>
      </c>
    </row>
    <row r="360" spans="1:11" x14ac:dyDescent="0.25">
      <c r="A360" s="44">
        <v>846</v>
      </c>
      <c r="B360" s="46">
        <v>45060</v>
      </c>
      <c r="C360" s="45" t="s">
        <v>67</v>
      </c>
      <c r="D360" s="47">
        <v>5</v>
      </c>
      <c r="E360" s="48">
        <v>45064</v>
      </c>
      <c r="F360" s="47">
        <v>3</v>
      </c>
      <c r="G360" s="48">
        <v>45069</v>
      </c>
      <c r="H360" s="47" t="s">
        <v>41</v>
      </c>
      <c r="I360" s="47" t="s">
        <v>5</v>
      </c>
      <c r="J360" s="47" t="s">
        <v>41</v>
      </c>
      <c r="K360" s="47" t="s">
        <v>41</v>
      </c>
    </row>
    <row r="361" spans="1:11" x14ac:dyDescent="0.25">
      <c r="A361" s="44">
        <v>3022</v>
      </c>
      <c r="B361" s="46">
        <v>45060</v>
      </c>
      <c r="C361" s="45" t="s">
        <v>40</v>
      </c>
      <c r="D361" s="47">
        <v>5</v>
      </c>
      <c r="E361" s="48">
        <v>45064</v>
      </c>
      <c r="F361" s="47">
        <v>9</v>
      </c>
      <c r="G361" s="48">
        <v>45069</v>
      </c>
      <c r="H361" s="47" t="s">
        <v>41</v>
      </c>
      <c r="I361" s="47" t="s">
        <v>41</v>
      </c>
      <c r="J361" s="47" t="s">
        <v>1</v>
      </c>
      <c r="K361" s="47" t="s">
        <v>41</v>
      </c>
    </row>
    <row r="362" spans="1:11" x14ac:dyDescent="0.25">
      <c r="A362" s="44">
        <v>846</v>
      </c>
      <c r="B362" s="46">
        <v>45062</v>
      </c>
      <c r="C362" s="45" t="s">
        <v>40</v>
      </c>
      <c r="D362" s="47">
        <v>5</v>
      </c>
      <c r="E362" s="48">
        <v>45066</v>
      </c>
      <c r="F362" s="47">
        <v>9</v>
      </c>
      <c r="G362" s="48">
        <v>45074</v>
      </c>
      <c r="H362" s="47" t="s">
        <v>41</v>
      </c>
      <c r="I362" s="47" t="s">
        <v>5</v>
      </c>
      <c r="J362" s="47" t="s">
        <v>1</v>
      </c>
      <c r="K362" s="47" t="s">
        <v>4</v>
      </c>
    </row>
    <row r="363" spans="1:11" x14ac:dyDescent="0.25">
      <c r="A363" s="44">
        <v>1318</v>
      </c>
      <c r="B363" s="46">
        <v>45062</v>
      </c>
      <c r="C363" s="45" t="s">
        <v>40</v>
      </c>
      <c r="D363" s="47">
        <v>3</v>
      </c>
      <c r="E363" s="48">
        <v>45064</v>
      </c>
      <c r="F363" s="47">
        <v>9</v>
      </c>
      <c r="G363" s="48">
        <v>45076</v>
      </c>
      <c r="H363" s="47" t="s">
        <v>41</v>
      </c>
      <c r="I363" s="47" t="s">
        <v>5</v>
      </c>
      <c r="J363" s="47" t="s">
        <v>41</v>
      </c>
      <c r="K363" s="47" t="s">
        <v>4</v>
      </c>
    </row>
    <row r="364" spans="1:11" x14ac:dyDescent="0.25">
      <c r="A364" s="44">
        <v>1960</v>
      </c>
      <c r="B364" s="46">
        <v>45062</v>
      </c>
      <c r="C364" s="45" t="s">
        <v>40</v>
      </c>
      <c r="D364" s="47">
        <v>5</v>
      </c>
      <c r="E364" s="48">
        <v>45066</v>
      </c>
      <c r="F364" s="47">
        <v>9</v>
      </c>
      <c r="G364" s="48">
        <v>45076</v>
      </c>
      <c r="H364" s="47" t="s">
        <v>41</v>
      </c>
      <c r="I364" s="47" t="s">
        <v>41</v>
      </c>
      <c r="J364" s="47" t="s">
        <v>41</v>
      </c>
      <c r="K364" s="47" t="s">
        <v>4</v>
      </c>
    </row>
    <row r="365" spans="1:11" x14ac:dyDescent="0.25">
      <c r="A365" s="44">
        <v>2059</v>
      </c>
      <c r="B365" s="46">
        <v>45062</v>
      </c>
      <c r="C365" s="45" t="s">
        <v>40</v>
      </c>
      <c r="D365" s="47">
        <v>5</v>
      </c>
      <c r="E365" s="48">
        <v>45066</v>
      </c>
      <c r="F365" s="47">
        <v>9</v>
      </c>
      <c r="G365" s="48">
        <v>45070</v>
      </c>
      <c r="H365" s="47" t="s">
        <v>41</v>
      </c>
      <c r="I365" s="47" t="s">
        <v>5</v>
      </c>
      <c r="J365" s="47" t="s">
        <v>41</v>
      </c>
      <c r="K365" s="47" t="s">
        <v>4</v>
      </c>
    </row>
    <row r="366" spans="1:11" x14ac:dyDescent="0.25">
      <c r="A366" s="44">
        <v>2332</v>
      </c>
      <c r="B366" s="46">
        <v>45062</v>
      </c>
      <c r="C366" s="45" t="s">
        <v>67</v>
      </c>
      <c r="D366" s="47">
        <v>5</v>
      </c>
      <c r="E366" s="48">
        <v>45066</v>
      </c>
      <c r="F366" s="47">
        <v>3</v>
      </c>
      <c r="G366" s="48">
        <v>45066</v>
      </c>
      <c r="H366" s="47" t="s">
        <v>41</v>
      </c>
      <c r="I366" s="47" t="s">
        <v>41</v>
      </c>
      <c r="J366" s="47" t="s">
        <v>1</v>
      </c>
      <c r="K366" s="47" t="s">
        <v>4</v>
      </c>
    </row>
    <row r="367" spans="1:11" x14ac:dyDescent="0.25">
      <c r="A367" s="44">
        <v>3122</v>
      </c>
      <c r="B367" s="46">
        <v>45062</v>
      </c>
      <c r="C367" s="45" t="s">
        <v>40</v>
      </c>
      <c r="D367" s="47">
        <v>5</v>
      </c>
      <c r="E367" s="48">
        <v>45066</v>
      </c>
      <c r="F367" s="47">
        <v>9</v>
      </c>
      <c r="G367" s="48">
        <v>45076</v>
      </c>
      <c r="H367" s="47" t="s">
        <v>41</v>
      </c>
      <c r="I367" s="47" t="s">
        <v>5</v>
      </c>
      <c r="J367" s="47" t="s">
        <v>41</v>
      </c>
      <c r="K367" s="47" t="s">
        <v>41</v>
      </c>
    </row>
    <row r="368" spans="1:11" x14ac:dyDescent="0.25">
      <c r="A368" s="44">
        <v>2321</v>
      </c>
      <c r="B368" s="46">
        <v>45063</v>
      </c>
      <c r="C368" s="45" t="s">
        <v>40</v>
      </c>
      <c r="D368" s="47">
        <v>3</v>
      </c>
      <c r="E368" s="48">
        <v>45067</v>
      </c>
      <c r="F368" s="47">
        <v>9</v>
      </c>
      <c r="G368" s="48">
        <v>45076</v>
      </c>
      <c r="H368" s="47" t="s">
        <v>41</v>
      </c>
      <c r="I368" s="47" t="s">
        <v>5</v>
      </c>
      <c r="J368" s="47" t="s">
        <v>41</v>
      </c>
      <c r="K368" s="47" t="s">
        <v>41</v>
      </c>
    </row>
    <row r="369" spans="1:11" x14ac:dyDescent="0.25">
      <c r="A369" s="44">
        <v>2341</v>
      </c>
      <c r="B369" s="46">
        <v>45063</v>
      </c>
      <c r="C369" s="45" t="s">
        <v>40</v>
      </c>
      <c r="D369" s="47">
        <v>5</v>
      </c>
      <c r="E369" s="48">
        <v>45067</v>
      </c>
      <c r="F369" s="47">
        <v>9</v>
      </c>
      <c r="G369" s="48">
        <v>45077</v>
      </c>
      <c r="H369" s="47" t="s">
        <v>41</v>
      </c>
      <c r="I369" s="47" t="s">
        <v>5</v>
      </c>
      <c r="J369" s="47" t="s">
        <v>41</v>
      </c>
      <c r="K369" s="47" t="s">
        <v>41</v>
      </c>
    </row>
    <row r="370" spans="1:11" x14ac:dyDescent="0.25">
      <c r="A370" s="44">
        <v>2507</v>
      </c>
      <c r="B370" s="46">
        <v>45063</v>
      </c>
      <c r="C370" s="45" t="s">
        <v>69</v>
      </c>
      <c r="D370" s="47">
        <v>5</v>
      </c>
      <c r="E370" s="48">
        <v>45067</v>
      </c>
      <c r="F370" s="47">
        <v>5</v>
      </c>
      <c r="G370" s="48">
        <v>45077</v>
      </c>
      <c r="H370" s="47" t="s">
        <v>41</v>
      </c>
      <c r="I370" s="47" t="s">
        <v>5</v>
      </c>
      <c r="J370" s="47" t="s">
        <v>41</v>
      </c>
      <c r="K370" s="47" t="s">
        <v>4</v>
      </c>
    </row>
    <row r="371" spans="1:11" x14ac:dyDescent="0.25">
      <c r="A371" s="44">
        <v>2439</v>
      </c>
      <c r="B371" s="46">
        <v>45064</v>
      </c>
      <c r="C371" s="45" t="s">
        <v>50</v>
      </c>
      <c r="D371" s="47">
        <v>5</v>
      </c>
      <c r="E371" s="48">
        <v>45068</v>
      </c>
      <c r="F371" s="47">
        <v>3</v>
      </c>
      <c r="G371" s="48">
        <v>45073</v>
      </c>
      <c r="H371" s="47" t="s">
        <v>41</v>
      </c>
      <c r="I371" s="47" t="s">
        <v>5</v>
      </c>
      <c r="J371" s="47" t="s">
        <v>41</v>
      </c>
      <c r="K371" s="47" t="s">
        <v>41</v>
      </c>
    </row>
    <row r="372" spans="1:11" x14ac:dyDescent="0.25">
      <c r="A372" s="44">
        <v>3012</v>
      </c>
      <c r="B372" s="46">
        <v>45064</v>
      </c>
      <c r="C372" s="45" t="s">
        <v>40</v>
      </c>
      <c r="D372" s="47">
        <v>3</v>
      </c>
      <c r="E372" s="48">
        <v>45066</v>
      </c>
      <c r="F372" s="47">
        <v>9</v>
      </c>
      <c r="G372" s="48">
        <v>45073</v>
      </c>
      <c r="H372" s="47" t="s">
        <v>3</v>
      </c>
      <c r="I372" s="47" t="s">
        <v>5</v>
      </c>
      <c r="J372" s="47" t="s">
        <v>41</v>
      </c>
      <c r="K372" s="47" t="s">
        <v>4</v>
      </c>
    </row>
    <row r="373" spans="1:11" x14ac:dyDescent="0.25">
      <c r="A373" s="44">
        <v>1882</v>
      </c>
      <c r="B373" s="46">
        <v>45065</v>
      </c>
      <c r="C373" s="45" t="s">
        <v>40</v>
      </c>
      <c r="D373" s="47">
        <v>3</v>
      </c>
      <c r="E373" s="48">
        <v>45067</v>
      </c>
      <c r="F373" s="47">
        <v>9</v>
      </c>
      <c r="G373" s="48">
        <v>45077</v>
      </c>
      <c r="H373" s="47" t="s">
        <v>41</v>
      </c>
      <c r="I373" s="47" t="s">
        <v>41</v>
      </c>
      <c r="J373" s="47" t="s">
        <v>1</v>
      </c>
      <c r="K373" s="47" t="s">
        <v>41</v>
      </c>
    </row>
    <row r="374" spans="1:11" x14ac:dyDescent="0.25">
      <c r="A374" s="44">
        <v>1960</v>
      </c>
      <c r="B374" s="46">
        <v>45065</v>
      </c>
      <c r="C374" s="45" t="s">
        <v>40</v>
      </c>
      <c r="D374" s="47">
        <v>3</v>
      </c>
      <c r="E374" s="48">
        <v>45067</v>
      </c>
      <c r="F374" s="47">
        <v>9</v>
      </c>
      <c r="G374" s="48">
        <v>45077</v>
      </c>
      <c r="H374" s="47" t="s">
        <v>3</v>
      </c>
      <c r="I374" s="47" t="s">
        <v>41</v>
      </c>
      <c r="J374" s="47" t="s">
        <v>41</v>
      </c>
      <c r="K374" s="47" t="s">
        <v>41</v>
      </c>
    </row>
    <row r="375" spans="1:11" x14ac:dyDescent="0.25">
      <c r="A375" s="44">
        <v>2325</v>
      </c>
      <c r="B375" s="46">
        <v>45065</v>
      </c>
      <c r="C375" s="45" t="s">
        <v>73</v>
      </c>
      <c r="D375" s="47">
        <v>5</v>
      </c>
      <c r="E375" s="48">
        <v>45069</v>
      </c>
      <c r="F375" s="47">
        <v>3</v>
      </c>
      <c r="G375" s="48">
        <v>45077</v>
      </c>
      <c r="H375" s="47" t="s">
        <v>41</v>
      </c>
      <c r="I375" s="47" t="s">
        <v>41</v>
      </c>
      <c r="J375" s="47" t="s">
        <v>41</v>
      </c>
      <c r="K375" s="47" t="s">
        <v>4</v>
      </c>
    </row>
    <row r="376" spans="1:11" x14ac:dyDescent="0.25">
      <c r="A376" s="44">
        <v>2518</v>
      </c>
      <c r="B376" s="46">
        <v>45065</v>
      </c>
      <c r="C376" s="45" t="s">
        <v>40</v>
      </c>
      <c r="D376" s="47">
        <v>3</v>
      </c>
      <c r="E376" s="48">
        <v>45067</v>
      </c>
      <c r="F376" s="47">
        <v>9</v>
      </c>
      <c r="G376" s="48">
        <v>45076</v>
      </c>
      <c r="H376" s="47" t="s">
        <v>41</v>
      </c>
      <c r="I376" s="47" t="s">
        <v>41</v>
      </c>
      <c r="J376" s="47" t="s">
        <v>41</v>
      </c>
      <c r="K376" s="47" t="s">
        <v>4</v>
      </c>
    </row>
    <row r="377" spans="1:11" x14ac:dyDescent="0.25">
      <c r="A377" s="44">
        <v>859</v>
      </c>
      <c r="B377" s="46">
        <v>45066</v>
      </c>
      <c r="C377" s="45" t="s">
        <v>40</v>
      </c>
      <c r="D377" s="47">
        <v>5</v>
      </c>
      <c r="E377" s="48">
        <v>45070</v>
      </c>
      <c r="F377" s="47">
        <v>9</v>
      </c>
      <c r="G377" s="48">
        <v>45073</v>
      </c>
      <c r="H377" s="47" t="s">
        <v>3</v>
      </c>
      <c r="I377" s="47" t="s">
        <v>41</v>
      </c>
      <c r="J377" s="47" t="s">
        <v>41</v>
      </c>
      <c r="K377" s="47" t="s">
        <v>41</v>
      </c>
    </row>
    <row r="378" spans="1:11" x14ac:dyDescent="0.25">
      <c r="A378" s="44">
        <v>2979</v>
      </c>
      <c r="B378" s="46">
        <v>45066</v>
      </c>
      <c r="C378" s="45" t="s">
        <v>50</v>
      </c>
      <c r="D378" s="47">
        <v>5</v>
      </c>
      <c r="E378" s="48">
        <v>45070</v>
      </c>
      <c r="F378" s="47">
        <v>3</v>
      </c>
      <c r="G378" s="48">
        <v>45080</v>
      </c>
      <c r="H378" s="47" t="s">
        <v>41</v>
      </c>
      <c r="I378" s="47" t="s">
        <v>41</v>
      </c>
      <c r="J378" s="47" t="s">
        <v>41</v>
      </c>
      <c r="K378" s="47" t="s">
        <v>4</v>
      </c>
    </row>
    <row r="379" spans="1:11" x14ac:dyDescent="0.25">
      <c r="A379" s="44">
        <v>1804</v>
      </c>
      <c r="B379" s="46">
        <v>45067</v>
      </c>
      <c r="C379" s="45" t="s">
        <v>40</v>
      </c>
      <c r="D379" s="47">
        <v>3</v>
      </c>
      <c r="E379" s="48">
        <v>45069</v>
      </c>
      <c r="F379" s="47">
        <v>9</v>
      </c>
      <c r="G379" s="48">
        <v>45075</v>
      </c>
      <c r="H379" s="47" t="s">
        <v>3</v>
      </c>
      <c r="I379" s="47" t="s">
        <v>41</v>
      </c>
      <c r="J379" s="47" t="s">
        <v>1</v>
      </c>
      <c r="K379" s="47" t="s">
        <v>41</v>
      </c>
    </row>
    <row r="380" spans="1:11" x14ac:dyDescent="0.25">
      <c r="A380" s="44">
        <v>3460</v>
      </c>
      <c r="B380" s="46">
        <v>45067</v>
      </c>
      <c r="C380" s="45" t="s">
        <v>50</v>
      </c>
      <c r="D380" s="47">
        <v>5</v>
      </c>
      <c r="E380" s="48">
        <v>45071</v>
      </c>
      <c r="F380" s="47">
        <v>3</v>
      </c>
      <c r="G380" s="48">
        <v>45081</v>
      </c>
      <c r="H380" s="47" t="s">
        <v>41</v>
      </c>
      <c r="I380" s="47" t="s">
        <v>41</v>
      </c>
      <c r="J380" s="47" t="s">
        <v>1</v>
      </c>
      <c r="K380" s="47" t="s">
        <v>4</v>
      </c>
    </row>
    <row r="381" spans="1:11" x14ac:dyDescent="0.25">
      <c r="A381" s="44">
        <v>993</v>
      </c>
      <c r="B381" s="46">
        <v>45068</v>
      </c>
      <c r="C381" s="45" t="s">
        <v>40</v>
      </c>
      <c r="D381" s="47">
        <v>5</v>
      </c>
      <c r="E381" s="48">
        <v>45072</v>
      </c>
      <c r="F381" s="47">
        <v>8</v>
      </c>
      <c r="G381" s="48">
        <v>45082</v>
      </c>
      <c r="H381" s="47" t="s">
        <v>3</v>
      </c>
      <c r="I381" s="47" t="s">
        <v>41</v>
      </c>
      <c r="J381" s="47" t="s">
        <v>41</v>
      </c>
      <c r="K381" s="47" t="s">
        <v>41</v>
      </c>
    </row>
    <row r="382" spans="1:11" x14ac:dyDescent="0.25">
      <c r="A382" s="44">
        <v>2447</v>
      </c>
      <c r="B382" s="46">
        <v>45068</v>
      </c>
      <c r="C382" s="45" t="s">
        <v>40</v>
      </c>
      <c r="D382" s="47">
        <v>5</v>
      </c>
      <c r="E382" s="48">
        <v>45072</v>
      </c>
      <c r="F382" s="47">
        <v>9</v>
      </c>
      <c r="G382" s="48">
        <v>45083</v>
      </c>
      <c r="H382" s="47" t="s">
        <v>3</v>
      </c>
      <c r="I382" s="47" t="s">
        <v>41</v>
      </c>
      <c r="J382" s="47" t="s">
        <v>41</v>
      </c>
      <c r="K382" s="47" t="s">
        <v>41</v>
      </c>
    </row>
    <row r="383" spans="1:11" x14ac:dyDescent="0.25">
      <c r="A383" s="44">
        <v>2507</v>
      </c>
      <c r="B383" s="46">
        <v>45068</v>
      </c>
      <c r="C383" s="45" t="s">
        <v>74</v>
      </c>
      <c r="D383" s="47">
        <v>5</v>
      </c>
      <c r="E383" s="48">
        <v>45072</v>
      </c>
      <c r="F383" s="47">
        <v>9</v>
      </c>
      <c r="G383" s="48">
        <v>45084</v>
      </c>
      <c r="H383" s="47" t="s">
        <v>41</v>
      </c>
      <c r="I383" s="47" t="s">
        <v>5</v>
      </c>
      <c r="J383" s="47" t="s">
        <v>41</v>
      </c>
      <c r="K383" s="47" t="s">
        <v>4</v>
      </c>
    </row>
    <row r="384" spans="1:11" x14ac:dyDescent="0.25">
      <c r="A384" s="44">
        <v>3444</v>
      </c>
      <c r="B384" s="46">
        <v>45070</v>
      </c>
      <c r="C384" s="45" t="s">
        <v>40</v>
      </c>
      <c r="D384" s="47">
        <v>5</v>
      </c>
      <c r="E384" s="48">
        <v>45075</v>
      </c>
      <c r="F384" s="47">
        <v>9</v>
      </c>
      <c r="G384" s="48">
        <v>45086</v>
      </c>
      <c r="H384" s="47" t="s">
        <v>41</v>
      </c>
      <c r="I384" s="47" t="s">
        <v>5</v>
      </c>
      <c r="J384" s="47" t="s">
        <v>41</v>
      </c>
      <c r="K384" s="47" t="s">
        <v>41</v>
      </c>
    </row>
    <row r="385" spans="1:11" x14ac:dyDescent="0.25">
      <c r="A385" s="44">
        <v>1114</v>
      </c>
      <c r="B385" s="46">
        <v>45071</v>
      </c>
      <c r="C385" s="45" t="s">
        <v>40</v>
      </c>
      <c r="D385" s="47">
        <v>5</v>
      </c>
      <c r="E385" s="48">
        <v>45075</v>
      </c>
      <c r="F385" s="47">
        <v>9</v>
      </c>
      <c r="G385" s="48">
        <v>45086</v>
      </c>
      <c r="H385" s="47" t="s">
        <v>3</v>
      </c>
      <c r="I385" s="47" t="s">
        <v>41</v>
      </c>
      <c r="J385" s="47" t="s">
        <v>1</v>
      </c>
      <c r="K385" s="47" t="s">
        <v>41</v>
      </c>
    </row>
    <row r="386" spans="1:11" x14ac:dyDescent="0.25">
      <c r="A386" s="44">
        <v>1398</v>
      </c>
      <c r="B386" s="46">
        <v>45071</v>
      </c>
      <c r="C386" s="45" t="s">
        <v>40</v>
      </c>
      <c r="D386" s="47">
        <v>5</v>
      </c>
      <c r="E386" s="48">
        <v>45076</v>
      </c>
      <c r="F386" s="47">
        <v>9</v>
      </c>
      <c r="G386" s="48">
        <v>45086</v>
      </c>
      <c r="H386" s="47" t="s">
        <v>41</v>
      </c>
      <c r="I386" s="47" t="s">
        <v>41</v>
      </c>
      <c r="J386" s="47" t="s">
        <v>1</v>
      </c>
      <c r="K386" s="47" t="s">
        <v>4</v>
      </c>
    </row>
    <row r="387" spans="1:11" x14ac:dyDescent="0.25">
      <c r="A387" s="44">
        <v>1179</v>
      </c>
      <c r="B387" s="46">
        <v>45072</v>
      </c>
      <c r="C387" s="45" t="s">
        <v>40</v>
      </c>
      <c r="D387" s="47">
        <v>5</v>
      </c>
      <c r="E387" s="48">
        <v>45076</v>
      </c>
      <c r="F387" s="47">
        <v>9</v>
      </c>
      <c r="G387" s="48">
        <v>45087</v>
      </c>
      <c r="H387" s="47" t="s">
        <v>3</v>
      </c>
      <c r="I387" s="47" t="s">
        <v>41</v>
      </c>
      <c r="J387" s="47" t="s">
        <v>41</v>
      </c>
      <c r="K387" s="47" t="s">
        <v>41</v>
      </c>
    </row>
    <row r="388" spans="1:11" x14ac:dyDescent="0.25">
      <c r="A388" s="44">
        <v>1874</v>
      </c>
      <c r="B388" s="46">
        <v>45072</v>
      </c>
      <c r="C388" s="45" t="s">
        <v>40</v>
      </c>
      <c r="D388" s="47">
        <v>5</v>
      </c>
      <c r="E388" s="48">
        <v>45076</v>
      </c>
      <c r="F388" s="47">
        <v>9</v>
      </c>
      <c r="G388" s="48">
        <v>45086</v>
      </c>
      <c r="H388" s="47" t="s">
        <v>41</v>
      </c>
      <c r="I388" s="47" t="s">
        <v>41</v>
      </c>
      <c r="J388" s="47" t="s">
        <v>1</v>
      </c>
      <c r="K388" s="47" t="s">
        <v>41</v>
      </c>
    </row>
    <row r="389" spans="1:11" x14ac:dyDescent="0.25">
      <c r="A389" s="44">
        <v>2518</v>
      </c>
      <c r="B389" s="46">
        <v>45072</v>
      </c>
      <c r="C389" s="45" t="s">
        <v>40</v>
      </c>
      <c r="D389" s="47">
        <v>5</v>
      </c>
      <c r="E389" s="48">
        <v>45076</v>
      </c>
      <c r="F389" s="47">
        <v>9</v>
      </c>
      <c r="G389" s="48">
        <v>45086</v>
      </c>
      <c r="H389" s="47" t="s">
        <v>41</v>
      </c>
      <c r="I389" s="47" t="s">
        <v>41</v>
      </c>
      <c r="J389" s="47" t="s">
        <v>41</v>
      </c>
      <c r="K389" s="47" t="s">
        <v>4</v>
      </c>
    </row>
    <row r="390" spans="1:11" x14ac:dyDescent="0.25">
      <c r="A390" s="44">
        <v>3407</v>
      </c>
      <c r="B390" s="46">
        <v>45072</v>
      </c>
      <c r="C390" s="45" t="s">
        <v>50</v>
      </c>
      <c r="D390" s="47">
        <v>5</v>
      </c>
      <c r="E390" s="48">
        <v>45076</v>
      </c>
      <c r="F390" s="47">
        <v>3</v>
      </c>
      <c r="G390" s="48">
        <v>45086</v>
      </c>
      <c r="H390" s="47" t="s">
        <v>3</v>
      </c>
      <c r="I390" s="47" t="s">
        <v>41</v>
      </c>
      <c r="J390" s="47" t="s">
        <v>41</v>
      </c>
      <c r="K390" s="47" t="s">
        <v>41</v>
      </c>
    </row>
    <row r="391" spans="1:11" x14ac:dyDescent="0.25">
      <c r="A391" s="44">
        <v>2128</v>
      </c>
      <c r="B391" s="46">
        <v>45073</v>
      </c>
      <c r="C391" s="45" t="s">
        <v>50</v>
      </c>
      <c r="D391" s="47">
        <v>5</v>
      </c>
      <c r="E391" s="48">
        <v>45077</v>
      </c>
      <c r="F391" s="47">
        <v>3</v>
      </c>
      <c r="G391" s="48">
        <v>45081</v>
      </c>
      <c r="H391" s="47" t="s">
        <v>3</v>
      </c>
      <c r="I391" s="47" t="s">
        <v>5</v>
      </c>
      <c r="J391" s="47" t="s">
        <v>1</v>
      </c>
      <c r="K391" s="47" t="s">
        <v>41</v>
      </c>
    </row>
    <row r="392" spans="1:11" x14ac:dyDescent="0.25">
      <c r="A392" s="44">
        <v>2726</v>
      </c>
      <c r="B392" s="46">
        <v>45073</v>
      </c>
      <c r="C392" s="45" t="s">
        <v>40</v>
      </c>
      <c r="D392" s="47">
        <v>5</v>
      </c>
      <c r="E392" s="48">
        <v>45077</v>
      </c>
      <c r="F392" s="47">
        <v>9</v>
      </c>
      <c r="G392" s="48">
        <v>45087</v>
      </c>
      <c r="H392" s="47" t="s">
        <v>41</v>
      </c>
      <c r="I392" s="47" t="s">
        <v>41</v>
      </c>
      <c r="J392" s="47" t="s">
        <v>41</v>
      </c>
      <c r="K392" s="47" t="s">
        <v>4</v>
      </c>
    </row>
    <row r="393" spans="1:11" x14ac:dyDescent="0.25">
      <c r="A393" s="44">
        <v>3023</v>
      </c>
      <c r="B393" s="46">
        <v>45074</v>
      </c>
      <c r="C393" s="45" t="s">
        <v>40</v>
      </c>
      <c r="D393" s="47">
        <v>5</v>
      </c>
      <c r="E393" s="48">
        <v>45078</v>
      </c>
      <c r="F393" s="47">
        <v>9</v>
      </c>
      <c r="G393" s="48">
        <v>45087</v>
      </c>
      <c r="H393" s="47" t="s">
        <v>41</v>
      </c>
      <c r="I393" s="47" t="s">
        <v>41</v>
      </c>
      <c r="J393" s="47" t="s">
        <v>41</v>
      </c>
      <c r="K393" s="47" t="s">
        <v>4</v>
      </c>
    </row>
    <row r="394" spans="1:11" x14ac:dyDescent="0.25">
      <c r="A394" s="44">
        <v>3138</v>
      </c>
      <c r="B394" s="46">
        <v>45074</v>
      </c>
      <c r="C394" s="45" t="s">
        <v>40</v>
      </c>
      <c r="D394" s="47">
        <v>5</v>
      </c>
      <c r="E394" s="48">
        <v>45078</v>
      </c>
      <c r="F394" s="47">
        <v>9</v>
      </c>
      <c r="G394" s="48">
        <v>45088</v>
      </c>
      <c r="H394" s="47" t="s">
        <v>41</v>
      </c>
      <c r="I394" s="47" t="s">
        <v>41</v>
      </c>
      <c r="J394" s="47" t="s">
        <v>1</v>
      </c>
      <c r="K394" s="47" t="s">
        <v>41</v>
      </c>
    </row>
    <row r="395" spans="1:11" x14ac:dyDescent="0.25">
      <c r="A395" s="44">
        <v>869</v>
      </c>
      <c r="B395" s="46">
        <v>45075</v>
      </c>
      <c r="C395" s="45" t="s">
        <v>50</v>
      </c>
      <c r="D395" s="47">
        <v>5</v>
      </c>
      <c r="E395" s="48">
        <v>45079</v>
      </c>
      <c r="F395" s="47">
        <v>3</v>
      </c>
      <c r="G395" s="48">
        <v>45082</v>
      </c>
      <c r="H395" s="47" t="s">
        <v>3</v>
      </c>
      <c r="I395" s="47" t="s">
        <v>41</v>
      </c>
      <c r="J395" s="47" t="s">
        <v>41</v>
      </c>
      <c r="K395" s="47" t="s">
        <v>41</v>
      </c>
    </row>
    <row r="396" spans="1:11" x14ac:dyDescent="0.25">
      <c r="A396" s="44">
        <v>2318</v>
      </c>
      <c r="B396" s="46">
        <v>45075</v>
      </c>
      <c r="C396" s="45" t="s">
        <v>74</v>
      </c>
      <c r="D396" s="47">
        <v>3</v>
      </c>
      <c r="E396" s="48">
        <v>45077</v>
      </c>
      <c r="F396" s="47">
        <v>8</v>
      </c>
      <c r="G396" s="48">
        <v>45085</v>
      </c>
      <c r="H396" s="47" t="s">
        <v>3</v>
      </c>
      <c r="I396" s="47" t="s">
        <v>5</v>
      </c>
      <c r="J396" s="47" t="s">
        <v>41</v>
      </c>
      <c r="K396" s="47" t="s">
        <v>41</v>
      </c>
    </row>
    <row r="397" spans="1:11" x14ac:dyDescent="0.25">
      <c r="A397" s="44">
        <v>2341</v>
      </c>
      <c r="B397" s="46">
        <v>45075</v>
      </c>
      <c r="C397" s="45" t="s">
        <v>50</v>
      </c>
      <c r="D397" s="47">
        <v>5</v>
      </c>
      <c r="E397" s="48">
        <v>45079</v>
      </c>
      <c r="F397" s="47">
        <v>3</v>
      </c>
      <c r="G397" s="48">
        <v>45082</v>
      </c>
      <c r="H397" s="47" t="s">
        <v>41</v>
      </c>
      <c r="I397" s="47" t="s">
        <v>5</v>
      </c>
      <c r="J397" s="47" t="s">
        <v>1</v>
      </c>
      <c r="K397" s="47" t="s">
        <v>4</v>
      </c>
    </row>
    <row r="398" spans="1:11" x14ac:dyDescent="0.25">
      <c r="A398" s="44">
        <v>2439</v>
      </c>
      <c r="B398" s="46">
        <v>45075</v>
      </c>
      <c r="C398" s="45" t="s">
        <v>40</v>
      </c>
      <c r="D398" s="47">
        <v>3</v>
      </c>
      <c r="E398" s="48">
        <v>45077</v>
      </c>
      <c r="F398" s="47">
        <v>9</v>
      </c>
      <c r="G398" s="48">
        <v>45086</v>
      </c>
      <c r="H398" s="47" t="s">
        <v>41</v>
      </c>
      <c r="I398" s="47" t="s">
        <v>5</v>
      </c>
      <c r="J398" s="47" t="s">
        <v>41</v>
      </c>
      <c r="K398" s="47" t="s">
        <v>4</v>
      </c>
    </row>
    <row r="399" spans="1:11" x14ac:dyDescent="0.25">
      <c r="A399" s="44">
        <v>2675</v>
      </c>
      <c r="B399" s="46">
        <v>45075</v>
      </c>
      <c r="C399" s="45" t="s">
        <v>50</v>
      </c>
      <c r="D399" s="47">
        <v>5</v>
      </c>
      <c r="E399" s="48">
        <v>45079</v>
      </c>
      <c r="F399" s="47">
        <v>3</v>
      </c>
      <c r="G399" s="48">
        <v>45082</v>
      </c>
      <c r="H399" s="47" t="s">
        <v>41</v>
      </c>
      <c r="I399" s="47" t="s">
        <v>41</v>
      </c>
      <c r="J399" s="47" t="s">
        <v>1</v>
      </c>
      <c r="K399" s="47" t="s">
        <v>4</v>
      </c>
    </row>
    <row r="400" spans="1:11" x14ac:dyDescent="0.25">
      <c r="A400" s="44">
        <v>3455</v>
      </c>
      <c r="B400" s="46">
        <v>45076</v>
      </c>
      <c r="C400" s="45" t="s">
        <v>40</v>
      </c>
      <c r="D400" s="47">
        <v>5</v>
      </c>
      <c r="E400" s="48">
        <v>45080</v>
      </c>
      <c r="F400" s="47">
        <v>9</v>
      </c>
      <c r="G400" s="48">
        <v>45089</v>
      </c>
      <c r="H400" s="47" t="s">
        <v>3</v>
      </c>
      <c r="I400" s="47" t="s">
        <v>41</v>
      </c>
      <c r="J400" s="47" t="s">
        <v>41</v>
      </c>
      <c r="K400" s="47" t="s">
        <v>4</v>
      </c>
    </row>
    <row r="401" spans="1:11" x14ac:dyDescent="0.25">
      <c r="A401" s="44">
        <v>941</v>
      </c>
      <c r="B401" s="46">
        <v>45077</v>
      </c>
      <c r="C401" s="45" t="s">
        <v>40</v>
      </c>
      <c r="D401" s="47">
        <v>5</v>
      </c>
      <c r="E401" s="48">
        <v>45081</v>
      </c>
      <c r="F401" s="47">
        <v>9</v>
      </c>
      <c r="G401" s="48">
        <v>45091</v>
      </c>
      <c r="H401" s="47" t="s">
        <v>41</v>
      </c>
      <c r="I401" s="47" t="s">
        <v>41</v>
      </c>
      <c r="J401" s="47" t="s">
        <v>1</v>
      </c>
      <c r="K401" s="47" t="s">
        <v>41</v>
      </c>
    </row>
    <row r="402" spans="1:11" x14ac:dyDescent="0.25">
      <c r="A402" s="44">
        <v>1114</v>
      </c>
      <c r="B402" s="46">
        <v>45077</v>
      </c>
      <c r="C402" s="45" t="s">
        <v>50</v>
      </c>
      <c r="D402" s="47">
        <v>5</v>
      </c>
      <c r="E402" s="48">
        <v>45081</v>
      </c>
      <c r="F402" s="47">
        <v>3</v>
      </c>
      <c r="G402" s="48">
        <v>45085</v>
      </c>
      <c r="H402" s="47" t="s">
        <v>41</v>
      </c>
      <c r="I402" s="47" t="s">
        <v>41</v>
      </c>
      <c r="J402" s="47" t="s">
        <v>41</v>
      </c>
      <c r="K402" s="47" t="s">
        <v>4</v>
      </c>
    </row>
    <row r="403" spans="1:11" x14ac:dyDescent="0.25">
      <c r="A403" s="44">
        <v>1193</v>
      </c>
      <c r="B403" s="46">
        <v>45077</v>
      </c>
      <c r="C403" s="45" t="s">
        <v>40</v>
      </c>
      <c r="D403" s="47">
        <v>5</v>
      </c>
      <c r="E403" s="48">
        <v>45081</v>
      </c>
      <c r="F403" s="47">
        <v>9</v>
      </c>
      <c r="G403" s="48">
        <v>45091</v>
      </c>
      <c r="H403" s="47" t="s">
        <v>41</v>
      </c>
      <c r="I403" s="47" t="s">
        <v>41</v>
      </c>
      <c r="J403" s="47" t="s">
        <v>1</v>
      </c>
      <c r="K403" s="47" t="s">
        <v>41</v>
      </c>
    </row>
    <row r="404" spans="1:11" x14ac:dyDescent="0.25">
      <c r="A404" s="44">
        <v>1867</v>
      </c>
      <c r="B404" s="46">
        <v>45077</v>
      </c>
      <c r="C404" s="45" t="s">
        <v>74</v>
      </c>
      <c r="D404" s="47">
        <v>5</v>
      </c>
      <c r="E404" s="48">
        <v>45081</v>
      </c>
      <c r="F404" s="47">
        <v>8</v>
      </c>
      <c r="G404" s="48">
        <v>45090</v>
      </c>
      <c r="H404" s="47" t="s">
        <v>41</v>
      </c>
      <c r="I404" s="47" t="s">
        <v>41</v>
      </c>
      <c r="J404" s="47" t="s">
        <v>41</v>
      </c>
      <c r="K404" s="47" t="s">
        <v>4</v>
      </c>
    </row>
    <row r="405" spans="1:11" x14ac:dyDescent="0.25">
      <c r="A405" s="44">
        <v>2525</v>
      </c>
      <c r="B405" s="46">
        <v>45077</v>
      </c>
      <c r="C405" s="45" t="s">
        <v>40</v>
      </c>
      <c r="D405" s="47">
        <v>5</v>
      </c>
      <c r="E405" s="48">
        <v>45081</v>
      </c>
      <c r="F405" s="47">
        <v>9</v>
      </c>
      <c r="G405" s="48">
        <v>45091</v>
      </c>
      <c r="H405" s="47" t="s">
        <v>41</v>
      </c>
      <c r="I405" s="47" t="s">
        <v>41</v>
      </c>
      <c r="J405" s="47" t="s">
        <v>1</v>
      </c>
      <c r="K405" s="47" t="s">
        <v>4</v>
      </c>
    </row>
    <row r="406" spans="1:11" x14ac:dyDescent="0.25">
      <c r="A406" s="44">
        <v>3171</v>
      </c>
      <c r="B406" s="46">
        <v>45077</v>
      </c>
      <c r="C406" s="45" t="s">
        <v>40</v>
      </c>
      <c r="D406" s="47">
        <v>5</v>
      </c>
      <c r="E406" s="48">
        <v>45081</v>
      </c>
      <c r="F406" s="47">
        <v>9</v>
      </c>
      <c r="G406" s="48">
        <v>45091</v>
      </c>
      <c r="H406" s="47" t="s">
        <v>41</v>
      </c>
      <c r="I406" s="47" t="s">
        <v>41</v>
      </c>
      <c r="J406" s="47" t="s">
        <v>41</v>
      </c>
      <c r="K406" s="47" t="s">
        <v>41</v>
      </c>
    </row>
    <row r="407" spans="1:11" x14ac:dyDescent="0.25">
      <c r="A407" s="44">
        <v>2274</v>
      </c>
      <c r="B407" s="46">
        <v>45078</v>
      </c>
      <c r="C407" s="45" t="s">
        <v>50</v>
      </c>
      <c r="D407" s="47">
        <v>5</v>
      </c>
      <c r="E407" s="48">
        <v>45082</v>
      </c>
      <c r="F407" s="47">
        <v>3</v>
      </c>
      <c r="G407" s="48">
        <v>45086</v>
      </c>
      <c r="H407" s="47" t="s">
        <v>3</v>
      </c>
      <c r="I407" s="47" t="s">
        <v>41</v>
      </c>
      <c r="J407" s="47" t="s">
        <v>41</v>
      </c>
      <c r="K407" s="47" t="s">
        <v>41</v>
      </c>
    </row>
    <row r="408" spans="1:11" x14ac:dyDescent="0.25">
      <c r="A408" s="44">
        <v>2286</v>
      </c>
      <c r="B408" s="46">
        <v>45078</v>
      </c>
      <c r="C408" s="45" t="s">
        <v>50</v>
      </c>
      <c r="D408" s="47">
        <v>5</v>
      </c>
      <c r="E408" s="48">
        <v>45082</v>
      </c>
      <c r="F408" s="47">
        <v>3</v>
      </c>
      <c r="G408" s="48">
        <v>45086</v>
      </c>
      <c r="H408" s="47" t="s">
        <v>41</v>
      </c>
      <c r="I408" s="47" t="s">
        <v>5</v>
      </c>
      <c r="J408" s="47" t="s">
        <v>41</v>
      </c>
      <c r="K408" s="47" t="s">
        <v>41</v>
      </c>
    </row>
    <row r="409" spans="1:11" x14ac:dyDescent="0.25">
      <c r="A409" s="44">
        <v>2691</v>
      </c>
      <c r="B409" s="46">
        <v>45078</v>
      </c>
      <c r="C409" s="45" t="s">
        <v>40</v>
      </c>
      <c r="D409" s="47">
        <v>5</v>
      </c>
      <c r="E409" s="48">
        <v>45082</v>
      </c>
      <c r="F409" s="47">
        <v>9</v>
      </c>
      <c r="G409" s="48">
        <v>45092</v>
      </c>
      <c r="H409" s="47" t="s">
        <v>41</v>
      </c>
      <c r="I409" s="47" t="s">
        <v>5</v>
      </c>
      <c r="J409" s="47" t="s">
        <v>41</v>
      </c>
      <c r="K409" s="47" t="s">
        <v>41</v>
      </c>
    </row>
    <row r="410" spans="1:11" x14ac:dyDescent="0.25">
      <c r="A410" s="44">
        <v>2243</v>
      </c>
      <c r="B410" s="46">
        <v>45079</v>
      </c>
      <c r="C410" s="45" t="s">
        <v>50</v>
      </c>
      <c r="D410" s="47">
        <v>5</v>
      </c>
      <c r="E410" s="48">
        <v>45083</v>
      </c>
      <c r="F410" s="47">
        <v>3</v>
      </c>
      <c r="G410" s="48">
        <v>45087</v>
      </c>
      <c r="H410" s="47" t="s">
        <v>41</v>
      </c>
      <c r="I410" s="47" t="s">
        <v>41</v>
      </c>
      <c r="J410" s="47" t="s">
        <v>41</v>
      </c>
      <c r="K410" s="47" t="s">
        <v>4</v>
      </c>
    </row>
    <row r="411" spans="1:11" x14ac:dyDescent="0.25">
      <c r="A411" s="44">
        <v>2507</v>
      </c>
      <c r="B411" s="46">
        <v>45079</v>
      </c>
      <c r="C411" s="45" t="s">
        <v>50</v>
      </c>
      <c r="D411" s="47">
        <v>5</v>
      </c>
      <c r="E411" s="48">
        <v>45083</v>
      </c>
      <c r="F411" s="47">
        <v>9</v>
      </c>
      <c r="G411" s="48">
        <v>45093</v>
      </c>
      <c r="H411" s="47" t="s">
        <v>41</v>
      </c>
      <c r="I411" s="47" t="s">
        <v>5</v>
      </c>
      <c r="J411" s="47" t="s">
        <v>41</v>
      </c>
      <c r="K411" s="47" t="s">
        <v>4</v>
      </c>
    </row>
    <row r="412" spans="1:11" x14ac:dyDescent="0.25">
      <c r="A412" s="44">
        <v>3248</v>
      </c>
      <c r="B412" s="46">
        <v>45081</v>
      </c>
      <c r="C412" s="45" t="s">
        <v>50</v>
      </c>
      <c r="D412" s="47">
        <v>5</v>
      </c>
      <c r="E412" s="48">
        <v>45085</v>
      </c>
      <c r="F412" s="47">
        <v>9</v>
      </c>
      <c r="G412" s="48">
        <v>45095</v>
      </c>
      <c r="H412" s="47" t="s">
        <v>41</v>
      </c>
      <c r="I412" s="47" t="s">
        <v>41</v>
      </c>
      <c r="J412" s="47" t="s">
        <v>41</v>
      </c>
      <c r="K412" s="47" t="s">
        <v>4</v>
      </c>
    </row>
    <row r="413" spans="1:11" x14ac:dyDescent="0.25">
      <c r="A413" s="44">
        <v>3360</v>
      </c>
      <c r="B413" s="46">
        <v>45081</v>
      </c>
      <c r="C413" s="45" t="s">
        <v>50</v>
      </c>
      <c r="D413" s="47">
        <v>5</v>
      </c>
      <c r="E413" s="48">
        <v>45085</v>
      </c>
      <c r="F413" s="47">
        <v>9</v>
      </c>
      <c r="G413" s="48">
        <v>45095</v>
      </c>
      <c r="H413" s="47" t="s">
        <v>41</v>
      </c>
      <c r="I413" s="47" t="s">
        <v>41</v>
      </c>
      <c r="J413" s="47" t="s">
        <v>41</v>
      </c>
      <c r="K413" s="47" t="s">
        <v>4</v>
      </c>
    </row>
    <row r="414" spans="1:11" x14ac:dyDescent="0.25">
      <c r="A414" s="44">
        <v>2341</v>
      </c>
      <c r="B414" s="46">
        <v>45082</v>
      </c>
      <c r="C414" s="45" t="s">
        <v>74</v>
      </c>
      <c r="D414" s="47">
        <v>3</v>
      </c>
      <c r="E414" s="48">
        <v>45084</v>
      </c>
      <c r="F414" s="47">
        <v>3</v>
      </c>
      <c r="G414" s="48">
        <v>45093</v>
      </c>
      <c r="H414" s="47" t="s">
        <v>41</v>
      </c>
      <c r="I414" s="47" t="s">
        <v>5</v>
      </c>
      <c r="J414" s="47" t="s">
        <v>1</v>
      </c>
      <c r="K414" s="47" t="s">
        <v>4</v>
      </c>
    </row>
    <row r="415" spans="1:11" x14ac:dyDescent="0.25">
      <c r="A415" s="44">
        <v>2525</v>
      </c>
      <c r="B415" s="46">
        <v>45082</v>
      </c>
      <c r="C415" s="45" t="s">
        <v>50</v>
      </c>
      <c r="D415" s="47">
        <v>5</v>
      </c>
      <c r="E415" s="48">
        <v>45086</v>
      </c>
      <c r="F415" s="47">
        <v>9</v>
      </c>
      <c r="G415" s="48">
        <v>45090</v>
      </c>
      <c r="H415" s="47" t="s">
        <v>41</v>
      </c>
      <c r="I415" s="47" t="s">
        <v>41</v>
      </c>
      <c r="J415" s="47" t="s">
        <v>1</v>
      </c>
      <c r="K415" s="47" t="s">
        <v>4</v>
      </c>
    </row>
    <row r="416" spans="1:11" x14ac:dyDescent="0.25">
      <c r="A416" s="44">
        <v>2699</v>
      </c>
      <c r="B416" s="46">
        <v>45082</v>
      </c>
      <c r="C416" s="45" t="s">
        <v>40</v>
      </c>
      <c r="D416" s="47">
        <v>3</v>
      </c>
      <c r="E416" s="48">
        <v>45084</v>
      </c>
      <c r="F416" s="47">
        <v>9</v>
      </c>
      <c r="G416" s="48">
        <v>45094</v>
      </c>
      <c r="H416" s="47" t="s">
        <v>41</v>
      </c>
      <c r="I416" s="47" t="s">
        <v>5</v>
      </c>
      <c r="J416" s="47" t="s">
        <v>41</v>
      </c>
      <c r="K416" s="47" t="s">
        <v>41</v>
      </c>
    </row>
    <row r="417" spans="1:11" x14ac:dyDescent="0.25">
      <c r="A417" s="44">
        <v>724</v>
      </c>
      <c r="B417" s="46">
        <v>45083</v>
      </c>
      <c r="C417" s="45" t="s">
        <v>40</v>
      </c>
      <c r="D417" s="47">
        <v>5</v>
      </c>
      <c r="E417" s="48">
        <v>45087</v>
      </c>
      <c r="F417" s="47">
        <v>8</v>
      </c>
      <c r="G417" s="48">
        <v>45097</v>
      </c>
      <c r="H417" s="47" t="s">
        <v>41</v>
      </c>
      <c r="I417" s="47" t="s">
        <v>5</v>
      </c>
      <c r="J417" s="47" t="s">
        <v>41</v>
      </c>
      <c r="K417" s="47" t="s">
        <v>41</v>
      </c>
    </row>
    <row r="418" spans="1:11" x14ac:dyDescent="0.25">
      <c r="A418" s="44">
        <v>2117</v>
      </c>
      <c r="B418" s="46">
        <v>45084</v>
      </c>
      <c r="C418" s="45" t="s">
        <v>73</v>
      </c>
      <c r="D418" s="47">
        <v>5</v>
      </c>
      <c r="E418" s="48">
        <v>45088</v>
      </c>
      <c r="F418" s="47">
        <v>9</v>
      </c>
      <c r="G418" s="48">
        <v>45091</v>
      </c>
      <c r="H418" s="47" t="s">
        <v>41</v>
      </c>
      <c r="I418" s="47" t="s">
        <v>41</v>
      </c>
      <c r="J418" s="47" t="s">
        <v>1</v>
      </c>
      <c r="K418" s="47" t="s">
        <v>41</v>
      </c>
    </row>
    <row r="419" spans="1:11" x14ac:dyDescent="0.25">
      <c r="A419" s="44">
        <v>1933</v>
      </c>
      <c r="B419" s="46">
        <v>45085</v>
      </c>
      <c r="C419" s="45" t="s">
        <v>73</v>
      </c>
      <c r="D419" s="47">
        <v>5</v>
      </c>
      <c r="E419" s="48">
        <v>45089</v>
      </c>
      <c r="F419" s="47">
        <v>3</v>
      </c>
      <c r="G419" s="48">
        <v>45093</v>
      </c>
      <c r="H419" s="47" t="s">
        <v>41</v>
      </c>
      <c r="I419" s="47" t="s">
        <v>5</v>
      </c>
      <c r="J419" s="47" t="s">
        <v>41</v>
      </c>
      <c r="K419" s="47" t="s">
        <v>41</v>
      </c>
    </row>
    <row r="420" spans="1:11" x14ac:dyDescent="0.25">
      <c r="A420" s="44">
        <v>2507</v>
      </c>
      <c r="B420" s="46">
        <v>45085</v>
      </c>
      <c r="C420" s="45" t="s">
        <v>73</v>
      </c>
      <c r="D420" s="47">
        <v>5</v>
      </c>
      <c r="E420" s="48">
        <v>45089</v>
      </c>
      <c r="F420" s="47">
        <v>3</v>
      </c>
      <c r="G420" s="48">
        <v>45093</v>
      </c>
      <c r="H420" s="47" t="s">
        <v>41</v>
      </c>
      <c r="I420" s="47" t="s">
        <v>5</v>
      </c>
      <c r="J420" s="47" t="s">
        <v>41</v>
      </c>
      <c r="K420" s="47" t="s">
        <v>4</v>
      </c>
    </row>
    <row r="421" spans="1:11" x14ac:dyDescent="0.25">
      <c r="A421" s="44">
        <v>3431</v>
      </c>
      <c r="B421" s="46">
        <v>45086</v>
      </c>
      <c r="C421" s="45" t="s">
        <v>40</v>
      </c>
      <c r="D421" s="47">
        <v>5</v>
      </c>
      <c r="E421" s="48">
        <v>45090</v>
      </c>
      <c r="F421" s="47">
        <v>3</v>
      </c>
      <c r="G421" s="48">
        <v>45099</v>
      </c>
      <c r="H421" s="47" t="s">
        <v>41</v>
      </c>
      <c r="I421" s="47" t="s">
        <v>41</v>
      </c>
      <c r="J421" s="47" t="s">
        <v>1</v>
      </c>
      <c r="K421" s="47" t="s">
        <v>41</v>
      </c>
    </row>
    <row r="422" spans="1:11" x14ac:dyDescent="0.25">
      <c r="A422" s="44">
        <v>2499</v>
      </c>
      <c r="B422" s="46">
        <v>45087</v>
      </c>
      <c r="C422" s="45" t="s">
        <v>73</v>
      </c>
      <c r="D422" s="47">
        <v>5</v>
      </c>
      <c r="E422" s="48">
        <v>45091</v>
      </c>
      <c r="F422" s="47">
        <v>9</v>
      </c>
      <c r="G422" s="48">
        <v>45101</v>
      </c>
      <c r="H422" s="47" t="s">
        <v>41</v>
      </c>
      <c r="I422" s="47" t="s">
        <v>41</v>
      </c>
      <c r="J422" s="47" t="s">
        <v>41</v>
      </c>
      <c r="K422" s="47" t="s">
        <v>4</v>
      </c>
    </row>
    <row r="423" spans="1:11" x14ac:dyDescent="0.25">
      <c r="A423" s="44">
        <v>2550</v>
      </c>
      <c r="B423" s="46">
        <v>45087</v>
      </c>
      <c r="C423" s="45" t="s">
        <v>73</v>
      </c>
      <c r="D423" s="47">
        <v>5</v>
      </c>
      <c r="E423" s="48">
        <v>45091</v>
      </c>
      <c r="F423" s="47">
        <v>9</v>
      </c>
      <c r="G423" s="48">
        <v>45101</v>
      </c>
      <c r="H423" s="47" t="s">
        <v>41</v>
      </c>
      <c r="I423" s="47" t="s">
        <v>41</v>
      </c>
      <c r="J423" s="47" t="s">
        <v>41</v>
      </c>
      <c r="K423" s="47" t="s">
        <v>4</v>
      </c>
    </row>
    <row r="424" spans="1:11" x14ac:dyDescent="0.25">
      <c r="A424" s="44">
        <v>2525</v>
      </c>
      <c r="B424" s="46">
        <v>45088</v>
      </c>
      <c r="C424" s="45" t="s">
        <v>74</v>
      </c>
      <c r="D424" s="47">
        <v>5</v>
      </c>
      <c r="E424" s="48">
        <v>45092</v>
      </c>
      <c r="F424" s="47">
        <v>8</v>
      </c>
      <c r="G424" s="48">
        <v>45100</v>
      </c>
      <c r="H424" s="47" t="s">
        <v>41</v>
      </c>
      <c r="I424" s="47" t="s">
        <v>41</v>
      </c>
      <c r="J424" s="47" t="s">
        <v>1</v>
      </c>
      <c r="K424" s="47" t="s">
        <v>4</v>
      </c>
    </row>
    <row r="425" spans="1:11" x14ac:dyDescent="0.25">
      <c r="A425" s="44">
        <v>2731</v>
      </c>
      <c r="B425" s="46">
        <v>45088</v>
      </c>
      <c r="C425" s="45" t="s">
        <v>40</v>
      </c>
      <c r="D425" s="47">
        <v>5</v>
      </c>
      <c r="E425" s="48">
        <v>45092</v>
      </c>
      <c r="F425" s="47">
        <v>9</v>
      </c>
      <c r="G425" s="48">
        <v>45101</v>
      </c>
      <c r="H425" s="47" t="s">
        <v>41</v>
      </c>
      <c r="I425" s="47" t="s">
        <v>5</v>
      </c>
      <c r="J425" s="47" t="s">
        <v>41</v>
      </c>
      <c r="K425" s="47" t="s">
        <v>41</v>
      </c>
    </row>
    <row r="426" spans="1:11" x14ac:dyDescent="0.25">
      <c r="A426" s="44">
        <v>2235</v>
      </c>
      <c r="B426" s="46">
        <v>45089</v>
      </c>
      <c r="C426" s="45" t="s">
        <v>40</v>
      </c>
      <c r="D426" s="47">
        <v>5</v>
      </c>
      <c r="E426" s="48">
        <v>45093</v>
      </c>
      <c r="F426" s="47">
        <v>9</v>
      </c>
      <c r="G426" s="48">
        <v>45102</v>
      </c>
      <c r="H426" s="47" t="s">
        <v>41</v>
      </c>
      <c r="I426" s="47" t="s">
        <v>5</v>
      </c>
      <c r="J426" s="47" t="s">
        <v>41</v>
      </c>
      <c r="K426" s="47" t="s">
        <v>41</v>
      </c>
    </row>
    <row r="427" spans="1:11" x14ac:dyDescent="0.25">
      <c r="A427" s="44">
        <v>1039</v>
      </c>
      <c r="B427" s="46">
        <v>45090</v>
      </c>
      <c r="C427" s="45" t="s">
        <v>50</v>
      </c>
      <c r="D427" s="47">
        <v>5</v>
      </c>
      <c r="E427" s="48">
        <v>45094</v>
      </c>
      <c r="F427" s="47">
        <v>3</v>
      </c>
      <c r="G427" s="48">
        <v>45098</v>
      </c>
      <c r="H427" s="47" t="s">
        <v>41</v>
      </c>
      <c r="I427" s="47" t="s">
        <v>5</v>
      </c>
      <c r="J427" s="47" t="s">
        <v>41</v>
      </c>
      <c r="K427" s="47" t="s">
        <v>41</v>
      </c>
    </row>
    <row r="428" spans="1:11" x14ac:dyDescent="0.25">
      <c r="A428" s="44">
        <v>3449</v>
      </c>
      <c r="B428" s="46">
        <v>45090</v>
      </c>
      <c r="C428" s="45" t="s">
        <v>40</v>
      </c>
      <c r="D428" s="47">
        <v>5</v>
      </c>
      <c r="E428" s="48">
        <v>45094</v>
      </c>
      <c r="F428" s="47">
        <v>9</v>
      </c>
      <c r="G428" s="48">
        <v>45103</v>
      </c>
      <c r="H428" s="47" t="s">
        <v>3</v>
      </c>
      <c r="I428" s="47" t="s">
        <v>41</v>
      </c>
      <c r="J428" s="47" t="s">
        <v>41</v>
      </c>
      <c r="K428" s="47" t="s">
        <v>41</v>
      </c>
    </row>
    <row r="429" spans="1:11" x14ac:dyDescent="0.25">
      <c r="A429" s="44">
        <v>2764</v>
      </c>
      <c r="B429" s="46">
        <v>45105</v>
      </c>
      <c r="C429" s="45" t="s">
        <v>50</v>
      </c>
      <c r="D429" s="47">
        <v>3</v>
      </c>
      <c r="E429" s="48">
        <v>45107</v>
      </c>
      <c r="F429" s="47">
        <v>3</v>
      </c>
      <c r="G429" s="47" t="s">
        <v>75</v>
      </c>
      <c r="H429" s="47" t="s">
        <v>41</v>
      </c>
      <c r="I429" s="47" t="s">
        <v>5</v>
      </c>
      <c r="J429" s="47" t="s">
        <v>41</v>
      </c>
      <c r="K429" s="47" t="s">
        <v>41</v>
      </c>
    </row>
    <row r="430" spans="1:11" x14ac:dyDescent="0.25">
      <c r="A430" s="44">
        <v>1167</v>
      </c>
      <c r="B430" s="46">
        <v>45106</v>
      </c>
      <c r="C430" s="45" t="s">
        <v>66</v>
      </c>
      <c r="D430" s="47">
        <v>5</v>
      </c>
      <c r="E430" s="48">
        <v>45110</v>
      </c>
      <c r="F430" s="47">
        <v>3</v>
      </c>
      <c r="G430" s="47" t="s">
        <v>76</v>
      </c>
      <c r="H430" s="47" t="s">
        <v>41</v>
      </c>
      <c r="I430" s="47" t="s">
        <v>5</v>
      </c>
      <c r="J430" s="47" t="s">
        <v>41</v>
      </c>
      <c r="K430" s="47" t="s">
        <v>41</v>
      </c>
    </row>
    <row r="431" spans="1:11" x14ac:dyDescent="0.25">
      <c r="A431" s="44">
        <v>1984</v>
      </c>
      <c r="B431" s="46">
        <v>45106</v>
      </c>
      <c r="C431" s="45" t="s">
        <v>66</v>
      </c>
      <c r="D431" s="47">
        <v>5</v>
      </c>
      <c r="E431" s="48">
        <v>45110</v>
      </c>
      <c r="F431" s="47">
        <v>3</v>
      </c>
      <c r="G431" s="48">
        <v>45114</v>
      </c>
      <c r="H431" s="47" t="s">
        <v>41</v>
      </c>
      <c r="I431" s="47" t="s">
        <v>5</v>
      </c>
      <c r="J431" s="47" t="s">
        <v>41</v>
      </c>
      <c r="K431" s="47" t="s">
        <v>41</v>
      </c>
    </row>
    <row r="432" spans="1:11" x14ac:dyDescent="0.25">
      <c r="A432" s="44">
        <v>2117</v>
      </c>
      <c r="B432" s="46">
        <v>45106</v>
      </c>
      <c r="C432" s="45" t="s">
        <v>66</v>
      </c>
      <c r="D432" s="47">
        <v>5</v>
      </c>
      <c r="E432" s="48">
        <v>45110</v>
      </c>
      <c r="F432" s="47">
        <v>3</v>
      </c>
      <c r="G432" s="48">
        <v>45114</v>
      </c>
      <c r="H432" s="47" t="s">
        <v>3</v>
      </c>
      <c r="I432" s="47" t="s">
        <v>41</v>
      </c>
      <c r="J432" s="47" t="s">
        <v>1</v>
      </c>
      <c r="K432" s="47" t="s">
        <v>41</v>
      </c>
    </row>
    <row r="433" spans="1:11" x14ac:dyDescent="0.25">
      <c r="A433" s="44">
        <v>2237</v>
      </c>
      <c r="B433" s="46">
        <v>45106</v>
      </c>
      <c r="C433" s="45" t="s">
        <v>66</v>
      </c>
      <c r="D433" s="47">
        <v>5</v>
      </c>
      <c r="E433" s="48">
        <v>45110</v>
      </c>
      <c r="F433" s="47">
        <v>3</v>
      </c>
      <c r="G433" s="48">
        <v>45114</v>
      </c>
      <c r="H433" s="47" t="s">
        <v>41</v>
      </c>
      <c r="I433" s="47" t="s">
        <v>5</v>
      </c>
      <c r="J433" s="47" t="s">
        <v>41</v>
      </c>
      <c r="K433" s="47" t="s">
        <v>4</v>
      </c>
    </row>
    <row r="434" spans="1:11" x14ac:dyDescent="0.25">
      <c r="A434" s="44">
        <v>2499</v>
      </c>
      <c r="B434" s="46">
        <v>45106</v>
      </c>
      <c r="C434" s="45" t="s">
        <v>66</v>
      </c>
      <c r="D434" s="47">
        <v>5</v>
      </c>
      <c r="E434" s="48">
        <v>45110</v>
      </c>
      <c r="F434" s="47">
        <v>3</v>
      </c>
      <c r="G434" s="48">
        <v>45114</v>
      </c>
      <c r="H434" s="47" t="s">
        <v>3</v>
      </c>
      <c r="I434" s="47" t="s">
        <v>5</v>
      </c>
      <c r="J434" s="47" t="s">
        <v>41</v>
      </c>
      <c r="K434" s="47" t="s">
        <v>41</v>
      </c>
    </row>
    <row r="435" spans="1:11" x14ac:dyDescent="0.25">
      <c r="A435" s="44">
        <v>3610</v>
      </c>
      <c r="B435" s="46">
        <v>45106</v>
      </c>
      <c r="C435" s="45" t="s">
        <v>40</v>
      </c>
      <c r="D435" s="47">
        <v>5</v>
      </c>
      <c r="E435" s="48">
        <v>45110</v>
      </c>
      <c r="F435" s="47">
        <v>9</v>
      </c>
      <c r="G435" s="48">
        <v>45120</v>
      </c>
      <c r="H435" s="47" t="s">
        <v>41</v>
      </c>
      <c r="I435" s="47" t="s">
        <v>5</v>
      </c>
      <c r="J435" s="47" t="s">
        <v>41</v>
      </c>
      <c r="K435" s="47" t="s">
        <v>4</v>
      </c>
    </row>
    <row r="436" spans="1:11" x14ac:dyDescent="0.25">
      <c r="A436" s="44">
        <v>577</v>
      </c>
      <c r="B436" s="46">
        <v>45107</v>
      </c>
      <c r="C436" s="45" t="s">
        <v>40</v>
      </c>
      <c r="D436" s="47">
        <v>5</v>
      </c>
      <c r="E436" s="48">
        <v>45110</v>
      </c>
      <c r="F436" s="47">
        <v>9</v>
      </c>
      <c r="G436" s="48">
        <v>45120</v>
      </c>
      <c r="H436" s="47" t="s">
        <v>41</v>
      </c>
      <c r="I436" s="47" t="s">
        <v>5</v>
      </c>
      <c r="J436" s="47" t="s">
        <v>41</v>
      </c>
      <c r="K436" s="47" t="s">
        <v>41</v>
      </c>
    </row>
    <row r="437" spans="1:11" x14ac:dyDescent="0.25">
      <c r="A437" s="44">
        <v>2804</v>
      </c>
      <c r="B437" s="46">
        <v>45107</v>
      </c>
      <c r="C437" s="45" t="s">
        <v>50</v>
      </c>
      <c r="D437" s="47">
        <v>3</v>
      </c>
      <c r="E437" s="48">
        <v>45109</v>
      </c>
      <c r="F437" s="47">
        <v>3</v>
      </c>
      <c r="G437" s="48">
        <v>45113</v>
      </c>
      <c r="H437" s="47" t="s">
        <v>3</v>
      </c>
      <c r="I437" s="47" t="s">
        <v>41</v>
      </c>
      <c r="J437" s="47" t="s">
        <v>41</v>
      </c>
      <c r="K437" s="47" t="s">
        <v>41</v>
      </c>
    </row>
    <row r="438" spans="1:11" x14ac:dyDescent="0.25">
      <c r="A438" s="44">
        <v>1179</v>
      </c>
      <c r="B438" s="46">
        <v>45108</v>
      </c>
      <c r="C438" s="45" t="s">
        <v>40</v>
      </c>
      <c r="D438" s="47">
        <v>5</v>
      </c>
      <c r="E438" s="48">
        <v>45112</v>
      </c>
      <c r="F438" s="47">
        <v>9</v>
      </c>
      <c r="G438" s="48">
        <v>45122</v>
      </c>
      <c r="H438" s="47" t="s">
        <v>41</v>
      </c>
      <c r="I438" s="47" t="s">
        <v>41</v>
      </c>
      <c r="J438" s="47" t="s">
        <v>1</v>
      </c>
      <c r="K438" s="47" t="s">
        <v>41</v>
      </c>
    </row>
    <row r="439" spans="1:11" x14ac:dyDescent="0.25">
      <c r="A439" s="44">
        <v>2185</v>
      </c>
      <c r="B439" s="46">
        <v>45108</v>
      </c>
      <c r="C439" s="45" t="s">
        <v>66</v>
      </c>
      <c r="D439" s="47">
        <v>5</v>
      </c>
      <c r="E439" s="48">
        <v>45112</v>
      </c>
      <c r="F439" s="47">
        <v>3</v>
      </c>
      <c r="G439" s="48">
        <v>45118</v>
      </c>
      <c r="H439" s="47" t="s">
        <v>3</v>
      </c>
      <c r="I439" s="47" t="s">
        <v>41</v>
      </c>
      <c r="J439" s="47" t="s">
        <v>41</v>
      </c>
      <c r="K439" s="47" t="s">
        <v>41</v>
      </c>
    </row>
    <row r="440" spans="1:11" x14ac:dyDescent="0.25">
      <c r="A440" s="44">
        <v>1039</v>
      </c>
      <c r="B440" s="46">
        <v>45110</v>
      </c>
      <c r="C440" s="45" t="s">
        <v>74</v>
      </c>
      <c r="D440" s="47">
        <v>5</v>
      </c>
      <c r="E440" s="48">
        <v>45115</v>
      </c>
      <c r="F440" s="47">
        <v>8</v>
      </c>
      <c r="G440" s="48">
        <v>45124</v>
      </c>
      <c r="H440" s="47" t="s">
        <v>41</v>
      </c>
      <c r="I440" s="47" t="s">
        <v>41</v>
      </c>
      <c r="J440" s="47" t="s">
        <v>41</v>
      </c>
      <c r="K440" s="47" t="s">
        <v>41</v>
      </c>
    </row>
    <row r="441" spans="1:11" x14ac:dyDescent="0.25">
      <c r="A441" s="44">
        <v>919</v>
      </c>
      <c r="B441" s="46">
        <v>45111</v>
      </c>
      <c r="C441" s="45" t="s">
        <v>50</v>
      </c>
      <c r="D441" s="47">
        <v>5</v>
      </c>
      <c r="E441" s="48">
        <v>45115</v>
      </c>
      <c r="F441" s="47">
        <v>3</v>
      </c>
      <c r="G441" s="48">
        <v>45119</v>
      </c>
      <c r="H441" s="47" t="s">
        <v>41</v>
      </c>
      <c r="I441" s="47" t="s">
        <v>41</v>
      </c>
      <c r="J441" s="47" t="s">
        <v>41</v>
      </c>
      <c r="K441" s="47" t="s">
        <v>4</v>
      </c>
    </row>
    <row r="442" spans="1:11" x14ac:dyDescent="0.25">
      <c r="A442" s="44">
        <v>2117</v>
      </c>
      <c r="B442" s="46">
        <v>45111</v>
      </c>
      <c r="C442" s="45" t="s">
        <v>74</v>
      </c>
      <c r="D442" s="47">
        <v>5</v>
      </c>
      <c r="E442" s="48">
        <v>45115</v>
      </c>
      <c r="F442" s="47">
        <v>8</v>
      </c>
      <c r="G442" s="48">
        <v>45125</v>
      </c>
      <c r="H442" s="47" t="s">
        <v>3</v>
      </c>
      <c r="I442" s="47" t="s">
        <v>41</v>
      </c>
      <c r="J442" s="47" t="s">
        <v>1</v>
      </c>
      <c r="K442" s="47" t="s">
        <v>41</v>
      </c>
    </row>
    <row r="443" spans="1:11" x14ac:dyDescent="0.25">
      <c r="A443" s="44">
        <v>2458</v>
      </c>
      <c r="B443" s="46">
        <v>45111</v>
      </c>
      <c r="C443" s="45" t="s">
        <v>50</v>
      </c>
      <c r="D443" s="47">
        <v>5</v>
      </c>
      <c r="E443" s="48">
        <v>45115</v>
      </c>
      <c r="F443" s="47">
        <v>3</v>
      </c>
      <c r="G443" s="48">
        <v>45119</v>
      </c>
      <c r="H443" s="47" t="s">
        <v>41</v>
      </c>
      <c r="I443" s="47" t="s">
        <v>5</v>
      </c>
      <c r="J443" s="47" t="s">
        <v>41</v>
      </c>
      <c r="K443" s="47" t="s">
        <v>41</v>
      </c>
    </row>
    <row r="444" spans="1:11" x14ac:dyDescent="0.25">
      <c r="A444" s="44">
        <v>2499</v>
      </c>
      <c r="B444" s="46">
        <v>45111</v>
      </c>
      <c r="C444" s="45" t="s">
        <v>77</v>
      </c>
      <c r="D444" s="47">
        <v>5</v>
      </c>
      <c r="E444" s="48">
        <v>45115</v>
      </c>
      <c r="F444" s="47">
        <v>9</v>
      </c>
      <c r="G444" s="48">
        <v>45125</v>
      </c>
      <c r="H444" s="47" t="s">
        <v>41</v>
      </c>
      <c r="I444" s="47" t="s">
        <v>5</v>
      </c>
      <c r="J444" s="47" t="s">
        <v>41</v>
      </c>
      <c r="K444" s="47" t="s">
        <v>41</v>
      </c>
    </row>
    <row r="445" spans="1:11" x14ac:dyDescent="0.25">
      <c r="A445" s="44">
        <v>2742</v>
      </c>
      <c r="B445" s="46">
        <v>45111</v>
      </c>
      <c r="C445" s="45" t="s">
        <v>40</v>
      </c>
      <c r="D445" s="47">
        <v>3</v>
      </c>
      <c r="E445" s="48">
        <v>45113</v>
      </c>
      <c r="F445" s="47">
        <v>9</v>
      </c>
      <c r="G445" s="48">
        <v>45126</v>
      </c>
      <c r="H445" s="47" t="s">
        <v>3</v>
      </c>
      <c r="I445" s="47" t="s">
        <v>5</v>
      </c>
      <c r="J445" s="47" t="s">
        <v>41</v>
      </c>
      <c r="K445" s="47" t="s">
        <v>4</v>
      </c>
    </row>
    <row r="446" spans="1:11" x14ac:dyDescent="0.25">
      <c r="A446" s="44">
        <v>2764</v>
      </c>
      <c r="B446" s="46">
        <v>45111</v>
      </c>
      <c r="C446" s="45" t="s">
        <v>40</v>
      </c>
      <c r="D446" s="47">
        <v>3</v>
      </c>
      <c r="E446" s="48">
        <v>45113</v>
      </c>
      <c r="F446" s="47">
        <v>9</v>
      </c>
      <c r="G446" s="48">
        <v>45123</v>
      </c>
      <c r="H446" s="47" t="s">
        <v>41</v>
      </c>
      <c r="I446" s="47" t="s">
        <v>5</v>
      </c>
      <c r="J446" s="47" t="s">
        <v>41</v>
      </c>
      <c r="K446" s="47" t="s">
        <v>41</v>
      </c>
    </row>
    <row r="447" spans="1:11" x14ac:dyDescent="0.25">
      <c r="A447" s="44">
        <v>3132</v>
      </c>
      <c r="B447" s="46">
        <v>45111</v>
      </c>
      <c r="C447" s="45" t="s">
        <v>50</v>
      </c>
      <c r="D447" s="47">
        <v>5</v>
      </c>
      <c r="E447" s="48">
        <v>45115</v>
      </c>
      <c r="F447" s="47">
        <v>3</v>
      </c>
      <c r="G447" s="48">
        <v>45119</v>
      </c>
      <c r="H447" s="47" t="s">
        <v>3</v>
      </c>
      <c r="I447" s="47" t="s">
        <v>41</v>
      </c>
      <c r="J447" s="47" t="s">
        <v>41</v>
      </c>
      <c r="K447" s="47" t="s">
        <v>41</v>
      </c>
    </row>
    <row r="448" spans="1:11" x14ac:dyDescent="0.25">
      <c r="A448" s="44">
        <v>3610</v>
      </c>
      <c r="B448" s="46">
        <v>45111</v>
      </c>
      <c r="C448" s="45" t="s">
        <v>74</v>
      </c>
      <c r="D448" s="47">
        <v>5</v>
      </c>
      <c r="E448" s="48">
        <v>45115</v>
      </c>
      <c r="F448" s="47">
        <v>8</v>
      </c>
      <c r="G448" s="48">
        <v>45125</v>
      </c>
      <c r="H448" s="47" t="s">
        <v>41</v>
      </c>
      <c r="I448" s="47" t="s">
        <v>41</v>
      </c>
      <c r="J448" s="47" t="s">
        <v>41</v>
      </c>
      <c r="K448" s="47" t="s">
        <v>4</v>
      </c>
    </row>
    <row r="449" spans="1:11" x14ac:dyDescent="0.25">
      <c r="A449" s="44">
        <v>2634</v>
      </c>
      <c r="B449" s="46">
        <v>45112</v>
      </c>
      <c r="C449" s="45" t="s">
        <v>66</v>
      </c>
      <c r="D449" s="47">
        <v>5</v>
      </c>
      <c r="E449" s="48">
        <v>45116</v>
      </c>
      <c r="F449" s="47">
        <v>3</v>
      </c>
      <c r="G449" s="48">
        <v>45120</v>
      </c>
      <c r="H449" s="47" t="s">
        <v>41</v>
      </c>
      <c r="I449" s="47" t="s">
        <v>5</v>
      </c>
      <c r="J449" s="47" t="s">
        <v>41</v>
      </c>
      <c r="K449" s="47" t="s">
        <v>41</v>
      </c>
    </row>
    <row r="450" spans="1:11" x14ac:dyDescent="0.25">
      <c r="A450" s="44">
        <v>3523</v>
      </c>
      <c r="B450" s="46">
        <v>45112</v>
      </c>
      <c r="C450" s="45" t="s">
        <v>66</v>
      </c>
      <c r="D450" s="47">
        <v>5</v>
      </c>
      <c r="E450" s="48">
        <v>45116</v>
      </c>
      <c r="F450" s="47">
        <v>3</v>
      </c>
      <c r="G450" s="48">
        <v>45120</v>
      </c>
      <c r="H450" s="47" t="s">
        <v>3</v>
      </c>
      <c r="I450" s="47" t="s">
        <v>41</v>
      </c>
      <c r="J450" s="47" t="s">
        <v>41</v>
      </c>
      <c r="K450" s="47" t="s">
        <v>41</v>
      </c>
    </row>
    <row r="451" spans="1:11" x14ac:dyDescent="0.25">
      <c r="A451" s="44">
        <v>1167</v>
      </c>
      <c r="B451" s="46">
        <v>45114</v>
      </c>
      <c r="C451" s="45" t="s">
        <v>43</v>
      </c>
      <c r="D451" s="47">
        <v>5</v>
      </c>
      <c r="E451" s="48">
        <v>45118</v>
      </c>
      <c r="F451" s="47">
        <v>3</v>
      </c>
      <c r="G451" s="48">
        <v>45122</v>
      </c>
      <c r="H451" s="47" t="s">
        <v>3</v>
      </c>
      <c r="I451" s="47" t="s">
        <v>5</v>
      </c>
      <c r="J451" s="47" t="s">
        <v>41</v>
      </c>
      <c r="K451" s="47" t="s">
        <v>41</v>
      </c>
    </row>
    <row r="452" spans="1:11" x14ac:dyDescent="0.25">
      <c r="A452" s="44">
        <v>1945</v>
      </c>
      <c r="B452" s="46">
        <v>45114</v>
      </c>
      <c r="C452" s="45" t="s">
        <v>50</v>
      </c>
      <c r="D452" s="47">
        <v>5</v>
      </c>
      <c r="E452" s="48">
        <v>45118</v>
      </c>
      <c r="F452" s="47">
        <v>3</v>
      </c>
      <c r="G452" s="48">
        <v>45122</v>
      </c>
      <c r="H452" s="47" t="s">
        <v>41</v>
      </c>
      <c r="I452" s="47" t="s">
        <v>5</v>
      </c>
      <c r="J452" s="47" t="s">
        <v>41</v>
      </c>
      <c r="K452" s="47" t="s">
        <v>41</v>
      </c>
    </row>
    <row r="453" spans="1:11" x14ac:dyDescent="0.25">
      <c r="A453" s="44">
        <v>2145</v>
      </c>
      <c r="B453" s="46">
        <v>45114</v>
      </c>
      <c r="C453" s="45" t="s">
        <v>43</v>
      </c>
      <c r="D453" s="47">
        <v>5</v>
      </c>
      <c r="E453" s="48">
        <v>45118</v>
      </c>
      <c r="F453" s="47">
        <v>3</v>
      </c>
      <c r="G453" s="48">
        <v>45122</v>
      </c>
      <c r="H453" s="47" t="s">
        <v>3</v>
      </c>
      <c r="I453" s="47" t="s">
        <v>41</v>
      </c>
      <c r="J453" s="47" t="s">
        <v>41</v>
      </c>
      <c r="K453" s="47" t="s">
        <v>41</v>
      </c>
    </row>
    <row r="454" spans="1:11" x14ac:dyDescent="0.25">
      <c r="A454" s="44">
        <v>2560</v>
      </c>
      <c r="B454" s="46">
        <v>45114</v>
      </c>
      <c r="C454" s="45" t="s">
        <v>43</v>
      </c>
      <c r="D454" s="47">
        <v>5</v>
      </c>
      <c r="E454" s="48">
        <v>45118</v>
      </c>
      <c r="F454" s="47">
        <v>3</v>
      </c>
      <c r="G454" s="48">
        <v>45122</v>
      </c>
      <c r="H454" s="47" t="s">
        <v>41</v>
      </c>
      <c r="I454" s="47" t="s">
        <v>5</v>
      </c>
      <c r="J454" s="47" t="s">
        <v>41</v>
      </c>
      <c r="K454" s="47" t="s">
        <v>41</v>
      </c>
    </row>
    <row r="455" spans="1:11" x14ac:dyDescent="0.25">
      <c r="A455" s="44">
        <v>3051</v>
      </c>
      <c r="B455" s="46">
        <v>45114</v>
      </c>
      <c r="C455" s="45" t="s">
        <v>43</v>
      </c>
      <c r="D455" s="47">
        <v>5</v>
      </c>
      <c r="E455" s="48">
        <v>45118</v>
      </c>
      <c r="F455" s="47">
        <v>3</v>
      </c>
      <c r="G455" s="48">
        <v>45122</v>
      </c>
      <c r="H455" s="47" t="s">
        <v>41</v>
      </c>
      <c r="I455" s="47" t="s">
        <v>5</v>
      </c>
      <c r="J455" s="47" t="s">
        <v>41</v>
      </c>
      <c r="K455" s="47" t="s">
        <v>41</v>
      </c>
    </row>
    <row r="456" spans="1:11" x14ac:dyDescent="0.25">
      <c r="A456" s="44">
        <v>3552</v>
      </c>
      <c r="B456" s="46">
        <v>45114</v>
      </c>
      <c r="C456" s="45" t="s">
        <v>40</v>
      </c>
      <c r="D456" s="47">
        <v>5</v>
      </c>
      <c r="E456" s="48">
        <v>45118</v>
      </c>
      <c r="F456" s="47">
        <v>9</v>
      </c>
      <c r="G456" s="48">
        <v>45128</v>
      </c>
      <c r="H456" s="47" t="s">
        <v>41</v>
      </c>
      <c r="I456" s="47" t="s">
        <v>5</v>
      </c>
      <c r="J456" s="47" t="s">
        <v>41</v>
      </c>
      <c r="K456" s="47" t="s">
        <v>41</v>
      </c>
    </row>
    <row r="457" spans="1:11" x14ac:dyDescent="0.25">
      <c r="A457" s="44">
        <v>7161</v>
      </c>
      <c r="B457" s="46">
        <v>45114</v>
      </c>
      <c r="C457" s="45" t="s">
        <v>50</v>
      </c>
      <c r="D457" s="47">
        <v>5</v>
      </c>
      <c r="E457" s="48">
        <v>45118</v>
      </c>
      <c r="F457" s="47">
        <v>3</v>
      </c>
      <c r="G457" s="48">
        <v>45122</v>
      </c>
      <c r="H457" s="47" t="s">
        <v>41</v>
      </c>
      <c r="I457" s="47" t="s">
        <v>5</v>
      </c>
      <c r="J457" s="47" t="s">
        <v>41</v>
      </c>
      <c r="K457" s="47" t="s">
        <v>41</v>
      </c>
    </row>
    <row r="458" spans="1:11" x14ac:dyDescent="0.25">
      <c r="A458" s="44">
        <v>2185</v>
      </c>
      <c r="B458" s="46">
        <v>45116</v>
      </c>
      <c r="C458" s="45" t="s">
        <v>43</v>
      </c>
      <c r="D458" s="47">
        <v>5</v>
      </c>
      <c r="E458" s="48">
        <v>45120</v>
      </c>
      <c r="F458" s="47">
        <v>3</v>
      </c>
      <c r="G458" s="48">
        <v>45123</v>
      </c>
      <c r="H458" s="47" t="s">
        <v>3</v>
      </c>
      <c r="I458" s="47" t="s">
        <v>41</v>
      </c>
      <c r="J458" s="47" t="s">
        <v>41</v>
      </c>
      <c r="K458" s="47" t="s">
        <v>41</v>
      </c>
    </row>
    <row r="459" spans="1:11" x14ac:dyDescent="0.25">
      <c r="A459" s="44">
        <v>2211</v>
      </c>
      <c r="B459" s="46">
        <v>45116</v>
      </c>
      <c r="C459" s="45" t="s">
        <v>40</v>
      </c>
      <c r="D459" s="47">
        <v>5</v>
      </c>
      <c r="E459" s="48">
        <v>45120</v>
      </c>
      <c r="F459" s="47">
        <v>9</v>
      </c>
      <c r="G459" s="48">
        <v>45130</v>
      </c>
      <c r="H459" s="47" t="s">
        <v>41</v>
      </c>
      <c r="I459" s="47" t="s">
        <v>41</v>
      </c>
      <c r="J459" s="47" t="s">
        <v>41</v>
      </c>
      <c r="K459" s="47" t="s">
        <v>4</v>
      </c>
    </row>
    <row r="460" spans="1:11" x14ac:dyDescent="0.25">
      <c r="A460" s="44">
        <v>2790</v>
      </c>
      <c r="B460" s="46">
        <v>45116</v>
      </c>
      <c r="C460" s="45" t="s">
        <v>50</v>
      </c>
      <c r="D460" s="47">
        <v>5</v>
      </c>
      <c r="E460" s="48">
        <v>45120</v>
      </c>
      <c r="F460" s="47">
        <v>3</v>
      </c>
      <c r="G460" s="48">
        <v>45124</v>
      </c>
      <c r="H460" s="47" t="s">
        <v>41</v>
      </c>
      <c r="I460" s="47" t="s">
        <v>5</v>
      </c>
      <c r="J460" s="47" t="s">
        <v>41</v>
      </c>
      <c r="K460" s="47" t="s">
        <v>41</v>
      </c>
    </row>
    <row r="461" spans="1:11" x14ac:dyDescent="0.25">
      <c r="A461" s="44">
        <v>3248</v>
      </c>
      <c r="B461" s="46">
        <v>45116</v>
      </c>
      <c r="C461" s="45" t="s">
        <v>40</v>
      </c>
      <c r="D461" s="47">
        <v>5</v>
      </c>
      <c r="E461" s="48">
        <v>45120</v>
      </c>
      <c r="F461" s="47">
        <v>9</v>
      </c>
      <c r="G461" s="48">
        <v>45130</v>
      </c>
      <c r="H461" s="47" t="s">
        <v>41</v>
      </c>
      <c r="I461" s="47" t="s">
        <v>5</v>
      </c>
      <c r="J461" s="47" t="s">
        <v>41</v>
      </c>
      <c r="K461" s="47" t="s">
        <v>4</v>
      </c>
    </row>
    <row r="462" spans="1:11" x14ac:dyDescent="0.25">
      <c r="A462" s="44">
        <v>1168</v>
      </c>
      <c r="B462" s="46">
        <v>45117</v>
      </c>
      <c r="C462" s="45" t="s">
        <v>40</v>
      </c>
      <c r="D462" s="47">
        <v>5</v>
      </c>
      <c r="E462" s="48">
        <v>45121</v>
      </c>
      <c r="F462" s="47">
        <v>9</v>
      </c>
      <c r="G462" s="48">
        <v>45131</v>
      </c>
      <c r="H462" s="47" t="s">
        <v>3</v>
      </c>
      <c r="I462" s="47" t="s">
        <v>41</v>
      </c>
      <c r="J462" s="47" t="s">
        <v>41</v>
      </c>
      <c r="K462" s="47" t="s">
        <v>41</v>
      </c>
    </row>
    <row r="463" spans="1:11" x14ac:dyDescent="0.25">
      <c r="A463" s="44">
        <v>2580</v>
      </c>
      <c r="B463" s="46">
        <v>45117</v>
      </c>
      <c r="C463" s="45" t="s">
        <v>40</v>
      </c>
      <c r="D463" s="47">
        <v>5</v>
      </c>
      <c r="E463" s="48">
        <v>45121</v>
      </c>
      <c r="F463" s="47">
        <v>9</v>
      </c>
      <c r="G463" s="48">
        <v>45131</v>
      </c>
      <c r="H463" s="47" t="s">
        <v>41</v>
      </c>
      <c r="I463" s="47" t="s">
        <v>41</v>
      </c>
      <c r="J463" s="47" t="s">
        <v>41</v>
      </c>
      <c r="K463" s="47" t="s">
        <v>4</v>
      </c>
    </row>
    <row r="464" spans="1:11" x14ac:dyDescent="0.25">
      <c r="A464" s="44">
        <v>2790</v>
      </c>
      <c r="B464" s="46">
        <v>45117</v>
      </c>
      <c r="C464" s="45" t="s">
        <v>40</v>
      </c>
      <c r="D464" s="47">
        <v>5</v>
      </c>
      <c r="E464" s="48">
        <v>45121</v>
      </c>
      <c r="F464" s="47">
        <v>9</v>
      </c>
      <c r="G464" s="48">
        <v>45131</v>
      </c>
      <c r="H464" s="47" t="s">
        <v>41</v>
      </c>
      <c r="I464" s="47" t="s">
        <v>5</v>
      </c>
      <c r="J464" s="47" t="s">
        <v>41</v>
      </c>
      <c r="K464" s="47" t="s">
        <v>41</v>
      </c>
    </row>
    <row r="465" spans="1:11" x14ac:dyDescent="0.25">
      <c r="A465" s="44">
        <v>1039</v>
      </c>
      <c r="B465" s="46">
        <v>45118</v>
      </c>
      <c r="C465" s="45" t="s">
        <v>74</v>
      </c>
      <c r="D465" s="47">
        <v>5</v>
      </c>
      <c r="E465" s="48">
        <v>45122</v>
      </c>
      <c r="F465" s="47">
        <v>8</v>
      </c>
      <c r="G465" s="48">
        <v>45131</v>
      </c>
      <c r="H465" s="47" t="s">
        <v>41</v>
      </c>
      <c r="I465" s="47" t="s">
        <v>41</v>
      </c>
      <c r="J465" s="47" t="s">
        <v>41</v>
      </c>
      <c r="K465" s="47" t="s">
        <v>4</v>
      </c>
    </row>
    <row r="466" spans="1:11" x14ac:dyDescent="0.25">
      <c r="A466" s="44">
        <v>183</v>
      </c>
      <c r="B466" s="46">
        <v>45120</v>
      </c>
      <c r="C466" s="45" t="s">
        <v>40</v>
      </c>
      <c r="D466" s="47">
        <v>5</v>
      </c>
      <c r="E466" s="48">
        <v>45124</v>
      </c>
      <c r="F466" s="47">
        <v>9</v>
      </c>
      <c r="G466" s="48">
        <v>45134</v>
      </c>
      <c r="H466" s="47" t="s">
        <v>41</v>
      </c>
      <c r="I466" s="47" t="s">
        <v>5</v>
      </c>
      <c r="J466" s="47" t="s">
        <v>41</v>
      </c>
      <c r="K466" s="47" t="s">
        <v>41</v>
      </c>
    </row>
    <row r="467" spans="1:11" x14ac:dyDescent="0.25">
      <c r="A467" s="44">
        <v>2185</v>
      </c>
      <c r="B467" s="46">
        <v>45120</v>
      </c>
      <c r="C467" s="45" t="s">
        <v>40</v>
      </c>
      <c r="D467" s="47">
        <v>5</v>
      </c>
      <c r="E467" s="48">
        <v>45124</v>
      </c>
      <c r="F467" s="47">
        <v>9</v>
      </c>
      <c r="G467" s="48">
        <v>45134</v>
      </c>
      <c r="H467" s="47" t="s">
        <v>3</v>
      </c>
      <c r="I467" s="47" t="s">
        <v>5</v>
      </c>
      <c r="J467" s="47" t="s">
        <v>41</v>
      </c>
      <c r="K467" s="47" t="s">
        <v>41</v>
      </c>
    </row>
    <row r="468" spans="1:11" x14ac:dyDescent="0.25">
      <c r="A468" s="44">
        <v>925</v>
      </c>
      <c r="B468" s="46">
        <v>45121</v>
      </c>
      <c r="C468" s="45" t="s">
        <v>40</v>
      </c>
      <c r="D468" s="47">
        <v>5</v>
      </c>
      <c r="E468" s="48">
        <v>45125</v>
      </c>
      <c r="F468" s="47">
        <v>9</v>
      </c>
      <c r="G468" s="48">
        <v>45135</v>
      </c>
      <c r="H468" s="47" t="s">
        <v>41</v>
      </c>
      <c r="I468" s="47" t="s">
        <v>41</v>
      </c>
      <c r="J468" s="47" t="s">
        <v>1</v>
      </c>
      <c r="K468" s="47" t="s">
        <v>41</v>
      </c>
    </row>
    <row r="469" spans="1:11" x14ac:dyDescent="0.25">
      <c r="A469" s="44">
        <v>1757</v>
      </c>
      <c r="B469" s="46">
        <v>45121</v>
      </c>
      <c r="C469" s="45" t="s">
        <v>40</v>
      </c>
      <c r="D469" s="47">
        <v>5</v>
      </c>
      <c r="E469" s="48">
        <v>45125</v>
      </c>
      <c r="F469" s="47">
        <v>9</v>
      </c>
      <c r="G469" s="48">
        <v>45135</v>
      </c>
      <c r="H469" s="47" t="s">
        <v>41</v>
      </c>
      <c r="I469" s="47" t="s">
        <v>41</v>
      </c>
      <c r="J469" s="47" t="s">
        <v>1</v>
      </c>
      <c r="K469" s="47" t="s">
        <v>4</v>
      </c>
    </row>
    <row r="470" spans="1:11" x14ac:dyDescent="0.25">
      <c r="A470" s="44">
        <v>1977</v>
      </c>
      <c r="B470" s="46">
        <v>45121</v>
      </c>
      <c r="C470" s="45" t="s">
        <v>40</v>
      </c>
      <c r="D470" s="47">
        <v>5</v>
      </c>
      <c r="E470" s="48">
        <v>45125</v>
      </c>
      <c r="F470" s="47">
        <v>9</v>
      </c>
      <c r="G470" s="48">
        <v>45135</v>
      </c>
      <c r="H470" s="47" t="s">
        <v>41</v>
      </c>
      <c r="I470" s="47" t="s">
        <v>5</v>
      </c>
      <c r="J470" s="47" t="s">
        <v>41</v>
      </c>
      <c r="K470" s="47" t="s">
        <v>41</v>
      </c>
    </row>
    <row r="471" spans="1:11" x14ac:dyDescent="0.25">
      <c r="A471" s="44">
        <v>2447</v>
      </c>
      <c r="B471" s="46">
        <v>45122</v>
      </c>
      <c r="C471" s="45" t="s">
        <v>40</v>
      </c>
      <c r="D471" s="47">
        <v>5</v>
      </c>
      <c r="E471" s="48">
        <v>45126</v>
      </c>
      <c r="F471" s="47">
        <v>9</v>
      </c>
      <c r="G471" s="48">
        <v>45136</v>
      </c>
      <c r="H471" s="47" t="s">
        <v>41</v>
      </c>
      <c r="I471" s="47" t="s">
        <v>41</v>
      </c>
      <c r="J471" s="47" t="s">
        <v>1</v>
      </c>
      <c r="K471" s="47" t="s">
        <v>41</v>
      </c>
    </row>
    <row r="472" spans="1:11" x14ac:dyDescent="0.25">
      <c r="A472" s="44">
        <v>2243</v>
      </c>
      <c r="B472" s="46">
        <v>45123</v>
      </c>
      <c r="C472" s="45" t="s">
        <v>40</v>
      </c>
      <c r="D472" s="47">
        <v>5</v>
      </c>
      <c r="E472" s="48">
        <v>45127</v>
      </c>
      <c r="F472" s="47">
        <v>9</v>
      </c>
      <c r="G472" s="48">
        <v>45137</v>
      </c>
      <c r="H472" s="47" t="s">
        <v>41</v>
      </c>
      <c r="I472" s="47" t="s">
        <v>41</v>
      </c>
      <c r="J472" s="47" t="s">
        <v>41</v>
      </c>
      <c r="K472" s="47" t="s">
        <v>4</v>
      </c>
    </row>
    <row r="473" spans="1:11" x14ac:dyDescent="0.25">
      <c r="A473" s="44">
        <v>2245</v>
      </c>
      <c r="B473" s="46">
        <v>45123</v>
      </c>
      <c r="C473" s="45" t="s">
        <v>40</v>
      </c>
      <c r="D473" s="47">
        <v>5</v>
      </c>
      <c r="E473" s="48">
        <v>45127</v>
      </c>
      <c r="F473" s="47">
        <v>9</v>
      </c>
      <c r="G473" s="48">
        <v>45137</v>
      </c>
      <c r="H473" s="47" t="s">
        <v>41</v>
      </c>
      <c r="I473" s="47" t="s">
        <v>41</v>
      </c>
      <c r="J473" s="47" t="s">
        <v>41</v>
      </c>
      <c r="K473" s="47" t="s">
        <v>41</v>
      </c>
    </row>
    <row r="474" spans="1:11" x14ac:dyDescent="0.25">
      <c r="A474" s="44">
        <v>2931</v>
      </c>
      <c r="B474" s="46">
        <v>45123</v>
      </c>
      <c r="C474" s="45" t="s">
        <v>40</v>
      </c>
      <c r="D474" s="47">
        <v>5</v>
      </c>
      <c r="E474" s="48">
        <v>45127</v>
      </c>
      <c r="F474" s="47">
        <v>9</v>
      </c>
      <c r="G474" s="48">
        <v>45137</v>
      </c>
      <c r="H474" s="47" t="s">
        <v>41</v>
      </c>
      <c r="I474" s="47" t="s">
        <v>41</v>
      </c>
      <c r="J474" s="47" t="s">
        <v>1</v>
      </c>
      <c r="K474" s="47" t="s">
        <v>41</v>
      </c>
    </row>
    <row r="475" spans="1:11" x14ac:dyDescent="0.25">
      <c r="A475" s="44">
        <v>3027</v>
      </c>
      <c r="B475" s="46">
        <v>45123</v>
      </c>
      <c r="C475" s="45" t="s">
        <v>40</v>
      </c>
      <c r="D475" s="47">
        <v>5</v>
      </c>
      <c r="E475" s="48">
        <v>45127</v>
      </c>
      <c r="F475" s="47">
        <v>9</v>
      </c>
      <c r="G475" s="48">
        <v>45137</v>
      </c>
      <c r="H475" s="47" t="s">
        <v>41</v>
      </c>
      <c r="I475" s="47" t="s">
        <v>5</v>
      </c>
      <c r="J475" s="47" t="s">
        <v>41</v>
      </c>
      <c r="K475" s="47" t="s">
        <v>41</v>
      </c>
    </row>
    <row r="476" spans="1:11" x14ac:dyDescent="0.25">
      <c r="A476" s="44">
        <v>3288</v>
      </c>
      <c r="B476" s="46">
        <v>45123</v>
      </c>
      <c r="C476" s="45" t="s">
        <v>40</v>
      </c>
      <c r="D476" s="47">
        <v>5</v>
      </c>
      <c r="E476" s="48">
        <v>45127</v>
      </c>
      <c r="F476" s="47">
        <v>9</v>
      </c>
      <c r="G476" s="48">
        <v>45137</v>
      </c>
      <c r="H476" s="47" t="s">
        <v>41</v>
      </c>
      <c r="I476" s="47" t="s">
        <v>41</v>
      </c>
      <c r="J476" s="47" t="s">
        <v>41</v>
      </c>
      <c r="K476" s="47" t="s">
        <v>41</v>
      </c>
    </row>
    <row r="477" spans="1:11" x14ac:dyDescent="0.25">
      <c r="A477" s="44">
        <v>1157</v>
      </c>
      <c r="B477" s="46">
        <v>45124</v>
      </c>
      <c r="C477" s="45" t="s">
        <v>40</v>
      </c>
      <c r="D477" s="47">
        <v>5</v>
      </c>
      <c r="E477" s="48">
        <v>45128</v>
      </c>
      <c r="F477" s="47">
        <v>9</v>
      </c>
      <c r="G477" s="48">
        <v>45138</v>
      </c>
      <c r="H477" s="63" t="s">
        <v>41</v>
      </c>
      <c r="I477" s="47" t="s">
        <v>5</v>
      </c>
      <c r="J477" s="63" t="s">
        <v>41</v>
      </c>
      <c r="K477" s="63" t="s">
        <v>41</v>
      </c>
    </row>
    <row r="478" spans="1:11" x14ac:dyDescent="0.25">
      <c r="A478" s="44">
        <v>1962</v>
      </c>
      <c r="B478" s="46">
        <v>45124</v>
      </c>
      <c r="C478" s="45" t="s">
        <v>78</v>
      </c>
      <c r="D478" s="47">
        <v>8</v>
      </c>
      <c r="E478" s="48">
        <v>45131</v>
      </c>
      <c r="F478" s="47">
        <v>3</v>
      </c>
      <c r="G478" s="48">
        <v>45134</v>
      </c>
      <c r="H478" s="63" t="s">
        <v>41</v>
      </c>
      <c r="I478" s="47" t="s">
        <v>5</v>
      </c>
      <c r="J478" s="63" t="s">
        <v>41</v>
      </c>
      <c r="K478" s="63" t="s">
        <v>41</v>
      </c>
    </row>
    <row r="479" spans="1:11" x14ac:dyDescent="0.25">
      <c r="A479" s="44">
        <v>2218</v>
      </c>
      <c r="B479" s="46">
        <v>45124</v>
      </c>
      <c r="C479" s="45" t="s">
        <v>40</v>
      </c>
      <c r="D479" s="47">
        <v>5</v>
      </c>
      <c r="E479" s="48">
        <v>45128</v>
      </c>
      <c r="F479" s="47">
        <v>9</v>
      </c>
      <c r="G479" s="48">
        <v>45138</v>
      </c>
      <c r="H479" s="63" t="s">
        <v>41</v>
      </c>
      <c r="I479" s="63" t="s">
        <v>41</v>
      </c>
      <c r="J479" s="63" t="s">
        <v>41</v>
      </c>
      <c r="K479" s="47" t="s">
        <v>4</v>
      </c>
    </row>
    <row r="480" spans="1:11" x14ac:dyDescent="0.25">
      <c r="A480" s="44">
        <v>2914</v>
      </c>
      <c r="B480" s="46">
        <v>45124</v>
      </c>
      <c r="C480" s="45" t="s">
        <v>50</v>
      </c>
      <c r="D480" s="47">
        <v>8</v>
      </c>
      <c r="E480" s="48">
        <v>45131</v>
      </c>
      <c r="F480" s="47">
        <v>3</v>
      </c>
      <c r="G480" s="48">
        <v>45134</v>
      </c>
      <c r="H480" s="63" t="s">
        <v>41</v>
      </c>
      <c r="I480" s="47" t="s">
        <v>5</v>
      </c>
      <c r="J480" s="63" t="s">
        <v>41</v>
      </c>
      <c r="K480" s="63" t="s">
        <v>41</v>
      </c>
    </row>
    <row r="481" spans="1:11" x14ac:dyDescent="0.25">
      <c r="A481" s="44">
        <v>1462</v>
      </c>
      <c r="B481" s="46">
        <v>45125</v>
      </c>
      <c r="C481" s="45" t="s">
        <v>40</v>
      </c>
      <c r="D481" s="47">
        <v>5</v>
      </c>
      <c r="E481" s="48">
        <v>45129</v>
      </c>
      <c r="F481" s="47">
        <v>9</v>
      </c>
      <c r="G481" s="48">
        <v>45139</v>
      </c>
      <c r="H481" s="63" t="s">
        <v>41</v>
      </c>
      <c r="I481" s="47" t="s">
        <v>5</v>
      </c>
      <c r="J481" s="63" t="s">
        <v>41</v>
      </c>
      <c r="K481" s="63" t="s">
        <v>41</v>
      </c>
    </row>
    <row r="482" spans="1:11" x14ac:dyDescent="0.25">
      <c r="A482" s="44">
        <v>1514</v>
      </c>
      <c r="B482" s="46">
        <v>45125</v>
      </c>
      <c r="C482" s="45" t="s">
        <v>40</v>
      </c>
      <c r="D482" s="47">
        <v>5</v>
      </c>
      <c r="E482" s="48">
        <v>45129</v>
      </c>
      <c r="F482" s="47">
        <v>9</v>
      </c>
      <c r="G482" s="48">
        <v>45139</v>
      </c>
      <c r="H482" s="63" t="s">
        <v>41</v>
      </c>
      <c r="I482" s="63" t="s">
        <v>41</v>
      </c>
      <c r="J482" s="47" t="s">
        <v>1</v>
      </c>
      <c r="K482" s="63" t="s">
        <v>41</v>
      </c>
    </row>
    <row r="483" spans="1:11" x14ac:dyDescent="0.25">
      <c r="A483" s="44">
        <v>2185</v>
      </c>
      <c r="B483" s="46">
        <v>45125</v>
      </c>
      <c r="C483" s="45" t="s">
        <v>40</v>
      </c>
      <c r="D483" s="47">
        <v>5</v>
      </c>
      <c r="E483" s="48">
        <v>45129</v>
      </c>
      <c r="F483" s="47">
        <v>9</v>
      </c>
      <c r="G483" s="48">
        <v>45139</v>
      </c>
      <c r="H483" s="63" t="s">
        <v>41</v>
      </c>
      <c r="I483" s="47" t="s">
        <v>5</v>
      </c>
      <c r="J483" s="63" t="s">
        <v>41</v>
      </c>
      <c r="K483" s="63" t="s">
        <v>41</v>
      </c>
    </row>
    <row r="484" spans="1:11" x14ac:dyDescent="0.25">
      <c r="A484" s="44">
        <v>3327</v>
      </c>
      <c r="B484" s="46">
        <v>45125</v>
      </c>
      <c r="C484" s="45" t="s">
        <v>67</v>
      </c>
      <c r="D484" s="47">
        <v>5</v>
      </c>
      <c r="E484" s="48">
        <v>45129</v>
      </c>
      <c r="F484" s="47">
        <v>3</v>
      </c>
      <c r="G484" s="48">
        <v>45164</v>
      </c>
      <c r="H484" s="63" t="s">
        <v>41</v>
      </c>
      <c r="I484" s="63" t="s">
        <v>41</v>
      </c>
      <c r="J484" s="63" t="s">
        <v>41</v>
      </c>
      <c r="K484" s="47" t="s">
        <v>4</v>
      </c>
    </row>
    <row r="485" spans="1:11" x14ac:dyDescent="0.25">
      <c r="A485" s="44">
        <v>2901</v>
      </c>
      <c r="B485" s="46">
        <v>45126</v>
      </c>
      <c r="C485" s="45" t="s">
        <v>40</v>
      </c>
      <c r="D485" s="47">
        <v>5</v>
      </c>
      <c r="E485" s="48">
        <v>45130</v>
      </c>
      <c r="F485" s="47">
        <v>9</v>
      </c>
      <c r="G485" s="48">
        <v>45140</v>
      </c>
      <c r="H485" s="63" t="s">
        <v>41</v>
      </c>
      <c r="I485" s="47" t="s">
        <v>5</v>
      </c>
      <c r="J485" s="63" t="s">
        <v>41</v>
      </c>
      <c r="K485" s="63" t="s">
        <v>41</v>
      </c>
    </row>
    <row r="486" spans="1:11" x14ac:dyDescent="0.25">
      <c r="A486" s="44">
        <v>114</v>
      </c>
      <c r="B486" s="46">
        <v>45127</v>
      </c>
      <c r="C486" s="45" t="s">
        <v>40</v>
      </c>
      <c r="D486" s="47">
        <v>5</v>
      </c>
      <c r="E486" s="48">
        <v>45131</v>
      </c>
      <c r="F486" s="47">
        <v>9</v>
      </c>
      <c r="G486" s="48">
        <v>45141</v>
      </c>
      <c r="H486" s="63" t="s">
        <v>41</v>
      </c>
      <c r="I486" s="47" t="s">
        <v>5</v>
      </c>
      <c r="J486" s="63" t="s">
        <v>41</v>
      </c>
      <c r="K486" s="63" t="s">
        <v>41</v>
      </c>
    </row>
    <row r="487" spans="1:11" x14ac:dyDescent="0.25">
      <c r="A487" s="44">
        <v>834</v>
      </c>
      <c r="B487" s="46">
        <v>45127</v>
      </c>
      <c r="C487" s="45" t="s">
        <v>79</v>
      </c>
      <c r="D487" s="47">
        <v>5</v>
      </c>
      <c r="E487" s="48">
        <v>45131</v>
      </c>
      <c r="F487" s="47">
        <v>5</v>
      </c>
      <c r="G487" s="48">
        <v>45136</v>
      </c>
      <c r="H487" s="63" t="s">
        <v>41</v>
      </c>
      <c r="I487" s="47" t="s">
        <v>5</v>
      </c>
      <c r="J487" s="63" t="s">
        <v>41</v>
      </c>
      <c r="K487" s="47" t="s">
        <v>4</v>
      </c>
    </row>
    <row r="488" spans="1:11" x14ac:dyDescent="0.25">
      <c r="A488" s="44">
        <v>2190</v>
      </c>
      <c r="B488" s="46">
        <v>45127</v>
      </c>
      <c r="C488" s="45" t="s">
        <v>79</v>
      </c>
      <c r="D488" s="47">
        <v>5</v>
      </c>
      <c r="E488" s="48">
        <v>45131</v>
      </c>
      <c r="F488" s="47">
        <v>5</v>
      </c>
      <c r="G488" s="48">
        <v>45136</v>
      </c>
      <c r="H488" s="63" t="s">
        <v>41</v>
      </c>
      <c r="I488" s="47" t="s">
        <v>5</v>
      </c>
      <c r="J488" s="63" t="s">
        <v>41</v>
      </c>
      <c r="K488" s="63" t="s">
        <v>41</v>
      </c>
    </row>
    <row r="489" spans="1:11" x14ac:dyDescent="0.25">
      <c r="A489" s="44">
        <v>2310</v>
      </c>
      <c r="B489" s="46">
        <v>45127</v>
      </c>
      <c r="C489" s="45" t="s">
        <v>79</v>
      </c>
      <c r="D489" s="47">
        <v>5</v>
      </c>
      <c r="E489" s="48">
        <v>45131</v>
      </c>
      <c r="F489" s="47">
        <v>5</v>
      </c>
      <c r="G489" s="48">
        <v>45136</v>
      </c>
      <c r="H489" s="63" t="s">
        <v>41</v>
      </c>
      <c r="I489" s="47" t="s">
        <v>5</v>
      </c>
      <c r="J489" s="63" t="s">
        <v>41</v>
      </c>
      <c r="K489" s="47" t="s">
        <v>4</v>
      </c>
    </row>
    <row r="490" spans="1:11" x14ac:dyDescent="0.25">
      <c r="A490" s="44">
        <v>2568</v>
      </c>
      <c r="B490" s="46">
        <v>45127</v>
      </c>
      <c r="C490" s="45" t="s">
        <v>79</v>
      </c>
      <c r="D490" s="47">
        <v>5</v>
      </c>
      <c r="E490" s="48">
        <v>45135</v>
      </c>
      <c r="F490" s="47">
        <v>5</v>
      </c>
      <c r="G490" s="48">
        <v>45136</v>
      </c>
      <c r="H490" s="63" t="s">
        <v>41</v>
      </c>
      <c r="I490" s="63" t="s">
        <v>41</v>
      </c>
      <c r="J490" s="47" t="s">
        <v>1</v>
      </c>
      <c r="K490" s="63" t="s">
        <v>41</v>
      </c>
    </row>
    <row r="491" spans="1:11" x14ac:dyDescent="0.25">
      <c r="A491" s="44">
        <v>75</v>
      </c>
      <c r="B491" s="46">
        <v>45128</v>
      </c>
      <c r="C491" s="45" t="s">
        <v>77</v>
      </c>
      <c r="D491" s="47">
        <v>5</v>
      </c>
      <c r="E491" s="48">
        <v>45132</v>
      </c>
      <c r="F491" s="47">
        <v>9</v>
      </c>
      <c r="G491" s="48">
        <v>45142</v>
      </c>
      <c r="H491" s="63" t="s">
        <v>41</v>
      </c>
      <c r="I491" s="63" t="s">
        <v>41</v>
      </c>
      <c r="J491" s="47" t="s">
        <v>1</v>
      </c>
      <c r="K491" s="63" t="s">
        <v>41</v>
      </c>
    </row>
    <row r="492" spans="1:11" x14ac:dyDescent="0.25">
      <c r="A492" s="44">
        <v>96</v>
      </c>
      <c r="B492" s="46">
        <v>45128</v>
      </c>
      <c r="C492" s="45" t="s">
        <v>79</v>
      </c>
      <c r="D492" s="47">
        <v>5</v>
      </c>
      <c r="E492" s="48">
        <v>45132</v>
      </c>
      <c r="F492" s="47">
        <v>5</v>
      </c>
      <c r="G492" s="48">
        <v>45137</v>
      </c>
      <c r="H492" s="63" t="s">
        <v>41</v>
      </c>
      <c r="I492" s="47" t="s">
        <v>5</v>
      </c>
      <c r="J492" s="63" t="s">
        <v>41</v>
      </c>
      <c r="K492" s="63" t="s">
        <v>41</v>
      </c>
    </row>
    <row r="493" spans="1:11" x14ac:dyDescent="0.25">
      <c r="A493" s="44">
        <v>859</v>
      </c>
      <c r="B493" s="46">
        <v>45128</v>
      </c>
      <c r="C493" s="45" t="s">
        <v>48</v>
      </c>
      <c r="D493" s="47">
        <v>5</v>
      </c>
      <c r="E493" s="48">
        <v>45132</v>
      </c>
      <c r="F493" s="47">
        <v>9</v>
      </c>
      <c r="G493" s="48">
        <v>45142</v>
      </c>
      <c r="H493" s="47" t="s">
        <v>3</v>
      </c>
      <c r="I493" s="63" t="s">
        <v>41</v>
      </c>
      <c r="J493" s="63" t="s">
        <v>41</v>
      </c>
      <c r="K493" s="63" t="s">
        <v>41</v>
      </c>
    </row>
    <row r="494" spans="1:11" x14ac:dyDescent="0.25">
      <c r="A494" s="44">
        <v>1976</v>
      </c>
      <c r="B494" s="46">
        <v>45128</v>
      </c>
      <c r="C494" s="45" t="s">
        <v>40</v>
      </c>
      <c r="D494" s="47">
        <v>5</v>
      </c>
      <c r="E494" s="48">
        <v>45132</v>
      </c>
      <c r="F494" s="47">
        <v>9</v>
      </c>
      <c r="G494" s="48">
        <v>45142</v>
      </c>
      <c r="H494" s="63" t="s">
        <v>41</v>
      </c>
      <c r="I494" s="63" t="s">
        <v>41</v>
      </c>
      <c r="J494" s="63" t="s">
        <v>41</v>
      </c>
      <c r="K494" s="47" t="s">
        <v>4</v>
      </c>
    </row>
    <row r="495" spans="1:11" x14ac:dyDescent="0.25">
      <c r="A495" s="44">
        <v>3480</v>
      </c>
      <c r="B495" s="46">
        <v>45128</v>
      </c>
      <c r="C495" s="45" t="s">
        <v>79</v>
      </c>
      <c r="D495" s="47">
        <v>5</v>
      </c>
      <c r="E495" s="48">
        <v>45132</v>
      </c>
      <c r="F495" s="47">
        <v>5</v>
      </c>
      <c r="G495" s="48">
        <v>45137</v>
      </c>
      <c r="H495" s="47" t="s">
        <v>3</v>
      </c>
      <c r="I495" s="63" t="s">
        <v>41</v>
      </c>
      <c r="J495" s="47" t="s">
        <v>1</v>
      </c>
      <c r="K495" s="63" t="s">
        <v>41</v>
      </c>
    </row>
    <row r="496" spans="1:11" x14ac:dyDescent="0.25">
      <c r="A496" s="44">
        <v>1784</v>
      </c>
      <c r="B496" s="46">
        <v>45129</v>
      </c>
      <c r="C496" s="45" t="s">
        <v>48</v>
      </c>
      <c r="D496" s="47">
        <v>5</v>
      </c>
      <c r="E496" s="48">
        <v>45133</v>
      </c>
      <c r="F496" s="47">
        <v>9</v>
      </c>
      <c r="G496" s="48">
        <v>45144</v>
      </c>
      <c r="H496" s="63" t="s">
        <v>41</v>
      </c>
      <c r="I496" s="63" t="s">
        <v>41</v>
      </c>
      <c r="J496" s="63" t="s">
        <v>41</v>
      </c>
      <c r="K496" s="47" t="s">
        <v>4</v>
      </c>
    </row>
    <row r="497" spans="1:11" x14ac:dyDescent="0.25">
      <c r="A497" s="44">
        <v>2224</v>
      </c>
      <c r="B497" s="46">
        <v>45129</v>
      </c>
      <c r="C497" s="45" t="s">
        <v>50</v>
      </c>
      <c r="D497" s="47">
        <v>5</v>
      </c>
      <c r="E497" s="48">
        <v>45133</v>
      </c>
      <c r="F497" s="47">
        <v>3</v>
      </c>
      <c r="G497" s="48">
        <v>45137</v>
      </c>
      <c r="H497" s="63" t="s">
        <v>41</v>
      </c>
      <c r="I497" s="47" t="s">
        <v>5</v>
      </c>
      <c r="J497" s="63" t="s">
        <v>41</v>
      </c>
      <c r="K497" s="63" t="s">
        <v>41</v>
      </c>
    </row>
    <row r="498" spans="1:11" x14ac:dyDescent="0.25">
      <c r="A498" s="44">
        <v>2580</v>
      </c>
      <c r="B498" s="46">
        <v>45130</v>
      </c>
      <c r="C498" s="45" t="s">
        <v>48</v>
      </c>
      <c r="D498" s="47">
        <v>5</v>
      </c>
      <c r="E498" s="48">
        <v>45133</v>
      </c>
      <c r="F498" s="47">
        <v>9</v>
      </c>
      <c r="G498" s="48">
        <v>45143</v>
      </c>
      <c r="H498" s="63" t="s">
        <v>41</v>
      </c>
      <c r="I498" s="63" t="s">
        <v>41</v>
      </c>
      <c r="J498" s="63" t="s">
        <v>41</v>
      </c>
      <c r="K498" s="63" t="s">
        <v>41</v>
      </c>
    </row>
    <row r="499" spans="1:11" x14ac:dyDescent="0.25">
      <c r="A499" s="44">
        <v>2764</v>
      </c>
      <c r="B499" s="46">
        <v>45130</v>
      </c>
      <c r="C499" s="45" t="s">
        <v>48</v>
      </c>
      <c r="D499" s="47">
        <v>5</v>
      </c>
      <c r="E499" s="48">
        <v>45134</v>
      </c>
      <c r="F499" s="47">
        <v>9</v>
      </c>
      <c r="G499" s="48">
        <v>45144</v>
      </c>
      <c r="H499" s="47" t="s">
        <v>3</v>
      </c>
      <c r="I499" s="63" t="s">
        <v>41</v>
      </c>
      <c r="J499" s="63" t="s">
        <v>41</v>
      </c>
      <c r="K499" s="63" t="s">
        <v>41</v>
      </c>
    </row>
    <row r="500" spans="1:11" x14ac:dyDescent="0.25">
      <c r="A500" s="44">
        <v>3231</v>
      </c>
      <c r="B500" s="46">
        <v>45130</v>
      </c>
      <c r="C500" s="45" t="s">
        <v>77</v>
      </c>
      <c r="D500" s="47">
        <v>1</v>
      </c>
      <c r="E500" s="48">
        <v>45130</v>
      </c>
      <c r="F500" s="47">
        <v>9</v>
      </c>
      <c r="G500" s="48">
        <v>45140</v>
      </c>
      <c r="H500" s="63" t="s">
        <v>41</v>
      </c>
      <c r="I500" s="47" t="s">
        <v>5</v>
      </c>
      <c r="J500" s="63" t="s">
        <v>41</v>
      </c>
      <c r="K500" s="63" t="s">
        <v>41</v>
      </c>
    </row>
    <row r="501" spans="1:11" x14ac:dyDescent="0.25">
      <c r="A501" s="44">
        <v>2463</v>
      </c>
      <c r="B501" s="46">
        <v>45131</v>
      </c>
      <c r="C501" s="45" t="s">
        <v>48</v>
      </c>
      <c r="D501" s="47">
        <v>5</v>
      </c>
      <c r="E501" s="48">
        <v>45135</v>
      </c>
      <c r="F501" s="47">
        <v>9</v>
      </c>
      <c r="G501" s="48">
        <v>45145</v>
      </c>
      <c r="H501" s="47" t="s">
        <v>3</v>
      </c>
      <c r="I501" s="63" t="s">
        <v>41</v>
      </c>
      <c r="J501" s="63" t="s">
        <v>41</v>
      </c>
      <c r="K501" s="47" t="s">
        <v>4</v>
      </c>
    </row>
    <row r="502" spans="1:11" x14ac:dyDescent="0.25">
      <c r="A502" s="44">
        <v>2185</v>
      </c>
      <c r="B502" s="46">
        <v>45133</v>
      </c>
      <c r="C502" s="45" t="s">
        <v>43</v>
      </c>
      <c r="D502" s="47">
        <v>5</v>
      </c>
      <c r="E502" s="48">
        <v>45137</v>
      </c>
      <c r="F502" s="47">
        <v>9</v>
      </c>
      <c r="G502" s="48">
        <v>45142</v>
      </c>
      <c r="H502" s="47" t="s">
        <v>3</v>
      </c>
      <c r="I502" s="63" t="s">
        <v>41</v>
      </c>
      <c r="J502" s="63" t="s">
        <v>41</v>
      </c>
      <c r="K502" s="63" t="s">
        <v>41</v>
      </c>
    </row>
    <row r="503" spans="1:11" x14ac:dyDescent="0.25">
      <c r="A503" s="44">
        <v>2588</v>
      </c>
      <c r="B503" s="46">
        <v>45133</v>
      </c>
      <c r="C503" s="45" t="s">
        <v>48</v>
      </c>
      <c r="D503" s="47">
        <v>5</v>
      </c>
      <c r="E503" s="48">
        <v>45137</v>
      </c>
      <c r="F503" s="47">
        <v>9</v>
      </c>
      <c r="G503" s="48">
        <v>45147</v>
      </c>
      <c r="H503" s="63" t="s">
        <v>41</v>
      </c>
      <c r="I503" s="63" t="s">
        <v>41</v>
      </c>
      <c r="J503" s="47" t="s">
        <v>1</v>
      </c>
      <c r="K503" s="63" t="s">
        <v>41</v>
      </c>
    </row>
    <row r="504" spans="1:11" x14ac:dyDescent="0.25">
      <c r="A504" s="44">
        <v>244</v>
      </c>
      <c r="B504" s="46">
        <v>45134</v>
      </c>
      <c r="C504" s="45" t="s">
        <v>48</v>
      </c>
      <c r="D504" s="47">
        <v>5</v>
      </c>
      <c r="E504" s="48">
        <v>45138</v>
      </c>
      <c r="F504" s="47">
        <v>9</v>
      </c>
      <c r="G504" s="48">
        <v>45148</v>
      </c>
      <c r="H504" s="63" t="s">
        <v>41</v>
      </c>
      <c r="I504" s="63" t="s">
        <v>41</v>
      </c>
      <c r="J504" s="47" t="s">
        <v>1</v>
      </c>
      <c r="K504" s="63" t="s">
        <v>41</v>
      </c>
    </row>
    <row r="505" spans="1:11" x14ac:dyDescent="0.25">
      <c r="A505" s="44">
        <v>2440</v>
      </c>
      <c r="B505" s="46">
        <v>45134</v>
      </c>
      <c r="C505" s="45" t="s">
        <v>79</v>
      </c>
      <c r="D505" s="47">
        <v>5</v>
      </c>
      <c r="E505" s="48">
        <v>45138</v>
      </c>
      <c r="F505" s="47">
        <v>5</v>
      </c>
      <c r="G505" s="48">
        <v>45144</v>
      </c>
      <c r="H505" s="63" t="s">
        <v>41</v>
      </c>
      <c r="I505" s="63" t="s">
        <v>41</v>
      </c>
      <c r="J505" s="63" t="s">
        <v>41</v>
      </c>
      <c r="K505" s="47" t="s">
        <v>4</v>
      </c>
    </row>
    <row r="506" spans="1:11" x14ac:dyDescent="0.25">
      <c r="A506" s="44">
        <v>2553</v>
      </c>
      <c r="B506" s="46">
        <v>45134</v>
      </c>
      <c r="C506" s="45" t="s">
        <v>48</v>
      </c>
      <c r="D506" s="47">
        <v>5</v>
      </c>
      <c r="E506" s="48">
        <v>45138</v>
      </c>
      <c r="F506" s="47">
        <v>9</v>
      </c>
      <c r="G506" s="48">
        <v>45148</v>
      </c>
      <c r="H506" s="63" t="s">
        <v>41</v>
      </c>
      <c r="I506" s="63" t="s">
        <v>41</v>
      </c>
      <c r="J506" s="63" t="s">
        <v>41</v>
      </c>
      <c r="K506" s="47" t="s">
        <v>4</v>
      </c>
    </row>
    <row r="507" spans="1:11" x14ac:dyDescent="0.25">
      <c r="A507" s="44">
        <v>919</v>
      </c>
      <c r="B507" s="46">
        <v>45135</v>
      </c>
      <c r="C507" s="45" t="s">
        <v>79</v>
      </c>
      <c r="D507" s="47">
        <v>5</v>
      </c>
      <c r="E507" s="48">
        <v>45139</v>
      </c>
      <c r="F507" s="47">
        <v>5</v>
      </c>
      <c r="G507" s="48">
        <v>45144</v>
      </c>
      <c r="H507" s="63" t="s">
        <v>41</v>
      </c>
      <c r="I507" s="63" t="s">
        <v>41</v>
      </c>
      <c r="J507" s="63" t="s">
        <v>41</v>
      </c>
      <c r="K507" s="47" t="s">
        <v>4</v>
      </c>
    </row>
    <row r="508" spans="1:11" x14ac:dyDescent="0.25">
      <c r="A508" s="44">
        <v>2699</v>
      </c>
      <c r="B508" s="46">
        <v>45135</v>
      </c>
      <c r="C508" s="45" t="s">
        <v>79</v>
      </c>
      <c r="D508" s="47">
        <v>5</v>
      </c>
      <c r="E508" s="48">
        <v>45139</v>
      </c>
      <c r="F508" s="47">
        <v>5</v>
      </c>
      <c r="G508" s="48">
        <v>45145</v>
      </c>
      <c r="H508" s="47" t="s">
        <v>3</v>
      </c>
      <c r="I508" s="63" t="s">
        <v>41</v>
      </c>
      <c r="J508" s="63" t="s">
        <v>41</v>
      </c>
      <c r="K508" s="63" t="s">
        <v>41</v>
      </c>
    </row>
    <row r="509" spans="1:11" x14ac:dyDescent="0.25">
      <c r="A509" s="44">
        <v>2246</v>
      </c>
      <c r="B509" s="46">
        <v>45136</v>
      </c>
      <c r="C509" s="45" t="s">
        <v>48</v>
      </c>
      <c r="D509" s="47">
        <v>5</v>
      </c>
      <c r="E509" s="48">
        <v>45140</v>
      </c>
      <c r="F509" s="47">
        <v>9</v>
      </c>
      <c r="G509" s="48">
        <v>45150</v>
      </c>
      <c r="H509" s="47" t="s">
        <v>3</v>
      </c>
      <c r="I509" s="63" t="s">
        <v>41</v>
      </c>
      <c r="J509" s="63" t="s">
        <v>41</v>
      </c>
      <c r="K509" s="63" t="s">
        <v>41</v>
      </c>
    </row>
    <row r="510" spans="1:11" x14ac:dyDescent="0.25">
      <c r="A510" s="44">
        <v>2620</v>
      </c>
      <c r="B510" s="46">
        <v>45136</v>
      </c>
      <c r="C510" s="45" t="s">
        <v>48</v>
      </c>
      <c r="D510" s="47">
        <v>5</v>
      </c>
      <c r="E510" s="48">
        <v>45140</v>
      </c>
      <c r="F510" s="47">
        <v>9</v>
      </c>
      <c r="G510" s="48">
        <v>45150</v>
      </c>
      <c r="H510" s="63" t="s">
        <v>41</v>
      </c>
      <c r="I510" s="63" t="s">
        <v>41</v>
      </c>
      <c r="J510" s="47" t="s">
        <v>1</v>
      </c>
      <c r="K510" s="63" t="s">
        <v>41</v>
      </c>
    </row>
    <row r="511" spans="1:11" x14ac:dyDescent="0.25">
      <c r="A511" s="44">
        <v>3305</v>
      </c>
      <c r="B511" s="46">
        <v>45136</v>
      </c>
      <c r="C511" s="45" t="s">
        <v>48</v>
      </c>
      <c r="D511" s="47">
        <v>5</v>
      </c>
      <c r="E511" s="48">
        <v>45140</v>
      </c>
      <c r="F511" s="47">
        <v>9</v>
      </c>
      <c r="G511" s="48">
        <v>45150</v>
      </c>
      <c r="H511" s="63" t="s">
        <v>41</v>
      </c>
      <c r="I511" s="63" t="s">
        <v>41</v>
      </c>
      <c r="J511" s="47" t="s">
        <v>1</v>
      </c>
      <c r="K511" s="63" t="s">
        <v>41</v>
      </c>
    </row>
    <row r="512" spans="1:11" x14ac:dyDescent="0.25">
      <c r="A512" s="44">
        <v>2172</v>
      </c>
      <c r="B512" s="46">
        <v>45137</v>
      </c>
      <c r="C512" s="45" t="s">
        <v>48</v>
      </c>
      <c r="D512" s="47">
        <v>5</v>
      </c>
      <c r="E512" s="48">
        <v>45141</v>
      </c>
      <c r="F512" s="47">
        <v>9</v>
      </c>
      <c r="G512" s="48">
        <v>45151</v>
      </c>
      <c r="H512" s="63" t="s">
        <v>41</v>
      </c>
      <c r="I512" s="63" t="s">
        <v>41</v>
      </c>
      <c r="J512" s="47" t="s">
        <v>1</v>
      </c>
      <c r="K512" s="63" t="s">
        <v>41</v>
      </c>
    </row>
    <row r="513" spans="1:11" x14ac:dyDescent="0.25">
      <c r="A513" s="44">
        <v>2560</v>
      </c>
      <c r="B513" s="46">
        <v>45137</v>
      </c>
      <c r="C513" s="45" t="s">
        <v>48</v>
      </c>
      <c r="D513" s="47">
        <v>5</v>
      </c>
      <c r="E513" s="48">
        <v>45141</v>
      </c>
      <c r="F513" s="47">
        <v>9</v>
      </c>
      <c r="G513" s="48">
        <v>45151</v>
      </c>
      <c r="H513" s="63" t="s">
        <v>41</v>
      </c>
      <c r="I513" s="47" t="s">
        <v>5</v>
      </c>
      <c r="J513" s="63" t="s">
        <v>41</v>
      </c>
      <c r="K513" s="63" t="s">
        <v>41</v>
      </c>
    </row>
    <row r="514" spans="1:11" x14ac:dyDescent="0.25">
      <c r="A514" s="44">
        <v>2543</v>
      </c>
      <c r="B514" s="46">
        <v>45138</v>
      </c>
      <c r="C514" s="45" t="s">
        <v>79</v>
      </c>
      <c r="D514" s="47">
        <v>5</v>
      </c>
      <c r="E514" s="48">
        <v>45142</v>
      </c>
      <c r="F514" s="47">
        <v>5</v>
      </c>
      <c r="G514" s="48">
        <v>45148</v>
      </c>
      <c r="H514" s="63" t="s">
        <v>41</v>
      </c>
      <c r="I514" s="63" t="s">
        <v>41</v>
      </c>
      <c r="J514" s="47" t="s">
        <v>1</v>
      </c>
      <c r="K514" s="47" t="s">
        <v>41</v>
      </c>
    </row>
    <row r="515" spans="1:11" x14ac:dyDescent="0.25">
      <c r="A515" s="44">
        <v>3221</v>
      </c>
      <c r="B515" s="46">
        <v>45138</v>
      </c>
      <c r="C515" s="45" t="s">
        <v>48</v>
      </c>
      <c r="D515" s="47">
        <v>5</v>
      </c>
      <c r="E515" s="48">
        <v>45142</v>
      </c>
      <c r="F515" s="47">
        <v>9</v>
      </c>
      <c r="G515" s="48">
        <v>45152</v>
      </c>
      <c r="H515" s="63" t="s">
        <v>41</v>
      </c>
      <c r="I515" s="47" t="s">
        <v>5</v>
      </c>
      <c r="J515" s="63" t="s">
        <v>41</v>
      </c>
      <c r="K515" s="47" t="s">
        <v>41</v>
      </c>
    </row>
    <row r="516" spans="1:11" x14ac:dyDescent="0.25">
      <c r="A516" s="44">
        <v>3390</v>
      </c>
      <c r="B516" s="46">
        <v>45138</v>
      </c>
      <c r="C516" s="45" t="s">
        <v>48</v>
      </c>
      <c r="D516" s="47">
        <v>5</v>
      </c>
      <c r="E516" s="48">
        <v>45142</v>
      </c>
      <c r="F516" s="47">
        <v>9</v>
      </c>
      <c r="G516" s="48">
        <v>45152</v>
      </c>
      <c r="H516" s="63" t="s">
        <v>41</v>
      </c>
      <c r="I516" s="47" t="s">
        <v>5</v>
      </c>
      <c r="J516" s="63" t="s">
        <v>41</v>
      </c>
      <c r="K516" s="63" t="s">
        <v>41</v>
      </c>
    </row>
    <row r="517" spans="1:11" x14ac:dyDescent="0.25">
      <c r="A517" s="44">
        <v>75</v>
      </c>
      <c r="B517" s="46">
        <v>45139</v>
      </c>
      <c r="C517" s="45" t="s">
        <v>79</v>
      </c>
      <c r="D517" s="47">
        <v>5</v>
      </c>
      <c r="E517" s="48">
        <v>45143</v>
      </c>
      <c r="F517" s="47">
        <v>5</v>
      </c>
      <c r="G517" s="48">
        <v>45149</v>
      </c>
      <c r="H517" s="63" t="s">
        <v>41</v>
      </c>
      <c r="I517" s="63" t="s">
        <v>41</v>
      </c>
      <c r="J517" s="47" t="s">
        <v>1</v>
      </c>
      <c r="K517" s="47" t="s">
        <v>41</v>
      </c>
    </row>
    <row r="518" spans="1:11" x14ac:dyDescent="0.25">
      <c r="A518" s="44">
        <v>294</v>
      </c>
      <c r="B518" s="46">
        <v>45139</v>
      </c>
      <c r="C518" s="45" t="s">
        <v>79</v>
      </c>
      <c r="D518" s="47">
        <v>5</v>
      </c>
      <c r="E518" s="48">
        <v>45143</v>
      </c>
      <c r="F518" s="47">
        <v>5</v>
      </c>
      <c r="G518" s="48">
        <v>45149</v>
      </c>
      <c r="H518" s="63" t="s">
        <v>41</v>
      </c>
      <c r="I518" s="63" t="s">
        <v>41</v>
      </c>
      <c r="J518" s="47" t="s">
        <v>1</v>
      </c>
      <c r="K518" s="47" t="s">
        <v>41</v>
      </c>
    </row>
    <row r="519" spans="1:11" x14ac:dyDescent="0.25">
      <c r="A519" s="44">
        <v>1810</v>
      </c>
      <c r="B519" s="46">
        <v>45139</v>
      </c>
      <c r="C519" s="45" t="s">
        <v>40</v>
      </c>
      <c r="D519" s="47">
        <v>5</v>
      </c>
      <c r="E519" s="48">
        <v>45143</v>
      </c>
      <c r="F519" s="47">
        <v>9</v>
      </c>
      <c r="G519" s="48">
        <v>45153</v>
      </c>
      <c r="H519" s="63" t="s">
        <v>41</v>
      </c>
      <c r="I519" s="47" t="s">
        <v>5</v>
      </c>
      <c r="J519" s="63" t="s">
        <v>41</v>
      </c>
      <c r="K519" s="47" t="s">
        <v>41</v>
      </c>
    </row>
    <row r="520" spans="1:11" x14ac:dyDescent="0.25">
      <c r="A520" s="44">
        <v>3222</v>
      </c>
      <c r="B520" s="46">
        <v>45139</v>
      </c>
      <c r="C520" s="45" t="s">
        <v>40</v>
      </c>
      <c r="D520" s="47">
        <v>5</v>
      </c>
      <c r="E520" s="48">
        <v>45143</v>
      </c>
      <c r="F520" s="47">
        <v>9</v>
      </c>
      <c r="G520" s="48">
        <v>45153</v>
      </c>
      <c r="H520" s="47" t="s">
        <v>3</v>
      </c>
      <c r="I520" s="63" t="s">
        <v>41</v>
      </c>
      <c r="J520" s="63" t="s">
        <v>41</v>
      </c>
      <c r="K520" s="47" t="s">
        <v>41</v>
      </c>
    </row>
    <row r="521" spans="1:11" x14ac:dyDescent="0.25">
      <c r="A521" s="44">
        <v>1877</v>
      </c>
      <c r="B521" s="46">
        <v>45141</v>
      </c>
      <c r="C521" s="45" t="s">
        <v>50</v>
      </c>
      <c r="D521" s="47">
        <v>5</v>
      </c>
      <c r="E521" s="48">
        <v>45145</v>
      </c>
      <c r="F521" s="47">
        <v>3</v>
      </c>
      <c r="G521" s="48">
        <v>45149</v>
      </c>
      <c r="H521" s="63" t="s">
        <v>41</v>
      </c>
      <c r="I521" s="63" t="s">
        <v>41</v>
      </c>
      <c r="J521" s="47" t="s">
        <v>1</v>
      </c>
      <c r="K521" s="47" t="s">
        <v>41</v>
      </c>
    </row>
    <row r="522" spans="1:11" x14ac:dyDescent="0.25">
      <c r="A522" s="44">
        <v>2185</v>
      </c>
      <c r="B522" s="46">
        <v>45141</v>
      </c>
      <c r="C522" s="45" t="s">
        <v>66</v>
      </c>
      <c r="D522" s="47">
        <v>5</v>
      </c>
      <c r="E522" s="48">
        <v>45145</v>
      </c>
      <c r="F522" s="47">
        <v>3</v>
      </c>
      <c r="G522" s="48">
        <v>45149</v>
      </c>
      <c r="H522" s="47" t="s">
        <v>3</v>
      </c>
      <c r="I522" s="63" t="s">
        <v>41</v>
      </c>
      <c r="J522" s="63" t="s">
        <v>41</v>
      </c>
      <c r="K522" s="47" t="s">
        <v>41</v>
      </c>
    </row>
    <row r="523" spans="1:11" x14ac:dyDescent="0.25">
      <c r="A523" s="44">
        <v>2385</v>
      </c>
      <c r="B523" s="46">
        <v>45141</v>
      </c>
      <c r="C523" s="45" t="s">
        <v>50</v>
      </c>
      <c r="D523" s="47">
        <v>5</v>
      </c>
      <c r="E523" s="48">
        <v>45145</v>
      </c>
      <c r="F523" s="47">
        <v>3</v>
      </c>
      <c r="G523" s="48">
        <v>45149</v>
      </c>
      <c r="H523" s="63" t="s">
        <v>41</v>
      </c>
      <c r="I523" s="63" t="s">
        <v>41</v>
      </c>
      <c r="J523" s="63" t="s">
        <v>41</v>
      </c>
      <c r="K523" s="47" t="s">
        <v>41</v>
      </c>
    </row>
    <row r="524" spans="1:11" x14ac:dyDescent="0.25">
      <c r="A524" s="44">
        <v>1020</v>
      </c>
      <c r="B524" s="46">
        <v>45143</v>
      </c>
      <c r="C524" s="45" t="s">
        <v>50</v>
      </c>
      <c r="D524" s="47">
        <v>5</v>
      </c>
      <c r="E524" s="48">
        <v>45146</v>
      </c>
      <c r="F524" s="47">
        <v>3</v>
      </c>
      <c r="G524" s="48">
        <v>45150</v>
      </c>
      <c r="H524" s="47" t="s">
        <v>3</v>
      </c>
      <c r="I524" s="63" t="s">
        <v>41</v>
      </c>
      <c r="J524" s="63" t="s">
        <v>41</v>
      </c>
      <c r="K524" s="47" t="s">
        <v>41</v>
      </c>
    </row>
    <row r="525" spans="1:11" x14ac:dyDescent="0.25">
      <c r="A525" s="44">
        <v>2171</v>
      </c>
      <c r="B525" s="46">
        <v>45143</v>
      </c>
      <c r="C525" s="45" t="s">
        <v>40</v>
      </c>
      <c r="D525" s="47">
        <v>5</v>
      </c>
      <c r="E525" s="48">
        <v>45147</v>
      </c>
      <c r="F525" s="47">
        <v>9</v>
      </c>
      <c r="G525" s="48">
        <v>45157</v>
      </c>
      <c r="H525" s="47" t="s">
        <v>3</v>
      </c>
      <c r="I525" s="63" t="s">
        <v>41</v>
      </c>
      <c r="J525" s="47" t="s">
        <v>1</v>
      </c>
      <c r="K525" s="47" t="s">
        <v>41</v>
      </c>
    </row>
    <row r="526" spans="1:11" x14ac:dyDescent="0.25">
      <c r="A526" s="44">
        <v>2310</v>
      </c>
      <c r="B526" s="46">
        <v>45143</v>
      </c>
      <c r="C526" s="45" t="s">
        <v>40</v>
      </c>
      <c r="D526" s="47">
        <v>5</v>
      </c>
      <c r="E526" s="48">
        <v>45148</v>
      </c>
      <c r="F526" s="47">
        <v>9</v>
      </c>
      <c r="G526" s="48">
        <v>45157</v>
      </c>
      <c r="H526" s="47" t="s">
        <v>3</v>
      </c>
      <c r="I526" s="63" t="s">
        <v>41</v>
      </c>
      <c r="J526" s="63" t="s">
        <v>41</v>
      </c>
      <c r="K526" s="47" t="s">
        <v>41</v>
      </c>
    </row>
    <row r="527" spans="1:11" x14ac:dyDescent="0.25">
      <c r="A527" s="44">
        <v>3222</v>
      </c>
      <c r="B527" s="46">
        <v>45143</v>
      </c>
      <c r="C527" s="45" t="s">
        <v>43</v>
      </c>
      <c r="D527" s="47">
        <v>8</v>
      </c>
      <c r="E527" s="48">
        <v>45150</v>
      </c>
      <c r="F527" s="47">
        <v>4</v>
      </c>
      <c r="G527" s="48">
        <v>45155</v>
      </c>
      <c r="H527" s="47" t="s">
        <v>3</v>
      </c>
      <c r="I527" s="63" t="s">
        <v>41</v>
      </c>
      <c r="J527" s="47" t="s">
        <v>1</v>
      </c>
      <c r="K527" s="47" t="s">
        <v>41</v>
      </c>
    </row>
    <row r="528" spans="1:11" x14ac:dyDescent="0.25">
      <c r="A528" s="44">
        <v>3231</v>
      </c>
      <c r="B528" s="46">
        <v>45143</v>
      </c>
      <c r="C528" s="45" t="s">
        <v>43</v>
      </c>
      <c r="D528" s="47">
        <v>8</v>
      </c>
      <c r="E528" s="48">
        <v>45150</v>
      </c>
      <c r="F528" s="47">
        <v>4</v>
      </c>
      <c r="G528" s="48">
        <v>45155</v>
      </c>
      <c r="H528" s="63" t="s">
        <v>41</v>
      </c>
      <c r="I528" s="47" t="s">
        <v>5</v>
      </c>
      <c r="J528" s="63" t="s">
        <v>41</v>
      </c>
      <c r="K528" s="47" t="s">
        <v>41</v>
      </c>
    </row>
    <row r="529" spans="1:11" x14ac:dyDescent="0.25">
      <c r="A529" s="44">
        <v>294</v>
      </c>
      <c r="B529" s="46">
        <v>45144</v>
      </c>
      <c r="C529" s="45" t="s">
        <v>40</v>
      </c>
      <c r="D529" s="47">
        <v>5</v>
      </c>
      <c r="E529" s="48">
        <v>45148</v>
      </c>
      <c r="F529" s="47">
        <v>9</v>
      </c>
      <c r="G529" s="48">
        <v>45158</v>
      </c>
      <c r="H529" s="47" t="s">
        <v>41</v>
      </c>
      <c r="I529" s="47" t="s">
        <v>41</v>
      </c>
      <c r="J529" s="47" t="s">
        <v>41</v>
      </c>
      <c r="K529" s="47" t="s">
        <v>41</v>
      </c>
    </row>
    <row r="530" spans="1:11" x14ac:dyDescent="0.25">
      <c r="A530" s="44">
        <v>1810</v>
      </c>
      <c r="B530" s="46">
        <v>45144</v>
      </c>
      <c r="C530" s="45" t="s">
        <v>40</v>
      </c>
      <c r="D530" s="47">
        <v>5</v>
      </c>
      <c r="E530" s="48">
        <v>45148</v>
      </c>
      <c r="F530" s="47">
        <v>9</v>
      </c>
      <c r="G530" s="48">
        <v>45158</v>
      </c>
      <c r="H530" s="47" t="s">
        <v>41</v>
      </c>
      <c r="I530" s="47" t="s">
        <v>41</v>
      </c>
      <c r="J530" s="47" t="s">
        <v>41</v>
      </c>
      <c r="K530" s="47" t="s">
        <v>41</v>
      </c>
    </row>
    <row r="531" spans="1:11" x14ac:dyDescent="0.25">
      <c r="A531" s="44">
        <v>2245</v>
      </c>
      <c r="B531" s="46">
        <v>45144</v>
      </c>
      <c r="C531" s="45" t="s">
        <v>44</v>
      </c>
      <c r="D531" s="47">
        <v>5</v>
      </c>
      <c r="E531" s="48">
        <v>45148</v>
      </c>
      <c r="F531" s="47">
        <v>33</v>
      </c>
      <c r="G531" s="48">
        <v>45182</v>
      </c>
      <c r="H531" s="47" t="s">
        <v>41</v>
      </c>
      <c r="I531" s="47" t="s">
        <v>41</v>
      </c>
      <c r="J531" s="47" t="s">
        <v>41</v>
      </c>
      <c r="K531" s="47" t="s">
        <v>41</v>
      </c>
    </row>
    <row r="532" spans="1:11" x14ac:dyDescent="0.25">
      <c r="A532" s="44">
        <v>2543</v>
      </c>
      <c r="B532" s="46">
        <v>45144</v>
      </c>
      <c r="C532" s="45" t="s">
        <v>80</v>
      </c>
      <c r="D532" s="47">
        <v>5</v>
      </c>
      <c r="E532" s="48">
        <v>45148</v>
      </c>
      <c r="F532" s="47">
        <v>2</v>
      </c>
      <c r="G532" s="48">
        <v>45151</v>
      </c>
      <c r="H532" s="47" t="s">
        <v>41</v>
      </c>
      <c r="I532" s="47" t="s">
        <v>41</v>
      </c>
      <c r="J532" s="47" t="s">
        <v>41</v>
      </c>
      <c r="K532" s="47" t="s">
        <v>41</v>
      </c>
    </row>
    <row r="533" spans="1:11" x14ac:dyDescent="0.25">
      <c r="A533" s="44">
        <v>2553</v>
      </c>
      <c r="B533" s="46">
        <v>45144</v>
      </c>
      <c r="C533" s="45" t="s">
        <v>80</v>
      </c>
      <c r="D533" s="47">
        <v>5</v>
      </c>
      <c r="E533" s="48">
        <v>45149</v>
      </c>
      <c r="F533" s="47">
        <v>2</v>
      </c>
      <c r="G533" s="48">
        <v>45152</v>
      </c>
      <c r="H533" s="47" t="s">
        <v>41</v>
      </c>
      <c r="I533" s="47" t="s">
        <v>41</v>
      </c>
      <c r="J533" s="47" t="s">
        <v>41</v>
      </c>
      <c r="K533" s="47" t="s">
        <v>41</v>
      </c>
    </row>
    <row r="534" spans="1:11" x14ac:dyDescent="0.25">
      <c r="A534" s="44">
        <v>2803</v>
      </c>
      <c r="B534" s="46">
        <v>45144</v>
      </c>
      <c r="C534" s="45" t="s">
        <v>44</v>
      </c>
      <c r="D534" s="47">
        <v>5</v>
      </c>
      <c r="E534" s="48">
        <v>45148</v>
      </c>
      <c r="F534" s="47">
        <v>3</v>
      </c>
      <c r="G534" s="48">
        <v>45152</v>
      </c>
      <c r="H534" s="47" t="s">
        <v>41</v>
      </c>
      <c r="I534" s="47" t="s">
        <v>41</v>
      </c>
      <c r="J534" s="47" t="s">
        <v>41</v>
      </c>
      <c r="K534" s="47" t="s">
        <v>41</v>
      </c>
    </row>
    <row r="535" spans="1:11" x14ac:dyDescent="0.25">
      <c r="A535" s="44">
        <v>3444</v>
      </c>
      <c r="B535" s="46">
        <v>45144</v>
      </c>
      <c r="C535" s="45" t="s">
        <v>40</v>
      </c>
      <c r="D535" s="47">
        <v>5</v>
      </c>
      <c r="E535" s="48">
        <v>45148</v>
      </c>
      <c r="F535" s="47">
        <v>9</v>
      </c>
      <c r="G535" s="48">
        <v>45157</v>
      </c>
      <c r="H535" s="63" t="s">
        <v>41</v>
      </c>
      <c r="I535" s="47" t="s">
        <v>5</v>
      </c>
      <c r="J535" s="63" t="s">
        <v>41</v>
      </c>
      <c r="K535" s="47" t="s">
        <v>41</v>
      </c>
    </row>
    <row r="536" spans="1:11" x14ac:dyDescent="0.25">
      <c r="A536" s="44">
        <v>3506</v>
      </c>
      <c r="B536" s="46">
        <v>45144</v>
      </c>
      <c r="C536" s="45" t="s">
        <v>40</v>
      </c>
      <c r="D536" s="47">
        <v>5</v>
      </c>
      <c r="E536" s="48">
        <v>45148</v>
      </c>
      <c r="F536" s="47">
        <v>9</v>
      </c>
      <c r="G536" s="48">
        <v>45158</v>
      </c>
      <c r="H536" s="47" t="s">
        <v>41</v>
      </c>
      <c r="I536" s="47" t="s">
        <v>41</v>
      </c>
      <c r="J536" s="47" t="s">
        <v>41</v>
      </c>
      <c r="K536" s="47" t="s">
        <v>41</v>
      </c>
    </row>
    <row r="537" spans="1:11" x14ac:dyDescent="0.25">
      <c r="A537" s="44">
        <v>2969</v>
      </c>
      <c r="B537" s="46">
        <v>45145</v>
      </c>
      <c r="C537" s="45" t="s">
        <v>40</v>
      </c>
      <c r="D537" s="47">
        <v>5</v>
      </c>
      <c r="E537" s="48">
        <v>45150</v>
      </c>
      <c r="F537" s="47">
        <v>9</v>
      </c>
      <c r="G537" s="48">
        <v>45160</v>
      </c>
      <c r="H537" s="47" t="s">
        <v>41</v>
      </c>
      <c r="I537" s="47" t="s">
        <v>41</v>
      </c>
      <c r="J537" s="47" t="s">
        <v>41</v>
      </c>
      <c r="K537" s="47" t="s">
        <v>41</v>
      </c>
    </row>
    <row r="538" spans="1:11" x14ac:dyDescent="0.25">
      <c r="A538" s="44">
        <v>17</v>
      </c>
      <c r="B538" s="46">
        <v>45146</v>
      </c>
      <c r="C538" s="45" t="s">
        <v>40</v>
      </c>
      <c r="D538" s="47">
        <v>5</v>
      </c>
      <c r="E538" s="48">
        <v>45152</v>
      </c>
      <c r="F538" s="47">
        <v>9</v>
      </c>
      <c r="G538" s="48">
        <v>45162</v>
      </c>
      <c r="H538" s="47" t="s">
        <v>41</v>
      </c>
      <c r="I538" s="47" t="s">
        <v>41</v>
      </c>
      <c r="J538" s="47" t="s">
        <v>41</v>
      </c>
      <c r="K538" s="47" t="s">
        <v>41</v>
      </c>
    </row>
    <row r="539" spans="1:11" x14ac:dyDescent="0.25">
      <c r="A539" s="44">
        <v>969</v>
      </c>
      <c r="B539" s="46">
        <v>45146</v>
      </c>
      <c r="C539" s="45" t="s">
        <v>44</v>
      </c>
      <c r="D539" s="47">
        <v>5</v>
      </c>
      <c r="E539" s="48">
        <v>45150</v>
      </c>
      <c r="F539" s="47">
        <v>3</v>
      </c>
      <c r="G539" s="48">
        <v>45154</v>
      </c>
      <c r="H539" s="47" t="s">
        <v>41</v>
      </c>
      <c r="I539" s="47" t="s">
        <v>41</v>
      </c>
      <c r="J539" s="47" t="s">
        <v>41</v>
      </c>
      <c r="K539" s="47" t="s">
        <v>41</v>
      </c>
    </row>
    <row r="540" spans="1:11" x14ac:dyDescent="0.25">
      <c r="A540" s="44">
        <v>2097</v>
      </c>
      <c r="B540" s="46">
        <v>45148</v>
      </c>
      <c r="C540" s="45" t="s">
        <v>40</v>
      </c>
      <c r="D540" s="47">
        <v>5</v>
      </c>
      <c r="E540" s="48">
        <v>45155</v>
      </c>
      <c r="F540" s="47">
        <v>9</v>
      </c>
      <c r="G540" s="48">
        <v>45165</v>
      </c>
      <c r="H540" s="47" t="s">
        <v>41</v>
      </c>
      <c r="I540" s="47" t="s">
        <v>41</v>
      </c>
      <c r="J540" s="47" t="s">
        <v>41</v>
      </c>
      <c r="K540" s="47" t="s">
        <v>41</v>
      </c>
    </row>
    <row r="541" spans="1:11" x14ac:dyDescent="0.25">
      <c r="A541" s="44">
        <v>2246</v>
      </c>
      <c r="B541" s="46">
        <v>45148</v>
      </c>
      <c r="C541" s="45" t="s">
        <v>44</v>
      </c>
      <c r="D541" s="47">
        <v>5</v>
      </c>
      <c r="E541" s="48">
        <v>45152</v>
      </c>
      <c r="F541" s="47">
        <v>3</v>
      </c>
      <c r="G541" s="48">
        <v>45156</v>
      </c>
      <c r="H541" s="47" t="s">
        <v>41</v>
      </c>
      <c r="I541" s="47" t="s">
        <v>41</v>
      </c>
      <c r="J541" s="47" t="s">
        <v>41</v>
      </c>
      <c r="K541" s="47" t="s">
        <v>41</v>
      </c>
    </row>
    <row r="542" spans="1:11" x14ac:dyDescent="0.25">
      <c r="A542" s="44">
        <v>2410</v>
      </c>
      <c r="B542" s="46">
        <v>45148</v>
      </c>
      <c r="C542" s="45" t="s">
        <v>44</v>
      </c>
      <c r="D542" s="47">
        <v>5</v>
      </c>
      <c r="E542" s="48">
        <v>45153</v>
      </c>
      <c r="F542" s="47">
        <v>3</v>
      </c>
      <c r="G542" s="48">
        <v>45157</v>
      </c>
      <c r="H542" s="47" t="s">
        <v>41</v>
      </c>
      <c r="I542" s="47" t="s">
        <v>41</v>
      </c>
      <c r="J542" s="47" t="s">
        <v>41</v>
      </c>
      <c r="K542" s="47" t="s">
        <v>41</v>
      </c>
    </row>
    <row r="543" spans="1:11" x14ac:dyDescent="0.25">
      <c r="A543" s="44">
        <v>3114</v>
      </c>
      <c r="B543" s="46">
        <v>45148</v>
      </c>
      <c r="C543" s="45" t="s">
        <v>44</v>
      </c>
      <c r="D543" s="47">
        <v>5</v>
      </c>
      <c r="E543" s="48">
        <v>45152</v>
      </c>
      <c r="F543" s="47">
        <v>3</v>
      </c>
      <c r="G543" s="48">
        <v>45156</v>
      </c>
      <c r="H543" s="47" t="s">
        <v>41</v>
      </c>
      <c r="I543" s="47" t="s">
        <v>41</v>
      </c>
      <c r="J543" s="47" t="s">
        <v>41</v>
      </c>
      <c r="K543" s="47" t="s">
        <v>41</v>
      </c>
    </row>
    <row r="544" spans="1:11" x14ac:dyDescent="0.25">
      <c r="A544" s="44">
        <v>3300</v>
      </c>
      <c r="B544" s="46">
        <v>45148</v>
      </c>
      <c r="C544" s="45" t="s">
        <v>43</v>
      </c>
      <c r="D544" s="47">
        <v>8</v>
      </c>
      <c r="E544" s="48">
        <v>45152</v>
      </c>
      <c r="F544" s="47">
        <v>4</v>
      </c>
      <c r="G544" s="48">
        <v>45157</v>
      </c>
      <c r="H544" s="47" t="s">
        <v>41</v>
      </c>
      <c r="I544" s="47" t="s">
        <v>41</v>
      </c>
      <c r="J544" s="47" t="s">
        <v>41</v>
      </c>
      <c r="K544" s="47" t="s">
        <v>41</v>
      </c>
    </row>
    <row r="545" spans="1:11" x14ac:dyDescent="0.25">
      <c r="A545" s="44">
        <v>75</v>
      </c>
      <c r="B545" s="46">
        <v>45149</v>
      </c>
      <c r="C545" s="45" t="s">
        <v>44</v>
      </c>
      <c r="D545" s="47">
        <v>5</v>
      </c>
      <c r="E545" s="48">
        <v>45156</v>
      </c>
      <c r="F545" s="47">
        <v>3</v>
      </c>
      <c r="G545" s="48">
        <v>45160</v>
      </c>
      <c r="H545" s="47" t="s">
        <v>41</v>
      </c>
      <c r="I545" s="47" t="s">
        <v>41</v>
      </c>
      <c r="J545" s="47" t="s">
        <v>41</v>
      </c>
      <c r="K545" s="47" t="s">
        <v>41</v>
      </c>
    </row>
    <row r="546" spans="1:11" x14ac:dyDescent="0.25">
      <c r="A546" s="44">
        <v>294</v>
      </c>
      <c r="B546" s="46">
        <v>45149</v>
      </c>
      <c r="C546" s="45" t="s">
        <v>80</v>
      </c>
      <c r="D546" s="47">
        <v>5</v>
      </c>
      <c r="E546" s="48">
        <v>45154</v>
      </c>
      <c r="F546" s="47">
        <v>2</v>
      </c>
      <c r="G546" s="48">
        <v>45157</v>
      </c>
      <c r="H546" s="47" t="s">
        <v>41</v>
      </c>
      <c r="I546" s="47" t="s">
        <v>41</v>
      </c>
      <c r="J546" s="47" t="s">
        <v>41</v>
      </c>
      <c r="K546" s="47" t="s">
        <v>41</v>
      </c>
    </row>
    <row r="547" spans="1:11" x14ac:dyDescent="0.25">
      <c r="A547" s="44">
        <v>873</v>
      </c>
      <c r="B547" s="46">
        <v>45149</v>
      </c>
      <c r="C547" s="45" t="s">
        <v>40</v>
      </c>
      <c r="D547" s="47">
        <v>5</v>
      </c>
      <c r="E547" s="48">
        <v>45153</v>
      </c>
      <c r="F547" s="47">
        <v>9</v>
      </c>
      <c r="G547" s="48">
        <v>45163</v>
      </c>
      <c r="H547" s="47" t="s">
        <v>41</v>
      </c>
      <c r="I547" s="47" t="s">
        <v>41</v>
      </c>
      <c r="J547" s="47" t="s">
        <v>41</v>
      </c>
      <c r="K547" s="47" t="s">
        <v>41</v>
      </c>
    </row>
    <row r="548" spans="1:11" x14ac:dyDescent="0.25">
      <c r="A548" s="44">
        <v>1810</v>
      </c>
      <c r="B548" s="46">
        <v>45149</v>
      </c>
      <c r="C548" s="45" t="s">
        <v>44</v>
      </c>
      <c r="D548" s="47">
        <v>5</v>
      </c>
      <c r="E548" s="48">
        <v>45153</v>
      </c>
      <c r="F548" s="47">
        <v>3</v>
      </c>
      <c r="G548" s="48">
        <v>45157</v>
      </c>
      <c r="H548" s="47" t="s">
        <v>41</v>
      </c>
      <c r="I548" s="47" t="s">
        <v>41</v>
      </c>
      <c r="J548" s="47" t="s">
        <v>41</v>
      </c>
      <c r="K548" s="47" t="s">
        <v>41</v>
      </c>
    </row>
    <row r="549" spans="1:11" x14ac:dyDescent="0.25">
      <c r="A549" s="44">
        <v>1877</v>
      </c>
      <c r="B549" s="46">
        <v>45149</v>
      </c>
      <c r="C549" s="45" t="s">
        <v>43</v>
      </c>
      <c r="D549" s="47">
        <v>5</v>
      </c>
      <c r="E549" s="48">
        <v>45153</v>
      </c>
      <c r="F549" s="47">
        <v>4</v>
      </c>
      <c r="G549" s="48">
        <v>45158</v>
      </c>
      <c r="H549" s="47" t="s">
        <v>41</v>
      </c>
      <c r="I549" s="47" t="s">
        <v>41</v>
      </c>
      <c r="J549" s="47" t="s">
        <v>41</v>
      </c>
      <c r="K549" s="47" t="s">
        <v>41</v>
      </c>
    </row>
    <row r="550" spans="1:11" x14ac:dyDescent="0.25">
      <c r="A550" s="44">
        <v>2310</v>
      </c>
      <c r="B550" s="46">
        <v>45149</v>
      </c>
      <c r="C550" s="45" t="s">
        <v>44</v>
      </c>
      <c r="D550" s="47">
        <v>5</v>
      </c>
      <c r="E550" s="48">
        <v>45153</v>
      </c>
      <c r="F550" s="47">
        <v>3</v>
      </c>
      <c r="G550" s="48">
        <v>45157</v>
      </c>
      <c r="H550" s="47" t="s">
        <v>41</v>
      </c>
      <c r="I550" s="47" t="s">
        <v>41</v>
      </c>
      <c r="J550" s="47" t="s">
        <v>41</v>
      </c>
      <c r="K550" s="47" t="s">
        <v>41</v>
      </c>
    </row>
    <row r="551" spans="1:11" x14ac:dyDescent="0.25">
      <c r="A551" s="44">
        <v>2720</v>
      </c>
      <c r="B551" s="46">
        <v>45149</v>
      </c>
      <c r="C551" s="45" t="s">
        <v>44</v>
      </c>
      <c r="D551" s="47">
        <v>5</v>
      </c>
      <c r="E551" s="48">
        <v>45153</v>
      </c>
      <c r="F551" s="47">
        <v>3</v>
      </c>
      <c r="G551" s="48">
        <v>45157</v>
      </c>
      <c r="H551" s="47" t="s">
        <v>41</v>
      </c>
      <c r="I551" s="47" t="s">
        <v>41</v>
      </c>
      <c r="J551" s="47" t="s">
        <v>41</v>
      </c>
      <c r="K551" s="47" t="s">
        <v>41</v>
      </c>
    </row>
    <row r="552" spans="1:11" x14ac:dyDescent="0.25">
      <c r="A552" s="44">
        <v>3114</v>
      </c>
      <c r="B552" s="46">
        <v>45149</v>
      </c>
      <c r="C552" s="45" t="s">
        <v>40</v>
      </c>
      <c r="D552" s="47">
        <v>5</v>
      </c>
      <c r="E552" s="48">
        <v>45153</v>
      </c>
      <c r="F552" s="47">
        <v>9</v>
      </c>
      <c r="G552" s="48">
        <v>45163</v>
      </c>
      <c r="H552" s="47" t="s">
        <v>41</v>
      </c>
      <c r="I552" s="47" t="s">
        <v>41</v>
      </c>
      <c r="J552" s="47" t="s">
        <v>41</v>
      </c>
      <c r="K552" s="47" t="s">
        <v>41</v>
      </c>
    </row>
    <row r="553" spans="1:11" x14ac:dyDescent="0.25">
      <c r="A553" s="44">
        <v>1780</v>
      </c>
      <c r="B553" s="46">
        <v>45150</v>
      </c>
      <c r="C553" s="45" t="s">
        <v>40</v>
      </c>
      <c r="D553" s="47">
        <v>5</v>
      </c>
      <c r="E553" s="48">
        <v>45154</v>
      </c>
      <c r="F553" s="47">
        <v>9</v>
      </c>
      <c r="G553" s="48">
        <v>45164</v>
      </c>
      <c r="H553" s="47" t="s">
        <v>41</v>
      </c>
      <c r="I553" s="47" t="s">
        <v>41</v>
      </c>
      <c r="J553" s="47" t="s">
        <v>41</v>
      </c>
      <c r="K553" s="47" t="s">
        <v>41</v>
      </c>
    </row>
    <row r="554" spans="1:11" x14ac:dyDescent="0.25">
      <c r="A554" s="44">
        <v>2540</v>
      </c>
      <c r="B554" s="46">
        <v>45150</v>
      </c>
      <c r="C554" s="45" t="s">
        <v>40</v>
      </c>
      <c r="D554" s="47">
        <v>5</v>
      </c>
      <c r="E554" s="48">
        <v>45157</v>
      </c>
      <c r="F554" s="47">
        <v>9</v>
      </c>
      <c r="G554" s="48">
        <v>45167</v>
      </c>
      <c r="H554" s="47" t="s">
        <v>41</v>
      </c>
      <c r="I554" s="47" t="s">
        <v>41</v>
      </c>
      <c r="J554" s="47" t="s">
        <v>41</v>
      </c>
      <c r="K554" s="47" t="s">
        <v>41</v>
      </c>
    </row>
    <row r="555" spans="1:11" x14ac:dyDescent="0.25">
      <c r="A555" s="44">
        <v>1169</v>
      </c>
      <c r="B555" s="46">
        <v>45151</v>
      </c>
      <c r="C555" s="45" t="s">
        <v>40</v>
      </c>
      <c r="D555" s="47">
        <v>5</v>
      </c>
      <c r="E555" s="48">
        <v>45157</v>
      </c>
      <c r="F555" s="47">
        <v>9</v>
      </c>
      <c r="G555" s="48">
        <v>45167</v>
      </c>
      <c r="H555" s="47" t="s">
        <v>41</v>
      </c>
      <c r="I555" s="47" t="s">
        <v>41</v>
      </c>
      <c r="J555" s="47" t="s">
        <v>41</v>
      </c>
      <c r="K555" s="47" t="s">
        <v>41</v>
      </c>
    </row>
    <row r="556" spans="1:11" x14ac:dyDescent="0.25">
      <c r="A556" s="44">
        <v>2185</v>
      </c>
      <c r="B556" s="46">
        <v>45151</v>
      </c>
      <c r="C556" s="45" t="s">
        <v>43</v>
      </c>
      <c r="D556" s="47">
        <v>8</v>
      </c>
      <c r="E556" s="48">
        <v>45155</v>
      </c>
      <c r="F556" s="47">
        <v>4</v>
      </c>
      <c r="G556" s="48">
        <v>45160</v>
      </c>
      <c r="H556" s="47" t="s">
        <v>41</v>
      </c>
      <c r="I556" s="47" t="s">
        <v>41</v>
      </c>
      <c r="J556" s="47" t="s">
        <v>41</v>
      </c>
      <c r="K556" s="47" t="s">
        <v>41</v>
      </c>
    </row>
    <row r="557" spans="1:11" x14ac:dyDescent="0.25">
      <c r="A557" s="44">
        <v>1306</v>
      </c>
      <c r="B557" s="46">
        <v>45153</v>
      </c>
      <c r="C557" s="45" t="s">
        <v>40</v>
      </c>
      <c r="D557" s="47">
        <v>5</v>
      </c>
      <c r="E557" s="48">
        <v>45157</v>
      </c>
      <c r="F557" s="47">
        <v>9</v>
      </c>
      <c r="G557" s="48">
        <v>45167</v>
      </c>
      <c r="H557" s="63" t="s">
        <v>41</v>
      </c>
      <c r="I557" s="63" t="s">
        <v>41</v>
      </c>
      <c r="J557" s="47" t="s">
        <v>1</v>
      </c>
      <c r="K557" s="63" t="s">
        <v>41</v>
      </c>
    </row>
    <row r="558" spans="1:11" x14ac:dyDescent="0.25">
      <c r="A558" s="44">
        <v>1514</v>
      </c>
      <c r="B558" s="46">
        <v>45153</v>
      </c>
      <c r="C558" s="45" t="s">
        <v>40</v>
      </c>
      <c r="D558" s="47">
        <v>5</v>
      </c>
      <c r="E558" s="48">
        <v>45157</v>
      </c>
      <c r="F558" s="47">
        <v>9</v>
      </c>
      <c r="G558" s="48">
        <v>45167</v>
      </c>
      <c r="H558" s="47" t="s">
        <v>41</v>
      </c>
      <c r="I558" s="47" t="s">
        <v>41</v>
      </c>
      <c r="J558" s="47" t="s">
        <v>41</v>
      </c>
      <c r="K558" s="47" t="s">
        <v>41</v>
      </c>
    </row>
    <row r="559" spans="1:11" x14ac:dyDescent="0.25">
      <c r="A559" s="44">
        <v>1584</v>
      </c>
      <c r="B559" s="46">
        <v>45153</v>
      </c>
      <c r="C559" s="45" t="s">
        <v>50</v>
      </c>
      <c r="D559" s="47">
        <v>5</v>
      </c>
      <c r="E559" s="48">
        <v>45157</v>
      </c>
      <c r="F559" s="47">
        <v>3</v>
      </c>
      <c r="G559" s="48">
        <v>45160</v>
      </c>
      <c r="H559" s="63" t="s">
        <v>41</v>
      </c>
      <c r="I559" s="47" t="s">
        <v>5</v>
      </c>
      <c r="J559" s="63" t="s">
        <v>41</v>
      </c>
      <c r="K559" s="63" t="s">
        <v>41</v>
      </c>
    </row>
    <row r="560" spans="1:11" x14ac:dyDescent="0.25">
      <c r="A560" s="44">
        <v>2218</v>
      </c>
      <c r="B560" s="46">
        <v>45153</v>
      </c>
      <c r="C560" s="45" t="s">
        <v>50</v>
      </c>
      <c r="D560" s="47">
        <v>5</v>
      </c>
      <c r="E560" s="48">
        <v>45157</v>
      </c>
      <c r="F560" s="47">
        <v>3</v>
      </c>
      <c r="G560" s="48">
        <v>45167</v>
      </c>
      <c r="H560" s="63" t="s">
        <v>41</v>
      </c>
      <c r="I560" s="47" t="s">
        <v>5</v>
      </c>
      <c r="J560" s="63" t="s">
        <v>41</v>
      </c>
      <c r="K560" s="63" t="s">
        <v>41</v>
      </c>
    </row>
    <row r="561" spans="1:11" x14ac:dyDescent="0.25">
      <c r="A561" s="44">
        <v>2278</v>
      </c>
      <c r="B561" s="46">
        <v>45153</v>
      </c>
      <c r="C561" s="45" t="s">
        <v>40</v>
      </c>
      <c r="D561" s="47">
        <v>5</v>
      </c>
      <c r="E561" s="48">
        <v>45157</v>
      </c>
      <c r="F561" s="47">
        <v>9</v>
      </c>
      <c r="G561" s="48">
        <v>45167</v>
      </c>
      <c r="H561" s="47" t="s">
        <v>41</v>
      </c>
      <c r="I561" s="47" t="s">
        <v>41</v>
      </c>
      <c r="J561" s="47" t="s">
        <v>41</v>
      </c>
      <c r="K561" s="47" t="s">
        <v>41</v>
      </c>
    </row>
    <row r="562" spans="1:11" x14ac:dyDescent="0.25">
      <c r="A562" s="44">
        <v>2553</v>
      </c>
      <c r="B562" s="46">
        <v>45153</v>
      </c>
      <c r="C562" s="45" t="s">
        <v>40</v>
      </c>
      <c r="D562" s="47">
        <v>5</v>
      </c>
      <c r="E562" s="48">
        <v>45157</v>
      </c>
      <c r="F562" s="47">
        <v>9</v>
      </c>
      <c r="G562" s="48">
        <v>45162</v>
      </c>
      <c r="H562" s="63" t="s">
        <v>41</v>
      </c>
      <c r="I562" s="47" t="s">
        <v>5</v>
      </c>
      <c r="J562" s="63" t="s">
        <v>41</v>
      </c>
      <c r="K562" s="47" t="s">
        <v>4</v>
      </c>
    </row>
    <row r="563" spans="1:11" x14ac:dyDescent="0.25">
      <c r="A563" s="44">
        <v>2792</v>
      </c>
      <c r="B563" s="46">
        <v>45153</v>
      </c>
      <c r="C563" s="45" t="s">
        <v>50</v>
      </c>
      <c r="D563" s="47">
        <v>5</v>
      </c>
      <c r="E563" s="48">
        <v>45158</v>
      </c>
      <c r="F563" s="47">
        <v>3</v>
      </c>
      <c r="G563" s="48">
        <v>45162</v>
      </c>
      <c r="H563" s="63" t="s">
        <v>41</v>
      </c>
      <c r="I563" s="63" t="s">
        <v>41</v>
      </c>
      <c r="J563" s="47" t="s">
        <v>1</v>
      </c>
      <c r="K563" s="63" t="s">
        <v>41</v>
      </c>
    </row>
    <row r="564" spans="1:11" x14ac:dyDescent="0.25">
      <c r="A564" s="44">
        <v>2879</v>
      </c>
      <c r="B564" s="46">
        <v>45153</v>
      </c>
      <c r="C564" s="45" t="s">
        <v>40</v>
      </c>
      <c r="D564" s="47">
        <v>5</v>
      </c>
      <c r="E564" s="48">
        <v>45157</v>
      </c>
      <c r="F564" s="47">
        <v>9</v>
      </c>
      <c r="G564" s="48">
        <v>45167</v>
      </c>
      <c r="H564" s="47" t="s">
        <v>41</v>
      </c>
      <c r="I564" s="47" t="s">
        <v>41</v>
      </c>
      <c r="J564" s="47" t="s">
        <v>41</v>
      </c>
      <c r="K564" s="47" t="s">
        <v>41</v>
      </c>
    </row>
    <row r="565" spans="1:11" x14ac:dyDescent="0.25">
      <c r="A565" s="44">
        <v>2969</v>
      </c>
      <c r="B565" s="46">
        <v>45153</v>
      </c>
      <c r="C565" s="45" t="s">
        <v>40</v>
      </c>
      <c r="D565" s="47">
        <v>5</v>
      </c>
      <c r="E565" s="48">
        <v>45157</v>
      </c>
      <c r="F565" s="47">
        <v>9</v>
      </c>
      <c r="G565" s="48">
        <v>45167</v>
      </c>
      <c r="H565" s="47" t="s">
        <v>3</v>
      </c>
      <c r="I565" s="47" t="s">
        <v>5</v>
      </c>
      <c r="J565" s="63" t="s">
        <v>41</v>
      </c>
      <c r="K565" s="47" t="s">
        <v>4</v>
      </c>
    </row>
    <row r="566" spans="1:11" x14ac:dyDescent="0.25">
      <c r="A566" s="44">
        <v>3398</v>
      </c>
      <c r="B566" s="46">
        <v>45154</v>
      </c>
      <c r="C566" s="45" t="s">
        <v>50</v>
      </c>
      <c r="D566" s="47">
        <v>5</v>
      </c>
      <c r="E566" s="48">
        <v>45158</v>
      </c>
      <c r="F566" s="47">
        <v>3</v>
      </c>
      <c r="G566" s="48">
        <v>45162</v>
      </c>
      <c r="H566" s="63" t="s">
        <v>41</v>
      </c>
      <c r="I566" s="47" t="s">
        <v>5</v>
      </c>
      <c r="J566" s="63" t="s">
        <v>41</v>
      </c>
      <c r="K566" s="63" t="s">
        <v>41</v>
      </c>
    </row>
    <row r="567" spans="1:11" x14ac:dyDescent="0.25">
      <c r="A567" s="44">
        <v>2494</v>
      </c>
      <c r="B567" s="46">
        <v>45155</v>
      </c>
      <c r="C567" s="45" t="s">
        <v>50</v>
      </c>
      <c r="D567" s="47">
        <v>5</v>
      </c>
      <c r="E567" s="48">
        <v>45159</v>
      </c>
      <c r="F567" s="47">
        <v>3</v>
      </c>
      <c r="G567" s="48">
        <v>45162</v>
      </c>
      <c r="H567" s="63" t="s">
        <v>41</v>
      </c>
      <c r="I567" s="47" t="s">
        <v>5</v>
      </c>
      <c r="J567" s="63" t="s">
        <v>41</v>
      </c>
      <c r="K567" s="63" t="s">
        <v>41</v>
      </c>
    </row>
    <row r="568" spans="1:11" x14ac:dyDescent="0.25">
      <c r="A568" s="44">
        <v>2116</v>
      </c>
      <c r="B568" s="46">
        <v>45156</v>
      </c>
      <c r="C568" s="45" t="s">
        <v>50</v>
      </c>
      <c r="D568" s="47">
        <v>5</v>
      </c>
      <c r="E568" s="48">
        <v>45160</v>
      </c>
      <c r="F568" s="47">
        <v>3</v>
      </c>
      <c r="G568" s="48">
        <v>45164</v>
      </c>
      <c r="H568" s="47" t="s">
        <v>3</v>
      </c>
      <c r="I568" s="63" t="s">
        <v>41</v>
      </c>
      <c r="J568" s="63" t="s">
        <v>41</v>
      </c>
      <c r="K568" s="63" t="s">
        <v>41</v>
      </c>
    </row>
    <row r="569" spans="1:11" x14ac:dyDescent="0.25">
      <c r="A569" s="44">
        <v>2185</v>
      </c>
      <c r="B569" s="46">
        <v>45156</v>
      </c>
      <c r="C569" s="45" t="s">
        <v>40</v>
      </c>
      <c r="D569" s="47">
        <v>3</v>
      </c>
      <c r="E569" s="48">
        <v>45158</v>
      </c>
      <c r="F569" s="47">
        <v>9</v>
      </c>
      <c r="G569" s="48">
        <v>45167</v>
      </c>
      <c r="H569" s="47" t="s">
        <v>3</v>
      </c>
      <c r="I569" s="63" t="s">
        <v>41</v>
      </c>
      <c r="J569" s="63" t="s">
        <v>41</v>
      </c>
      <c r="K569" s="63" t="s">
        <v>41</v>
      </c>
    </row>
    <row r="570" spans="1:11" x14ac:dyDescent="0.25">
      <c r="A570" s="44">
        <v>2458</v>
      </c>
      <c r="B570" s="46">
        <v>45156</v>
      </c>
      <c r="C570" s="45" t="s">
        <v>40</v>
      </c>
      <c r="D570" s="47">
        <v>5</v>
      </c>
      <c r="E570" s="48">
        <v>45160</v>
      </c>
      <c r="F570" s="47">
        <v>9</v>
      </c>
      <c r="G570" s="48">
        <v>45169</v>
      </c>
      <c r="H570" s="63" t="s">
        <v>41</v>
      </c>
      <c r="I570" s="47" t="s">
        <v>5</v>
      </c>
      <c r="J570" s="63" t="s">
        <v>41</v>
      </c>
      <c r="K570" s="63" t="s">
        <v>41</v>
      </c>
    </row>
    <row r="571" spans="1:11" x14ac:dyDescent="0.25">
      <c r="A571" s="44">
        <v>3231</v>
      </c>
      <c r="B571" s="46">
        <v>45156</v>
      </c>
      <c r="C571" s="45" t="s">
        <v>40</v>
      </c>
      <c r="D571" s="47">
        <v>5</v>
      </c>
      <c r="E571" s="48">
        <v>45160</v>
      </c>
      <c r="F571" s="47">
        <v>9</v>
      </c>
      <c r="G571" s="48">
        <v>45163</v>
      </c>
      <c r="H571" s="47" t="s">
        <v>3</v>
      </c>
      <c r="I571" s="63" t="s">
        <v>41</v>
      </c>
      <c r="J571" s="63" t="s">
        <v>41</v>
      </c>
      <c r="K571" s="63" t="s">
        <v>41</v>
      </c>
    </row>
    <row r="572" spans="1:11" x14ac:dyDescent="0.25">
      <c r="A572" s="44">
        <v>548</v>
      </c>
      <c r="B572" s="46">
        <v>45157</v>
      </c>
      <c r="C572" s="45" t="s">
        <v>50</v>
      </c>
      <c r="D572" s="47">
        <v>5</v>
      </c>
      <c r="E572" s="48">
        <v>45161</v>
      </c>
      <c r="F572" s="47">
        <v>9</v>
      </c>
      <c r="G572" s="48">
        <v>45165</v>
      </c>
      <c r="H572" s="47" t="s">
        <v>3</v>
      </c>
      <c r="I572" s="63" t="s">
        <v>41</v>
      </c>
      <c r="J572" s="63" t="s">
        <v>41</v>
      </c>
      <c r="K572" s="63" t="s">
        <v>41</v>
      </c>
    </row>
    <row r="573" spans="1:11" x14ac:dyDescent="0.25">
      <c r="A573" s="44">
        <v>3349</v>
      </c>
      <c r="B573" s="46">
        <v>45157</v>
      </c>
      <c r="C573" s="45" t="s">
        <v>50</v>
      </c>
      <c r="D573" s="47">
        <v>5</v>
      </c>
      <c r="E573" s="48">
        <v>45161</v>
      </c>
      <c r="F573" s="47">
        <v>9</v>
      </c>
      <c r="G573" s="48">
        <v>45165</v>
      </c>
      <c r="H573" s="47" t="s">
        <v>3</v>
      </c>
      <c r="I573" s="47" t="s">
        <v>5</v>
      </c>
      <c r="J573" s="63" t="s">
        <v>41</v>
      </c>
      <c r="K573" s="63" t="s">
        <v>41</v>
      </c>
    </row>
    <row r="574" spans="1:11" x14ac:dyDescent="0.25">
      <c r="A574" s="44">
        <v>1788</v>
      </c>
      <c r="B574" s="46">
        <v>45158</v>
      </c>
      <c r="C574" s="45" t="s">
        <v>40</v>
      </c>
      <c r="D574" s="47">
        <v>5</v>
      </c>
      <c r="E574" s="48">
        <v>45162</v>
      </c>
      <c r="F574" s="47">
        <v>3</v>
      </c>
      <c r="G574" s="48">
        <v>45171</v>
      </c>
      <c r="H574" s="47" t="s">
        <v>3</v>
      </c>
      <c r="I574" s="63" t="s">
        <v>41</v>
      </c>
      <c r="J574" s="63" t="s">
        <v>41</v>
      </c>
      <c r="K574" s="63" t="s">
        <v>41</v>
      </c>
    </row>
    <row r="575" spans="1:11" x14ac:dyDescent="0.25">
      <c r="A575" s="44">
        <v>2422</v>
      </c>
      <c r="B575" s="46">
        <v>45158</v>
      </c>
      <c r="C575" s="45" t="s">
        <v>40</v>
      </c>
      <c r="D575" s="47">
        <v>5</v>
      </c>
      <c r="E575" s="48">
        <v>45162</v>
      </c>
      <c r="F575" s="47">
        <v>9</v>
      </c>
      <c r="G575" s="48">
        <v>45171</v>
      </c>
      <c r="H575" s="63" t="s">
        <v>41</v>
      </c>
      <c r="I575" s="63" t="s">
        <v>41</v>
      </c>
      <c r="J575" s="47" t="s">
        <v>1</v>
      </c>
      <c r="K575" s="63" t="s">
        <v>41</v>
      </c>
    </row>
    <row r="576" spans="1:11" x14ac:dyDescent="0.25">
      <c r="A576" s="44">
        <v>2706</v>
      </c>
      <c r="B576" s="46">
        <v>45158</v>
      </c>
      <c r="C576" s="45" t="s">
        <v>50</v>
      </c>
      <c r="D576" s="47">
        <v>5</v>
      </c>
      <c r="E576" s="48">
        <v>45162</v>
      </c>
      <c r="F576" s="47">
        <v>3</v>
      </c>
      <c r="G576" s="48">
        <v>45166</v>
      </c>
      <c r="H576" s="63" t="s">
        <v>41</v>
      </c>
      <c r="I576" s="63" t="s">
        <v>41</v>
      </c>
      <c r="J576" s="47" t="s">
        <v>1</v>
      </c>
      <c r="K576" s="63" t="s">
        <v>41</v>
      </c>
    </row>
    <row r="577" spans="1:11" x14ac:dyDescent="0.25">
      <c r="A577" s="44">
        <v>2770</v>
      </c>
      <c r="B577" s="46">
        <v>45158</v>
      </c>
      <c r="C577" s="45" t="s">
        <v>40</v>
      </c>
      <c r="D577" s="47">
        <v>5</v>
      </c>
      <c r="E577" s="48">
        <v>45162</v>
      </c>
      <c r="F577" s="47">
        <v>9</v>
      </c>
      <c r="G577" s="48">
        <v>45172</v>
      </c>
      <c r="H577" s="47" t="s">
        <v>3</v>
      </c>
      <c r="I577" s="47" t="s">
        <v>5</v>
      </c>
      <c r="J577" s="63" t="s">
        <v>41</v>
      </c>
      <c r="K577" s="47" t="s">
        <v>4</v>
      </c>
    </row>
    <row r="578" spans="1:11" x14ac:dyDescent="0.25">
      <c r="A578" s="44">
        <v>1306</v>
      </c>
      <c r="B578" s="46">
        <v>45160</v>
      </c>
      <c r="C578" s="45" t="s">
        <v>40</v>
      </c>
      <c r="D578" s="47">
        <v>5</v>
      </c>
      <c r="E578" s="48">
        <v>45164</v>
      </c>
      <c r="F578" s="47">
        <v>9</v>
      </c>
      <c r="G578" s="48">
        <v>45174</v>
      </c>
      <c r="H578" s="63" t="s">
        <v>41</v>
      </c>
      <c r="I578" s="63" t="s">
        <v>41</v>
      </c>
      <c r="J578" s="47" t="s">
        <v>1</v>
      </c>
      <c r="K578" s="63" t="s">
        <v>41</v>
      </c>
    </row>
    <row r="579" spans="1:11" x14ac:dyDescent="0.25">
      <c r="A579" s="44">
        <v>1894</v>
      </c>
      <c r="B579" s="46">
        <v>45160</v>
      </c>
      <c r="C579" s="45" t="s">
        <v>50</v>
      </c>
      <c r="D579" s="47">
        <v>5</v>
      </c>
      <c r="E579" s="48">
        <v>45164</v>
      </c>
      <c r="F579" s="47">
        <v>3</v>
      </c>
      <c r="G579" s="48">
        <v>45168</v>
      </c>
      <c r="H579" s="47" t="s">
        <v>3</v>
      </c>
      <c r="I579" s="47" t="s">
        <v>5</v>
      </c>
      <c r="J579" s="63" t="s">
        <v>41</v>
      </c>
      <c r="K579" s="47" t="s">
        <v>4</v>
      </c>
    </row>
    <row r="580" spans="1:11" x14ac:dyDescent="0.25">
      <c r="A580" s="44">
        <v>2211</v>
      </c>
      <c r="B580" s="46">
        <v>45160</v>
      </c>
      <c r="C580" s="45" t="s">
        <v>50</v>
      </c>
      <c r="D580" s="47">
        <v>5</v>
      </c>
      <c r="E580" s="48">
        <v>45164</v>
      </c>
      <c r="F580" s="47">
        <v>3</v>
      </c>
      <c r="G580" s="48">
        <v>45168</v>
      </c>
      <c r="H580" s="47" t="s">
        <v>3</v>
      </c>
      <c r="I580" s="63" t="s">
        <v>41</v>
      </c>
      <c r="J580" s="63" t="s">
        <v>41</v>
      </c>
      <c r="K580" s="63" t="s">
        <v>41</v>
      </c>
    </row>
    <row r="581" spans="1:11" x14ac:dyDescent="0.25">
      <c r="A581" s="44">
        <v>2622</v>
      </c>
      <c r="B581" s="46">
        <v>45160</v>
      </c>
      <c r="C581" s="45" t="s">
        <v>40</v>
      </c>
      <c r="D581" s="47">
        <v>5</v>
      </c>
      <c r="E581" s="48">
        <v>45164</v>
      </c>
      <c r="F581" s="47">
        <v>4</v>
      </c>
      <c r="G581" s="48">
        <v>45174</v>
      </c>
      <c r="H581" s="63" t="s">
        <v>41</v>
      </c>
      <c r="I581" s="63" t="s">
        <v>41</v>
      </c>
      <c r="J581" s="47" t="s">
        <v>1</v>
      </c>
      <c r="K581" s="63" t="s">
        <v>41</v>
      </c>
    </row>
    <row r="582" spans="1:11" x14ac:dyDescent="0.25">
      <c r="A582" s="44">
        <v>3012</v>
      </c>
      <c r="B582" s="46">
        <v>45160</v>
      </c>
      <c r="C582" s="45" t="s">
        <v>50</v>
      </c>
      <c r="D582" s="47">
        <v>5</v>
      </c>
      <c r="E582" s="48">
        <v>45164</v>
      </c>
      <c r="F582" s="47">
        <v>3</v>
      </c>
      <c r="G582" s="48">
        <v>45168</v>
      </c>
      <c r="H582" s="47" t="s">
        <v>3</v>
      </c>
      <c r="I582" s="47" t="s">
        <v>5</v>
      </c>
      <c r="J582" s="47" t="s">
        <v>1</v>
      </c>
      <c r="K582" s="47" t="s">
        <v>4</v>
      </c>
    </row>
    <row r="583" spans="1:11" x14ac:dyDescent="0.25">
      <c r="A583" s="44">
        <v>3324</v>
      </c>
      <c r="B583" s="46">
        <v>45160</v>
      </c>
      <c r="C583" s="45" t="s">
        <v>50</v>
      </c>
      <c r="D583" s="47">
        <v>8</v>
      </c>
      <c r="E583" s="48">
        <v>45167</v>
      </c>
      <c r="F583" s="47">
        <v>3</v>
      </c>
      <c r="G583" s="48">
        <v>45171</v>
      </c>
      <c r="H583" s="47" t="s">
        <v>3</v>
      </c>
      <c r="I583" s="47" t="s">
        <v>5</v>
      </c>
      <c r="J583" s="63" t="s">
        <v>41</v>
      </c>
      <c r="K583" s="63" t="s">
        <v>41</v>
      </c>
    </row>
    <row r="584" spans="1:11" x14ac:dyDescent="0.25">
      <c r="A584" s="44">
        <v>1933</v>
      </c>
      <c r="B584" s="46">
        <v>45161</v>
      </c>
      <c r="C584" s="45" t="s">
        <v>43</v>
      </c>
      <c r="D584" s="47">
        <v>5</v>
      </c>
      <c r="E584" s="48">
        <v>45165</v>
      </c>
      <c r="F584" s="47">
        <v>4</v>
      </c>
      <c r="G584" s="48">
        <v>45170</v>
      </c>
      <c r="H584" s="63" t="s">
        <v>41</v>
      </c>
      <c r="I584" s="47" t="s">
        <v>5</v>
      </c>
      <c r="J584" s="63" t="s">
        <v>41</v>
      </c>
      <c r="K584" s="63" t="s">
        <v>41</v>
      </c>
    </row>
    <row r="585" spans="1:11" x14ac:dyDescent="0.25">
      <c r="A585" s="44">
        <v>2171</v>
      </c>
      <c r="B585" s="46">
        <v>45161</v>
      </c>
      <c r="C585" s="45" t="s">
        <v>43</v>
      </c>
      <c r="D585" s="47">
        <v>5</v>
      </c>
      <c r="E585" s="48">
        <v>45165</v>
      </c>
      <c r="F585" s="47">
        <v>4</v>
      </c>
      <c r="G585" s="48">
        <v>45170</v>
      </c>
      <c r="H585" s="47" t="s">
        <v>3</v>
      </c>
      <c r="I585" s="63" t="s">
        <v>41</v>
      </c>
      <c r="J585" s="63" t="s">
        <v>41</v>
      </c>
      <c r="K585" s="63" t="s">
        <v>41</v>
      </c>
    </row>
    <row r="586" spans="1:11" x14ac:dyDescent="0.25">
      <c r="A586" s="44">
        <v>2632</v>
      </c>
      <c r="B586" s="46">
        <v>45161</v>
      </c>
      <c r="C586" s="45" t="s">
        <v>40</v>
      </c>
      <c r="D586" s="47">
        <v>5</v>
      </c>
      <c r="E586" s="48">
        <v>45165</v>
      </c>
      <c r="F586" s="47">
        <v>9</v>
      </c>
      <c r="G586" s="48">
        <v>45175</v>
      </c>
      <c r="H586" s="47" t="s">
        <v>3</v>
      </c>
      <c r="I586" s="63" t="s">
        <v>41</v>
      </c>
      <c r="J586" s="63" t="s">
        <v>41</v>
      </c>
      <c r="K586" s="63" t="s">
        <v>41</v>
      </c>
    </row>
    <row r="587" spans="1:11" x14ac:dyDescent="0.25">
      <c r="A587" s="44">
        <v>919</v>
      </c>
      <c r="B587" s="46">
        <v>45162</v>
      </c>
      <c r="C587" s="45" t="s">
        <v>43</v>
      </c>
      <c r="D587" s="47">
        <v>8</v>
      </c>
      <c r="E587" s="48">
        <v>45170</v>
      </c>
      <c r="F587" s="47">
        <v>4</v>
      </c>
      <c r="G587" s="48">
        <v>45175</v>
      </c>
      <c r="H587" s="63" t="s">
        <v>41</v>
      </c>
      <c r="I587" s="47" t="s">
        <v>5</v>
      </c>
      <c r="J587" s="63" t="s">
        <v>41</v>
      </c>
      <c r="K587" s="63" t="s">
        <v>41</v>
      </c>
    </row>
    <row r="588" spans="1:11" x14ac:dyDescent="0.25">
      <c r="A588" s="44">
        <v>2230</v>
      </c>
      <c r="B588" s="46">
        <v>45162</v>
      </c>
      <c r="C588" s="45" t="s">
        <v>50</v>
      </c>
      <c r="D588" s="47">
        <v>5</v>
      </c>
      <c r="E588" s="48">
        <v>45166</v>
      </c>
      <c r="F588" s="47">
        <v>3</v>
      </c>
      <c r="G588" s="48">
        <v>45170</v>
      </c>
      <c r="H588" s="63" t="s">
        <v>41</v>
      </c>
      <c r="I588" s="47" t="s">
        <v>5</v>
      </c>
      <c r="J588" s="63" t="s">
        <v>41</v>
      </c>
      <c r="K588" s="63" t="s">
        <v>41</v>
      </c>
    </row>
    <row r="589" spans="1:11" x14ac:dyDescent="0.25">
      <c r="A589" s="64">
        <v>2422</v>
      </c>
      <c r="B589" s="65">
        <v>45162</v>
      </c>
      <c r="C589" s="49" t="s">
        <v>40</v>
      </c>
      <c r="D589" s="66">
        <v>5</v>
      </c>
      <c r="E589" s="67">
        <v>45166</v>
      </c>
      <c r="F589" s="66">
        <v>9</v>
      </c>
      <c r="G589" s="67">
        <v>45175</v>
      </c>
      <c r="H589" s="47" t="s">
        <v>3</v>
      </c>
      <c r="I589" s="47" t="s">
        <v>5</v>
      </c>
      <c r="J589" s="47" t="s">
        <v>1</v>
      </c>
      <c r="K589" s="63" t="s">
        <v>41</v>
      </c>
    </row>
    <row r="590" spans="1:11" x14ac:dyDescent="0.25">
      <c r="A590" s="39">
        <v>2553</v>
      </c>
      <c r="B590" s="41">
        <v>45163</v>
      </c>
      <c r="C590" s="39" t="s">
        <v>43</v>
      </c>
      <c r="D590" s="42">
        <v>1</v>
      </c>
      <c r="E590" s="43">
        <v>45163</v>
      </c>
      <c r="F590" s="42">
        <v>4</v>
      </c>
      <c r="G590" s="43">
        <v>45168</v>
      </c>
      <c r="H590" s="47" t="s">
        <v>41</v>
      </c>
      <c r="I590" s="47" t="s">
        <v>5</v>
      </c>
      <c r="J590" s="47" t="s">
        <v>41</v>
      </c>
      <c r="K590" s="47" t="s">
        <v>41</v>
      </c>
    </row>
    <row r="591" spans="1:11" x14ac:dyDescent="0.25">
      <c r="A591" s="44">
        <v>2038</v>
      </c>
      <c r="B591" s="46">
        <v>45164</v>
      </c>
      <c r="C591" s="44" t="s">
        <v>50</v>
      </c>
      <c r="D591" s="47">
        <v>5</v>
      </c>
      <c r="E591" s="48">
        <v>45168</v>
      </c>
      <c r="F591" s="47">
        <v>3</v>
      </c>
      <c r="G591" s="48">
        <v>45172</v>
      </c>
      <c r="H591" s="47" t="s">
        <v>41</v>
      </c>
      <c r="I591" s="47" t="s">
        <v>41</v>
      </c>
      <c r="J591" s="47" t="s">
        <v>41</v>
      </c>
      <c r="K591" s="47" t="s">
        <v>4</v>
      </c>
    </row>
    <row r="592" spans="1:11" x14ac:dyDescent="0.25">
      <c r="A592" s="44">
        <v>2512</v>
      </c>
      <c r="B592" s="46">
        <v>45164</v>
      </c>
      <c r="C592" s="44" t="s">
        <v>50</v>
      </c>
      <c r="D592" s="47">
        <v>5</v>
      </c>
      <c r="E592" s="48">
        <v>45168</v>
      </c>
      <c r="F592" s="47">
        <v>3</v>
      </c>
      <c r="G592" s="48">
        <v>45172</v>
      </c>
      <c r="H592" s="47" t="s">
        <v>41</v>
      </c>
      <c r="I592" s="47" t="s">
        <v>5</v>
      </c>
      <c r="J592" s="47" t="s">
        <v>41</v>
      </c>
      <c r="K592" s="47" t="s">
        <v>41</v>
      </c>
    </row>
    <row r="593" spans="1:11" x14ac:dyDescent="0.25">
      <c r="A593" s="44">
        <v>2540</v>
      </c>
      <c r="B593" s="46">
        <v>45164</v>
      </c>
      <c r="C593" s="44" t="s">
        <v>40</v>
      </c>
      <c r="D593" s="47">
        <v>5</v>
      </c>
      <c r="E593" s="48">
        <v>45168</v>
      </c>
      <c r="F593" s="47">
        <v>9</v>
      </c>
      <c r="G593" s="48">
        <v>45178</v>
      </c>
      <c r="H593" s="47" t="s">
        <v>3</v>
      </c>
      <c r="I593" s="47" t="s">
        <v>41</v>
      </c>
      <c r="J593" s="47" t="s">
        <v>41</v>
      </c>
      <c r="K593" s="47" t="s">
        <v>41</v>
      </c>
    </row>
    <row r="594" spans="1:11" x14ac:dyDescent="0.25">
      <c r="A594" s="44">
        <v>1553</v>
      </c>
      <c r="B594" s="46">
        <v>45164</v>
      </c>
      <c r="C594" s="44" t="s">
        <v>81</v>
      </c>
      <c r="D594" s="47">
        <v>5</v>
      </c>
      <c r="E594" s="48">
        <v>45169</v>
      </c>
      <c r="F594" s="47">
        <v>3</v>
      </c>
      <c r="G594" s="48">
        <v>45178</v>
      </c>
      <c r="H594" s="47" t="s">
        <v>41</v>
      </c>
      <c r="I594" s="47" t="s">
        <v>5</v>
      </c>
      <c r="J594" s="47" t="s">
        <v>41</v>
      </c>
      <c r="K594" s="47" t="s">
        <v>41</v>
      </c>
    </row>
    <row r="595" spans="1:11" x14ac:dyDescent="0.25">
      <c r="A595" s="44">
        <v>2444</v>
      </c>
      <c r="B595" s="46">
        <v>45165</v>
      </c>
      <c r="C595" s="44" t="s">
        <v>40</v>
      </c>
      <c r="D595" s="47">
        <v>5</v>
      </c>
      <c r="E595" s="48">
        <v>45169</v>
      </c>
      <c r="F595" s="47">
        <v>9</v>
      </c>
      <c r="G595" s="48">
        <v>45179</v>
      </c>
      <c r="H595" s="47" t="s">
        <v>3</v>
      </c>
      <c r="I595" s="47" t="s">
        <v>41</v>
      </c>
      <c r="J595" s="47" t="s">
        <v>41</v>
      </c>
      <c r="K595" s="47" t="s">
        <v>41</v>
      </c>
    </row>
    <row r="596" spans="1:11" x14ac:dyDescent="0.25">
      <c r="A596" s="44">
        <v>1933</v>
      </c>
      <c r="B596" s="46">
        <v>45165</v>
      </c>
      <c r="C596" s="44" t="s">
        <v>43</v>
      </c>
      <c r="D596" s="47">
        <v>3</v>
      </c>
      <c r="E596" s="48">
        <v>45167</v>
      </c>
      <c r="F596" s="47">
        <v>4</v>
      </c>
      <c r="G596" s="48">
        <v>45172</v>
      </c>
      <c r="H596" s="47" t="s">
        <v>41</v>
      </c>
      <c r="I596" s="47" t="s">
        <v>41</v>
      </c>
      <c r="J596" s="47" t="s">
        <v>41</v>
      </c>
      <c r="K596" s="47" t="s">
        <v>4</v>
      </c>
    </row>
    <row r="597" spans="1:11" x14ac:dyDescent="0.25">
      <c r="A597" s="44">
        <v>941</v>
      </c>
      <c r="B597" s="46">
        <v>45165</v>
      </c>
      <c r="C597" s="44" t="s">
        <v>50</v>
      </c>
      <c r="D597" s="47">
        <v>5</v>
      </c>
      <c r="E597" s="48">
        <v>45169</v>
      </c>
      <c r="F597" s="47">
        <v>3</v>
      </c>
      <c r="G597" s="48">
        <v>45173</v>
      </c>
      <c r="H597" s="47" t="s">
        <v>3</v>
      </c>
      <c r="I597" s="47" t="s">
        <v>5</v>
      </c>
      <c r="J597" s="47" t="s">
        <v>41</v>
      </c>
      <c r="K597" s="47" t="s">
        <v>4</v>
      </c>
    </row>
    <row r="598" spans="1:11" x14ac:dyDescent="0.25">
      <c r="A598" s="44">
        <v>548</v>
      </c>
      <c r="B598" s="46">
        <v>45166</v>
      </c>
      <c r="C598" s="44" t="s">
        <v>81</v>
      </c>
      <c r="D598" s="47">
        <v>5</v>
      </c>
      <c r="E598" s="48">
        <v>45170</v>
      </c>
      <c r="F598" s="47">
        <v>3</v>
      </c>
      <c r="G598" s="48">
        <v>45174</v>
      </c>
      <c r="H598" s="47" t="s">
        <v>3</v>
      </c>
      <c r="I598" s="47" t="s">
        <v>41</v>
      </c>
      <c r="J598" s="47" t="s">
        <v>41</v>
      </c>
      <c r="K598" s="47" t="s">
        <v>41</v>
      </c>
    </row>
    <row r="599" spans="1:11" x14ac:dyDescent="0.25">
      <c r="A599" s="44">
        <v>2543</v>
      </c>
      <c r="B599" s="46">
        <v>45166</v>
      </c>
      <c r="C599" s="44" t="s">
        <v>81</v>
      </c>
      <c r="D599" s="47">
        <v>5</v>
      </c>
      <c r="E599" s="48">
        <v>45170</v>
      </c>
      <c r="F599" s="47">
        <v>3</v>
      </c>
      <c r="G599" s="48">
        <v>45174</v>
      </c>
      <c r="H599" s="47" t="s">
        <v>41</v>
      </c>
      <c r="I599" s="47" t="s">
        <v>5</v>
      </c>
      <c r="J599" s="47" t="s">
        <v>41</v>
      </c>
      <c r="K599" s="47" t="s">
        <v>41</v>
      </c>
    </row>
    <row r="600" spans="1:11" x14ac:dyDescent="0.25">
      <c r="A600" s="44">
        <v>2306</v>
      </c>
      <c r="B600" s="46">
        <v>45167</v>
      </c>
      <c r="C600" s="44" t="s">
        <v>81</v>
      </c>
      <c r="D600" s="47">
        <v>5</v>
      </c>
      <c r="E600" s="48">
        <v>45171</v>
      </c>
      <c r="F600" s="47">
        <v>3</v>
      </c>
      <c r="G600" s="48">
        <v>45175</v>
      </c>
      <c r="H600" s="47" t="s">
        <v>41</v>
      </c>
      <c r="I600" s="47" t="s">
        <v>5</v>
      </c>
      <c r="J600" s="47" t="s">
        <v>1</v>
      </c>
      <c r="K600" s="47" t="s">
        <v>41</v>
      </c>
    </row>
    <row r="601" spans="1:11" x14ac:dyDescent="0.25">
      <c r="A601" s="44">
        <v>1834</v>
      </c>
      <c r="B601" s="46">
        <v>45167</v>
      </c>
      <c r="C601" s="44" t="s">
        <v>40</v>
      </c>
      <c r="D601" s="47">
        <v>5</v>
      </c>
      <c r="E601" s="48">
        <v>45171</v>
      </c>
      <c r="F601" s="47">
        <v>9</v>
      </c>
      <c r="G601" s="48">
        <v>45181</v>
      </c>
      <c r="H601" s="47" t="s">
        <v>41</v>
      </c>
      <c r="I601" s="47" t="s">
        <v>5</v>
      </c>
      <c r="J601" s="47" t="s">
        <v>41</v>
      </c>
      <c r="K601" s="47" t="s">
        <v>4</v>
      </c>
    </row>
    <row r="602" spans="1:11" x14ac:dyDescent="0.25">
      <c r="A602" s="44">
        <v>3231</v>
      </c>
      <c r="B602" s="46">
        <v>45168</v>
      </c>
      <c r="C602" s="44" t="s">
        <v>40</v>
      </c>
      <c r="D602" s="47">
        <v>5</v>
      </c>
      <c r="E602" s="48">
        <v>45172</v>
      </c>
      <c r="F602" s="47">
        <v>9</v>
      </c>
      <c r="G602" s="48">
        <v>45182</v>
      </c>
      <c r="H602" s="47" t="s">
        <v>41</v>
      </c>
      <c r="I602" s="47" t="s">
        <v>41</v>
      </c>
      <c r="J602" s="47" t="s">
        <v>41</v>
      </c>
      <c r="K602" s="47" t="s">
        <v>4</v>
      </c>
    </row>
    <row r="603" spans="1:11" x14ac:dyDescent="0.25">
      <c r="A603" s="44">
        <v>3191</v>
      </c>
      <c r="B603" s="46">
        <v>45168</v>
      </c>
      <c r="C603" s="44" t="s">
        <v>40</v>
      </c>
      <c r="D603" s="47">
        <v>5</v>
      </c>
      <c r="E603" s="48">
        <v>45172</v>
      </c>
      <c r="F603" s="47">
        <v>9</v>
      </c>
      <c r="G603" s="48">
        <v>45182</v>
      </c>
      <c r="H603" s="47" t="s">
        <v>41</v>
      </c>
      <c r="I603" s="47" t="s">
        <v>41</v>
      </c>
      <c r="J603" s="47" t="s">
        <v>41</v>
      </c>
      <c r="K603" s="47" t="s">
        <v>4</v>
      </c>
    </row>
    <row r="604" spans="1:11" x14ac:dyDescent="0.25">
      <c r="A604" s="44">
        <v>2856</v>
      </c>
      <c r="B604" s="46">
        <v>45168</v>
      </c>
      <c r="C604" s="44" t="s">
        <v>40</v>
      </c>
      <c r="D604" s="47">
        <v>5</v>
      </c>
      <c r="E604" s="48">
        <v>45172</v>
      </c>
      <c r="F604" s="47">
        <v>9</v>
      </c>
      <c r="G604" s="48">
        <v>45182</v>
      </c>
      <c r="H604" s="47" t="s">
        <v>41</v>
      </c>
      <c r="I604" s="47" t="s">
        <v>41</v>
      </c>
      <c r="J604" s="47" t="s">
        <v>1</v>
      </c>
      <c r="K604" s="47" t="s">
        <v>41</v>
      </c>
    </row>
    <row r="605" spans="1:11" x14ac:dyDescent="0.25">
      <c r="A605" s="44">
        <v>2770</v>
      </c>
      <c r="B605" s="46">
        <v>45169</v>
      </c>
      <c r="C605" s="44" t="s">
        <v>81</v>
      </c>
      <c r="D605" s="47">
        <v>8</v>
      </c>
      <c r="E605" s="48">
        <v>45176</v>
      </c>
      <c r="F605" s="47">
        <v>3</v>
      </c>
      <c r="G605" s="48">
        <v>45180</v>
      </c>
      <c r="H605" s="47" t="s">
        <v>41</v>
      </c>
      <c r="I605" s="47" t="s">
        <v>5</v>
      </c>
      <c r="J605" s="47" t="s">
        <v>41</v>
      </c>
      <c r="K605" s="47" t="s">
        <v>41</v>
      </c>
    </row>
    <row r="606" spans="1:11" x14ac:dyDescent="0.25">
      <c r="A606" s="44">
        <v>2622</v>
      </c>
      <c r="B606" s="46">
        <v>45170</v>
      </c>
      <c r="C606" s="44" t="s">
        <v>50</v>
      </c>
      <c r="D606" s="47">
        <v>2</v>
      </c>
      <c r="E606" s="48">
        <v>45171</v>
      </c>
      <c r="F606" s="47">
        <v>3</v>
      </c>
      <c r="G606" s="48">
        <v>45174</v>
      </c>
      <c r="H606" s="47" t="s">
        <v>41</v>
      </c>
      <c r="I606" s="47" t="s">
        <v>41</v>
      </c>
      <c r="J606" s="47" t="s">
        <v>1</v>
      </c>
      <c r="K606" s="47" t="s">
        <v>41</v>
      </c>
    </row>
    <row r="607" spans="1:11" x14ac:dyDescent="0.25">
      <c r="A607" s="44">
        <v>3175</v>
      </c>
      <c r="B607" s="46">
        <v>45170</v>
      </c>
      <c r="C607" s="44" t="s">
        <v>40</v>
      </c>
      <c r="D607" s="47">
        <v>5</v>
      </c>
      <c r="E607" s="48">
        <v>45174</v>
      </c>
      <c r="F607" s="47">
        <v>9</v>
      </c>
      <c r="G607" s="48">
        <v>45184</v>
      </c>
      <c r="H607" s="47" t="s">
        <v>41</v>
      </c>
      <c r="I607" s="47" t="s">
        <v>5</v>
      </c>
      <c r="J607" s="47" t="s">
        <v>41</v>
      </c>
      <c r="K607" s="47" t="s">
        <v>41</v>
      </c>
    </row>
    <row r="608" spans="1:11" x14ac:dyDescent="0.25">
      <c r="A608" s="44">
        <v>3540</v>
      </c>
      <c r="B608" s="46">
        <v>45170</v>
      </c>
      <c r="C608" s="44" t="s">
        <v>40</v>
      </c>
      <c r="D608" s="47">
        <v>5</v>
      </c>
      <c r="E608" s="48">
        <v>45174</v>
      </c>
      <c r="F608" s="47">
        <v>9</v>
      </c>
      <c r="G608" s="48">
        <v>45184</v>
      </c>
      <c r="H608" s="47" t="s">
        <v>41</v>
      </c>
      <c r="I608" s="47" t="s">
        <v>41</v>
      </c>
      <c r="J608" s="47" t="s">
        <v>41</v>
      </c>
      <c r="K608" s="47" t="s">
        <v>4</v>
      </c>
    </row>
    <row r="609" spans="1:11" x14ac:dyDescent="0.25">
      <c r="A609" s="44">
        <v>2702</v>
      </c>
      <c r="B609" s="46">
        <v>45171</v>
      </c>
      <c r="C609" s="44" t="s">
        <v>40</v>
      </c>
      <c r="D609" s="47">
        <v>5</v>
      </c>
      <c r="E609" s="48">
        <v>45175</v>
      </c>
      <c r="F609" s="47">
        <v>9</v>
      </c>
      <c r="G609" s="48">
        <v>45185</v>
      </c>
      <c r="H609" s="47" t="s">
        <v>3</v>
      </c>
      <c r="I609" s="47" t="s">
        <v>41</v>
      </c>
      <c r="J609" s="47" t="s">
        <v>41</v>
      </c>
      <c r="K609" s="47" t="s">
        <v>41</v>
      </c>
    </row>
    <row r="610" spans="1:11" x14ac:dyDescent="0.25">
      <c r="A610" s="44">
        <v>2406</v>
      </c>
      <c r="B610" s="46">
        <v>45171</v>
      </c>
      <c r="C610" s="44" t="s">
        <v>50</v>
      </c>
      <c r="D610" s="47">
        <v>5</v>
      </c>
      <c r="E610" s="48">
        <v>45175</v>
      </c>
      <c r="F610" s="47">
        <v>3</v>
      </c>
      <c r="G610" s="48">
        <v>45179</v>
      </c>
      <c r="H610" s="47" t="s">
        <v>3</v>
      </c>
      <c r="I610" s="47" t="s">
        <v>41</v>
      </c>
      <c r="J610" s="47" t="s">
        <v>41</v>
      </c>
      <c r="K610" s="47" t="s">
        <v>41</v>
      </c>
    </row>
    <row r="611" spans="1:11" x14ac:dyDescent="0.25">
      <c r="A611" s="44">
        <v>3324</v>
      </c>
      <c r="B611" s="46">
        <v>45173</v>
      </c>
      <c r="C611" s="44" t="s">
        <v>81</v>
      </c>
      <c r="D611" s="47">
        <v>5</v>
      </c>
      <c r="E611" s="48">
        <v>45177</v>
      </c>
      <c r="F611" s="47">
        <v>3</v>
      </c>
      <c r="G611" s="48">
        <v>45181</v>
      </c>
      <c r="H611" s="47" t="s">
        <v>3</v>
      </c>
      <c r="I611" s="47" t="s">
        <v>41</v>
      </c>
      <c r="J611" s="47" t="s">
        <v>41</v>
      </c>
      <c r="K611" s="47" t="s">
        <v>41</v>
      </c>
    </row>
    <row r="612" spans="1:11" x14ac:dyDescent="0.25">
      <c r="A612" s="44">
        <v>941</v>
      </c>
      <c r="B612" s="46">
        <v>45173</v>
      </c>
      <c r="C612" s="44" t="s">
        <v>81</v>
      </c>
      <c r="D612" s="47">
        <v>5</v>
      </c>
      <c r="E612" s="48">
        <v>45177</v>
      </c>
      <c r="F612" s="47">
        <v>3</v>
      </c>
      <c r="G612" s="48">
        <v>45181</v>
      </c>
      <c r="H612" s="47" t="s">
        <v>41</v>
      </c>
      <c r="I612" s="47" t="s">
        <v>5</v>
      </c>
      <c r="J612" s="47" t="s">
        <v>41</v>
      </c>
      <c r="K612" s="47" t="s">
        <v>41</v>
      </c>
    </row>
    <row r="613" spans="1:11" x14ac:dyDescent="0.25">
      <c r="A613" s="44">
        <v>3710</v>
      </c>
      <c r="B613" s="46">
        <v>45174</v>
      </c>
      <c r="C613" s="44" t="s">
        <v>50</v>
      </c>
      <c r="D613" s="47">
        <v>5</v>
      </c>
      <c r="E613" s="48">
        <v>45178</v>
      </c>
      <c r="F613" s="47">
        <v>3</v>
      </c>
      <c r="G613" s="48">
        <v>45182</v>
      </c>
      <c r="H613" s="47" t="s">
        <v>41</v>
      </c>
      <c r="I613" s="47" t="s">
        <v>5</v>
      </c>
      <c r="J613" s="47" t="s">
        <v>41</v>
      </c>
      <c r="K613" s="47" t="s">
        <v>41</v>
      </c>
    </row>
    <row r="614" spans="1:11" x14ac:dyDescent="0.25">
      <c r="A614" s="44">
        <v>1206</v>
      </c>
      <c r="B614" s="46">
        <v>45174</v>
      </c>
      <c r="C614" s="44" t="s">
        <v>40</v>
      </c>
      <c r="D614" s="47">
        <v>5</v>
      </c>
      <c r="E614" s="48">
        <v>45178</v>
      </c>
      <c r="F614" s="47">
        <v>9</v>
      </c>
      <c r="G614" s="48">
        <v>45188</v>
      </c>
      <c r="H614" s="47" t="s">
        <v>41</v>
      </c>
      <c r="I614" s="47" t="s">
        <v>5</v>
      </c>
      <c r="J614" s="47" t="s">
        <v>41</v>
      </c>
      <c r="K614" s="47" t="s">
        <v>41</v>
      </c>
    </row>
    <row r="615" spans="1:11" x14ac:dyDescent="0.25">
      <c r="A615" s="44">
        <v>2622</v>
      </c>
      <c r="B615" s="46">
        <v>45174</v>
      </c>
      <c r="C615" s="44" t="s">
        <v>81</v>
      </c>
      <c r="D615" s="47">
        <v>5</v>
      </c>
      <c r="E615" s="48">
        <v>45178</v>
      </c>
      <c r="F615" s="47">
        <v>3</v>
      </c>
      <c r="G615" s="48">
        <v>45182</v>
      </c>
      <c r="H615" s="47" t="s">
        <v>41</v>
      </c>
      <c r="I615" s="47" t="s">
        <v>41</v>
      </c>
      <c r="J615" s="47" t="s">
        <v>41</v>
      </c>
      <c r="K615" s="47" t="s">
        <v>4</v>
      </c>
    </row>
    <row r="616" spans="1:11" x14ac:dyDescent="0.25">
      <c r="A616" s="44">
        <v>3231</v>
      </c>
      <c r="B616" s="46">
        <v>45174</v>
      </c>
      <c r="C616" s="44" t="s">
        <v>81</v>
      </c>
      <c r="D616" s="47">
        <v>5</v>
      </c>
      <c r="E616" s="48">
        <v>45178</v>
      </c>
      <c r="F616" s="47">
        <v>3</v>
      </c>
      <c r="G616" s="48">
        <v>45182</v>
      </c>
      <c r="H616" s="47" t="s">
        <v>41</v>
      </c>
      <c r="I616" s="47" t="s">
        <v>41</v>
      </c>
      <c r="J616" s="47" t="s">
        <v>41</v>
      </c>
      <c r="K616" s="47" t="s">
        <v>4</v>
      </c>
    </row>
    <row r="617" spans="1:11" x14ac:dyDescent="0.25">
      <c r="A617" s="44">
        <v>2461</v>
      </c>
      <c r="B617" s="46">
        <v>45175</v>
      </c>
      <c r="C617" s="44" t="s">
        <v>40</v>
      </c>
      <c r="D617" s="47">
        <v>5</v>
      </c>
      <c r="E617" s="48">
        <v>45179</v>
      </c>
      <c r="F617" s="47">
        <v>9</v>
      </c>
      <c r="G617" s="48">
        <v>45189</v>
      </c>
      <c r="H617" s="47" t="s">
        <v>3</v>
      </c>
      <c r="I617" s="47" t="s">
        <v>41</v>
      </c>
      <c r="J617" s="47" t="s">
        <v>41</v>
      </c>
      <c r="K617" s="47" t="s">
        <v>41</v>
      </c>
    </row>
    <row r="618" spans="1:11" x14ac:dyDescent="0.25">
      <c r="A618" s="44">
        <v>2969</v>
      </c>
      <c r="B618" s="46">
        <v>45153</v>
      </c>
      <c r="C618" s="44" t="s">
        <v>40</v>
      </c>
      <c r="D618" s="47">
        <v>5</v>
      </c>
      <c r="E618" s="48">
        <v>45157</v>
      </c>
      <c r="F618" s="47">
        <v>9</v>
      </c>
      <c r="G618" s="48">
        <v>45167</v>
      </c>
      <c r="H618" s="47" t="s">
        <v>3</v>
      </c>
      <c r="I618" s="47" t="s">
        <v>5</v>
      </c>
      <c r="J618" s="47" t="s">
        <v>41</v>
      </c>
      <c r="K618" s="47" t="s">
        <v>4</v>
      </c>
    </row>
    <row r="619" spans="1:11" x14ac:dyDescent="0.25">
      <c r="A619" s="44">
        <v>1306</v>
      </c>
      <c r="B619" s="46">
        <v>45153</v>
      </c>
      <c r="C619" s="44" t="s">
        <v>40</v>
      </c>
      <c r="D619" s="47">
        <v>5</v>
      </c>
      <c r="E619" s="48">
        <v>45157</v>
      </c>
      <c r="F619" s="47">
        <v>9</v>
      </c>
      <c r="G619" s="48">
        <v>45167</v>
      </c>
      <c r="H619" s="47" t="s">
        <v>41</v>
      </c>
      <c r="I619" s="47" t="s">
        <v>41</v>
      </c>
      <c r="J619" s="47" t="s">
        <v>1</v>
      </c>
      <c r="K619" s="47" t="s">
        <v>41</v>
      </c>
    </row>
    <row r="620" spans="1:11" x14ac:dyDescent="0.25">
      <c r="A620" s="44">
        <v>1584</v>
      </c>
      <c r="B620" s="46">
        <v>45153</v>
      </c>
      <c r="C620" s="44" t="s">
        <v>50</v>
      </c>
      <c r="D620" s="47">
        <v>5</v>
      </c>
      <c r="E620" s="48">
        <v>45157</v>
      </c>
      <c r="F620" s="47">
        <v>3</v>
      </c>
      <c r="G620" s="48">
        <v>45160</v>
      </c>
      <c r="H620" s="47" t="s">
        <v>41</v>
      </c>
      <c r="I620" s="47" t="s">
        <v>5</v>
      </c>
      <c r="J620" s="47" t="s">
        <v>41</v>
      </c>
      <c r="K620" s="47" t="s">
        <v>41</v>
      </c>
    </row>
    <row r="621" spans="1:11" x14ac:dyDescent="0.25">
      <c r="A621" s="44">
        <v>2218</v>
      </c>
      <c r="B621" s="46">
        <v>45153</v>
      </c>
      <c r="C621" s="44" t="s">
        <v>50</v>
      </c>
      <c r="D621" s="47">
        <v>5</v>
      </c>
      <c r="E621" s="48">
        <v>45157</v>
      </c>
      <c r="F621" s="47">
        <v>3</v>
      </c>
      <c r="G621" s="48">
        <v>45160</v>
      </c>
      <c r="H621" s="47" t="s">
        <v>41</v>
      </c>
      <c r="I621" s="47" t="s">
        <v>5</v>
      </c>
      <c r="J621" s="47" t="s">
        <v>41</v>
      </c>
      <c r="K621" s="47" t="s">
        <v>41</v>
      </c>
    </row>
    <row r="622" spans="1:11" x14ac:dyDescent="0.25">
      <c r="A622" s="44">
        <v>2553</v>
      </c>
      <c r="B622" s="46">
        <v>45154</v>
      </c>
      <c r="C622" s="44" t="s">
        <v>50</v>
      </c>
      <c r="D622" s="47">
        <v>5</v>
      </c>
      <c r="E622" s="48">
        <v>45157</v>
      </c>
      <c r="F622" s="47">
        <v>9</v>
      </c>
      <c r="G622" s="48">
        <v>45167</v>
      </c>
      <c r="H622" s="47" t="s">
        <v>41</v>
      </c>
      <c r="I622" s="47" t="s">
        <v>5</v>
      </c>
      <c r="J622" s="47" t="s">
        <v>41</v>
      </c>
      <c r="K622" s="47" t="s">
        <v>4</v>
      </c>
    </row>
    <row r="623" spans="1:11" x14ac:dyDescent="0.25">
      <c r="A623" s="44">
        <v>2797</v>
      </c>
      <c r="B623" s="46">
        <v>45154</v>
      </c>
      <c r="C623" s="44" t="s">
        <v>50</v>
      </c>
      <c r="D623" s="47">
        <v>5</v>
      </c>
      <c r="E623" s="48">
        <v>45158</v>
      </c>
      <c r="F623" s="47">
        <v>3</v>
      </c>
      <c r="G623" s="48">
        <v>45159</v>
      </c>
      <c r="H623" s="47" t="s">
        <v>41</v>
      </c>
      <c r="I623" s="47" t="s">
        <v>41</v>
      </c>
      <c r="J623" s="47" t="s">
        <v>1</v>
      </c>
      <c r="K623" s="47" t="s">
        <v>41</v>
      </c>
    </row>
    <row r="624" spans="1:11" x14ac:dyDescent="0.25">
      <c r="A624" s="44">
        <v>3398</v>
      </c>
      <c r="B624" s="46">
        <v>45155</v>
      </c>
      <c r="C624" s="44" t="s">
        <v>50</v>
      </c>
      <c r="D624" s="47">
        <v>5</v>
      </c>
      <c r="E624" s="48">
        <v>45158</v>
      </c>
      <c r="F624" s="47">
        <v>3</v>
      </c>
      <c r="G624" s="48">
        <v>45162</v>
      </c>
      <c r="H624" s="47" t="s">
        <v>41</v>
      </c>
      <c r="I624" s="47" t="s">
        <v>41</v>
      </c>
      <c r="J624" s="47" t="s">
        <v>1</v>
      </c>
      <c r="K624" s="47" t="s">
        <v>41</v>
      </c>
    </row>
    <row r="625" spans="1:11" x14ac:dyDescent="0.25">
      <c r="A625" s="44">
        <v>2449</v>
      </c>
      <c r="B625" s="46">
        <v>45156</v>
      </c>
      <c r="C625" s="44" t="s">
        <v>40</v>
      </c>
      <c r="D625" s="47">
        <v>5</v>
      </c>
      <c r="E625" s="48">
        <v>45159</v>
      </c>
      <c r="F625" s="47">
        <v>3</v>
      </c>
      <c r="G625" s="48">
        <v>45163</v>
      </c>
      <c r="H625" s="47" t="s">
        <v>3</v>
      </c>
      <c r="I625" s="47" t="s">
        <v>41</v>
      </c>
      <c r="J625" s="47" t="s">
        <v>41</v>
      </c>
      <c r="K625" s="47" t="s">
        <v>41</v>
      </c>
    </row>
    <row r="626" spans="1:11" x14ac:dyDescent="0.25">
      <c r="A626" s="44">
        <v>3231</v>
      </c>
      <c r="B626" s="46">
        <v>45156</v>
      </c>
      <c r="C626" s="44" t="s">
        <v>40</v>
      </c>
      <c r="D626" s="47">
        <v>5</v>
      </c>
      <c r="E626" s="48">
        <v>45160</v>
      </c>
      <c r="F626" s="47">
        <v>9</v>
      </c>
      <c r="G626" s="47" t="s">
        <v>82</v>
      </c>
      <c r="H626" s="47" t="s">
        <v>41</v>
      </c>
      <c r="I626" s="47" t="s">
        <v>5</v>
      </c>
      <c r="J626" s="47" t="s">
        <v>41</v>
      </c>
      <c r="K626" s="47" t="s">
        <v>41</v>
      </c>
    </row>
    <row r="627" spans="1:11" x14ac:dyDescent="0.25">
      <c r="A627" s="44">
        <v>2458</v>
      </c>
      <c r="B627" s="46">
        <v>45156</v>
      </c>
      <c r="C627" s="44" t="s">
        <v>40</v>
      </c>
      <c r="D627" s="47">
        <v>5</v>
      </c>
      <c r="E627" s="48">
        <v>45160</v>
      </c>
      <c r="F627" s="47">
        <v>9</v>
      </c>
      <c r="G627" s="47" t="s">
        <v>83</v>
      </c>
      <c r="H627" s="47" t="s">
        <v>41</v>
      </c>
      <c r="I627" s="47" t="s">
        <v>5</v>
      </c>
      <c r="J627" s="47" t="s">
        <v>41</v>
      </c>
      <c r="K627" s="47" t="s">
        <v>41</v>
      </c>
    </row>
    <row r="628" spans="1:11" x14ac:dyDescent="0.25">
      <c r="A628" s="44">
        <v>2185</v>
      </c>
      <c r="B628" s="46">
        <v>45156</v>
      </c>
      <c r="C628" s="44" t="s">
        <v>40</v>
      </c>
      <c r="D628" s="47">
        <v>3</v>
      </c>
      <c r="E628" s="48">
        <v>45158</v>
      </c>
      <c r="F628" s="47">
        <v>9</v>
      </c>
      <c r="G628" s="48">
        <v>45167</v>
      </c>
      <c r="H628" s="47" t="s">
        <v>3</v>
      </c>
      <c r="I628" s="47" t="s">
        <v>41</v>
      </c>
      <c r="J628" s="47" t="s">
        <v>41</v>
      </c>
      <c r="K628" s="47" t="s">
        <v>41</v>
      </c>
    </row>
    <row r="629" spans="1:11" x14ac:dyDescent="0.25">
      <c r="A629" s="44">
        <v>2116</v>
      </c>
      <c r="B629" s="46">
        <v>45156</v>
      </c>
      <c r="C629" s="44" t="s">
        <v>50</v>
      </c>
      <c r="D629" s="47">
        <v>5</v>
      </c>
      <c r="E629" s="48">
        <v>45160</v>
      </c>
      <c r="F629" s="47">
        <v>3</v>
      </c>
      <c r="G629" s="48">
        <v>45164</v>
      </c>
      <c r="H629" s="47" t="s">
        <v>3</v>
      </c>
      <c r="I629" s="47" t="s">
        <v>41</v>
      </c>
      <c r="J629" s="47" t="s">
        <v>41</v>
      </c>
      <c r="K629" s="47" t="s">
        <v>41</v>
      </c>
    </row>
    <row r="630" spans="1:11" x14ac:dyDescent="0.25">
      <c r="A630" s="44">
        <v>548</v>
      </c>
      <c r="B630" s="46">
        <v>45157</v>
      </c>
      <c r="C630" s="44" t="s">
        <v>50</v>
      </c>
      <c r="D630" s="47">
        <v>5</v>
      </c>
      <c r="E630" s="48">
        <v>45161</v>
      </c>
      <c r="F630" s="47">
        <v>3</v>
      </c>
      <c r="G630" s="48">
        <v>45165</v>
      </c>
      <c r="H630" s="47" t="s">
        <v>3</v>
      </c>
      <c r="I630" s="47" t="s">
        <v>41</v>
      </c>
      <c r="J630" s="47" t="s">
        <v>41</v>
      </c>
      <c r="K630" s="47" t="s">
        <v>41</v>
      </c>
    </row>
    <row r="631" spans="1:11" x14ac:dyDescent="0.25">
      <c r="A631" s="44">
        <v>3449</v>
      </c>
      <c r="B631" s="46">
        <v>45157</v>
      </c>
      <c r="C631" s="44" t="s">
        <v>50</v>
      </c>
      <c r="D631" s="47">
        <v>5</v>
      </c>
      <c r="E631" s="48">
        <v>45161</v>
      </c>
      <c r="F631" s="47">
        <v>3</v>
      </c>
      <c r="G631" s="48">
        <v>45165</v>
      </c>
      <c r="H631" s="47" t="s">
        <v>3</v>
      </c>
      <c r="I631" s="47" t="s">
        <v>5</v>
      </c>
      <c r="J631" s="47" t="s">
        <v>41</v>
      </c>
      <c r="K631" s="47" t="s">
        <v>41</v>
      </c>
    </row>
    <row r="632" spans="1:11" x14ac:dyDescent="0.25">
      <c r="A632" s="44">
        <v>1788</v>
      </c>
      <c r="B632" s="46">
        <v>45158</v>
      </c>
      <c r="C632" s="44" t="s">
        <v>40</v>
      </c>
      <c r="D632" s="47">
        <v>5</v>
      </c>
      <c r="E632" s="48">
        <v>45162</v>
      </c>
      <c r="F632" s="47">
        <v>9</v>
      </c>
      <c r="G632" s="48">
        <v>45171</v>
      </c>
      <c r="H632" s="47" t="s">
        <v>3</v>
      </c>
      <c r="I632" s="47" t="s">
        <v>41</v>
      </c>
      <c r="J632" s="47" t="s">
        <v>41</v>
      </c>
      <c r="K632" s="47" t="s">
        <v>41</v>
      </c>
    </row>
    <row r="633" spans="1:11" x14ac:dyDescent="0.25">
      <c r="A633" s="44">
        <v>2422</v>
      </c>
      <c r="B633" s="46">
        <v>45158</v>
      </c>
      <c r="C633" s="44" t="s">
        <v>40</v>
      </c>
      <c r="D633" s="47">
        <v>5</v>
      </c>
      <c r="E633" s="48">
        <v>45162</v>
      </c>
      <c r="F633" s="47">
        <v>9</v>
      </c>
      <c r="G633" s="48">
        <v>45171</v>
      </c>
      <c r="H633" s="47" t="s">
        <v>41</v>
      </c>
      <c r="I633" s="47" t="s">
        <v>41</v>
      </c>
      <c r="J633" s="47" t="s">
        <v>1</v>
      </c>
      <c r="K633" s="47" t="s">
        <v>41</v>
      </c>
    </row>
    <row r="634" spans="1:11" x14ac:dyDescent="0.25">
      <c r="A634" s="44">
        <v>2706</v>
      </c>
      <c r="B634" s="46">
        <v>45158</v>
      </c>
      <c r="C634" s="44" t="s">
        <v>50</v>
      </c>
      <c r="D634" s="47">
        <v>5</v>
      </c>
      <c r="E634" s="48">
        <v>45162</v>
      </c>
      <c r="F634" s="47">
        <v>3</v>
      </c>
      <c r="G634" s="48">
        <v>45166</v>
      </c>
      <c r="H634" s="47" t="s">
        <v>41</v>
      </c>
      <c r="I634" s="47" t="s">
        <v>41</v>
      </c>
      <c r="J634" s="47" t="s">
        <v>1</v>
      </c>
      <c r="K634" s="47" t="s">
        <v>41</v>
      </c>
    </row>
    <row r="635" spans="1:11" x14ac:dyDescent="0.25">
      <c r="A635" s="44">
        <v>2770</v>
      </c>
      <c r="B635" s="46">
        <v>45158</v>
      </c>
      <c r="C635" s="44" t="s">
        <v>40</v>
      </c>
      <c r="D635" s="47">
        <v>5</v>
      </c>
      <c r="E635" s="48">
        <v>45162</v>
      </c>
      <c r="F635" s="47">
        <v>9</v>
      </c>
      <c r="G635" s="48">
        <v>45172</v>
      </c>
      <c r="H635" s="47" t="s">
        <v>3</v>
      </c>
      <c r="I635" s="47" t="s">
        <v>5</v>
      </c>
      <c r="J635" s="47" t="s">
        <v>41</v>
      </c>
      <c r="K635" s="47" t="s">
        <v>4</v>
      </c>
    </row>
    <row r="636" spans="1:11" x14ac:dyDescent="0.25">
      <c r="A636" s="44">
        <v>2622</v>
      </c>
      <c r="B636" s="46">
        <v>45160</v>
      </c>
      <c r="C636" s="44" t="s">
        <v>40</v>
      </c>
      <c r="D636" s="47">
        <v>5</v>
      </c>
      <c r="E636" s="48">
        <v>45164</v>
      </c>
      <c r="F636" s="47">
        <v>9</v>
      </c>
      <c r="G636" s="48">
        <v>45174</v>
      </c>
      <c r="H636" s="47" t="s">
        <v>41</v>
      </c>
      <c r="I636" s="47" t="s">
        <v>41</v>
      </c>
      <c r="J636" s="47" t="s">
        <v>1</v>
      </c>
      <c r="K636" s="47" t="s">
        <v>41</v>
      </c>
    </row>
    <row r="637" spans="1:11" x14ac:dyDescent="0.25">
      <c r="A637" s="44">
        <v>3324</v>
      </c>
      <c r="B637" s="46">
        <v>45160</v>
      </c>
      <c r="C637" s="44" t="s">
        <v>50</v>
      </c>
      <c r="D637" s="47">
        <v>8</v>
      </c>
      <c r="E637" s="48">
        <v>45167</v>
      </c>
      <c r="F637" s="47">
        <v>3</v>
      </c>
      <c r="G637" s="48">
        <v>45171</v>
      </c>
      <c r="H637" s="47" t="s">
        <v>3</v>
      </c>
      <c r="I637" s="47" t="s">
        <v>5</v>
      </c>
      <c r="J637" s="47" t="s">
        <v>41</v>
      </c>
      <c r="K637" s="47" t="s">
        <v>41</v>
      </c>
    </row>
    <row r="638" spans="1:11" x14ac:dyDescent="0.25">
      <c r="A638" s="44">
        <v>2211</v>
      </c>
      <c r="B638" s="46">
        <v>45160</v>
      </c>
      <c r="C638" s="44" t="s">
        <v>50</v>
      </c>
      <c r="D638" s="47">
        <v>5</v>
      </c>
      <c r="E638" s="48">
        <v>45164</v>
      </c>
      <c r="F638" s="47">
        <v>3</v>
      </c>
      <c r="G638" s="48">
        <v>45168</v>
      </c>
      <c r="H638" s="47" t="s">
        <v>3</v>
      </c>
      <c r="I638" s="47" t="s">
        <v>41</v>
      </c>
      <c r="J638" s="47" t="s">
        <v>41</v>
      </c>
      <c r="K638" s="47" t="s">
        <v>41</v>
      </c>
    </row>
    <row r="639" spans="1:11" x14ac:dyDescent="0.25">
      <c r="A639" s="44">
        <v>1894</v>
      </c>
      <c r="B639" s="46">
        <v>45160</v>
      </c>
      <c r="C639" s="44" t="s">
        <v>50</v>
      </c>
      <c r="D639" s="47">
        <v>5</v>
      </c>
      <c r="E639" s="48">
        <v>45164</v>
      </c>
      <c r="F639" s="47">
        <v>3</v>
      </c>
      <c r="G639" s="48">
        <v>45168</v>
      </c>
      <c r="H639" s="47" t="s">
        <v>3</v>
      </c>
      <c r="I639" s="47" t="s">
        <v>5</v>
      </c>
      <c r="J639" s="47" t="s">
        <v>41</v>
      </c>
      <c r="K639" s="47" t="s">
        <v>4</v>
      </c>
    </row>
    <row r="640" spans="1:11" x14ac:dyDescent="0.25">
      <c r="A640" s="44">
        <v>3012</v>
      </c>
      <c r="B640" s="46">
        <v>45160</v>
      </c>
      <c r="C640" s="44" t="s">
        <v>50</v>
      </c>
      <c r="D640" s="47">
        <v>5</v>
      </c>
      <c r="E640" s="48">
        <v>45164</v>
      </c>
      <c r="F640" s="47">
        <v>3</v>
      </c>
      <c r="G640" s="48">
        <v>45168</v>
      </c>
      <c r="H640" s="47" t="s">
        <v>3</v>
      </c>
      <c r="I640" s="47" t="s">
        <v>5</v>
      </c>
      <c r="J640" s="47" t="s">
        <v>1</v>
      </c>
      <c r="K640" s="47" t="s">
        <v>4</v>
      </c>
    </row>
    <row r="641" spans="1:11" x14ac:dyDescent="0.25">
      <c r="A641" s="44">
        <v>1306</v>
      </c>
      <c r="B641" s="46">
        <v>45160</v>
      </c>
      <c r="C641" s="44" t="s">
        <v>40</v>
      </c>
      <c r="D641" s="47">
        <v>5</v>
      </c>
      <c r="E641" s="48">
        <v>45164</v>
      </c>
      <c r="F641" s="47">
        <v>9</v>
      </c>
      <c r="G641" s="48">
        <v>45174</v>
      </c>
      <c r="H641" s="47" t="s">
        <v>41</v>
      </c>
      <c r="I641" s="47" t="s">
        <v>41</v>
      </c>
      <c r="J641" s="47" t="s">
        <v>1</v>
      </c>
      <c r="K641" s="47" t="s">
        <v>41</v>
      </c>
    </row>
    <row r="642" spans="1:11" x14ac:dyDescent="0.25">
      <c r="A642" s="44">
        <v>2632</v>
      </c>
      <c r="B642" s="46">
        <v>45161</v>
      </c>
      <c r="C642" s="44" t="s">
        <v>40</v>
      </c>
      <c r="D642" s="47">
        <v>5</v>
      </c>
      <c r="E642" s="48">
        <v>45165</v>
      </c>
      <c r="F642" s="47">
        <v>9</v>
      </c>
      <c r="G642" s="48">
        <v>45175</v>
      </c>
      <c r="H642" s="47" t="s">
        <v>3</v>
      </c>
      <c r="I642" s="47" t="s">
        <v>41</v>
      </c>
      <c r="J642" s="47" t="s">
        <v>41</v>
      </c>
      <c r="K642" s="47" t="s">
        <v>41</v>
      </c>
    </row>
    <row r="643" spans="1:11" x14ac:dyDescent="0.25">
      <c r="A643" s="44">
        <v>2171</v>
      </c>
      <c r="B643" s="46">
        <v>45161</v>
      </c>
      <c r="C643" s="44" t="s">
        <v>43</v>
      </c>
      <c r="D643" s="47">
        <v>5</v>
      </c>
      <c r="E643" s="48">
        <v>45165</v>
      </c>
      <c r="F643" s="47">
        <v>4</v>
      </c>
      <c r="G643" s="48">
        <v>45170</v>
      </c>
      <c r="H643" s="47" t="s">
        <v>3</v>
      </c>
      <c r="I643" s="47" t="s">
        <v>41</v>
      </c>
      <c r="J643" s="47" t="s">
        <v>41</v>
      </c>
      <c r="K643" s="47" t="s">
        <v>41</v>
      </c>
    </row>
    <row r="644" spans="1:11" x14ac:dyDescent="0.25">
      <c r="A644" s="44">
        <v>1933</v>
      </c>
      <c r="B644" s="46">
        <v>45161</v>
      </c>
      <c r="C644" s="44" t="s">
        <v>43</v>
      </c>
      <c r="D644" s="47">
        <v>5</v>
      </c>
      <c r="E644" s="48">
        <v>45165</v>
      </c>
      <c r="F644" s="47">
        <v>4</v>
      </c>
      <c r="G644" s="48">
        <v>45170</v>
      </c>
      <c r="H644" s="47" t="s">
        <v>41</v>
      </c>
      <c r="I644" s="47" t="s">
        <v>5</v>
      </c>
      <c r="J644" s="47" t="s">
        <v>41</v>
      </c>
      <c r="K644" s="47" t="s">
        <v>41</v>
      </c>
    </row>
    <row r="645" spans="1:11" x14ac:dyDescent="0.25">
      <c r="A645" s="44">
        <v>2422</v>
      </c>
      <c r="B645" s="46">
        <v>45162</v>
      </c>
      <c r="C645" s="44" t="s">
        <v>40</v>
      </c>
      <c r="D645" s="47">
        <v>5</v>
      </c>
      <c r="E645" s="48">
        <v>45166</v>
      </c>
      <c r="F645" s="47">
        <v>9</v>
      </c>
      <c r="G645" s="48">
        <v>45175</v>
      </c>
      <c r="H645" s="47" t="s">
        <v>3</v>
      </c>
      <c r="I645" s="47" t="s">
        <v>5</v>
      </c>
      <c r="J645" s="47" t="s">
        <v>1</v>
      </c>
      <c r="K645" s="47" t="s">
        <v>41</v>
      </c>
    </row>
    <row r="646" spans="1:11" x14ac:dyDescent="0.25">
      <c r="A646" s="44">
        <v>2230</v>
      </c>
      <c r="B646" s="46">
        <v>45162</v>
      </c>
      <c r="C646" s="44" t="s">
        <v>50</v>
      </c>
      <c r="D646" s="47">
        <v>5</v>
      </c>
      <c r="E646" s="48">
        <v>45166</v>
      </c>
      <c r="F646" s="47">
        <v>3</v>
      </c>
      <c r="G646" s="48">
        <v>45170</v>
      </c>
      <c r="H646" s="47" t="s">
        <v>41</v>
      </c>
      <c r="I646" s="47" t="s">
        <v>5</v>
      </c>
      <c r="J646" s="47" t="s">
        <v>41</v>
      </c>
      <c r="K646" s="47" t="s">
        <v>41</v>
      </c>
    </row>
    <row r="647" spans="1:11" x14ac:dyDescent="0.25">
      <c r="A647" s="44">
        <v>919</v>
      </c>
      <c r="B647" s="46">
        <v>45162</v>
      </c>
      <c r="C647" s="44" t="s">
        <v>43</v>
      </c>
      <c r="D647" s="47">
        <v>8</v>
      </c>
      <c r="E647" s="48">
        <v>45170</v>
      </c>
      <c r="F647" s="47">
        <v>4</v>
      </c>
      <c r="G647" s="48">
        <v>45175</v>
      </c>
      <c r="H647" s="47" t="s">
        <v>41</v>
      </c>
      <c r="I647" s="47" t="s">
        <v>5</v>
      </c>
      <c r="J647" s="47" t="s">
        <v>41</v>
      </c>
      <c r="K647" s="47" t="s">
        <v>41</v>
      </c>
    </row>
    <row r="648" spans="1:11" x14ac:dyDescent="0.25">
      <c r="A648" s="44">
        <v>2553</v>
      </c>
      <c r="B648" s="46">
        <v>45163</v>
      </c>
      <c r="C648" s="44" t="s">
        <v>43</v>
      </c>
      <c r="D648" s="47">
        <v>1</v>
      </c>
      <c r="E648" s="48">
        <v>45163</v>
      </c>
      <c r="F648" s="47">
        <v>4</v>
      </c>
      <c r="G648" s="48">
        <v>45168</v>
      </c>
      <c r="H648" s="47" t="s">
        <v>41</v>
      </c>
      <c r="I648" s="47" t="s">
        <v>5</v>
      </c>
      <c r="J648" s="47" t="s">
        <v>41</v>
      </c>
      <c r="K648" s="47" t="s">
        <v>41</v>
      </c>
    </row>
    <row r="649" spans="1:11" x14ac:dyDescent="0.25">
      <c r="A649" s="44">
        <v>2038</v>
      </c>
      <c r="B649" s="46">
        <v>45163</v>
      </c>
      <c r="C649" s="44" t="s">
        <v>50</v>
      </c>
      <c r="D649" s="47">
        <v>5</v>
      </c>
      <c r="E649" s="48">
        <v>45168</v>
      </c>
      <c r="F649" s="47">
        <v>3</v>
      </c>
      <c r="G649" s="48">
        <v>45172</v>
      </c>
      <c r="H649" s="47" t="s">
        <v>41</v>
      </c>
      <c r="I649" s="47" t="s">
        <v>41</v>
      </c>
      <c r="J649" s="47" t="s">
        <v>41</v>
      </c>
      <c r="K649" s="47" t="s">
        <v>41</v>
      </c>
    </row>
    <row r="650" spans="1:11" x14ac:dyDescent="0.25">
      <c r="A650" s="44">
        <v>2512</v>
      </c>
      <c r="B650" s="46">
        <v>45164</v>
      </c>
      <c r="C650" s="44" t="s">
        <v>50</v>
      </c>
      <c r="D650" s="47">
        <v>5</v>
      </c>
      <c r="E650" s="48">
        <v>45168</v>
      </c>
      <c r="F650" s="47">
        <v>3</v>
      </c>
      <c r="G650" s="48">
        <v>45172</v>
      </c>
      <c r="H650" s="47" t="s">
        <v>41</v>
      </c>
      <c r="I650" s="47" t="s">
        <v>41</v>
      </c>
      <c r="J650" s="47" t="s">
        <v>41</v>
      </c>
      <c r="K650" s="47" t="s">
        <v>4</v>
      </c>
    </row>
    <row r="651" spans="1:11" x14ac:dyDescent="0.25">
      <c r="A651" s="44">
        <v>2540</v>
      </c>
      <c r="B651" s="46">
        <v>45164</v>
      </c>
      <c r="C651" s="44" t="s">
        <v>40</v>
      </c>
      <c r="D651" s="47">
        <v>5</v>
      </c>
      <c r="E651" s="48">
        <v>45168</v>
      </c>
      <c r="F651" s="47">
        <v>9</v>
      </c>
      <c r="G651" s="48">
        <v>45178</v>
      </c>
      <c r="H651" s="47" t="s">
        <v>41</v>
      </c>
      <c r="I651" s="47" t="s">
        <v>5</v>
      </c>
      <c r="J651" s="47" t="s">
        <v>41</v>
      </c>
      <c r="K651" s="47" t="s">
        <v>41</v>
      </c>
    </row>
    <row r="652" spans="1:11" x14ac:dyDescent="0.25">
      <c r="A652" s="44">
        <v>2653</v>
      </c>
      <c r="B652" s="46">
        <v>45164</v>
      </c>
      <c r="C652" s="44" t="s">
        <v>81</v>
      </c>
      <c r="D652" s="47">
        <v>5</v>
      </c>
      <c r="E652" s="48">
        <v>45169</v>
      </c>
      <c r="F652" s="47">
        <v>3</v>
      </c>
      <c r="G652" s="48">
        <v>45173</v>
      </c>
      <c r="H652" s="47" t="s">
        <v>41</v>
      </c>
      <c r="I652" s="47" t="s">
        <v>5</v>
      </c>
      <c r="J652" s="47" t="s">
        <v>41</v>
      </c>
      <c r="K652" s="47" t="s">
        <v>41</v>
      </c>
    </row>
    <row r="653" spans="1:11" x14ac:dyDescent="0.25">
      <c r="A653" s="44">
        <v>2449</v>
      </c>
      <c r="B653" s="46">
        <v>45165</v>
      </c>
      <c r="C653" s="44" t="s">
        <v>40</v>
      </c>
      <c r="D653" s="47">
        <v>5</v>
      </c>
      <c r="E653" s="48">
        <v>45169</v>
      </c>
      <c r="F653" s="47">
        <v>4</v>
      </c>
      <c r="G653" s="48">
        <v>45179</v>
      </c>
      <c r="H653" s="47" t="s">
        <v>3</v>
      </c>
      <c r="I653" s="47" t="s">
        <v>41</v>
      </c>
      <c r="J653" s="47" t="s">
        <v>41</v>
      </c>
      <c r="K653" s="47" t="s">
        <v>41</v>
      </c>
    </row>
    <row r="654" spans="1:11" x14ac:dyDescent="0.25">
      <c r="A654" s="44">
        <v>1933</v>
      </c>
      <c r="B654" s="46">
        <v>45165</v>
      </c>
      <c r="C654" s="44" t="s">
        <v>43</v>
      </c>
      <c r="D654" s="47">
        <v>3</v>
      </c>
      <c r="E654" s="48">
        <v>45167</v>
      </c>
      <c r="F654" s="47">
        <v>4</v>
      </c>
      <c r="G654" s="48">
        <v>45172</v>
      </c>
      <c r="H654" s="47" t="s">
        <v>41</v>
      </c>
      <c r="I654" s="47" t="s">
        <v>41</v>
      </c>
      <c r="J654" s="47" t="s">
        <v>41</v>
      </c>
      <c r="K654" s="47" t="s">
        <v>4</v>
      </c>
    </row>
    <row r="655" spans="1:11" x14ac:dyDescent="0.25">
      <c r="A655" s="44">
        <v>941</v>
      </c>
      <c r="B655" s="46">
        <v>45165</v>
      </c>
      <c r="C655" s="44" t="s">
        <v>50</v>
      </c>
      <c r="D655" s="47">
        <v>5</v>
      </c>
      <c r="E655" s="48">
        <v>45169</v>
      </c>
      <c r="F655" s="47">
        <v>3</v>
      </c>
      <c r="G655" s="48">
        <v>45173</v>
      </c>
      <c r="H655" s="47" t="s">
        <v>3</v>
      </c>
      <c r="I655" s="47" t="s">
        <v>5</v>
      </c>
      <c r="J655" s="47" t="s">
        <v>41</v>
      </c>
      <c r="K655" s="47" t="s">
        <v>4</v>
      </c>
    </row>
    <row r="656" spans="1:11" x14ac:dyDescent="0.25">
      <c r="A656" s="44">
        <v>548</v>
      </c>
      <c r="B656" s="46">
        <v>45166</v>
      </c>
      <c r="C656" s="44" t="s">
        <v>81</v>
      </c>
      <c r="D656" s="47">
        <v>5</v>
      </c>
      <c r="E656" s="48">
        <v>45170</v>
      </c>
      <c r="F656" s="47">
        <v>3</v>
      </c>
      <c r="G656" s="48">
        <v>45174</v>
      </c>
      <c r="H656" s="47" t="s">
        <v>3</v>
      </c>
      <c r="I656" s="47" t="s">
        <v>41</v>
      </c>
      <c r="J656" s="47" t="s">
        <v>41</v>
      </c>
      <c r="K656" s="47" t="s">
        <v>41</v>
      </c>
    </row>
    <row r="657" spans="1:11" x14ac:dyDescent="0.25">
      <c r="A657" s="44">
        <v>2543</v>
      </c>
      <c r="B657" s="46">
        <v>45166</v>
      </c>
      <c r="C657" s="44" t="s">
        <v>81</v>
      </c>
      <c r="D657" s="47">
        <v>5</v>
      </c>
      <c r="E657" s="48">
        <v>45170</v>
      </c>
      <c r="F657" s="47">
        <v>9</v>
      </c>
      <c r="G657" s="48">
        <v>45174</v>
      </c>
      <c r="H657" s="47" t="s">
        <v>41</v>
      </c>
      <c r="I657" s="47" t="s">
        <v>5</v>
      </c>
      <c r="J657" s="47" t="s">
        <v>41</v>
      </c>
      <c r="K657" s="47" t="s">
        <v>41</v>
      </c>
    </row>
    <row r="658" spans="1:11" x14ac:dyDescent="0.25">
      <c r="A658" s="44">
        <v>1306</v>
      </c>
      <c r="B658" s="46">
        <v>45167</v>
      </c>
      <c r="C658" s="44" t="s">
        <v>81</v>
      </c>
      <c r="D658" s="47">
        <v>5</v>
      </c>
      <c r="E658" s="48">
        <v>45171</v>
      </c>
      <c r="F658" s="47">
        <v>9</v>
      </c>
      <c r="G658" s="48">
        <v>45175</v>
      </c>
      <c r="H658" s="47" t="s">
        <v>41</v>
      </c>
      <c r="I658" s="47" t="s">
        <v>5</v>
      </c>
      <c r="J658" s="47" t="s">
        <v>1</v>
      </c>
      <c r="K658" s="47" t="s">
        <v>41</v>
      </c>
    </row>
    <row r="659" spans="1:11" x14ac:dyDescent="0.25">
      <c r="A659" s="44">
        <v>1834</v>
      </c>
      <c r="B659" s="46">
        <v>45167</v>
      </c>
      <c r="C659" s="44" t="s">
        <v>40</v>
      </c>
      <c r="D659" s="47">
        <v>3</v>
      </c>
      <c r="E659" s="48">
        <v>45171</v>
      </c>
      <c r="F659" s="47">
        <v>9</v>
      </c>
      <c r="G659" s="48">
        <v>45181</v>
      </c>
      <c r="H659" s="47" t="s">
        <v>41</v>
      </c>
      <c r="I659" s="47" t="s">
        <v>5</v>
      </c>
      <c r="J659" s="47" t="s">
        <v>41</v>
      </c>
      <c r="K659" s="47" t="s">
        <v>4</v>
      </c>
    </row>
    <row r="660" spans="1:11" x14ac:dyDescent="0.25">
      <c r="A660" s="44">
        <v>3231</v>
      </c>
      <c r="B660" s="46">
        <v>45168</v>
      </c>
      <c r="C660" s="44" t="s">
        <v>40</v>
      </c>
      <c r="D660" s="47">
        <v>5</v>
      </c>
      <c r="E660" s="48">
        <v>45172</v>
      </c>
      <c r="F660" s="47">
        <v>9</v>
      </c>
      <c r="G660" s="48">
        <v>45182</v>
      </c>
      <c r="H660" s="47" t="s">
        <v>41</v>
      </c>
      <c r="I660" s="47" t="s">
        <v>41</v>
      </c>
      <c r="J660" s="47" t="s">
        <v>41</v>
      </c>
      <c r="K660" s="47" t="s">
        <v>4</v>
      </c>
    </row>
    <row r="661" spans="1:11" x14ac:dyDescent="0.25">
      <c r="A661" s="44">
        <v>2191</v>
      </c>
      <c r="B661" s="46">
        <v>45168</v>
      </c>
      <c r="C661" s="44" t="s">
        <v>40</v>
      </c>
      <c r="D661" s="47">
        <v>5</v>
      </c>
      <c r="E661" s="48">
        <v>45172</v>
      </c>
      <c r="F661" s="47">
        <v>9</v>
      </c>
      <c r="G661" s="48">
        <v>45182</v>
      </c>
      <c r="H661" s="47" t="s">
        <v>41</v>
      </c>
      <c r="I661" s="47" t="s">
        <v>41</v>
      </c>
      <c r="J661" s="47" t="s">
        <v>41</v>
      </c>
      <c r="K661" s="47" t="s">
        <v>4</v>
      </c>
    </row>
    <row r="662" spans="1:11" x14ac:dyDescent="0.25">
      <c r="A662" s="44">
        <v>2856</v>
      </c>
      <c r="B662" s="46">
        <v>45168</v>
      </c>
      <c r="C662" s="44" t="s">
        <v>40</v>
      </c>
      <c r="D662" s="47">
        <v>5</v>
      </c>
      <c r="E662" s="48">
        <v>45172</v>
      </c>
      <c r="F662" s="47">
        <v>9</v>
      </c>
      <c r="G662" s="48">
        <v>45182</v>
      </c>
      <c r="H662" s="47" t="s">
        <v>41</v>
      </c>
      <c r="I662" s="47" t="s">
        <v>41</v>
      </c>
      <c r="J662" s="47" t="s">
        <v>1</v>
      </c>
      <c r="K662" s="47" t="s">
        <v>41</v>
      </c>
    </row>
    <row r="663" spans="1:11" x14ac:dyDescent="0.25">
      <c r="A663" s="44">
        <v>2770</v>
      </c>
      <c r="B663" s="46">
        <v>45169</v>
      </c>
      <c r="C663" s="44" t="s">
        <v>81</v>
      </c>
      <c r="D663" s="47">
        <v>8</v>
      </c>
      <c r="E663" s="48">
        <v>45176</v>
      </c>
      <c r="F663" s="47">
        <v>3</v>
      </c>
      <c r="G663" s="48">
        <v>45180</v>
      </c>
      <c r="H663" s="47" t="s">
        <v>41</v>
      </c>
      <c r="I663" s="47" t="s">
        <v>5</v>
      </c>
      <c r="J663" s="47" t="s">
        <v>41</v>
      </c>
      <c r="K663" s="47" t="s">
        <v>41</v>
      </c>
    </row>
    <row r="664" spans="1:11" x14ac:dyDescent="0.25">
      <c r="A664" s="44">
        <v>2622</v>
      </c>
      <c r="B664" s="46">
        <v>45170</v>
      </c>
      <c r="C664" s="44" t="s">
        <v>50</v>
      </c>
      <c r="D664" s="47">
        <v>2</v>
      </c>
      <c r="E664" s="48">
        <v>45171</v>
      </c>
      <c r="F664" s="47">
        <v>3</v>
      </c>
      <c r="G664" s="48">
        <v>45174</v>
      </c>
      <c r="H664" s="47" t="s">
        <v>41</v>
      </c>
      <c r="I664" s="47" t="s">
        <v>41</v>
      </c>
      <c r="J664" s="47" t="s">
        <v>1</v>
      </c>
      <c r="K664" s="47" t="s">
        <v>41</v>
      </c>
    </row>
    <row r="665" spans="1:11" x14ac:dyDescent="0.25">
      <c r="A665" s="44">
        <v>3175</v>
      </c>
      <c r="B665" s="46">
        <v>45170</v>
      </c>
      <c r="C665" s="44" t="s">
        <v>40</v>
      </c>
      <c r="D665" s="47">
        <v>5</v>
      </c>
      <c r="E665" s="48">
        <v>45174</v>
      </c>
      <c r="F665" s="47">
        <v>9</v>
      </c>
      <c r="G665" s="48">
        <v>45184</v>
      </c>
      <c r="H665" s="47" t="s">
        <v>41</v>
      </c>
      <c r="I665" s="47" t="s">
        <v>5</v>
      </c>
      <c r="J665" s="47" t="s">
        <v>41</v>
      </c>
      <c r="K665" s="47" t="s">
        <v>41</v>
      </c>
    </row>
    <row r="666" spans="1:11" x14ac:dyDescent="0.25">
      <c r="A666" s="44">
        <v>3540</v>
      </c>
      <c r="B666" s="46">
        <v>45170</v>
      </c>
      <c r="C666" s="44" t="s">
        <v>40</v>
      </c>
      <c r="D666" s="47">
        <v>5</v>
      </c>
      <c r="E666" s="48">
        <v>45174</v>
      </c>
      <c r="F666" s="47">
        <v>9</v>
      </c>
      <c r="G666" s="48">
        <v>45184</v>
      </c>
      <c r="H666" s="47" t="s">
        <v>41</v>
      </c>
      <c r="I666" s="47" t="s">
        <v>41</v>
      </c>
      <c r="J666" s="47" t="s">
        <v>41</v>
      </c>
      <c r="K666" s="47" t="s">
        <v>4</v>
      </c>
    </row>
    <row r="667" spans="1:11" x14ac:dyDescent="0.25">
      <c r="A667" s="44">
        <v>2702</v>
      </c>
      <c r="B667" s="46">
        <v>45171</v>
      </c>
      <c r="C667" s="44" t="s">
        <v>40</v>
      </c>
      <c r="D667" s="47">
        <v>5</v>
      </c>
      <c r="E667" s="48">
        <v>45175</v>
      </c>
      <c r="F667" s="47">
        <v>9</v>
      </c>
      <c r="G667" s="48">
        <v>45185</v>
      </c>
      <c r="H667" s="47" t="s">
        <v>3</v>
      </c>
      <c r="I667" s="47" t="s">
        <v>41</v>
      </c>
      <c r="J667" s="47" t="s">
        <v>41</v>
      </c>
      <c r="K667" s="47" t="s">
        <v>41</v>
      </c>
    </row>
    <row r="668" spans="1:11" x14ac:dyDescent="0.25">
      <c r="A668" s="44">
        <v>2406</v>
      </c>
      <c r="B668" s="46">
        <v>45171</v>
      </c>
      <c r="C668" s="44" t="s">
        <v>50</v>
      </c>
      <c r="D668" s="47">
        <v>5</v>
      </c>
      <c r="E668" s="48">
        <v>45175</v>
      </c>
      <c r="F668" s="47">
        <v>3</v>
      </c>
      <c r="G668" s="48">
        <v>45179</v>
      </c>
      <c r="H668" s="47" t="s">
        <v>3</v>
      </c>
      <c r="I668" s="47" t="s">
        <v>41</v>
      </c>
      <c r="J668" s="47" t="s">
        <v>41</v>
      </c>
      <c r="K668" s="47" t="s">
        <v>41</v>
      </c>
    </row>
    <row r="669" spans="1:11" x14ac:dyDescent="0.25">
      <c r="A669" s="44">
        <v>3324</v>
      </c>
      <c r="B669" s="46">
        <v>45173</v>
      </c>
      <c r="C669" s="44" t="s">
        <v>81</v>
      </c>
      <c r="D669" s="47">
        <v>5</v>
      </c>
      <c r="E669" s="48">
        <v>45177</v>
      </c>
      <c r="F669" s="47">
        <v>3</v>
      </c>
      <c r="G669" s="48">
        <v>45181</v>
      </c>
      <c r="H669" s="47" t="s">
        <v>3</v>
      </c>
      <c r="I669" s="47" t="s">
        <v>41</v>
      </c>
      <c r="J669" s="47" t="s">
        <v>41</v>
      </c>
      <c r="K669" s="47" t="s">
        <v>41</v>
      </c>
    </row>
    <row r="670" spans="1:11" x14ac:dyDescent="0.25">
      <c r="A670" s="44">
        <v>941</v>
      </c>
      <c r="B670" s="46">
        <v>45173</v>
      </c>
      <c r="C670" s="44" t="s">
        <v>81</v>
      </c>
      <c r="D670" s="47">
        <v>5</v>
      </c>
      <c r="E670" s="48">
        <v>45177</v>
      </c>
      <c r="F670" s="47">
        <v>3</v>
      </c>
      <c r="G670" s="48">
        <v>45181</v>
      </c>
      <c r="H670" s="47" t="s">
        <v>41</v>
      </c>
      <c r="I670" s="47" t="s">
        <v>41</v>
      </c>
      <c r="J670" s="47" t="s">
        <v>41</v>
      </c>
      <c r="K670" s="47" t="s">
        <v>4</v>
      </c>
    </row>
    <row r="671" spans="1:11" x14ac:dyDescent="0.25">
      <c r="A671" s="44">
        <v>3710</v>
      </c>
      <c r="B671" s="46">
        <v>45174</v>
      </c>
      <c r="C671" s="44" t="s">
        <v>40</v>
      </c>
      <c r="D671" s="47">
        <v>5</v>
      </c>
      <c r="E671" s="48">
        <v>45178</v>
      </c>
      <c r="F671" s="47">
        <v>3</v>
      </c>
      <c r="G671" s="48">
        <v>45182</v>
      </c>
      <c r="H671" s="47" t="s">
        <v>41</v>
      </c>
      <c r="I671" s="47" t="s">
        <v>5</v>
      </c>
      <c r="J671" s="47" t="s">
        <v>41</v>
      </c>
      <c r="K671" s="47" t="s">
        <v>41</v>
      </c>
    </row>
    <row r="672" spans="1:11" x14ac:dyDescent="0.25">
      <c r="A672" s="44">
        <v>1206</v>
      </c>
      <c r="B672" s="46">
        <v>45174</v>
      </c>
      <c r="C672" s="44" t="s">
        <v>40</v>
      </c>
      <c r="D672" s="47">
        <v>5</v>
      </c>
      <c r="E672" s="48">
        <v>45178</v>
      </c>
      <c r="F672" s="47">
        <v>9</v>
      </c>
      <c r="G672" s="48">
        <v>45188</v>
      </c>
      <c r="H672" s="47" t="s">
        <v>41</v>
      </c>
      <c r="I672" s="47" t="s">
        <v>5</v>
      </c>
      <c r="J672" s="47" t="s">
        <v>41</v>
      </c>
      <c r="K672" s="47" t="s">
        <v>41</v>
      </c>
    </row>
    <row r="673" spans="1:11" x14ac:dyDescent="0.25">
      <c r="A673" s="44">
        <v>2622</v>
      </c>
      <c r="B673" s="46">
        <v>45174</v>
      </c>
      <c r="C673" s="44" t="s">
        <v>81</v>
      </c>
      <c r="D673" s="47">
        <v>5</v>
      </c>
      <c r="E673" s="48">
        <v>45178</v>
      </c>
      <c r="F673" s="47">
        <v>3</v>
      </c>
      <c r="G673" s="48">
        <v>45182</v>
      </c>
      <c r="H673" s="47" t="s">
        <v>41</v>
      </c>
      <c r="I673" s="47" t="s">
        <v>41</v>
      </c>
      <c r="J673" s="47" t="s">
        <v>41</v>
      </c>
      <c r="K673" s="47" t="s">
        <v>4</v>
      </c>
    </row>
    <row r="674" spans="1:11" x14ac:dyDescent="0.25">
      <c r="A674" s="44">
        <v>3231</v>
      </c>
      <c r="B674" s="46">
        <v>45174</v>
      </c>
      <c r="C674" s="44" t="s">
        <v>81</v>
      </c>
      <c r="D674" s="47">
        <v>5</v>
      </c>
      <c r="E674" s="48">
        <v>45178</v>
      </c>
      <c r="F674" s="47">
        <v>3</v>
      </c>
      <c r="G674" s="48">
        <v>45182</v>
      </c>
      <c r="H674" s="47" t="s">
        <v>41</v>
      </c>
      <c r="I674" s="47" t="s">
        <v>41</v>
      </c>
      <c r="J674" s="47" t="s">
        <v>41</v>
      </c>
      <c r="K674" s="47" t="s">
        <v>4</v>
      </c>
    </row>
    <row r="675" spans="1:11" x14ac:dyDescent="0.25">
      <c r="A675" s="44">
        <v>2461</v>
      </c>
      <c r="B675" s="46">
        <v>45175</v>
      </c>
      <c r="C675" s="44" t="s">
        <v>40</v>
      </c>
      <c r="D675" s="47">
        <v>5</v>
      </c>
      <c r="E675" s="48">
        <v>45179</v>
      </c>
      <c r="F675" s="47">
        <v>9</v>
      </c>
      <c r="G675" s="48">
        <v>45189</v>
      </c>
      <c r="H675" s="47" t="s">
        <v>3</v>
      </c>
      <c r="I675" s="47" t="s">
        <v>41</v>
      </c>
      <c r="J675" s="47" t="s">
        <v>41</v>
      </c>
      <c r="K675" s="47" t="s">
        <v>41</v>
      </c>
    </row>
    <row r="676" spans="1:11" x14ac:dyDescent="0.25">
      <c r="A676" s="44">
        <v>2343</v>
      </c>
      <c r="B676" s="46">
        <v>45175</v>
      </c>
      <c r="C676" s="44" t="s">
        <v>81</v>
      </c>
      <c r="D676" s="47">
        <v>5</v>
      </c>
      <c r="E676" s="48">
        <v>45179</v>
      </c>
      <c r="F676" s="47">
        <v>3</v>
      </c>
      <c r="G676" s="48">
        <v>45183</v>
      </c>
      <c r="H676" s="47" t="s">
        <v>41</v>
      </c>
      <c r="I676" s="47" t="s">
        <v>5</v>
      </c>
      <c r="J676" s="47" t="s">
        <v>41</v>
      </c>
      <c r="K676" s="47" t="s">
        <v>41</v>
      </c>
    </row>
    <row r="677" spans="1:11" x14ac:dyDescent="0.25">
      <c r="A677" s="44">
        <v>1803</v>
      </c>
      <c r="B677" s="46">
        <v>45176</v>
      </c>
      <c r="C677" s="44" t="s">
        <v>40</v>
      </c>
      <c r="D677" s="47">
        <v>5</v>
      </c>
      <c r="E677" s="48">
        <v>45180</v>
      </c>
      <c r="F677" s="47">
        <v>9</v>
      </c>
      <c r="G677" s="48">
        <v>45190</v>
      </c>
      <c r="H677" s="47" t="s">
        <v>41</v>
      </c>
      <c r="I677" s="47" t="s">
        <v>5</v>
      </c>
      <c r="J677" s="47" t="s">
        <v>41</v>
      </c>
      <c r="K677" s="47" t="s">
        <v>41</v>
      </c>
    </row>
    <row r="678" spans="1:11" x14ac:dyDescent="0.25">
      <c r="A678" s="44">
        <v>2422</v>
      </c>
      <c r="B678" s="46">
        <v>45176</v>
      </c>
      <c r="C678" s="44" t="s">
        <v>40</v>
      </c>
      <c r="D678" s="47">
        <v>5</v>
      </c>
      <c r="E678" s="48">
        <v>45180</v>
      </c>
      <c r="F678" s="47">
        <v>9</v>
      </c>
      <c r="G678" s="48">
        <v>45190</v>
      </c>
      <c r="H678" s="47" t="s">
        <v>41</v>
      </c>
      <c r="I678" s="47" t="s">
        <v>41</v>
      </c>
      <c r="J678" s="47" t="s">
        <v>1</v>
      </c>
      <c r="K678" s="47" t="s">
        <v>41</v>
      </c>
    </row>
    <row r="679" spans="1:11" x14ac:dyDescent="0.25">
      <c r="A679" s="44">
        <v>934</v>
      </c>
      <c r="B679" s="46">
        <v>45176</v>
      </c>
      <c r="C679" s="44" t="s">
        <v>50</v>
      </c>
      <c r="D679" s="47">
        <v>5</v>
      </c>
      <c r="E679" s="48">
        <v>45180</v>
      </c>
      <c r="F679" s="47">
        <v>3</v>
      </c>
      <c r="G679" s="48">
        <v>45184</v>
      </c>
      <c r="H679" s="47" t="s">
        <v>41</v>
      </c>
      <c r="I679" s="47" t="s">
        <v>41</v>
      </c>
      <c r="J679" s="47" t="s">
        <v>1</v>
      </c>
      <c r="K679" s="47" t="s">
        <v>41</v>
      </c>
    </row>
    <row r="680" spans="1:11" x14ac:dyDescent="0.25">
      <c r="A680" s="44">
        <v>2091</v>
      </c>
      <c r="B680" s="46">
        <v>45176</v>
      </c>
      <c r="C680" s="44" t="s">
        <v>50</v>
      </c>
      <c r="D680" s="47">
        <v>5</v>
      </c>
      <c r="E680" s="48">
        <v>45179</v>
      </c>
      <c r="F680" s="47">
        <v>3</v>
      </c>
      <c r="G680" s="48">
        <v>45184</v>
      </c>
      <c r="H680" s="47" t="s">
        <v>3</v>
      </c>
      <c r="I680" s="47" t="s">
        <v>41</v>
      </c>
      <c r="J680" s="47" t="s">
        <v>41</v>
      </c>
      <c r="K680" s="47" t="s">
        <v>41</v>
      </c>
    </row>
    <row r="681" spans="1:11" x14ac:dyDescent="0.25">
      <c r="A681" s="44">
        <v>3369</v>
      </c>
      <c r="B681" s="46">
        <v>45178</v>
      </c>
      <c r="C681" s="44" t="s">
        <v>50</v>
      </c>
      <c r="D681" s="47">
        <v>5</v>
      </c>
      <c r="E681" s="48">
        <v>45182</v>
      </c>
      <c r="F681" s="47">
        <v>3</v>
      </c>
      <c r="G681" s="48">
        <v>45186</v>
      </c>
      <c r="H681" s="47" t="s">
        <v>3</v>
      </c>
      <c r="I681" s="47" t="s">
        <v>41</v>
      </c>
      <c r="J681" s="47" t="s">
        <v>41</v>
      </c>
      <c r="K681" s="47" t="s">
        <v>41</v>
      </c>
    </row>
    <row r="682" spans="1:11" x14ac:dyDescent="0.25">
      <c r="A682" s="44">
        <v>1185</v>
      </c>
      <c r="B682" s="46">
        <v>45179</v>
      </c>
      <c r="C682" s="44" t="s">
        <v>40</v>
      </c>
      <c r="D682" s="47">
        <v>5</v>
      </c>
      <c r="E682" s="48">
        <v>45183</v>
      </c>
      <c r="F682" s="47">
        <v>9</v>
      </c>
      <c r="G682" s="48">
        <v>45193</v>
      </c>
      <c r="H682" s="47" t="s">
        <v>41</v>
      </c>
      <c r="I682" s="47" t="s">
        <v>5</v>
      </c>
      <c r="J682" s="47" t="s">
        <v>41</v>
      </c>
      <c r="K682" s="47" t="s">
        <v>41</v>
      </c>
    </row>
    <row r="683" spans="1:11" x14ac:dyDescent="0.25">
      <c r="A683" s="44">
        <v>2194</v>
      </c>
      <c r="B683" s="46">
        <v>45179</v>
      </c>
      <c r="C683" s="44" t="s">
        <v>50</v>
      </c>
      <c r="D683" s="47">
        <v>5</v>
      </c>
      <c r="E683" s="48">
        <v>45183</v>
      </c>
      <c r="F683" s="47">
        <v>3</v>
      </c>
      <c r="G683" s="48">
        <v>45187</v>
      </c>
      <c r="H683" s="47" t="s">
        <v>41</v>
      </c>
      <c r="I683" s="47" t="s">
        <v>41</v>
      </c>
      <c r="J683" s="47" t="s">
        <v>41</v>
      </c>
      <c r="K683" s="47" t="s">
        <v>41</v>
      </c>
    </row>
    <row r="684" spans="1:11" x14ac:dyDescent="0.25">
      <c r="A684" s="44">
        <v>2804</v>
      </c>
      <c r="B684" s="46">
        <v>45180</v>
      </c>
      <c r="C684" s="44" t="s">
        <v>50</v>
      </c>
      <c r="D684" s="47">
        <v>5</v>
      </c>
      <c r="E684" s="48">
        <v>45184</v>
      </c>
      <c r="F684" s="47">
        <v>3</v>
      </c>
      <c r="G684" s="48">
        <v>45188</v>
      </c>
      <c r="H684" s="47" t="s">
        <v>3</v>
      </c>
      <c r="I684" s="47" t="s">
        <v>5</v>
      </c>
      <c r="J684" s="47" t="s">
        <v>41</v>
      </c>
      <c r="K684" s="47" t="s">
        <v>41</v>
      </c>
    </row>
    <row r="685" spans="1:11" x14ac:dyDescent="0.25">
      <c r="A685" s="44">
        <v>3255</v>
      </c>
      <c r="B685" s="46">
        <v>45180</v>
      </c>
      <c r="C685" s="44" t="s">
        <v>50</v>
      </c>
      <c r="D685" s="47">
        <v>5</v>
      </c>
      <c r="E685" s="48">
        <v>45184</v>
      </c>
      <c r="F685" s="47">
        <v>3</v>
      </c>
      <c r="G685" s="48">
        <v>45188</v>
      </c>
      <c r="H685" s="47" t="s">
        <v>3</v>
      </c>
      <c r="I685" s="47" t="s">
        <v>41</v>
      </c>
      <c r="J685" s="47" t="s">
        <v>41</v>
      </c>
      <c r="K685" s="47" t="s">
        <v>41</v>
      </c>
    </row>
    <row r="686" spans="1:11" x14ac:dyDescent="0.25">
      <c r="A686" s="44">
        <v>3506</v>
      </c>
      <c r="B686" s="46">
        <v>45180</v>
      </c>
      <c r="C686" s="44" t="s">
        <v>50</v>
      </c>
      <c r="D686" s="47">
        <v>5</v>
      </c>
      <c r="E686" s="48">
        <v>45184</v>
      </c>
      <c r="F686" s="47">
        <v>3</v>
      </c>
      <c r="G686" s="48">
        <v>45188</v>
      </c>
      <c r="H686" s="47" t="s">
        <v>41</v>
      </c>
      <c r="I686" s="47" t="s">
        <v>5</v>
      </c>
      <c r="J686" s="47" t="s">
        <v>41</v>
      </c>
      <c r="K686" s="47" t="s">
        <v>41</v>
      </c>
    </row>
    <row r="687" spans="1:11" x14ac:dyDescent="0.25">
      <c r="A687" s="44">
        <v>1894</v>
      </c>
      <c r="B687" s="46">
        <v>45180</v>
      </c>
      <c r="C687" s="44" t="s">
        <v>50</v>
      </c>
      <c r="D687" s="47">
        <v>5</v>
      </c>
      <c r="E687" s="48">
        <v>45184</v>
      </c>
      <c r="F687" s="47">
        <v>3</v>
      </c>
      <c r="G687" s="48">
        <v>45188</v>
      </c>
      <c r="H687" s="47" t="s">
        <v>41</v>
      </c>
      <c r="I687" s="47" t="s">
        <v>5</v>
      </c>
      <c r="J687" s="47" t="s">
        <v>41</v>
      </c>
      <c r="K687" s="47" t="s">
        <v>41</v>
      </c>
    </row>
    <row r="688" spans="1:11" x14ac:dyDescent="0.25">
      <c r="A688" s="44">
        <v>2462</v>
      </c>
      <c r="B688" s="46">
        <v>45180</v>
      </c>
      <c r="C688" s="44" t="s">
        <v>50</v>
      </c>
      <c r="D688" s="47">
        <v>5</v>
      </c>
      <c r="E688" s="48">
        <v>45184</v>
      </c>
      <c r="F688" s="47">
        <v>3</v>
      </c>
      <c r="G688" s="48">
        <v>45188</v>
      </c>
      <c r="H688" s="47" t="s">
        <v>41</v>
      </c>
      <c r="I688" s="47" t="s">
        <v>41</v>
      </c>
      <c r="J688" s="47" t="s">
        <v>41</v>
      </c>
      <c r="K688" s="47" t="s">
        <v>4</v>
      </c>
    </row>
    <row r="689" spans="1:11" x14ac:dyDescent="0.25">
      <c r="A689" s="44">
        <v>2376</v>
      </c>
      <c r="B689" s="46">
        <v>45181</v>
      </c>
      <c r="C689" s="44" t="s">
        <v>50</v>
      </c>
      <c r="D689" s="47">
        <v>5</v>
      </c>
      <c r="E689" s="48">
        <v>45185</v>
      </c>
      <c r="F689" s="47">
        <v>3</v>
      </c>
      <c r="G689" s="48">
        <v>45189</v>
      </c>
      <c r="H689" s="47" t="s">
        <v>41</v>
      </c>
      <c r="I689" s="47" t="s">
        <v>41</v>
      </c>
      <c r="J689" s="47" t="s">
        <v>41</v>
      </c>
      <c r="K689" s="47" t="s">
        <v>4</v>
      </c>
    </row>
    <row r="690" spans="1:11" x14ac:dyDescent="0.25">
      <c r="A690" s="44">
        <v>3449</v>
      </c>
      <c r="B690" s="46">
        <v>45181</v>
      </c>
      <c r="C690" s="44" t="s">
        <v>50</v>
      </c>
      <c r="D690" s="47">
        <v>5</v>
      </c>
      <c r="E690" s="48">
        <v>45185</v>
      </c>
      <c r="F690" s="47">
        <v>3</v>
      </c>
      <c r="G690" s="48">
        <v>45189</v>
      </c>
      <c r="H690" s="47" t="s">
        <v>3</v>
      </c>
      <c r="I690" s="47" t="s">
        <v>41</v>
      </c>
      <c r="J690" s="47" t="s">
        <v>41</v>
      </c>
      <c r="K690" s="47" t="s">
        <v>41</v>
      </c>
    </row>
    <row r="691" spans="1:11" x14ac:dyDescent="0.25">
      <c r="A691" s="44">
        <v>2797</v>
      </c>
      <c r="B691" s="46">
        <v>45181</v>
      </c>
      <c r="C691" s="44" t="s">
        <v>50</v>
      </c>
      <c r="D691" s="47">
        <v>5</v>
      </c>
      <c r="E691" s="48">
        <v>45185</v>
      </c>
      <c r="F691" s="47">
        <v>3</v>
      </c>
      <c r="G691" s="48">
        <v>45189</v>
      </c>
      <c r="H691" s="47" t="s">
        <v>41</v>
      </c>
      <c r="I691" s="47" t="s">
        <v>41</v>
      </c>
      <c r="J691" s="47" t="s">
        <v>1</v>
      </c>
      <c r="K691" s="47" t="s">
        <v>41</v>
      </c>
    </row>
    <row r="692" spans="1:11" x14ac:dyDescent="0.25">
      <c r="A692" s="44">
        <v>3353</v>
      </c>
      <c r="B692" s="46">
        <v>45181</v>
      </c>
      <c r="C692" s="44" t="s">
        <v>50</v>
      </c>
      <c r="D692" s="47">
        <v>5</v>
      </c>
      <c r="E692" s="48">
        <v>45185</v>
      </c>
      <c r="F692" s="47">
        <v>3</v>
      </c>
      <c r="G692" s="48">
        <v>45189</v>
      </c>
      <c r="H692" s="47" t="s">
        <v>3</v>
      </c>
      <c r="I692" s="47" t="s">
        <v>41</v>
      </c>
      <c r="J692" s="47" t="s">
        <v>41</v>
      </c>
      <c r="K692" s="47" t="s">
        <v>41</v>
      </c>
    </row>
    <row r="693" spans="1:11" x14ac:dyDescent="0.25">
      <c r="A693" s="44">
        <v>2091</v>
      </c>
      <c r="B693" s="46">
        <v>45181</v>
      </c>
      <c r="C693" s="44" t="s">
        <v>66</v>
      </c>
      <c r="D693" s="47">
        <v>5</v>
      </c>
      <c r="E693" s="48">
        <v>45185</v>
      </c>
      <c r="F693" s="47">
        <v>3</v>
      </c>
      <c r="G693" s="48">
        <v>45191</v>
      </c>
      <c r="H693" s="47" t="s">
        <v>3</v>
      </c>
      <c r="I693" s="47" t="s">
        <v>41</v>
      </c>
      <c r="J693" s="47" t="s">
        <v>41</v>
      </c>
      <c r="K693" s="47" t="s">
        <v>41</v>
      </c>
    </row>
    <row r="694" spans="1:11" x14ac:dyDescent="0.25">
      <c r="A694" s="44">
        <v>3002</v>
      </c>
      <c r="B694" s="46">
        <v>45181</v>
      </c>
      <c r="C694" s="44" t="s">
        <v>40</v>
      </c>
      <c r="D694" s="47">
        <v>2</v>
      </c>
      <c r="E694" s="48">
        <v>45183</v>
      </c>
      <c r="F694" s="47">
        <v>9</v>
      </c>
      <c r="G694" s="48">
        <v>45192</v>
      </c>
      <c r="H694" s="47" t="s">
        <v>3</v>
      </c>
      <c r="I694" s="47" t="s">
        <v>41</v>
      </c>
      <c r="J694" s="47" t="s">
        <v>41</v>
      </c>
      <c r="K694" s="47" t="s">
        <v>41</v>
      </c>
    </row>
    <row r="695" spans="1:11" x14ac:dyDescent="0.25">
      <c r="A695" s="44">
        <v>3522</v>
      </c>
      <c r="B695" s="46">
        <v>45181</v>
      </c>
      <c r="C695" s="44" t="s">
        <v>40</v>
      </c>
      <c r="D695" s="47">
        <v>5</v>
      </c>
      <c r="E695" s="48">
        <v>45185</v>
      </c>
      <c r="F695" s="47">
        <v>9</v>
      </c>
      <c r="G695" s="48">
        <v>45194</v>
      </c>
      <c r="H695" s="47" t="s">
        <v>41</v>
      </c>
      <c r="I695" s="47" t="s">
        <v>41</v>
      </c>
      <c r="J695" s="47" t="s">
        <v>1</v>
      </c>
      <c r="K695" s="47" t="s">
        <v>41</v>
      </c>
    </row>
    <row r="696" spans="1:11" x14ac:dyDescent="0.25">
      <c r="A696" s="44">
        <v>1749</v>
      </c>
      <c r="B696" s="46">
        <v>45182</v>
      </c>
      <c r="C696" s="44" t="s">
        <v>50</v>
      </c>
      <c r="D696" s="47">
        <v>5</v>
      </c>
      <c r="E696" s="48">
        <v>45186</v>
      </c>
      <c r="F696" s="47">
        <v>3</v>
      </c>
      <c r="G696" s="48">
        <v>45190</v>
      </c>
      <c r="H696" s="47" t="s">
        <v>3</v>
      </c>
      <c r="I696" s="47" t="s">
        <v>5</v>
      </c>
      <c r="J696" s="47" t="s">
        <v>1</v>
      </c>
      <c r="K696" s="47" t="s">
        <v>4</v>
      </c>
    </row>
    <row r="697" spans="1:11" x14ac:dyDescent="0.25">
      <c r="A697" s="44">
        <v>3449</v>
      </c>
      <c r="B697" s="46">
        <v>45182</v>
      </c>
      <c r="C697" s="44" t="s">
        <v>40</v>
      </c>
      <c r="D697" s="47">
        <v>5</v>
      </c>
      <c r="E697" s="48">
        <v>45186</v>
      </c>
      <c r="F697" s="47">
        <v>10</v>
      </c>
      <c r="G697" s="48">
        <v>45197</v>
      </c>
      <c r="H697" s="47" t="s">
        <v>3</v>
      </c>
      <c r="I697" s="47" t="s">
        <v>41</v>
      </c>
      <c r="J697" s="47" t="s">
        <v>41</v>
      </c>
      <c r="K697" s="47" t="s">
        <v>41</v>
      </c>
    </row>
    <row r="698" spans="1:11" x14ac:dyDescent="0.25">
      <c r="A698" s="44">
        <v>2937</v>
      </c>
      <c r="B698" s="46">
        <v>45182</v>
      </c>
      <c r="C698" s="44" t="s">
        <v>40</v>
      </c>
      <c r="D698" s="47">
        <v>5</v>
      </c>
      <c r="E698" s="48">
        <v>45186</v>
      </c>
      <c r="F698" s="47">
        <v>10</v>
      </c>
      <c r="G698" s="48">
        <v>45197</v>
      </c>
      <c r="H698" s="47" t="s">
        <v>41</v>
      </c>
      <c r="I698" s="47" t="s">
        <v>5</v>
      </c>
      <c r="J698" s="47" t="s">
        <v>41</v>
      </c>
      <c r="K698" s="47" t="s">
        <v>41</v>
      </c>
    </row>
    <row r="699" spans="1:11" x14ac:dyDescent="0.25">
      <c r="A699" s="44">
        <v>3250</v>
      </c>
      <c r="B699" s="46">
        <v>45183</v>
      </c>
      <c r="C699" s="44" t="s">
        <v>50</v>
      </c>
      <c r="D699" s="47">
        <v>5</v>
      </c>
      <c r="E699" s="48">
        <v>45187</v>
      </c>
      <c r="F699" s="47">
        <v>3</v>
      </c>
      <c r="G699" s="48">
        <v>45190</v>
      </c>
      <c r="H699" s="47" t="s">
        <v>41</v>
      </c>
      <c r="I699" s="47" t="s">
        <v>41</v>
      </c>
      <c r="J699" s="47" t="s">
        <v>1</v>
      </c>
      <c r="K699" s="47" t="s">
        <v>41</v>
      </c>
    </row>
    <row r="700" spans="1:11" x14ac:dyDescent="0.25">
      <c r="A700" s="44">
        <v>3369</v>
      </c>
      <c r="B700" s="46">
        <v>45183</v>
      </c>
      <c r="C700" s="44" t="s">
        <v>81</v>
      </c>
      <c r="D700" s="47">
        <v>5</v>
      </c>
      <c r="E700" s="48">
        <v>45187</v>
      </c>
      <c r="F700" s="47">
        <v>3</v>
      </c>
      <c r="G700" s="48">
        <v>45191</v>
      </c>
      <c r="H700" s="47" t="s">
        <v>3</v>
      </c>
      <c r="I700" s="47" t="s">
        <v>41</v>
      </c>
      <c r="J700" s="47" t="s">
        <v>41</v>
      </c>
      <c r="K700" s="47" t="s">
        <v>41</v>
      </c>
    </row>
    <row r="701" spans="1:11" x14ac:dyDescent="0.25">
      <c r="A701" s="44">
        <v>2676</v>
      </c>
      <c r="B701" s="46">
        <v>45183</v>
      </c>
      <c r="C701" s="44" t="s">
        <v>50</v>
      </c>
      <c r="D701" s="47">
        <v>5</v>
      </c>
      <c r="E701" s="48">
        <v>45187</v>
      </c>
      <c r="F701" s="47">
        <v>3</v>
      </c>
      <c r="G701" s="48">
        <v>45191</v>
      </c>
      <c r="H701" s="47" t="s">
        <v>41</v>
      </c>
      <c r="I701" s="47" t="s">
        <v>5</v>
      </c>
      <c r="J701" s="47" t="s">
        <v>1</v>
      </c>
      <c r="K701" s="47" t="s">
        <v>41</v>
      </c>
    </row>
    <row r="702" spans="1:11" x14ac:dyDescent="0.25">
      <c r="A702" s="44">
        <v>1990</v>
      </c>
      <c r="B702" s="46">
        <v>45183</v>
      </c>
      <c r="C702" s="44" t="s">
        <v>50</v>
      </c>
      <c r="D702" s="47">
        <v>5</v>
      </c>
      <c r="E702" s="48">
        <v>45187</v>
      </c>
      <c r="F702" s="47">
        <v>3</v>
      </c>
      <c r="G702" s="48">
        <v>45191</v>
      </c>
      <c r="H702" s="47" t="s">
        <v>41</v>
      </c>
      <c r="I702" s="47" t="s">
        <v>5</v>
      </c>
      <c r="J702" s="47" t="s">
        <v>1</v>
      </c>
      <c r="K702" s="47" t="s">
        <v>4</v>
      </c>
    </row>
    <row r="703" spans="1:11" x14ac:dyDescent="0.25">
      <c r="A703" s="44">
        <v>1930</v>
      </c>
      <c r="B703" s="46">
        <v>45183</v>
      </c>
      <c r="C703" s="44" t="s">
        <v>50</v>
      </c>
      <c r="D703" s="47">
        <v>5</v>
      </c>
      <c r="E703" s="48">
        <v>45187</v>
      </c>
      <c r="F703" s="47">
        <v>3</v>
      </c>
      <c r="G703" s="48">
        <v>45191</v>
      </c>
      <c r="H703" s="47" t="s">
        <v>41</v>
      </c>
      <c r="I703" s="47" t="s">
        <v>5</v>
      </c>
      <c r="J703" s="47" t="s">
        <v>1</v>
      </c>
      <c r="K703" s="47" t="s">
        <v>41</v>
      </c>
    </row>
    <row r="704" spans="1:11" x14ac:dyDescent="0.25">
      <c r="A704" s="44">
        <v>857</v>
      </c>
      <c r="B704" s="46">
        <v>45183</v>
      </c>
      <c r="C704" s="44" t="s">
        <v>50</v>
      </c>
      <c r="D704" s="47">
        <v>5</v>
      </c>
      <c r="E704" s="48">
        <v>45187</v>
      </c>
      <c r="F704" s="47">
        <v>3</v>
      </c>
      <c r="G704" s="48">
        <v>45191</v>
      </c>
      <c r="H704" s="47" t="s">
        <v>41</v>
      </c>
      <c r="I704" s="47" t="s">
        <v>41</v>
      </c>
      <c r="J704" s="47" t="s">
        <v>1</v>
      </c>
      <c r="K704" s="47" t="s">
        <v>4</v>
      </c>
    </row>
    <row r="705" spans="1:11" x14ac:dyDescent="0.25">
      <c r="A705" s="44">
        <v>990</v>
      </c>
      <c r="B705" s="46">
        <v>45183</v>
      </c>
      <c r="C705" s="44" t="s">
        <v>50</v>
      </c>
      <c r="D705" s="47">
        <v>5</v>
      </c>
      <c r="E705" s="48">
        <v>45186</v>
      </c>
      <c r="F705" s="47">
        <v>3</v>
      </c>
      <c r="G705" s="48">
        <v>45191</v>
      </c>
      <c r="H705" s="47" t="s">
        <v>41</v>
      </c>
      <c r="I705" s="47" t="s">
        <v>41</v>
      </c>
      <c r="J705" s="47" t="s">
        <v>41</v>
      </c>
      <c r="K705" s="47" t="s">
        <v>4</v>
      </c>
    </row>
    <row r="706" spans="1:11" x14ac:dyDescent="0.25">
      <c r="A706" s="44">
        <v>3002</v>
      </c>
      <c r="B706" s="46">
        <v>45183</v>
      </c>
      <c r="C706" s="44" t="s">
        <v>81</v>
      </c>
      <c r="D706" s="47">
        <v>5</v>
      </c>
      <c r="E706" s="48">
        <v>45187</v>
      </c>
      <c r="F706" s="47">
        <v>3</v>
      </c>
      <c r="G706" s="48">
        <v>45190</v>
      </c>
      <c r="H706" s="47" t="s">
        <v>41</v>
      </c>
      <c r="I706" s="47" t="s">
        <v>41</v>
      </c>
      <c r="J706" s="47" t="s">
        <v>1</v>
      </c>
      <c r="K706" s="47" t="s">
        <v>4</v>
      </c>
    </row>
    <row r="707" spans="1:11" x14ac:dyDescent="0.25">
      <c r="A707" s="44">
        <v>2907</v>
      </c>
      <c r="B707" s="46">
        <v>45183</v>
      </c>
      <c r="C707" s="44" t="s">
        <v>40</v>
      </c>
      <c r="D707" s="47">
        <v>5</v>
      </c>
      <c r="E707" s="48">
        <v>45184</v>
      </c>
      <c r="F707" s="47">
        <v>9</v>
      </c>
      <c r="G707" s="48">
        <v>45197</v>
      </c>
      <c r="H707" s="47" t="s">
        <v>41</v>
      </c>
      <c r="I707" s="47" t="s">
        <v>41</v>
      </c>
      <c r="J707" s="47" t="s">
        <v>1</v>
      </c>
      <c r="K707" s="47" t="s">
        <v>41</v>
      </c>
    </row>
    <row r="708" spans="1:11" x14ac:dyDescent="0.25">
      <c r="A708" s="44">
        <v>2329</v>
      </c>
      <c r="B708" s="46">
        <v>45183</v>
      </c>
      <c r="C708" s="44" t="s">
        <v>40</v>
      </c>
      <c r="D708" s="47">
        <v>2</v>
      </c>
      <c r="E708" s="48">
        <v>45188</v>
      </c>
      <c r="F708" s="47">
        <v>9</v>
      </c>
      <c r="G708" s="48">
        <v>45194</v>
      </c>
      <c r="H708" s="47" t="s">
        <v>41</v>
      </c>
      <c r="I708" s="47" t="s">
        <v>41</v>
      </c>
      <c r="J708" s="47" t="s">
        <v>41</v>
      </c>
      <c r="K708" s="47" t="s">
        <v>4</v>
      </c>
    </row>
    <row r="709" spans="1:11" x14ac:dyDescent="0.25">
      <c r="A709" s="44">
        <v>1894</v>
      </c>
      <c r="B709" s="46">
        <v>45184</v>
      </c>
      <c r="C709" s="44" t="s">
        <v>50</v>
      </c>
      <c r="D709" s="47">
        <v>5</v>
      </c>
      <c r="E709" s="48">
        <v>45188</v>
      </c>
      <c r="F709" s="47">
        <v>3</v>
      </c>
      <c r="G709" s="48">
        <v>45192</v>
      </c>
      <c r="H709" s="47" t="s">
        <v>41</v>
      </c>
      <c r="I709" s="47" t="s">
        <v>5</v>
      </c>
      <c r="J709" s="47" t="s">
        <v>41</v>
      </c>
      <c r="K709" s="47" t="s">
        <v>41</v>
      </c>
    </row>
    <row r="710" spans="1:11" x14ac:dyDescent="0.25">
      <c r="A710" s="44">
        <v>3175</v>
      </c>
      <c r="B710" s="46">
        <v>45184</v>
      </c>
      <c r="C710" s="44" t="s">
        <v>50</v>
      </c>
      <c r="D710" s="47">
        <v>5</v>
      </c>
      <c r="E710" s="48">
        <v>45188</v>
      </c>
      <c r="F710" s="47">
        <v>3</v>
      </c>
      <c r="G710" s="48">
        <v>45192</v>
      </c>
      <c r="H710" s="47" t="s">
        <v>41</v>
      </c>
      <c r="I710" s="47" t="s">
        <v>5</v>
      </c>
      <c r="J710" s="47" t="s">
        <v>41</v>
      </c>
      <c r="K710" s="47" t="s">
        <v>41</v>
      </c>
    </row>
    <row r="711" spans="1:11" x14ac:dyDescent="0.25">
      <c r="A711" s="44">
        <v>2329</v>
      </c>
      <c r="B711" s="46">
        <v>45184</v>
      </c>
      <c r="C711" s="44" t="s">
        <v>50</v>
      </c>
      <c r="D711" s="47">
        <v>5</v>
      </c>
      <c r="E711" s="48">
        <v>45188</v>
      </c>
      <c r="F711" s="47">
        <v>3</v>
      </c>
      <c r="G711" s="48">
        <v>45192</v>
      </c>
      <c r="H711" s="47" t="s">
        <v>41</v>
      </c>
      <c r="I711" s="47" t="s">
        <v>41</v>
      </c>
      <c r="J711" s="47" t="s">
        <v>41</v>
      </c>
      <c r="K711" s="47" t="s">
        <v>4</v>
      </c>
    </row>
    <row r="712" spans="1:11" x14ac:dyDescent="0.25">
      <c r="A712" s="44">
        <v>3323</v>
      </c>
      <c r="B712" s="46">
        <v>45184</v>
      </c>
      <c r="C712" s="44" t="s">
        <v>40</v>
      </c>
      <c r="D712" s="47">
        <v>5</v>
      </c>
      <c r="E712" s="48">
        <v>45188</v>
      </c>
      <c r="F712" s="47">
        <v>9</v>
      </c>
      <c r="G712" s="48">
        <v>45198</v>
      </c>
      <c r="H712" s="47" t="s">
        <v>3</v>
      </c>
      <c r="I712" s="47" t="s">
        <v>41</v>
      </c>
      <c r="J712" s="47" t="s">
        <v>41</v>
      </c>
      <c r="K712" s="47" t="s">
        <v>41</v>
      </c>
    </row>
    <row r="713" spans="1:11" x14ac:dyDescent="0.25">
      <c r="A713" s="44">
        <v>2764</v>
      </c>
      <c r="B713" s="46">
        <v>45185</v>
      </c>
      <c r="C713" s="44" t="s">
        <v>40</v>
      </c>
      <c r="D713" s="47">
        <v>5</v>
      </c>
      <c r="E713" s="48">
        <v>45189</v>
      </c>
      <c r="F713" s="47">
        <v>9</v>
      </c>
      <c r="G713" s="48">
        <v>45199</v>
      </c>
      <c r="H713" s="47" t="s">
        <v>41</v>
      </c>
      <c r="I713" s="47" t="s">
        <v>5</v>
      </c>
      <c r="J713" s="47" t="s">
        <v>41</v>
      </c>
      <c r="K713" s="47" t="s">
        <v>41</v>
      </c>
    </row>
    <row r="714" spans="1:11" x14ac:dyDescent="0.25">
      <c r="A714" s="44">
        <v>2282</v>
      </c>
      <c r="B714" s="46">
        <v>45185</v>
      </c>
      <c r="C714" s="44" t="s">
        <v>40</v>
      </c>
      <c r="D714" s="47">
        <v>5</v>
      </c>
      <c r="E714" s="48">
        <v>45189</v>
      </c>
      <c r="F714" s="47">
        <v>9</v>
      </c>
      <c r="G714" s="48">
        <v>45199</v>
      </c>
      <c r="H714" s="47" t="s">
        <v>41</v>
      </c>
      <c r="I714" s="47" t="s">
        <v>41</v>
      </c>
      <c r="J714" s="47" t="s">
        <v>1</v>
      </c>
      <c r="K714" s="47" t="s">
        <v>41</v>
      </c>
    </row>
    <row r="715" spans="1:11" x14ac:dyDescent="0.25">
      <c r="A715" s="44">
        <v>3191</v>
      </c>
      <c r="B715" s="46">
        <v>45185</v>
      </c>
      <c r="C715" s="44" t="s">
        <v>40</v>
      </c>
      <c r="D715" s="47">
        <v>5</v>
      </c>
      <c r="E715" s="48">
        <v>45189</v>
      </c>
      <c r="F715" s="47">
        <v>9</v>
      </c>
      <c r="G715" s="48">
        <v>45199</v>
      </c>
      <c r="H715" s="47" t="s">
        <v>3</v>
      </c>
      <c r="I715" s="47" t="s">
        <v>41</v>
      </c>
      <c r="J715" s="47" t="s">
        <v>41</v>
      </c>
      <c r="K715" s="47" t="s">
        <v>41</v>
      </c>
    </row>
    <row r="716" spans="1:11" x14ac:dyDescent="0.25">
      <c r="A716" s="44">
        <v>2091</v>
      </c>
      <c r="B716" s="46">
        <v>45186</v>
      </c>
      <c r="C716" s="44" t="s">
        <v>40</v>
      </c>
      <c r="D716" s="47">
        <v>5</v>
      </c>
      <c r="E716" s="48">
        <v>45190</v>
      </c>
      <c r="F716" s="47">
        <v>9</v>
      </c>
      <c r="G716" s="48">
        <v>45200</v>
      </c>
      <c r="H716" s="47" t="s">
        <v>3</v>
      </c>
      <c r="I716" s="47" t="s">
        <v>41</v>
      </c>
      <c r="J716" s="47" t="s">
        <v>41</v>
      </c>
      <c r="K716" s="47" t="s">
        <v>41</v>
      </c>
    </row>
    <row r="717" spans="1:11" x14ac:dyDescent="0.25">
      <c r="A717" s="44">
        <v>2963</v>
      </c>
      <c r="B717" s="46">
        <v>45187</v>
      </c>
      <c r="C717" s="44" t="s">
        <v>40</v>
      </c>
      <c r="D717" s="47">
        <v>5</v>
      </c>
      <c r="E717" s="48">
        <v>45191</v>
      </c>
      <c r="F717" s="47">
        <v>9</v>
      </c>
      <c r="G717" s="48">
        <v>45201</v>
      </c>
      <c r="H717" s="47" t="s">
        <v>3</v>
      </c>
      <c r="I717" s="47" t="s">
        <v>41</v>
      </c>
      <c r="J717" s="47" t="s">
        <v>41</v>
      </c>
      <c r="K717" s="47" t="s">
        <v>41</v>
      </c>
    </row>
    <row r="718" spans="1:11" x14ac:dyDescent="0.25">
      <c r="A718" s="44">
        <v>2362</v>
      </c>
      <c r="B718" s="46">
        <v>45188</v>
      </c>
      <c r="C718" s="44" t="s">
        <v>7</v>
      </c>
      <c r="D718" s="47">
        <v>5</v>
      </c>
      <c r="E718" s="48">
        <v>45192</v>
      </c>
      <c r="F718" s="47">
        <v>3</v>
      </c>
      <c r="G718" s="48">
        <v>45196</v>
      </c>
      <c r="H718" s="47" t="s">
        <v>41</v>
      </c>
      <c r="I718" s="47" t="s">
        <v>41</v>
      </c>
      <c r="J718" s="47" t="s">
        <v>1</v>
      </c>
      <c r="K718" s="47" t="s">
        <v>41</v>
      </c>
    </row>
    <row r="719" spans="1:11" x14ac:dyDescent="0.25">
      <c r="A719" s="44">
        <v>2553</v>
      </c>
      <c r="B719" s="46">
        <v>45189</v>
      </c>
      <c r="C719" s="44" t="s">
        <v>44</v>
      </c>
      <c r="D719" s="47">
        <v>5</v>
      </c>
      <c r="E719" s="48">
        <v>45193</v>
      </c>
      <c r="F719" s="47">
        <v>3</v>
      </c>
      <c r="G719" s="48">
        <v>45197</v>
      </c>
      <c r="H719" s="47" t="s">
        <v>3</v>
      </c>
      <c r="I719" s="47" t="s">
        <v>41</v>
      </c>
      <c r="J719" s="47" t="s">
        <v>41</v>
      </c>
      <c r="K719" s="47" t="s">
        <v>41</v>
      </c>
    </row>
    <row r="720" spans="1:11" x14ac:dyDescent="0.25">
      <c r="A720" s="44">
        <v>3227</v>
      </c>
      <c r="B720" s="46">
        <v>45189</v>
      </c>
      <c r="C720" s="44" t="s">
        <v>44</v>
      </c>
      <c r="D720" s="47">
        <v>5</v>
      </c>
      <c r="E720" s="48">
        <v>45193</v>
      </c>
      <c r="F720" s="47">
        <v>3</v>
      </c>
      <c r="G720" s="48">
        <v>45197</v>
      </c>
      <c r="H720" s="47" t="s">
        <v>41</v>
      </c>
      <c r="I720" s="47" t="s">
        <v>41</v>
      </c>
      <c r="J720" s="47" t="s">
        <v>1</v>
      </c>
      <c r="K720" s="47" t="s">
        <v>41</v>
      </c>
    </row>
    <row r="721" spans="1:11" x14ac:dyDescent="0.25">
      <c r="A721" s="44">
        <v>1738</v>
      </c>
      <c r="B721" s="46">
        <v>45190</v>
      </c>
      <c r="C721" s="44" t="s">
        <v>44</v>
      </c>
      <c r="D721" s="47">
        <v>5</v>
      </c>
      <c r="E721" s="48">
        <v>45194</v>
      </c>
      <c r="F721" s="47">
        <v>3</v>
      </c>
      <c r="G721" s="48">
        <v>45198</v>
      </c>
      <c r="H721" s="47" t="s">
        <v>3</v>
      </c>
      <c r="I721" s="47" t="s">
        <v>41</v>
      </c>
      <c r="J721" s="47" t="s">
        <v>1</v>
      </c>
      <c r="K721" s="47" t="s">
        <v>41</v>
      </c>
    </row>
    <row r="722" spans="1:11" x14ac:dyDescent="0.25">
      <c r="A722" s="44">
        <v>3323</v>
      </c>
      <c r="B722" s="46">
        <v>45191</v>
      </c>
      <c r="C722" s="44" t="s">
        <v>81</v>
      </c>
      <c r="D722" s="47">
        <v>5</v>
      </c>
      <c r="E722" s="48">
        <v>45195</v>
      </c>
      <c r="F722" s="47">
        <v>3</v>
      </c>
      <c r="G722" s="48">
        <v>45199</v>
      </c>
      <c r="H722" s="47" t="s">
        <v>41</v>
      </c>
      <c r="I722" s="47" t="s">
        <v>5</v>
      </c>
      <c r="J722" s="47" t="s">
        <v>41</v>
      </c>
      <c r="K722" s="47" t="s">
        <v>41</v>
      </c>
    </row>
    <row r="723" spans="1:11" x14ac:dyDescent="0.25">
      <c r="A723" s="44">
        <v>1930</v>
      </c>
      <c r="B723" s="46">
        <v>45191</v>
      </c>
      <c r="C723" s="44" t="s">
        <v>80</v>
      </c>
      <c r="D723" s="47">
        <v>5</v>
      </c>
      <c r="E723" s="48">
        <v>45195</v>
      </c>
      <c r="F723" s="47">
        <v>2</v>
      </c>
      <c r="G723" s="48">
        <v>45198</v>
      </c>
      <c r="H723" s="47" t="s">
        <v>41</v>
      </c>
      <c r="I723" s="47" t="s">
        <v>41</v>
      </c>
      <c r="J723" s="47" t="s">
        <v>1</v>
      </c>
      <c r="K723" s="47" t="s">
        <v>41</v>
      </c>
    </row>
    <row r="724" spans="1:11" x14ac:dyDescent="0.25">
      <c r="A724" s="44">
        <v>3369</v>
      </c>
      <c r="B724" s="46">
        <v>45191</v>
      </c>
      <c r="C724" s="44" t="s">
        <v>80</v>
      </c>
      <c r="D724" s="47">
        <v>5</v>
      </c>
      <c r="E724" s="48">
        <v>45195</v>
      </c>
      <c r="F724" s="47">
        <v>2</v>
      </c>
      <c r="G724" s="48">
        <v>45198</v>
      </c>
      <c r="H724" s="47" t="s">
        <v>3</v>
      </c>
      <c r="I724" s="47" t="s">
        <v>41</v>
      </c>
      <c r="J724" s="47" t="s">
        <v>41</v>
      </c>
      <c r="K724" s="47" t="s">
        <v>41</v>
      </c>
    </row>
    <row r="725" spans="1:11" x14ac:dyDescent="0.25">
      <c r="A725" s="44">
        <v>2706</v>
      </c>
      <c r="B725" s="46">
        <v>45191</v>
      </c>
      <c r="C725" s="44" t="s">
        <v>44</v>
      </c>
      <c r="D725" s="47">
        <v>5</v>
      </c>
      <c r="E725" s="48">
        <v>45195</v>
      </c>
      <c r="F725" s="47">
        <v>3</v>
      </c>
      <c r="G725" s="48">
        <v>45199</v>
      </c>
      <c r="H725" s="47" t="s">
        <v>41</v>
      </c>
      <c r="I725" s="47" t="s">
        <v>41</v>
      </c>
      <c r="J725" s="47" t="s">
        <v>1</v>
      </c>
      <c r="K725" s="47" t="s">
        <v>4</v>
      </c>
    </row>
    <row r="726" spans="1:11" x14ac:dyDescent="0.25">
      <c r="A726" s="44">
        <v>2963</v>
      </c>
      <c r="B726" s="46">
        <v>45191</v>
      </c>
      <c r="C726" s="44" t="s">
        <v>81</v>
      </c>
      <c r="D726" s="47">
        <v>5</v>
      </c>
      <c r="E726" s="48">
        <v>45194</v>
      </c>
      <c r="F726" s="47">
        <v>3</v>
      </c>
      <c r="G726" s="48">
        <v>45198</v>
      </c>
      <c r="H726" s="47" t="s">
        <v>3</v>
      </c>
      <c r="I726" s="47" t="s">
        <v>41</v>
      </c>
      <c r="J726" s="47" t="s">
        <v>41</v>
      </c>
      <c r="K726" s="47" t="s">
        <v>41</v>
      </c>
    </row>
    <row r="727" spans="1:11" x14ac:dyDescent="0.25">
      <c r="A727" s="44">
        <v>1553</v>
      </c>
      <c r="B727" s="46">
        <v>45191</v>
      </c>
      <c r="C727" s="44" t="s">
        <v>44</v>
      </c>
      <c r="D727" s="47">
        <v>5</v>
      </c>
      <c r="E727" s="48">
        <v>45195</v>
      </c>
      <c r="F727" s="47">
        <v>3</v>
      </c>
      <c r="G727" s="48">
        <v>45199</v>
      </c>
      <c r="H727" s="47" t="s">
        <v>3</v>
      </c>
      <c r="I727" s="47" t="s">
        <v>41</v>
      </c>
      <c r="J727" s="47" t="s">
        <v>41</v>
      </c>
      <c r="K727" s="47" t="s">
        <v>41</v>
      </c>
    </row>
    <row r="728" spans="1:11" x14ac:dyDescent="0.25">
      <c r="A728" s="44">
        <v>2702</v>
      </c>
      <c r="B728" s="46">
        <v>45193</v>
      </c>
      <c r="C728" s="44" t="s">
        <v>44</v>
      </c>
      <c r="D728" s="47">
        <v>5</v>
      </c>
      <c r="E728" s="48">
        <v>45197</v>
      </c>
      <c r="F728" s="47">
        <v>3</v>
      </c>
      <c r="G728" s="48">
        <v>45201</v>
      </c>
      <c r="H728" s="47" t="s">
        <v>3</v>
      </c>
      <c r="I728" s="47" t="s">
        <v>41</v>
      </c>
      <c r="J728" s="47" t="s">
        <v>41</v>
      </c>
      <c r="K728" s="47" t="s">
        <v>41</v>
      </c>
    </row>
    <row r="729" spans="1:11" x14ac:dyDescent="0.25">
      <c r="A729" s="44">
        <v>3591</v>
      </c>
      <c r="B729" s="46">
        <v>45193</v>
      </c>
      <c r="C729" s="44" t="s">
        <v>44</v>
      </c>
      <c r="D729" s="47">
        <v>5</v>
      </c>
      <c r="E729" s="48">
        <v>45197</v>
      </c>
      <c r="F729" s="47">
        <v>3</v>
      </c>
      <c r="G729" s="48">
        <v>45201</v>
      </c>
      <c r="H729" s="47" t="s">
        <v>3</v>
      </c>
      <c r="I729" s="47" t="s">
        <v>41</v>
      </c>
      <c r="J729" s="47" t="s">
        <v>41</v>
      </c>
      <c r="K729" s="47" t="s">
        <v>41</v>
      </c>
    </row>
    <row r="730" spans="1:11" x14ac:dyDescent="0.25">
      <c r="A730" s="44">
        <v>3176</v>
      </c>
      <c r="B730" s="46">
        <v>45194</v>
      </c>
      <c r="C730" s="44" t="s">
        <v>44</v>
      </c>
      <c r="D730" s="47">
        <v>5</v>
      </c>
      <c r="E730" s="48">
        <v>45198</v>
      </c>
      <c r="F730" s="47">
        <v>3</v>
      </c>
      <c r="G730" s="48">
        <v>45202</v>
      </c>
      <c r="H730" s="47" t="s">
        <v>3</v>
      </c>
      <c r="I730" s="47" t="s">
        <v>5</v>
      </c>
      <c r="J730" s="47" t="s">
        <v>41</v>
      </c>
      <c r="K730" s="47" t="s">
        <v>41</v>
      </c>
    </row>
    <row r="731" spans="1:11" x14ac:dyDescent="0.25">
      <c r="A731" s="44">
        <v>2379</v>
      </c>
      <c r="B731" s="46">
        <v>45194</v>
      </c>
      <c r="C731" s="44" t="s">
        <v>44</v>
      </c>
      <c r="D731" s="47">
        <v>5</v>
      </c>
      <c r="E731" s="48">
        <v>45198</v>
      </c>
      <c r="F731" s="47">
        <v>3</v>
      </c>
      <c r="G731" s="48">
        <v>45202</v>
      </c>
      <c r="H731" s="47" t="s">
        <v>3</v>
      </c>
      <c r="I731" s="47" t="s">
        <v>41</v>
      </c>
      <c r="J731" s="47" t="s">
        <v>41</v>
      </c>
      <c r="K731" s="47" t="s">
        <v>41</v>
      </c>
    </row>
    <row r="732" spans="1:11" x14ac:dyDescent="0.25">
      <c r="A732" s="44">
        <v>2732</v>
      </c>
      <c r="B732" s="46">
        <v>45194</v>
      </c>
      <c r="C732" s="44" t="s">
        <v>44</v>
      </c>
      <c r="D732" s="47">
        <v>5</v>
      </c>
      <c r="E732" s="48">
        <v>45198</v>
      </c>
      <c r="F732" s="47">
        <v>3</v>
      </c>
      <c r="G732" s="48">
        <v>45202</v>
      </c>
      <c r="H732" s="47" t="s">
        <v>41</v>
      </c>
      <c r="I732" s="47" t="s">
        <v>41</v>
      </c>
      <c r="J732" s="47" t="s">
        <v>1</v>
      </c>
      <c r="K732" s="47" t="s">
        <v>41</v>
      </c>
    </row>
    <row r="733" spans="1:11" x14ac:dyDescent="0.25">
      <c r="A733" s="44">
        <v>2890</v>
      </c>
      <c r="B733" s="46">
        <v>45194</v>
      </c>
      <c r="C733" s="44" t="s">
        <v>44</v>
      </c>
      <c r="D733" s="47">
        <v>5</v>
      </c>
      <c r="E733" s="48">
        <v>45198</v>
      </c>
      <c r="F733" s="47">
        <v>3</v>
      </c>
      <c r="G733" s="48">
        <v>45202</v>
      </c>
      <c r="H733" s="47" t="s">
        <v>3</v>
      </c>
      <c r="I733" s="47" t="s">
        <v>41</v>
      </c>
      <c r="J733" s="47" t="s">
        <v>1</v>
      </c>
      <c r="K733" s="47" t="s">
        <v>41</v>
      </c>
    </row>
    <row r="734" spans="1:11" x14ac:dyDescent="0.25">
      <c r="A734" s="44">
        <v>3035</v>
      </c>
      <c r="B734" s="46">
        <v>45194</v>
      </c>
      <c r="C734" s="44" t="s">
        <v>44</v>
      </c>
      <c r="D734" s="47">
        <v>5</v>
      </c>
      <c r="E734" s="48">
        <v>45198</v>
      </c>
      <c r="F734" s="47">
        <v>3</v>
      </c>
      <c r="G734" s="48">
        <v>45202</v>
      </c>
      <c r="H734" s="47" t="s">
        <v>41</v>
      </c>
      <c r="I734" s="47" t="s">
        <v>5</v>
      </c>
      <c r="J734" s="47" t="s">
        <v>41</v>
      </c>
      <c r="K734" s="47" t="s">
        <v>41</v>
      </c>
    </row>
    <row r="735" spans="1:11" x14ac:dyDescent="0.25">
      <c r="A735" s="44">
        <v>2327</v>
      </c>
      <c r="B735" s="46">
        <v>45194</v>
      </c>
      <c r="C735" s="44" t="s">
        <v>44</v>
      </c>
      <c r="D735" s="47">
        <v>5</v>
      </c>
      <c r="E735" s="48">
        <v>45198</v>
      </c>
      <c r="F735" s="47">
        <v>3</v>
      </c>
      <c r="G735" s="48">
        <v>45202</v>
      </c>
      <c r="H735" s="47" t="s">
        <v>41</v>
      </c>
      <c r="I735" s="47" t="s">
        <v>41</v>
      </c>
      <c r="J735" s="47" t="s">
        <v>41</v>
      </c>
      <c r="K735" s="47" t="s">
        <v>4</v>
      </c>
    </row>
    <row r="736" spans="1:11" x14ac:dyDescent="0.25">
      <c r="A736" s="44">
        <v>3207</v>
      </c>
      <c r="B736" s="46">
        <v>45194</v>
      </c>
      <c r="C736" s="44" t="s">
        <v>43</v>
      </c>
      <c r="D736" s="47">
        <v>5</v>
      </c>
      <c r="E736" s="48">
        <v>45198</v>
      </c>
      <c r="F736" s="47">
        <v>4</v>
      </c>
      <c r="G736" s="48">
        <v>45203</v>
      </c>
      <c r="H736" s="47" t="s">
        <v>3</v>
      </c>
      <c r="I736" s="47" t="s">
        <v>41</v>
      </c>
      <c r="J736" s="47" t="s">
        <v>41</v>
      </c>
      <c r="K736" s="47" t="s">
        <v>41</v>
      </c>
    </row>
    <row r="737" spans="1:11" x14ac:dyDescent="0.25">
      <c r="A737" s="44">
        <v>2185</v>
      </c>
      <c r="B737" s="46">
        <v>45194</v>
      </c>
      <c r="C737" s="44" t="s">
        <v>43</v>
      </c>
      <c r="D737" s="47">
        <v>5</v>
      </c>
      <c r="E737" s="48">
        <v>45198</v>
      </c>
      <c r="F737" s="47">
        <v>4</v>
      </c>
      <c r="G737" s="48">
        <v>45203</v>
      </c>
      <c r="H737" s="47" t="s">
        <v>3</v>
      </c>
      <c r="I737" s="47" t="s">
        <v>5</v>
      </c>
      <c r="J737" s="47" t="s">
        <v>41</v>
      </c>
      <c r="K737" s="47" t="s">
        <v>41</v>
      </c>
    </row>
    <row r="738" spans="1:11" x14ac:dyDescent="0.25">
      <c r="A738" s="44">
        <v>2963</v>
      </c>
      <c r="B738" s="46">
        <v>45194</v>
      </c>
      <c r="C738" s="44" t="s">
        <v>40</v>
      </c>
      <c r="D738" s="47">
        <v>5</v>
      </c>
      <c r="E738" s="48">
        <v>45198</v>
      </c>
      <c r="F738" s="47">
        <v>9</v>
      </c>
      <c r="G738" s="48">
        <v>45208</v>
      </c>
      <c r="H738" s="47" t="s">
        <v>3</v>
      </c>
      <c r="I738" s="47" t="s">
        <v>41</v>
      </c>
      <c r="J738" s="47" t="s">
        <v>41</v>
      </c>
      <c r="K738" s="47" t="s">
        <v>41</v>
      </c>
    </row>
    <row r="739" spans="1:11" x14ac:dyDescent="0.25">
      <c r="A739" s="44">
        <v>2726</v>
      </c>
      <c r="B739" s="46">
        <v>45194</v>
      </c>
      <c r="C739" s="44" t="s">
        <v>7</v>
      </c>
      <c r="D739" s="47">
        <v>5</v>
      </c>
      <c r="E739" s="68">
        <v>45198</v>
      </c>
      <c r="F739" s="47">
        <v>3</v>
      </c>
      <c r="G739" s="48">
        <v>45202</v>
      </c>
      <c r="H739" s="47" t="s">
        <v>41</v>
      </c>
      <c r="I739" s="47" t="s">
        <v>5</v>
      </c>
      <c r="J739" s="47" t="s">
        <v>41</v>
      </c>
      <c r="K739" s="47" t="s">
        <v>41</v>
      </c>
    </row>
    <row r="740" spans="1:11" x14ac:dyDescent="0.25">
      <c r="A740" s="44">
        <v>3540</v>
      </c>
      <c r="B740" s="46">
        <v>45194</v>
      </c>
      <c r="C740" s="44" t="s">
        <v>81</v>
      </c>
      <c r="D740" s="47">
        <v>4</v>
      </c>
      <c r="E740" s="68">
        <v>45197</v>
      </c>
      <c r="F740" s="47">
        <v>3</v>
      </c>
      <c r="G740" s="48">
        <v>45201</v>
      </c>
      <c r="H740" s="47" t="s">
        <v>41</v>
      </c>
      <c r="I740" s="47" t="s">
        <v>41</v>
      </c>
      <c r="J740" s="47" t="s">
        <v>1</v>
      </c>
      <c r="K740" s="47" t="s">
        <v>4</v>
      </c>
    </row>
    <row r="741" spans="1:11" x14ac:dyDescent="0.25">
      <c r="A741" s="44">
        <v>830</v>
      </c>
      <c r="B741" s="46">
        <v>45195</v>
      </c>
      <c r="C741" s="44" t="s">
        <v>7</v>
      </c>
      <c r="D741" s="47">
        <v>5</v>
      </c>
      <c r="E741" s="68">
        <v>45199</v>
      </c>
      <c r="F741" s="47">
        <v>3</v>
      </c>
      <c r="G741" s="48">
        <v>45203</v>
      </c>
      <c r="H741" s="47" t="s">
        <v>41</v>
      </c>
      <c r="I741" s="47" t="s">
        <v>5</v>
      </c>
      <c r="J741" s="47" t="s">
        <v>41</v>
      </c>
      <c r="K741" s="47" t="s">
        <v>41</v>
      </c>
    </row>
    <row r="742" spans="1:11" x14ac:dyDescent="0.25">
      <c r="A742" s="44">
        <v>3147</v>
      </c>
      <c r="B742" s="46">
        <v>45196</v>
      </c>
      <c r="C742" s="44" t="s">
        <v>81</v>
      </c>
      <c r="D742" s="47">
        <v>5</v>
      </c>
      <c r="E742" s="48">
        <v>45200</v>
      </c>
      <c r="F742" s="47">
        <v>3</v>
      </c>
      <c r="G742" s="48">
        <v>45204</v>
      </c>
      <c r="H742" s="47" t="s">
        <v>3</v>
      </c>
      <c r="I742" s="47" t="s">
        <v>41</v>
      </c>
      <c r="J742" s="47" t="s">
        <v>41</v>
      </c>
      <c r="K742" s="47" t="s">
        <v>41</v>
      </c>
    </row>
    <row r="743" spans="1:11" x14ac:dyDescent="0.25">
      <c r="A743" s="44">
        <v>17</v>
      </c>
      <c r="B743" s="46">
        <v>45196</v>
      </c>
      <c r="C743" s="44" t="s">
        <v>7</v>
      </c>
      <c r="D743" s="47">
        <v>5</v>
      </c>
      <c r="E743" s="48">
        <v>45200</v>
      </c>
      <c r="F743" s="47">
        <v>3</v>
      </c>
      <c r="G743" s="48">
        <v>45204</v>
      </c>
      <c r="H743" s="47" t="s">
        <v>41</v>
      </c>
      <c r="I743" s="47" t="s">
        <v>41</v>
      </c>
      <c r="J743" s="47" t="s">
        <v>1</v>
      </c>
      <c r="K743" s="47" t="s">
        <v>41</v>
      </c>
    </row>
    <row r="744" spans="1:11" x14ac:dyDescent="0.25">
      <c r="A744" s="44">
        <v>2328</v>
      </c>
      <c r="B744" s="46">
        <v>45196</v>
      </c>
      <c r="C744" s="44" t="s">
        <v>7</v>
      </c>
      <c r="D744" s="47">
        <v>5</v>
      </c>
      <c r="E744" s="48">
        <v>45200</v>
      </c>
      <c r="F744" s="47">
        <v>3</v>
      </c>
      <c r="G744" s="48">
        <v>45204</v>
      </c>
      <c r="H744" s="47" t="s">
        <v>3</v>
      </c>
      <c r="I744" s="47" t="s">
        <v>41</v>
      </c>
      <c r="J744" s="47" t="s">
        <v>41</v>
      </c>
      <c r="K744" s="47" t="s">
        <v>41</v>
      </c>
    </row>
    <row r="745" spans="1:11" x14ac:dyDescent="0.25">
      <c r="A745" s="44">
        <v>1882</v>
      </c>
      <c r="B745" s="46">
        <v>45196</v>
      </c>
      <c r="C745" s="44" t="s">
        <v>7</v>
      </c>
      <c r="D745" s="47">
        <v>5</v>
      </c>
      <c r="E745" s="48">
        <v>45200</v>
      </c>
      <c r="F745" s="47">
        <v>3</v>
      </c>
      <c r="G745" s="48">
        <v>45204</v>
      </c>
      <c r="H745" s="47" t="s">
        <v>41</v>
      </c>
      <c r="I745" s="47" t="s">
        <v>41</v>
      </c>
      <c r="J745" s="47" t="s">
        <v>41</v>
      </c>
      <c r="K745" s="47" t="s">
        <v>4</v>
      </c>
    </row>
    <row r="746" spans="1:11" x14ac:dyDescent="0.25">
      <c r="A746" s="44">
        <v>2706</v>
      </c>
      <c r="B746" s="46">
        <v>45196</v>
      </c>
      <c r="C746" s="44" t="s">
        <v>7</v>
      </c>
      <c r="D746" s="47">
        <v>5</v>
      </c>
      <c r="E746" s="48">
        <v>45200</v>
      </c>
      <c r="F746" s="47">
        <v>3</v>
      </c>
      <c r="G746" s="48">
        <v>45204</v>
      </c>
      <c r="H746" s="47" t="s">
        <v>41</v>
      </c>
      <c r="I746" s="47" t="s">
        <v>5</v>
      </c>
      <c r="J746" s="47" t="s">
        <v>41</v>
      </c>
      <c r="K746" s="69" t="s">
        <v>41</v>
      </c>
    </row>
    <row r="747" spans="1:11" x14ac:dyDescent="0.25">
      <c r="A747" s="44">
        <v>186</v>
      </c>
      <c r="B747" s="46">
        <v>45198</v>
      </c>
      <c r="C747" s="44" t="s">
        <v>7</v>
      </c>
      <c r="D747" s="47">
        <v>5</v>
      </c>
      <c r="E747" s="48">
        <v>45202</v>
      </c>
      <c r="F747" s="47">
        <v>3</v>
      </c>
      <c r="G747" s="48">
        <v>45206</v>
      </c>
      <c r="H747" s="47" t="s">
        <v>41</v>
      </c>
      <c r="I747" s="47" t="s">
        <v>41</v>
      </c>
      <c r="J747" s="47" t="s">
        <v>41</v>
      </c>
      <c r="K747" s="47" t="s">
        <v>4</v>
      </c>
    </row>
    <row r="748" spans="1:11" x14ac:dyDescent="0.25">
      <c r="A748" s="44">
        <v>1553</v>
      </c>
      <c r="B748" s="46">
        <v>45198</v>
      </c>
      <c r="C748" s="44" t="s">
        <v>7</v>
      </c>
      <c r="D748" s="47">
        <v>5</v>
      </c>
      <c r="E748" s="48">
        <v>45202</v>
      </c>
      <c r="F748" s="47">
        <v>3</v>
      </c>
      <c r="G748" s="48">
        <v>45206</v>
      </c>
      <c r="H748" s="47" t="s">
        <v>3</v>
      </c>
      <c r="I748" s="47" t="s">
        <v>41</v>
      </c>
      <c r="J748" s="47" t="s">
        <v>41</v>
      </c>
      <c r="K748" s="47" t="s">
        <v>41</v>
      </c>
    </row>
    <row r="749" spans="1:11" x14ac:dyDescent="0.25">
      <c r="A749" s="44">
        <v>2963</v>
      </c>
      <c r="B749" s="46">
        <v>45199</v>
      </c>
      <c r="C749" s="44" t="s">
        <v>80</v>
      </c>
      <c r="D749" s="47">
        <v>5</v>
      </c>
      <c r="E749" s="48">
        <v>45203</v>
      </c>
      <c r="F749" s="47">
        <v>2</v>
      </c>
      <c r="G749" s="48">
        <v>45206</v>
      </c>
      <c r="H749" s="47" t="s">
        <v>3</v>
      </c>
      <c r="I749" s="47" t="s">
        <v>41</v>
      </c>
      <c r="J749" s="47" t="s">
        <v>41</v>
      </c>
      <c r="K749" s="47" t="s">
        <v>41</v>
      </c>
    </row>
    <row r="750" spans="1:11" x14ac:dyDescent="0.25">
      <c r="A750" s="44">
        <v>3410</v>
      </c>
      <c r="B750" s="46">
        <v>45200</v>
      </c>
      <c r="C750" s="44" t="s">
        <v>7</v>
      </c>
      <c r="D750" s="47">
        <v>5</v>
      </c>
      <c r="E750" s="48">
        <v>45204</v>
      </c>
      <c r="F750" s="47">
        <v>3</v>
      </c>
      <c r="G750" s="48">
        <v>45208</v>
      </c>
      <c r="H750" s="47" t="s">
        <v>41</v>
      </c>
      <c r="I750" s="47" t="s">
        <v>41</v>
      </c>
      <c r="J750" s="47" t="s">
        <v>41</v>
      </c>
      <c r="K750" s="47" t="s">
        <v>4</v>
      </c>
    </row>
    <row r="751" spans="1:11" x14ac:dyDescent="0.25">
      <c r="A751" s="70">
        <v>2327</v>
      </c>
      <c r="B751" s="71">
        <v>45201</v>
      </c>
      <c r="C751" s="44" t="s">
        <v>81</v>
      </c>
      <c r="D751" s="47">
        <v>5</v>
      </c>
      <c r="E751" s="48">
        <v>45205</v>
      </c>
      <c r="F751" s="47">
        <v>3</v>
      </c>
      <c r="G751" s="48">
        <v>45209</v>
      </c>
      <c r="H751" s="47" t="s">
        <v>41</v>
      </c>
      <c r="I751" s="47" t="s">
        <v>41</v>
      </c>
      <c r="J751" s="47" t="s">
        <v>41</v>
      </c>
      <c r="K751" s="47" t="s">
        <v>41</v>
      </c>
    </row>
    <row r="752" spans="1:11" x14ac:dyDescent="0.25">
      <c r="A752" s="39">
        <v>2979</v>
      </c>
      <c r="B752" s="41">
        <v>45202</v>
      </c>
      <c r="C752" s="44" t="s">
        <v>7</v>
      </c>
      <c r="D752" s="47">
        <v>5</v>
      </c>
      <c r="E752" s="48">
        <v>45206</v>
      </c>
      <c r="F752" s="47">
        <v>3</v>
      </c>
      <c r="G752" s="48">
        <v>45210</v>
      </c>
      <c r="H752" s="47" t="s">
        <v>3</v>
      </c>
      <c r="I752" s="47" t="s">
        <v>5</v>
      </c>
      <c r="J752" s="47" t="s">
        <v>1</v>
      </c>
      <c r="K752" s="47" t="s">
        <v>41</v>
      </c>
    </row>
    <row r="753" spans="1:11" x14ac:dyDescent="0.25">
      <c r="A753" s="44">
        <v>2379</v>
      </c>
      <c r="B753" s="46">
        <v>45202</v>
      </c>
      <c r="C753" s="44" t="s">
        <v>81</v>
      </c>
      <c r="D753" s="47">
        <v>5</v>
      </c>
      <c r="E753" s="48">
        <v>45206</v>
      </c>
      <c r="F753" s="47">
        <v>3</v>
      </c>
      <c r="G753" s="48">
        <v>45210</v>
      </c>
      <c r="H753" s="47" t="s">
        <v>3</v>
      </c>
      <c r="I753" s="47" t="s">
        <v>41</v>
      </c>
      <c r="J753" s="47" t="s">
        <v>41</v>
      </c>
      <c r="K753" s="47" t="s">
        <v>41</v>
      </c>
    </row>
    <row r="754" spans="1:11" x14ac:dyDescent="0.25">
      <c r="A754" s="44">
        <v>2981</v>
      </c>
      <c r="B754" s="46">
        <v>45202</v>
      </c>
      <c r="C754" s="44" t="s">
        <v>7</v>
      </c>
      <c r="D754" s="47">
        <v>5</v>
      </c>
      <c r="E754" s="48">
        <v>45206</v>
      </c>
      <c r="F754" s="47">
        <v>3</v>
      </c>
      <c r="G754" s="48">
        <v>45210</v>
      </c>
      <c r="H754" s="47" t="s">
        <v>41</v>
      </c>
      <c r="I754" s="47" t="s">
        <v>41</v>
      </c>
      <c r="J754" s="47" t="s">
        <v>1</v>
      </c>
      <c r="K754" s="47" t="s">
        <v>41</v>
      </c>
    </row>
    <row r="755" spans="1:11" x14ac:dyDescent="0.25">
      <c r="A755" s="44">
        <v>2766</v>
      </c>
      <c r="B755" s="46">
        <v>45203</v>
      </c>
      <c r="C755" s="44" t="s">
        <v>7</v>
      </c>
      <c r="D755" s="47">
        <v>5</v>
      </c>
      <c r="E755" s="48">
        <v>45207</v>
      </c>
      <c r="F755" s="47">
        <v>3</v>
      </c>
      <c r="G755" s="48">
        <v>45211</v>
      </c>
      <c r="H755" s="47" t="s">
        <v>41</v>
      </c>
      <c r="I755" s="47" t="s">
        <v>41</v>
      </c>
      <c r="J755" s="47" t="s">
        <v>41</v>
      </c>
      <c r="K755" s="47" t="s">
        <v>4</v>
      </c>
    </row>
    <row r="756" spans="1:11" x14ac:dyDescent="0.25">
      <c r="A756" s="44">
        <v>2952</v>
      </c>
      <c r="B756" s="46">
        <v>45203</v>
      </c>
      <c r="C756" s="44" t="s">
        <v>7</v>
      </c>
      <c r="D756" s="47">
        <v>5</v>
      </c>
      <c r="E756" s="48">
        <v>45207</v>
      </c>
      <c r="F756" s="47">
        <v>3</v>
      </c>
      <c r="G756" s="48">
        <v>45211</v>
      </c>
      <c r="H756" s="47" t="s">
        <v>41</v>
      </c>
      <c r="I756" s="47" t="s">
        <v>41</v>
      </c>
      <c r="J756" s="47" t="s">
        <v>41</v>
      </c>
      <c r="K756" s="47" t="s">
        <v>4</v>
      </c>
    </row>
    <row r="757" spans="1:11" x14ac:dyDescent="0.25">
      <c r="A757" s="44">
        <v>3193</v>
      </c>
      <c r="B757" s="46">
        <v>45203</v>
      </c>
      <c r="C757" s="44" t="s">
        <v>7</v>
      </c>
      <c r="D757" s="47">
        <v>5</v>
      </c>
      <c r="E757" s="48">
        <v>45207</v>
      </c>
      <c r="F757" s="47">
        <v>3</v>
      </c>
      <c r="G757" s="48">
        <v>45211</v>
      </c>
      <c r="H757" s="47" t="s">
        <v>41</v>
      </c>
      <c r="I757" s="47" t="s">
        <v>5</v>
      </c>
      <c r="J757" s="47" t="s">
        <v>41</v>
      </c>
      <c r="K757" s="47" t="s">
        <v>41</v>
      </c>
    </row>
    <row r="758" spans="1:11" x14ac:dyDescent="0.25">
      <c r="A758" s="44">
        <v>695</v>
      </c>
      <c r="B758" s="46">
        <v>45203</v>
      </c>
      <c r="C758" s="44" t="s">
        <v>7</v>
      </c>
      <c r="D758" s="47">
        <v>5</v>
      </c>
      <c r="E758" s="48">
        <v>45207</v>
      </c>
      <c r="F758" s="47">
        <v>3</v>
      </c>
      <c r="G758" s="48">
        <v>45211</v>
      </c>
      <c r="H758" s="47" t="s">
        <v>41</v>
      </c>
      <c r="I758" s="47" t="s">
        <v>41</v>
      </c>
      <c r="J758" s="47" t="s">
        <v>1</v>
      </c>
      <c r="K758" s="47" t="s">
        <v>41</v>
      </c>
    </row>
    <row r="759" spans="1:11" x14ac:dyDescent="0.25">
      <c r="A759" s="44">
        <v>2038</v>
      </c>
      <c r="B759" s="46">
        <v>45203</v>
      </c>
      <c r="C759" s="44" t="s">
        <v>7</v>
      </c>
      <c r="D759" s="47">
        <v>5</v>
      </c>
      <c r="E759" s="48">
        <v>45207</v>
      </c>
      <c r="F759" s="47">
        <v>3</v>
      </c>
      <c r="G759" s="48">
        <v>45211</v>
      </c>
      <c r="H759" s="47" t="s">
        <v>41</v>
      </c>
      <c r="I759" s="47" t="s">
        <v>41</v>
      </c>
      <c r="J759" s="47" t="s">
        <v>1</v>
      </c>
      <c r="K759" s="47" t="s">
        <v>41</v>
      </c>
    </row>
    <row r="760" spans="1:11" x14ac:dyDescent="0.25">
      <c r="A760" s="44">
        <v>1553</v>
      </c>
      <c r="B760" s="46">
        <v>45203</v>
      </c>
      <c r="C760" s="44" t="s">
        <v>40</v>
      </c>
      <c r="D760" s="47">
        <v>5</v>
      </c>
      <c r="E760" s="48">
        <v>45207</v>
      </c>
      <c r="F760" s="47">
        <v>9</v>
      </c>
      <c r="G760" s="48">
        <v>45217</v>
      </c>
      <c r="H760" s="47" t="s">
        <v>3</v>
      </c>
      <c r="I760" s="47" t="s">
        <v>41</v>
      </c>
      <c r="J760" s="47" t="s">
        <v>41</v>
      </c>
      <c r="K760" s="47" t="s">
        <v>41</v>
      </c>
    </row>
    <row r="761" spans="1:11" x14ac:dyDescent="0.25">
      <c r="A761" s="44">
        <v>2155</v>
      </c>
      <c r="B761" s="46">
        <v>45204</v>
      </c>
      <c r="C761" s="44" t="s">
        <v>7</v>
      </c>
      <c r="D761" s="47">
        <v>5</v>
      </c>
      <c r="E761" s="48">
        <v>45208</v>
      </c>
      <c r="F761" s="47">
        <v>3</v>
      </c>
      <c r="G761" s="48">
        <v>45212</v>
      </c>
      <c r="H761" s="47" t="s">
        <v>41</v>
      </c>
      <c r="I761" s="47" t="s">
        <v>41</v>
      </c>
      <c r="J761" s="47" t="s">
        <v>41</v>
      </c>
      <c r="K761" s="47" t="s">
        <v>4</v>
      </c>
    </row>
    <row r="762" spans="1:11" x14ac:dyDescent="0.25">
      <c r="A762" s="44">
        <v>3678</v>
      </c>
      <c r="B762" s="46">
        <v>45204</v>
      </c>
      <c r="C762" s="44" t="s">
        <v>7</v>
      </c>
      <c r="D762" s="47">
        <v>5</v>
      </c>
      <c r="E762" s="48">
        <v>45208</v>
      </c>
      <c r="F762" s="47">
        <v>3</v>
      </c>
      <c r="G762" s="48">
        <v>45212</v>
      </c>
      <c r="H762" s="47" t="s">
        <v>3</v>
      </c>
      <c r="I762" s="47" t="s">
        <v>5</v>
      </c>
      <c r="J762" s="47" t="s">
        <v>1</v>
      </c>
      <c r="K762" s="47" t="s">
        <v>4</v>
      </c>
    </row>
    <row r="763" spans="1:11" x14ac:dyDescent="0.25">
      <c r="A763" s="44">
        <v>2616</v>
      </c>
      <c r="B763" s="46">
        <v>45205</v>
      </c>
      <c r="C763" s="44" t="s">
        <v>7</v>
      </c>
      <c r="D763" s="47">
        <v>5</v>
      </c>
      <c r="E763" s="48">
        <v>45209</v>
      </c>
      <c r="F763" s="47">
        <v>3</v>
      </c>
      <c r="G763" s="48">
        <v>45213</v>
      </c>
      <c r="H763" s="47" t="s">
        <v>41</v>
      </c>
      <c r="I763" s="47" t="s">
        <v>5</v>
      </c>
      <c r="J763" s="47" t="s">
        <v>41</v>
      </c>
      <c r="K763" s="47" t="s">
        <v>41</v>
      </c>
    </row>
    <row r="764" spans="1:11" x14ac:dyDescent="0.25">
      <c r="A764" s="44">
        <v>2901</v>
      </c>
      <c r="B764" s="46">
        <v>45205</v>
      </c>
      <c r="C764" s="44" t="s">
        <v>7</v>
      </c>
      <c r="D764" s="47">
        <v>5</v>
      </c>
      <c r="E764" s="48">
        <v>45209</v>
      </c>
      <c r="F764" s="47">
        <v>3</v>
      </c>
      <c r="G764" s="48">
        <v>45213</v>
      </c>
      <c r="H764" s="47" t="s">
        <v>41</v>
      </c>
      <c r="I764" s="47" t="s">
        <v>5</v>
      </c>
      <c r="J764" s="47" t="s">
        <v>41</v>
      </c>
      <c r="K764" s="47" t="s">
        <v>41</v>
      </c>
    </row>
    <row r="765" spans="1:11" x14ac:dyDescent="0.25">
      <c r="A765" s="44">
        <v>941</v>
      </c>
      <c r="B765" s="46">
        <v>45205</v>
      </c>
      <c r="C765" s="44" t="s">
        <v>7</v>
      </c>
      <c r="D765" s="47">
        <v>5</v>
      </c>
      <c r="E765" s="48">
        <v>45209</v>
      </c>
      <c r="F765" s="47">
        <v>3</v>
      </c>
      <c r="G765" s="48">
        <v>45213</v>
      </c>
      <c r="H765" s="47" t="s">
        <v>3</v>
      </c>
      <c r="I765" s="47" t="s">
        <v>41</v>
      </c>
      <c r="J765" s="47" t="s">
        <v>41</v>
      </c>
      <c r="K765" s="47" t="s">
        <v>41</v>
      </c>
    </row>
    <row r="766" spans="1:11" x14ac:dyDescent="0.25">
      <c r="A766" s="44">
        <v>3452</v>
      </c>
      <c r="B766" s="46">
        <v>45205</v>
      </c>
      <c r="C766" s="44" t="s">
        <v>7</v>
      </c>
      <c r="D766" s="47">
        <v>5</v>
      </c>
      <c r="E766" s="48">
        <v>45209</v>
      </c>
      <c r="F766" s="47">
        <v>3</v>
      </c>
      <c r="G766" s="48">
        <v>45213</v>
      </c>
      <c r="H766" s="47" t="s">
        <v>41</v>
      </c>
      <c r="I766" s="47" t="s">
        <v>5</v>
      </c>
      <c r="J766" s="47" t="s">
        <v>41</v>
      </c>
      <c r="K766" s="47" t="s">
        <v>41</v>
      </c>
    </row>
    <row r="767" spans="1:11" x14ac:dyDescent="0.25">
      <c r="A767" s="44">
        <v>3426</v>
      </c>
      <c r="B767" s="46">
        <v>45205</v>
      </c>
      <c r="C767" s="44" t="s">
        <v>81</v>
      </c>
      <c r="D767" s="47">
        <v>5</v>
      </c>
      <c r="E767" s="48">
        <v>45209</v>
      </c>
      <c r="F767" s="47">
        <v>3</v>
      </c>
      <c r="G767" s="48">
        <v>45213</v>
      </c>
      <c r="H767" s="47" t="s">
        <v>41</v>
      </c>
      <c r="I767" s="47" t="s">
        <v>41</v>
      </c>
      <c r="J767" s="47" t="s">
        <v>1</v>
      </c>
      <c r="K767" s="47" t="s">
        <v>41</v>
      </c>
    </row>
    <row r="768" spans="1:11" x14ac:dyDescent="0.25">
      <c r="A768" s="44">
        <v>2185</v>
      </c>
      <c r="B768" s="46">
        <v>45205</v>
      </c>
      <c r="C768" s="44" t="s">
        <v>40</v>
      </c>
      <c r="D768" s="47">
        <v>5</v>
      </c>
      <c r="E768" s="48">
        <v>45209</v>
      </c>
      <c r="F768" s="47">
        <v>9</v>
      </c>
      <c r="G768" s="48">
        <v>45219</v>
      </c>
      <c r="H768" s="47" t="s">
        <v>3</v>
      </c>
      <c r="I768" s="47" t="s">
        <v>41</v>
      </c>
      <c r="J768" s="47" t="s">
        <v>41</v>
      </c>
      <c r="K768" s="47" t="s">
        <v>41</v>
      </c>
    </row>
    <row r="769" spans="1:11" x14ac:dyDescent="0.25">
      <c r="A769" s="44">
        <v>2327</v>
      </c>
      <c r="B769" s="46">
        <v>45205</v>
      </c>
      <c r="C769" s="44" t="s">
        <v>40</v>
      </c>
      <c r="D769" s="47">
        <v>5</v>
      </c>
      <c r="E769" s="48">
        <v>45209</v>
      </c>
      <c r="F769" s="47">
        <v>9</v>
      </c>
      <c r="G769" s="48">
        <v>45219</v>
      </c>
      <c r="H769" s="47" t="s">
        <v>41</v>
      </c>
      <c r="I769" s="47" t="s">
        <v>5</v>
      </c>
      <c r="J769" s="47" t="s">
        <v>41</v>
      </c>
      <c r="K769" s="47" t="s">
        <v>41</v>
      </c>
    </row>
    <row r="770" spans="1:11" x14ac:dyDescent="0.25">
      <c r="A770" s="44">
        <v>1882</v>
      </c>
      <c r="B770" s="46">
        <v>45205</v>
      </c>
      <c r="C770" s="44" t="s">
        <v>40</v>
      </c>
      <c r="D770" s="47">
        <v>5</v>
      </c>
      <c r="E770" s="48">
        <v>45209</v>
      </c>
      <c r="F770" s="47">
        <v>9</v>
      </c>
      <c r="G770" s="48">
        <v>45219</v>
      </c>
      <c r="H770" s="47" t="s">
        <v>41</v>
      </c>
      <c r="I770" s="47" t="s">
        <v>41</v>
      </c>
      <c r="J770" s="47" t="s">
        <v>1</v>
      </c>
      <c r="K770" s="47" t="s">
        <v>4</v>
      </c>
    </row>
    <row r="771" spans="1:11" x14ac:dyDescent="0.25">
      <c r="A771" s="44">
        <v>1894</v>
      </c>
      <c r="B771" s="46">
        <v>45205</v>
      </c>
      <c r="C771" s="44" t="s">
        <v>40</v>
      </c>
      <c r="D771" s="47">
        <v>5</v>
      </c>
      <c r="E771" s="48">
        <v>45209</v>
      </c>
      <c r="F771" s="47">
        <v>9</v>
      </c>
      <c r="G771" s="48">
        <v>45219</v>
      </c>
      <c r="H771" s="47" t="s">
        <v>3</v>
      </c>
      <c r="I771" s="47" t="s">
        <v>41</v>
      </c>
      <c r="J771" s="47" t="s">
        <v>41</v>
      </c>
      <c r="K771" s="47" t="s">
        <v>41</v>
      </c>
    </row>
    <row r="772" spans="1:11" x14ac:dyDescent="0.25">
      <c r="A772" s="44">
        <v>1938</v>
      </c>
      <c r="B772" s="46">
        <v>45206</v>
      </c>
      <c r="C772" s="44" t="s">
        <v>7</v>
      </c>
      <c r="D772" s="47">
        <v>5</v>
      </c>
      <c r="E772" s="48">
        <v>45210</v>
      </c>
      <c r="F772" s="47">
        <v>3</v>
      </c>
      <c r="G772" s="48">
        <v>45214</v>
      </c>
      <c r="H772" s="47" t="s">
        <v>3</v>
      </c>
      <c r="I772" s="47" t="s">
        <v>5</v>
      </c>
      <c r="J772" s="47" t="s">
        <v>1</v>
      </c>
      <c r="K772" s="47" t="s">
        <v>4</v>
      </c>
    </row>
    <row r="773" spans="1:11" x14ac:dyDescent="0.25">
      <c r="A773" s="44">
        <v>3700</v>
      </c>
      <c r="B773" s="46">
        <v>45206</v>
      </c>
      <c r="C773" s="44" t="s">
        <v>7</v>
      </c>
      <c r="D773" s="47">
        <v>5</v>
      </c>
      <c r="E773" s="48">
        <v>45210</v>
      </c>
      <c r="F773" s="47">
        <v>3</v>
      </c>
      <c r="G773" s="48">
        <v>45214</v>
      </c>
      <c r="H773" s="47" t="s">
        <v>41</v>
      </c>
      <c r="I773" s="47" t="s">
        <v>41</v>
      </c>
      <c r="J773" s="47" t="s">
        <v>41</v>
      </c>
      <c r="K773" s="47" t="s">
        <v>4</v>
      </c>
    </row>
    <row r="774" spans="1:11" x14ac:dyDescent="0.25">
      <c r="A774" s="44">
        <v>1933</v>
      </c>
      <c r="B774" s="46">
        <v>45207</v>
      </c>
      <c r="C774" s="44" t="s">
        <v>7</v>
      </c>
      <c r="D774" s="47">
        <v>5</v>
      </c>
      <c r="E774" s="48">
        <v>45211</v>
      </c>
      <c r="F774" s="47">
        <v>3</v>
      </c>
      <c r="G774" s="48">
        <v>45215</v>
      </c>
      <c r="H774" s="47" t="s">
        <v>3</v>
      </c>
      <c r="I774" s="47" t="s">
        <v>5</v>
      </c>
      <c r="J774" s="47" t="s">
        <v>41</v>
      </c>
      <c r="K774" s="47" t="s">
        <v>41</v>
      </c>
    </row>
    <row r="775" spans="1:11" x14ac:dyDescent="0.25">
      <c r="A775" s="44">
        <v>3175</v>
      </c>
      <c r="B775" s="46">
        <v>45207</v>
      </c>
      <c r="C775" s="44" t="s">
        <v>40</v>
      </c>
      <c r="D775" s="47">
        <v>5</v>
      </c>
      <c r="E775" s="48">
        <v>45211</v>
      </c>
      <c r="F775" s="47">
        <v>9</v>
      </c>
      <c r="G775" s="48">
        <v>45221</v>
      </c>
      <c r="H775" s="47" t="s">
        <v>41</v>
      </c>
      <c r="I775" s="47" t="s">
        <v>5</v>
      </c>
      <c r="J775" s="47" t="s">
        <v>41</v>
      </c>
      <c r="K775" s="47" t="s">
        <v>41</v>
      </c>
    </row>
    <row r="776" spans="1:11" x14ac:dyDescent="0.25">
      <c r="A776" s="44">
        <v>1390</v>
      </c>
      <c r="B776" s="46">
        <v>45207</v>
      </c>
      <c r="C776" s="44" t="s">
        <v>40</v>
      </c>
      <c r="D776" s="47">
        <v>5</v>
      </c>
      <c r="E776" s="48">
        <v>45211</v>
      </c>
      <c r="F776" s="47">
        <v>9</v>
      </c>
      <c r="G776" s="48">
        <v>45221</v>
      </c>
      <c r="H776" s="47" t="s">
        <v>41</v>
      </c>
      <c r="I776" s="47" t="s">
        <v>41</v>
      </c>
      <c r="J776" s="47" t="s">
        <v>41</v>
      </c>
      <c r="K776" s="47" t="s">
        <v>4</v>
      </c>
    </row>
    <row r="777" spans="1:11" x14ac:dyDescent="0.25">
      <c r="A777" s="44">
        <v>1871</v>
      </c>
      <c r="B777" s="46">
        <v>45208</v>
      </c>
      <c r="C777" s="44" t="s">
        <v>7</v>
      </c>
      <c r="D777" s="47">
        <v>5</v>
      </c>
      <c r="E777" s="48">
        <v>45212</v>
      </c>
      <c r="F777" s="47">
        <v>3</v>
      </c>
      <c r="G777" s="48">
        <v>45216</v>
      </c>
      <c r="H777" s="47" t="s">
        <v>41</v>
      </c>
      <c r="I777" s="47" t="s">
        <v>5</v>
      </c>
      <c r="J777" s="47" t="s">
        <v>41</v>
      </c>
      <c r="K777" s="47" t="s">
        <v>41</v>
      </c>
    </row>
    <row r="778" spans="1:11" x14ac:dyDescent="0.25">
      <c r="A778" s="44">
        <v>2766</v>
      </c>
      <c r="B778" s="46">
        <v>45208</v>
      </c>
      <c r="C778" s="44" t="s">
        <v>40</v>
      </c>
      <c r="D778" s="47">
        <v>5</v>
      </c>
      <c r="E778" s="48">
        <v>45212</v>
      </c>
      <c r="F778" s="47">
        <v>9</v>
      </c>
      <c r="G778" s="48">
        <v>45222</v>
      </c>
      <c r="H778" s="47" t="s">
        <v>41</v>
      </c>
      <c r="I778" s="47" t="s">
        <v>41</v>
      </c>
      <c r="J778" s="47" t="s">
        <v>41</v>
      </c>
      <c r="K778" s="47" t="s">
        <v>4</v>
      </c>
    </row>
    <row r="779" spans="1:11" x14ac:dyDescent="0.25">
      <c r="A779" s="44">
        <v>3549</v>
      </c>
      <c r="B779" s="46">
        <v>45208</v>
      </c>
      <c r="C779" s="44" t="s">
        <v>40</v>
      </c>
      <c r="D779" s="47">
        <v>5</v>
      </c>
      <c r="E779" s="48">
        <v>45212</v>
      </c>
      <c r="F779" s="47">
        <v>9</v>
      </c>
      <c r="G779" s="48">
        <v>45222</v>
      </c>
      <c r="H779" s="47" t="s">
        <v>41</v>
      </c>
      <c r="I779" s="47" t="s">
        <v>41</v>
      </c>
      <c r="J779" s="47" t="s">
        <v>1</v>
      </c>
      <c r="K779" s="47" t="s">
        <v>41</v>
      </c>
    </row>
    <row r="780" spans="1:11" x14ac:dyDescent="0.25">
      <c r="A780" s="44">
        <v>2608</v>
      </c>
      <c r="B780" s="46">
        <v>45208</v>
      </c>
      <c r="C780" s="44" t="s">
        <v>7</v>
      </c>
      <c r="D780" s="47">
        <v>5</v>
      </c>
      <c r="E780" s="48">
        <v>45212</v>
      </c>
      <c r="F780" s="47">
        <v>3</v>
      </c>
      <c r="G780" s="48">
        <v>45216</v>
      </c>
      <c r="H780" s="47" t="s">
        <v>41</v>
      </c>
      <c r="I780" s="47" t="s">
        <v>41</v>
      </c>
      <c r="J780" s="47" t="s">
        <v>1</v>
      </c>
      <c r="K780" s="47" t="s">
        <v>41</v>
      </c>
    </row>
    <row r="781" spans="1:11" x14ac:dyDescent="0.25">
      <c r="A781" s="44">
        <v>3193</v>
      </c>
      <c r="B781" s="46">
        <v>45208</v>
      </c>
      <c r="C781" s="44" t="s">
        <v>40</v>
      </c>
      <c r="D781" s="47">
        <v>5</v>
      </c>
      <c r="E781" s="48">
        <v>45212</v>
      </c>
      <c r="F781" s="47">
        <v>9</v>
      </c>
      <c r="G781" s="48">
        <v>45222</v>
      </c>
      <c r="H781" s="47" t="s">
        <v>41</v>
      </c>
      <c r="I781" s="47" t="s">
        <v>5</v>
      </c>
      <c r="J781" s="47" t="s">
        <v>41</v>
      </c>
      <c r="K781" s="47" t="s">
        <v>41</v>
      </c>
    </row>
    <row r="782" spans="1:11" x14ac:dyDescent="0.25">
      <c r="A782" s="44">
        <v>3114</v>
      </c>
      <c r="B782" s="46">
        <v>45209</v>
      </c>
      <c r="C782" s="44" t="s">
        <v>40</v>
      </c>
      <c r="D782" s="47">
        <v>5</v>
      </c>
      <c r="E782" s="48">
        <v>45213</v>
      </c>
      <c r="F782" s="47">
        <v>9</v>
      </c>
      <c r="G782" s="48">
        <v>45223</v>
      </c>
      <c r="H782" s="47" t="s">
        <v>41</v>
      </c>
      <c r="I782" s="47" t="s">
        <v>41</v>
      </c>
      <c r="J782" s="47" t="s">
        <v>41</v>
      </c>
      <c r="K782" s="47" t="s">
        <v>4</v>
      </c>
    </row>
    <row r="783" spans="1:11" x14ac:dyDescent="0.25">
      <c r="A783" s="44">
        <v>3540</v>
      </c>
      <c r="B783" s="46">
        <v>45209</v>
      </c>
      <c r="C783" s="44" t="s">
        <v>40</v>
      </c>
      <c r="D783" s="47">
        <v>5</v>
      </c>
      <c r="E783" s="48">
        <v>45213</v>
      </c>
      <c r="F783" s="47">
        <v>9</v>
      </c>
      <c r="G783" s="48">
        <v>45223</v>
      </c>
      <c r="H783" s="47" t="s">
        <v>41</v>
      </c>
      <c r="I783" s="47" t="s">
        <v>41</v>
      </c>
      <c r="J783" s="47" t="s">
        <v>1</v>
      </c>
      <c r="K783" s="47" t="s">
        <v>41</v>
      </c>
    </row>
    <row r="784" spans="1:11" x14ac:dyDescent="0.25">
      <c r="A784" s="44">
        <v>1553</v>
      </c>
      <c r="B784" s="46">
        <v>45210</v>
      </c>
      <c r="C784" s="44" t="s">
        <v>69</v>
      </c>
      <c r="D784" s="47">
        <v>5</v>
      </c>
      <c r="E784" s="48">
        <v>45214</v>
      </c>
      <c r="F784" s="47">
        <v>3</v>
      </c>
      <c r="G784" s="48">
        <v>45218</v>
      </c>
      <c r="H784" s="47" t="s">
        <v>3</v>
      </c>
      <c r="I784" s="47" t="s">
        <v>41</v>
      </c>
      <c r="J784" s="47" t="s">
        <v>41</v>
      </c>
      <c r="K784" s="47" t="s">
        <v>41</v>
      </c>
    </row>
    <row r="785" spans="1:11" x14ac:dyDescent="0.25">
      <c r="A785" s="44">
        <v>3464</v>
      </c>
      <c r="B785" s="46">
        <v>45210</v>
      </c>
      <c r="C785" s="44" t="s">
        <v>40</v>
      </c>
      <c r="D785" s="47">
        <v>5</v>
      </c>
      <c r="E785" s="48">
        <v>45214</v>
      </c>
      <c r="F785" s="47">
        <v>9</v>
      </c>
      <c r="G785" s="48">
        <v>45224</v>
      </c>
      <c r="H785" s="47" t="s">
        <v>41</v>
      </c>
      <c r="I785" s="47" t="s">
        <v>41</v>
      </c>
      <c r="J785" s="47" t="s">
        <v>41</v>
      </c>
      <c r="K785" s="47" t="s">
        <v>4</v>
      </c>
    </row>
    <row r="786" spans="1:11" x14ac:dyDescent="0.25">
      <c r="A786" s="44">
        <v>1149</v>
      </c>
      <c r="B786" s="46">
        <v>45210</v>
      </c>
      <c r="C786" s="44" t="s">
        <v>7</v>
      </c>
      <c r="D786" s="47">
        <v>5</v>
      </c>
      <c r="E786" s="48">
        <v>45214</v>
      </c>
      <c r="F786" s="47">
        <v>3</v>
      </c>
      <c r="G786" s="48">
        <v>45218</v>
      </c>
      <c r="H786" s="47" t="s">
        <v>41</v>
      </c>
      <c r="I786" s="47" t="s">
        <v>41</v>
      </c>
      <c r="J786" s="47" t="s">
        <v>41</v>
      </c>
      <c r="K786" s="47" t="s">
        <v>4</v>
      </c>
    </row>
    <row r="787" spans="1:11" x14ac:dyDescent="0.25">
      <c r="A787" s="44">
        <v>3673</v>
      </c>
      <c r="B787" s="46">
        <v>45210</v>
      </c>
      <c r="C787" s="44" t="s">
        <v>7</v>
      </c>
      <c r="D787" s="47">
        <v>5</v>
      </c>
      <c r="E787" s="48">
        <v>45214</v>
      </c>
      <c r="F787" s="47">
        <v>3</v>
      </c>
      <c r="G787" s="48">
        <v>45218</v>
      </c>
      <c r="H787" s="47" t="s">
        <v>3</v>
      </c>
      <c r="I787" s="47" t="s">
        <v>41</v>
      </c>
      <c r="J787" s="47" t="s">
        <v>41</v>
      </c>
      <c r="K787" s="47" t="s">
        <v>41</v>
      </c>
    </row>
    <row r="788" spans="1:11" x14ac:dyDescent="0.25">
      <c r="A788" s="44">
        <v>2410</v>
      </c>
      <c r="B788" s="46">
        <v>45211</v>
      </c>
      <c r="C788" s="44" t="s">
        <v>69</v>
      </c>
      <c r="D788" s="47">
        <v>5</v>
      </c>
      <c r="E788" s="48">
        <v>45215</v>
      </c>
      <c r="F788" s="47">
        <v>3</v>
      </c>
      <c r="G788" s="48">
        <v>45219</v>
      </c>
      <c r="H788" s="47" t="s">
        <v>3</v>
      </c>
      <c r="I788" s="47" t="s">
        <v>41</v>
      </c>
      <c r="J788" s="47" t="s">
        <v>41</v>
      </c>
      <c r="K788" s="47" t="s">
        <v>41</v>
      </c>
    </row>
    <row r="789" spans="1:11" x14ac:dyDescent="0.25">
      <c r="A789" s="44">
        <v>3403</v>
      </c>
      <c r="B789" s="46">
        <v>45211</v>
      </c>
      <c r="C789" s="44" t="s">
        <v>40</v>
      </c>
      <c r="D789" s="47">
        <v>5</v>
      </c>
      <c r="E789" s="48">
        <v>45215</v>
      </c>
      <c r="F789" s="47">
        <v>9</v>
      </c>
      <c r="G789" s="48">
        <v>45225</v>
      </c>
      <c r="H789" s="47" t="s">
        <v>41</v>
      </c>
      <c r="I789" s="47" t="s">
        <v>41</v>
      </c>
      <c r="J789" s="47" t="s">
        <v>41</v>
      </c>
      <c r="K789" s="47" t="s">
        <v>4</v>
      </c>
    </row>
    <row r="790" spans="1:11" x14ac:dyDescent="0.25">
      <c r="A790" s="44">
        <v>2401</v>
      </c>
      <c r="B790" s="46">
        <v>45212</v>
      </c>
      <c r="C790" s="44" t="s">
        <v>40</v>
      </c>
      <c r="D790" s="47">
        <v>5</v>
      </c>
      <c r="E790" s="48">
        <v>45216</v>
      </c>
      <c r="F790" s="47">
        <v>9</v>
      </c>
      <c r="G790" s="48">
        <v>45226</v>
      </c>
      <c r="H790" s="47" t="s">
        <v>41</v>
      </c>
      <c r="I790" s="47" t="s">
        <v>5</v>
      </c>
      <c r="J790" s="47" t="s">
        <v>41</v>
      </c>
      <c r="K790" s="47" t="s">
        <v>41</v>
      </c>
    </row>
    <row r="791" spans="1:11" x14ac:dyDescent="0.25">
      <c r="A791" s="44">
        <v>2832</v>
      </c>
      <c r="B791" s="46">
        <v>45212</v>
      </c>
      <c r="C791" s="44" t="s">
        <v>40</v>
      </c>
      <c r="D791" s="47">
        <v>5</v>
      </c>
      <c r="E791" s="48">
        <v>45216</v>
      </c>
      <c r="F791" s="47">
        <v>9</v>
      </c>
      <c r="G791" s="48">
        <v>45226</v>
      </c>
      <c r="H791" s="47" t="s">
        <v>41</v>
      </c>
      <c r="I791" s="47" t="s">
        <v>41</v>
      </c>
      <c r="J791" s="47" t="s">
        <v>1</v>
      </c>
      <c r="K791" s="47" t="s">
        <v>41</v>
      </c>
    </row>
    <row r="792" spans="1:11" x14ac:dyDescent="0.25">
      <c r="A792" s="44">
        <v>3369</v>
      </c>
      <c r="B792" s="46">
        <v>45212</v>
      </c>
      <c r="C792" s="44" t="s">
        <v>69</v>
      </c>
      <c r="D792" s="47">
        <v>5</v>
      </c>
      <c r="E792" s="48">
        <v>45216</v>
      </c>
      <c r="F792" s="47">
        <v>3</v>
      </c>
      <c r="G792" s="48">
        <v>45220</v>
      </c>
      <c r="H792" s="47" t="s">
        <v>3</v>
      </c>
      <c r="I792" s="47" t="s">
        <v>41</v>
      </c>
      <c r="J792" s="47" t="s">
        <v>41</v>
      </c>
      <c r="K792" s="47" t="s">
        <v>41</v>
      </c>
    </row>
    <row r="793" spans="1:11" x14ac:dyDescent="0.25">
      <c r="A793" s="44">
        <v>2930</v>
      </c>
      <c r="B793" s="46">
        <v>45212</v>
      </c>
      <c r="C793" s="44" t="s">
        <v>7</v>
      </c>
      <c r="D793" s="47">
        <v>5</v>
      </c>
      <c r="E793" s="48">
        <v>45216</v>
      </c>
      <c r="F793" s="47">
        <v>3</v>
      </c>
      <c r="G793" s="48">
        <v>45220</v>
      </c>
      <c r="H793" s="47" t="s">
        <v>41</v>
      </c>
      <c r="I793" s="47" t="s">
        <v>41</v>
      </c>
      <c r="J793" s="47" t="s">
        <v>41</v>
      </c>
      <c r="K793" s="47" t="s">
        <v>41</v>
      </c>
    </row>
    <row r="794" spans="1:11" x14ac:dyDescent="0.25">
      <c r="A794" s="44">
        <v>2608</v>
      </c>
      <c r="B794" s="46">
        <v>45213</v>
      </c>
      <c r="C794" s="44" t="s">
        <v>69</v>
      </c>
      <c r="D794" s="47">
        <v>5</v>
      </c>
      <c r="E794" s="48">
        <v>45217</v>
      </c>
      <c r="F794" s="47">
        <v>3</v>
      </c>
      <c r="G794" s="48">
        <v>45221</v>
      </c>
      <c r="H794" s="47" t="s">
        <v>3</v>
      </c>
      <c r="I794" s="47" t="s">
        <v>41</v>
      </c>
      <c r="J794" s="47" t="s">
        <v>1</v>
      </c>
      <c r="K794" s="47" t="s">
        <v>41</v>
      </c>
    </row>
    <row r="795" spans="1:11" x14ac:dyDescent="0.25">
      <c r="A795" s="44">
        <v>2155</v>
      </c>
      <c r="B795" s="46">
        <v>45213</v>
      </c>
      <c r="C795" s="44" t="s">
        <v>40</v>
      </c>
      <c r="D795" s="47">
        <v>5</v>
      </c>
      <c r="E795" s="48">
        <v>45217</v>
      </c>
      <c r="F795" s="47">
        <v>9</v>
      </c>
      <c r="G795" s="48">
        <v>45227</v>
      </c>
      <c r="H795" s="47" t="s">
        <v>41</v>
      </c>
      <c r="I795" s="47" t="s">
        <v>41</v>
      </c>
      <c r="J795" s="47" t="s">
        <v>41</v>
      </c>
      <c r="K795" s="47" t="s">
        <v>4</v>
      </c>
    </row>
    <row r="796" spans="1:11" x14ac:dyDescent="0.25">
      <c r="A796" s="44">
        <v>3464</v>
      </c>
      <c r="B796" s="46">
        <v>45215</v>
      </c>
      <c r="C796" s="44" t="s">
        <v>69</v>
      </c>
      <c r="D796" s="47">
        <v>5</v>
      </c>
      <c r="E796" s="48">
        <v>45219</v>
      </c>
      <c r="F796" s="47">
        <v>3</v>
      </c>
      <c r="G796" s="48">
        <v>45223</v>
      </c>
      <c r="H796" s="47" t="s">
        <v>41</v>
      </c>
      <c r="I796" s="47" t="s">
        <v>5</v>
      </c>
      <c r="J796" s="47" t="s">
        <v>41</v>
      </c>
      <c r="K796" s="47" t="s">
        <v>4</v>
      </c>
    </row>
    <row r="797" spans="1:11" x14ac:dyDescent="0.25">
      <c r="A797" s="44">
        <v>2332</v>
      </c>
      <c r="B797" s="46">
        <v>45215</v>
      </c>
      <c r="C797" s="44" t="s">
        <v>69</v>
      </c>
      <c r="D797" s="47">
        <v>5</v>
      </c>
      <c r="E797" s="48">
        <v>45219</v>
      </c>
      <c r="F797" s="47">
        <v>3</v>
      </c>
      <c r="G797" s="48">
        <v>45223</v>
      </c>
      <c r="H797" s="47" t="s">
        <v>41</v>
      </c>
      <c r="I797" s="47" t="s">
        <v>5</v>
      </c>
      <c r="J797" s="47" t="s">
        <v>41</v>
      </c>
      <c r="K797" s="47" t="s">
        <v>41</v>
      </c>
    </row>
    <row r="798" spans="1:11" x14ac:dyDescent="0.25">
      <c r="A798" s="44">
        <v>1390</v>
      </c>
      <c r="B798" s="46">
        <v>45215</v>
      </c>
      <c r="C798" s="44" t="s">
        <v>69</v>
      </c>
      <c r="D798" s="47">
        <v>5</v>
      </c>
      <c r="E798" s="48">
        <v>45219</v>
      </c>
      <c r="F798" s="47">
        <v>3</v>
      </c>
      <c r="G798" s="48">
        <v>45223</v>
      </c>
      <c r="H798" s="47" t="s">
        <v>41</v>
      </c>
      <c r="I798" s="47" t="s">
        <v>41</v>
      </c>
      <c r="J798" s="47" t="s">
        <v>1</v>
      </c>
      <c r="K798" s="47" t="s">
        <v>4</v>
      </c>
    </row>
    <row r="799" spans="1:11" x14ac:dyDescent="0.25">
      <c r="A799" s="44">
        <v>3169</v>
      </c>
      <c r="B799" s="46">
        <v>45216</v>
      </c>
      <c r="C799" s="44" t="s">
        <v>69</v>
      </c>
      <c r="D799" s="47">
        <v>5</v>
      </c>
      <c r="E799" s="48">
        <v>45220</v>
      </c>
      <c r="F799" s="47">
        <v>3</v>
      </c>
      <c r="G799" s="48">
        <v>45224</v>
      </c>
      <c r="H799" s="47" t="s">
        <v>41</v>
      </c>
      <c r="I799" s="47" t="s">
        <v>5</v>
      </c>
      <c r="J799" s="47" t="s">
        <v>41</v>
      </c>
      <c r="K799" s="47" t="s">
        <v>4</v>
      </c>
    </row>
    <row r="800" spans="1:11" x14ac:dyDescent="0.25">
      <c r="A800" s="44">
        <v>2230</v>
      </c>
      <c r="B800" s="46">
        <v>45216</v>
      </c>
      <c r="C800" s="44" t="s">
        <v>7</v>
      </c>
      <c r="D800" s="47">
        <v>5</v>
      </c>
      <c r="E800" s="48">
        <v>45220</v>
      </c>
      <c r="F800" s="47">
        <v>3</v>
      </c>
      <c r="G800" s="48">
        <v>45224</v>
      </c>
      <c r="H800" s="47" t="s">
        <v>3</v>
      </c>
      <c r="I800" s="47" t="s">
        <v>41</v>
      </c>
      <c r="J800" s="47" t="s">
        <v>41</v>
      </c>
      <c r="K800" s="47" t="s">
        <v>41</v>
      </c>
    </row>
    <row r="801" spans="1:11" x14ac:dyDescent="0.25">
      <c r="A801" s="44">
        <v>1990</v>
      </c>
      <c r="B801" s="46">
        <v>45216</v>
      </c>
      <c r="C801" s="44" t="s">
        <v>7</v>
      </c>
      <c r="D801" s="47">
        <v>5</v>
      </c>
      <c r="E801" s="48">
        <v>45220</v>
      </c>
      <c r="F801" s="47">
        <v>3</v>
      </c>
      <c r="G801" s="48">
        <v>45224</v>
      </c>
      <c r="H801" s="47" t="s">
        <v>41</v>
      </c>
      <c r="I801" s="47" t="s">
        <v>5</v>
      </c>
      <c r="J801" s="47" t="s">
        <v>1</v>
      </c>
      <c r="K801" s="47" t="s">
        <v>4</v>
      </c>
    </row>
    <row r="802" spans="1:11" x14ac:dyDescent="0.25">
      <c r="A802" s="44">
        <v>1882</v>
      </c>
      <c r="B802" s="46">
        <v>45216</v>
      </c>
      <c r="C802" s="44" t="s">
        <v>7</v>
      </c>
      <c r="D802" s="47">
        <v>5</v>
      </c>
      <c r="E802" s="48">
        <v>45220</v>
      </c>
      <c r="F802" s="47">
        <v>3</v>
      </c>
      <c r="G802" s="48">
        <v>45224</v>
      </c>
      <c r="H802" s="47" t="s">
        <v>41</v>
      </c>
      <c r="I802" s="47" t="s">
        <v>5</v>
      </c>
      <c r="J802" s="47" t="s">
        <v>1</v>
      </c>
      <c r="K802" s="47" t="s">
        <v>4</v>
      </c>
    </row>
    <row r="803" spans="1:11" x14ac:dyDescent="0.25">
      <c r="A803" s="44">
        <v>587</v>
      </c>
      <c r="B803" s="46">
        <v>45216</v>
      </c>
      <c r="C803" s="44" t="s">
        <v>7</v>
      </c>
      <c r="D803" s="47">
        <v>5</v>
      </c>
      <c r="E803" s="48">
        <v>45220</v>
      </c>
      <c r="F803" s="47">
        <v>3</v>
      </c>
      <c r="G803" s="48">
        <v>45224</v>
      </c>
      <c r="H803" s="47" t="s">
        <v>3</v>
      </c>
      <c r="I803" s="47" t="s">
        <v>41</v>
      </c>
      <c r="J803" s="47" t="s">
        <v>41</v>
      </c>
      <c r="K803" s="47" t="s">
        <v>41</v>
      </c>
    </row>
    <row r="804" spans="1:11" x14ac:dyDescent="0.25">
      <c r="A804" s="44">
        <v>2410</v>
      </c>
      <c r="B804" s="46">
        <v>45216</v>
      </c>
      <c r="C804" s="44" t="s">
        <v>7</v>
      </c>
      <c r="D804" s="47">
        <v>5</v>
      </c>
      <c r="E804" s="48">
        <v>45220</v>
      </c>
      <c r="F804" s="47">
        <v>3</v>
      </c>
      <c r="G804" s="48">
        <v>45224</v>
      </c>
      <c r="H804" s="47" t="s">
        <v>3</v>
      </c>
      <c r="I804" s="47" t="s">
        <v>41</v>
      </c>
      <c r="J804" s="47" t="s">
        <v>41</v>
      </c>
      <c r="K804" s="47" t="s">
        <v>41</v>
      </c>
    </row>
    <row r="805" spans="1:11" x14ac:dyDescent="0.25">
      <c r="A805" s="44">
        <v>2938</v>
      </c>
      <c r="B805" s="46">
        <v>45216</v>
      </c>
      <c r="C805" s="44" t="s">
        <v>7</v>
      </c>
      <c r="D805" s="47">
        <v>5</v>
      </c>
      <c r="E805" s="48">
        <v>45220</v>
      </c>
      <c r="F805" s="47">
        <v>3</v>
      </c>
      <c r="G805" s="48">
        <v>45224</v>
      </c>
      <c r="H805" s="47" t="s">
        <v>41</v>
      </c>
      <c r="I805" s="47" t="s">
        <v>5</v>
      </c>
      <c r="J805" s="47" t="s">
        <v>41</v>
      </c>
      <c r="K805" s="47" t="s">
        <v>4</v>
      </c>
    </row>
    <row r="806" spans="1:11" x14ac:dyDescent="0.25">
      <c r="A806" s="44">
        <v>3540</v>
      </c>
      <c r="B806" s="46">
        <v>45216</v>
      </c>
      <c r="C806" s="44" t="s">
        <v>7</v>
      </c>
      <c r="D806" s="47">
        <v>5</v>
      </c>
      <c r="E806" s="48">
        <v>45220</v>
      </c>
      <c r="F806" s="47">
        <v>3</v>
      </c>
      <c r="G806" s="48">
        <v>45224</v>
      </c>
      <c r="H806" s="47" t="s">
        <v>41</v>
      </c>
      <c r="I806" s="47" t="s">
        <v>41</v>
      </c>
      <c r="J806" s="47" t="s">
        <v>1</v>
      </c>
      <c r="K806" s="47" t="s">
        <v>41</v>
      </c>
    </row>
    <row r="807" spans="1:11" x14ac:dyDescent="0.25">
      <c r="A807" s="44">
        <v>3550</v>
      </c>
      <c r="B807" s="46">
        <v>45217</v>
      </c>
      <c r="C807" s="44" t="s">
        <v>7</v>
      </c>
      <c r="D807" s="47">
        <v>5</v>
      </c>
      <c r="E807" s="48">
        <v>45221</v>
      </c>
      <c r="F807" s="47">
        <v>3</v>
      </c>
      <c r="G807" s="48">
        <v>45225</v>
      </c>
      <c r="H807" s="47" t="s">
        <v>41</v>
      </c>
      <c r="I807" s="47" t="s">
        <v>41</v>
      </c>
      <c r="J807" s="47" t="s">
        <v>1</v>
      </c>
      <c r="K807" s="47" t="s">
        <v>41</v>
      </c>
    </row>
    <row r="808" spans="1:11" x14ac:dyDescent="0.25">
      <c r="A808" s="44">
        <v>1051</v>
      </c>
      <c r="B808" s="46">
        <v>45217</v>
      </c>
      <c r="C808" s="44" t="s">
        <v>40</v>
      </c>
      <c r="D808" s="47">
        <v>5</v>
      </c>
      <c r="E808" s="48">
        <v>45221</v>
      </c>
      <c r="F808" s="47">
        <v>9</v>
      </c>
      <c r="G808" s="48">
        <v>45231</v>
      </c>
      <c r="H808" s="47" t="s">
        <v>41</v>
      </c>
      <c r="I808" s="47" t="s">
        <v>5</v>
      </c>
      <c r="J808" s="47" t="s">
        <v>41</v>
      </c>
      <c r="K808" s="47" t="s">
        <v>41</v>
      </c>
    </row>
    <row r="809" spans="1:11" x14ac:dyDescent="0.25">
      <c r="A809" s="44">
        <v>2194</v>
      </c>
      <c r="B809" s="46">
        <v>45217</v>
      </c>
      <c r="C809" s="44" t="s">
        <v>7</v>
      </c>
      <c r="D809" s="47">
        <v>5</v>
      </c>
      <c r="E809" s="48">
        <v>45221</v>
      </c>
      <c r="F809" s="47">
        <v>3</v>
      </c>
      <c r="G809" s="48">
        <v>45225</v>
      </c>
      <c r="H809" s="47" t="s">
        <v>41</v>
      </c>
      <c r="I809" s="47" t="s">
        <v>5</v>
      </c>
      <c r="J809" s="47" t="s">
        <v>1</v>
      </c>
      <c r="K809" s="47" t="s">
        <v>41</v>
      </c>
    </row>
    <row r="810" spans="1:11" x14ac:dyDescent="0.25">
      <c r="A810" s="44">
        <v>2463</v>
      </c>
      <c r="B810" s="46">
        <v>45217</v>
      </c>
      <c r="C810" s="44" t="s">
        <v>7</v>
      </c>
      <c r="D810" s="47">
        <v>5</v>
      </c>
      <c r="E810" s="48">
        <v>45221</v>
      </c>
      <c r="F810" s="47">
        <v>3</v>
      </c>
      <c r="G810" s="48">
        <v>45225</v>
      </c>
      <c r="H810" s="47" t="s">
        <v>3</v>
      </c>
      <c r="I810" s="47" t="s">
        <v>41</v>
      </c>
      <c r="J810" s="47" t="s">
        <v>1</v>
      </c>
      <c r="K810" s="47" t="s">
        <v>41</v>
      </c>
    </row>
    <row r="811" spans="1:11" x14ac:dyDescent="0.25">
      <c r="A811" s="44">
        <v>1876</v>
      </c>
      <c r="B811" s="46">
        <v>45217</v>
      </c>
      <c r="C811" s="44" t="s">
        <v>7</v>
      </c>
      <c r="D811" s="47">
        <v>5</v>
      </c>
      <c r="E811" s="48">
        <v>45221</v>
      </c>
      <c r="F811" s="47">
        <v>3</v>
      </c>
      <c r="G811" s="48">
        <v>45225</v>
      </c>
      <c r="H811" s="47" t="s">
        <v>41</v>
      </c>
      <c r="I811" s="47" t="s">
        <v>41</v>
      </c>
      <c r="J811" s="47" t="s">
        <v>1</v>
      </c>
      <c r="K811" s="47" t="s">
        <v>41</v>
      </c>
    </row>
    <row r="812" spans="1:11" x14ac:dyDescent="0.25">
      <c r="A812" s="44">
        <v>834</v>
      </c>
      <c r="B812" s="46">
        <v>45217</v>
      </c>
      <c r="C812" s="44" t="s">
        <v>7</v>
      </c>
      <c r="D812" s="47">
        <v>5</v>
      </c>
      <c r="E812" s="48">
        <v>45221</v>
      </c>
      <c r="F812" s="47">
        <v>3</v>
      </c>
      <c r="G812" s="48">
        <v>45225</v>
      </c>
      <c r="H812" s="47" t="s">
        <v>41</v>
      </c>
      <c r="I812" s="47" t="s">
        <v>5</v>
      </c>
      <c r="J812" s="47" t="s">
        <v>41</v>
      </c>
      <c r="K812" s="47" t="s">
        <v>4</v>
      </c>
    </row>
    <row r="813" spans="1:11" x14ac:dyDescent="0.25">
      <c r="A813" s="44">
        <v>3147</v>
      </c>
      <c r="B813" s="46">
        <v>45217</v>
      </c>
      <c r="C813" s="44" t="s">
        <v>69</v>
      </c>
      <c r="D813" s="47">
        <v>5</v>
      </c>
      <c r="E813" s="48">
        <v>45221</v>
      </c>
      <c r="F813" s="47">
        <v>3</v>
      </c>
      <c r="G813" s="48">
        <v>45225</v>
      </c>
      <c r="H813" s="47" t="s">
        <v>3</v>
      </c>
      <c r="I813" s="47" t="s">
        <v>41</v>
      </c>
      <c r="J813" s="47" t="s">
        <v>1</v>
      </c>
      <c r="K813" s="47" t="s">
        <v>41</v>
      </c>
    </row>
    <row r="814" spans="1:11" x14ac:dyDescent="0.25">
      <c r="A814" s="44">
        <v>2726</v>
      </c>
      <c r="B814" s="46">
        <v>45218</v>
      </c>
      <c r="C814" s="44" t="s">
        <v>7</v>
      </c>
      <c r="D814" s="47">
        <v>5</v>
      </c>
      <c r="E814" s="48">
        <v>45222</v>
      </c>
      <c r="F814" s="47">
        <v>3</v>
      </c>
      <c r="G814" s="48">
        <v>45226</v>
      </c>
      <c r="H814" s="47" t="s">
        <v>41</v>
      </c>
      <c r="I814" s="47" t="s">
        <v>5</v>
      </c>
      <c r="J814" s="47" t="s">
        <v>41</v>
      </c>
      <c r="K814" s="47" t="s">
        <v>41</v>
      </c>
    </row>
    <row r="815" spans="1:11" x14ac:dyDescent="0.25">
      <c r="A815" s="44">
        <v>3116</v>
      </c>
      <c r="B815" s="46">
        <v>45218</v>
      </c>
      <c r="C815" s="44" t="s">
        <v>7</v>
      </c>
      <c r="D815" s="47">
        <v>5</v>
      </c>
      <c r="E815" s="48">
        <v>45222</v>
      </c>
      <c r="F815" s="47">
        <v>3</v>
      </c>
      <c r="G815" s="48">
        <v>45226</v>
      </c>
      <c r="H815" s="47" t="s">
        <v>3</v>
      </c>
      <c r="I815" s="47" t="s">
        <v>5</v>
      </c>
      <c r="J815" s="47" t="s">
        <v>41</v>
      </c>
      <c r="K815" s="47" t="s">
        <v>41</v>
      </c>
    </row>
    <row r="816" spans="1:11" x14ac:dyDescent="0.25">
      <c r="A816" s="44">
        <v>964</v>
      </c>
      <c r="B816" s="46">
        <v>45218</v>
      </c>
      <c r="C816" s="44" t="s">
        <v>7</v>
      </c>
      <c r="D816" s="47">
        <v>5</v>
      </c>
      <c r="E816" s="48">
        <v>45222</v>
      </c>
      <c r="F816" s="47">
        <v>3</v>
      </c>
      <c r="G816" s="48">
        <v>45226</v>
      </c>
      <c r="H816" s="47" t="s">
        <v>3</v>
      </c>
      <c r="I816" s="47" t="s">
        <v>5</v>
      </c>
      <c r="J816" s="47" t="s">
        <v>1</v>
      </c>
      <c r="K816" s="47" t="s">
        <v>4</v>
      </c>
    </row>
    <row r="817" spans="1:11" x14ac:dyDescent="0.25">
      <c r="A817" s="44">
        <v>1728</v>
      </c>
      <c r="B817" s="46">
        <v>45218</v>
      </c>
      <c r="C817" s="44" t="s">
        <v>7</v>
      </c>
      <c r="D817" s="47">
        <v>5</v>
      </c>
      <c r="E817" s="48">
        <v>45222</v>
      </c>
      <c r="F817" s="47">
        <v>3</v>
      </c>
      <c r="G817" s="48">
        <v>45226</v>
      </c>
      <c r="H817" s="47" t="s">
        <v>3</v>
      </c>
      <c r="I817" s="47" t="s">
        <v>41</v>
      </c>
      <c r="J817" s="47" t="s">
        <v>41</v>
      </c>
      <c r="K817" s="47" t="s">
        <v>41</v>
      </c>
    </row>
    <row r="818" spans="1:11" x14ac:dyDescent="0.25">
      <c r="A818" s="44">
        <v>996</v>
      </c>
      <c r="B818" s="46">
        <v>45218</v>
      </c>
      <c r="C818" s="44" t="s">
        <v>7</v>
      </c>
      <c r="D818" s="47">
        <v>5</v>
      </c>
      <c r="E818" s="48">
        <v>45222</v>
      </c>
      <c r="F818" s="47">
        <v>3</v>
      </c>
      <c r="G818" s="48">
        <v>45226</v>
      </c>
      <c r="H818" s="47" t="s">
        <v>41</v>
      </c>
      <c r="I818" s="47" t="s">
        <v>5</v>
      </c>
      <c r="J818" s="47" t="s">
        <v>41</v>
      </c>
      <c r="K818" s="47" t="s">
        <v>41</v>
      </c>
    </row>
    <row r="819" spans="1:11" x14ac:dyDescent="0.25">
      <c r="A819" s="44">
        <v>2958</v>
      </c>
      <c r="B819" s="46">
        <v>45218</v>
      </c>
      <c r="C819" s="44" t="s">
        <v>7</v>
      </c>
      <c r="D819" s="47">
        <v>5</v>
      </c>
      <c r="E819" s="48">
        <v>45222</v>
      </c>
      <c r="F819" s="47">
        <v>3</v>
      </c>
      <c r="G819" s="48">
        <v>45226</v>
      </c>
      <c r="H819" s="47" t="s">
        <v>3</v>
      </c>
      <c r="I819" s="47" t="s">
        <v>5</v>
      </c>
      <c r="J819" s="47" t="s">
        <v>1</v>
      </c>
      <c r="K819" s="47" t="s">
        <v>4</v>
      </c>
    </row>
    <row r="820" spans="1:11" x14ac:dyDescent="0.25">
      <c r="A820" s="44">
        <v>2608</v>
      </c>
      <c r="B820" s="46">
        <v>45219</v>
      </c>
      <c r="C820" s="44" t="s">
        <v>7</v>
      </c>
      <c r="D820" s="47">
        <v>5</v>
      </c>
      <c r="E820" s="48">
        <v>45223</v>
      </c>
      <c r="F820" s="47">
        <v>3</v>
      </c>
      <c r="G820" s="48">
        <v>45227</v>
      </c>
      <c r="H820" s="47" t="s">
        <v>3</v>
      </c>
      <c r="I820" s="47" t="s">
        <v>41</v>
      </c>
      <c r="J820" s="47" t="s">
        <v>1</v>
      </c>
      <c r="K820" s="47" t="s">
        <v>4</v>
      </c>
    </row>
    <row r="821" spans="1:11" x14ac:dyDescent="0.25">
      <c r="A821" s="44">
        <v>3078</v>
      </c>
      <c r="B821" s="46">
        <v>45219</v>
      </c>
      <c r="C821" s="44" t="s">
        <v>7</v>
      </c>
      <c r="D821" s="47">
        <v>5</v>
      </c>
      <c r="E821" s="48">
        <v>45223</v>
      </c>
      <c r="F821" s="47">
        <v>3</v>
      </c>
      <c r="G821" s="48">
        <v>45227</v>
      </c>
      <c r="H821" s="47" t="s">
        <v>3</v>
      </c>
      <c r="I821" s="47" t="s">
        <v>41</v>
      </c>
      <c r="J821" s="47" t="s">
        <v>41</v>
      </c>
      <c r="K821" s="47" t="s">
        <v>41</v>
      </c>
    </row>
    <row r="822" spans="1:11" x14ac:dyDescent="0.25">
      <c r="A822" s="44">
        <v>1390</v>
      </c>
      <c r="B822" s="46">
        <v>45220</v>
      </c>
      <c r="C822" s="44" t="s">
        <v>69</v>
      </c>
      <c r="D822" s="47">
        <v>5</v>
      </c>
      <c r="E822" s="48">
        <v>45224</v>
      </c>
      <c r="F822" s="47">
        <v>3</v>
      </c>
      <c r="G822" s="48">
        <v>45228</v>
      </c>
      <c r="H822" s="47" t="s">
        <v>41</v>
      </c>
      <c r="I822" s="47" t="s">
        <v>41</v>
      </c>
      <c r="J822" s="47" t="s">
        <v>41</v>
      </c>
      <c r="K822" s="47" t="s">
        <v>4</v>
      </c>
    </row>
    <row r="823" spans="1:11" x14ac:dyDescent="0.25">
      <c r="A823" s="44">
        <v>2564</v>
      </c>
      <c r="B823" s="46">
        <v>45220</v>
      </c>
      <c r="C823" s="44" t="s">
        <v>7</v>
      </c>
      <c r="D823" s="47">
        <v>5</v>
      </c>
      <c r="E823" s="48">
        <v>45224</v>
      </c>
      <c r="F823" s="47">
        <v>3</v>
      </c>
      <c r="G823" s="48">
        <v>45228</v>
      </c>
      <c r="H823" s="47" t="s">
        <v>3</v>
      </c>
      <c r="I823" s="47" t="s">
        <v>5</v>
      </c>
      <c r="J823" s="47" t="s">
        <v>1</v>
      </c>
      <c r="K823" s="47" t="s">
        <v>4</v>
      </c>
    </row>
    <row r="824" spans="1:11" x14ac:dyDescent="0.25">
      <c r="A824" s="44">
        <v>2803</v>
      </c>
      <c r="B824" s="46">
        <v>45220</v>
      </c>
      <c r="C824" s="44" t="s">
        <v>7</v>
      </c>
      <c r="D824" s="47">
        <v>5</v>
      </c>
      <c r="E824" s="48">
        <v>45224</v>
      </c>
      <c r="F824" s="47">
        <v>3</v>
      </c>
      <c r="G824" s="48">
        <v>45228</v>
      </c>
      <c r="H824" s="47" t="s">
        <v>3</v>
      </c>
      <c r="I824" s="47" t="s">
        <v>41</v>
      </c>
      <c r="J824" s="47" t="s">
        <v>1</v>
      </c>
      <c r="K824" s="47" t="s">
        <v>41</v>
      </c>
    </row>
    <row r="825" spans="1:11" x14ac:dyDescent="0.25">
      <c r="A825" s="44">
        <v>2226</v>
      </c>
      <c r="B825" s="46">
        <v>45221</v>
      </c>
      <c r="C825" s="44" t="s">
        <v>69</v>
      </c>
      <c r="D825" s="47">
        <v>5</v>
      </c>
      <c r="E825" s="48">
        <v>45225</v>
      </c>
      <c r="F825" s="47">
        <v>3</v>
      </c>
      <c r="G825" s="48">
        <v>45229</v>
      </c>
      <c r="H825" s="47" t="s">
        <v>41</v>
      </c>
      <c r="I825" s="47" t="s">
        <v>41</v>
      </c>
      <c r="J825" s="47" t="s">
        <v>41</v>
      </c>
      <c r="K825" s="47" t="s">
        <v>4</v>
      </c>
    </row>
    <row r="826" spans="1:11" x14ac:dyDescent="0.25">
      <c r="A826" s="44">
        <v>1866</v>
      </c>
      <c r="B826" s="46">
        <v>45221</v>
      </c>
      <c r="C826" s="44" t="s">
        <v>69</v>
      </c>
      <c r="D826" s="47">
        <v>5</v>
      </c>
      <c r="E826" s="48">
        <v>45225</v>
      </c>
      <c r="F826" s="47">
        <v>3</v>
      </c>
      <c r="G826" s="48">
        <v>45229</v>
      </c>
      <c r="H826" s="47" t="s">
        <v>3</v>
      </c>
      <c r="I826" s="47" t="s">
        <v>41</v>
      </c>
      <c r="J826" s="47" t="s">
        <v>41</v>
      </c>
      <c r="K826" s="47" t="s">
        <v>41</v>
      </c>
    </row>
    <row r="827" spans="1:11" x14ac:dyDescent="0.25">
      <c r="A827" s="44">
        <v>3147</v>
      </c>
      <c r="B827" s="46">
        <v>45221</v>
      </c>
      <c r="C827" s="44" t="s">
        <v>7</v>
      </c>
      <c r="D827" s="47">
        <v>5</v>
      </c>
      <c r="E827" s="48">
        <v>45225</v>
      </c>
      <c r="F827" s="47">
        <v>3</v>
      </c>
      <c r="G827" s="48">
        <v>45229</v>
      </c>
      <c r="H827" s="47" t="s">
        <v>3</v>
      </c>
      <c r="I827" s="47" t="s">
        <v>41</v>
      </c>
      <c r="J827" s="47" t="s">
        <v>41</v>
      </c>
      <c r="K827" s="47" t="s">
        <v>41</v>
      </c>
    </row>
    <row r="828" spans="1:11" x14ac:dyDescent="0.25">
      <c r="A828" s="44">
        <v>2343</v>
      </c>
      <c r="B828" s="46">
        <v>45222</v>
      </c>
      <c r="C828" s="44" t="s">
        <v>7</v>
      </c>
      <c r="D828" s="47">
        <v>5</v>
      </c>
      <c r="E828" s="48">
        <v>45226</v>
      </c>
      <c r="F828" s="47">
        <v>3</v>
      </c>
      <c r="G828" s="48">
        <v>45230</v>
      </c>
      <c r="H828" s="47" t="s">
        <v>41</v>
      </c>
      <c r="I828" s="47" t="s">
        <v>5</v>
      </c>
      <c r="J828" s="47" t="s">
        <v>41</v>
      </c>
      <c r="K828" s="47" t="s">
        <v>41</v>
      </c>
    </row>
    <row r="829" spans="1:11" x14ac:dyDescent="0.25">
      <c r="A829" s="44">
        <v>2731</v>
      </c>
      <c r="B829" s="46">
        <v>45222</v>
      </c>
      <c r="C829" s="44" t="s">
        <v>7</v>
      </c>
      <c r="D829" s="47">
        <v>5</v>
      </c>
      <c r="E829" s="48">
        <v>45226</v>
      </c>
      <c r="F829" s="47">
        <v>3</v>
      </c>
      <c r="G829" s="48">
        <v>45230</v>
      </c>
      <c r="H829" s="47" t="s">
        <v>41</v>
      </c>
      <c r="I829" s="47" t="s">
        <v>5</v>
      </c>
      <c r="J829" s="47" t="s">
        <v>41</v>
      </c>
      <c r="K829" s="47" t="s">
        <v>41</v>
      </c>
    </row>
    <row r="830" spans="1:11" x14ac:dyDescent="0.25">
      <c r="A830" s="44">
        <v>148</v>
      </c>
      <c r="B830" s="46">
        <v>45222</v>
      </c>
      <c r="C830" s="44" t="s">
        <v>7</v>
      </c>
      <c r="D830" s="47">
        <v>5</v>
      </c>
      <c r="E830" s="48">
        <v>45226</v>
      </c>
      <c r="F830" s="47">
        <v>3</v>
      </c>
      <c r="G830" s="48">
        <v>45230</v>
      </c>
      <c r="H830" s="47" t="s">
        <v>3</v>
      </c>
      <c r="I830" s="47" t="s">
        <v>41</v>
      </c>
      <c r="J830" s="47" t="s">
        <v>41</v>
      </c>
      <c r="K830" s="47" t="s">
        <v>41</v>
      </c>
    </row>
    <row r="831" spans="1:11" x14ac:dyDescent="0.25">
      <c r="A831" s="44">
        <v>3012</v>
      </c>
      <c r="B831" s="46">
        <v>45222</v>
      </c>
      <c r="C831" s="44" t="s">
        <v>7</v>
      </c>
      <c r="D831" s="47">
        <v>5</v>
      </c>
      <c r="E831" s="48">
        <v>45226</v>
      </c>
      <c r="F831" s="47">
        <v>3</v>
      </c>
      <c r="G831" s="48">
        <v>45230</v>
      </c>
      <c r="H831" s="47" t="s">
        <v>41</v>
      </c>
      <c r="I831" s="47" t="s">
        <v>41</v>
      </c>
      <c r="J831" s="47" t="s">
        <v>1</v>
      </c>
      <c r="K831" s="47" t="s">
        <v>41</v>
      </c>
    </row>
    <row r="832" spans="1:11" x14ac:dyDescent="0.25">
      <c r="A832" s="44">
        <v>3540</v>
      </c>
      <c r="B832" s="46">
        <v>45222</v>
      </c>
      <c r="C832" s="44" t="s">
        <v>69</v>
      </c>
      <c r="D832" s="47">
        <v>5</v>
      </c>
      <c r="E832" s="48">
        <v>45226</v>
      </c>
      <c r="F832" s="47">
        <v>3</v>
      </c>
      <c r="G832" s="48">
        <v>45230</v>
      </c>
      <c r="H832" s="47" t="s">
        <v>41</v>
      </c>
      <c r="I832" s="47" t="s">
        <v>41</v>
      </c>
      <c r="J832" s="47" t="s">
        <v>1</v>
      </c>
      <c r="K832" s="47" t="s">
        <v>41</v>
      </c>
    </row>
    <row r="833" spans="1:11" x14ac:dyDescent="0.25">
      <c r="A833" s="44">
        <v>2689</v>
      </c>
      <c r="B833" s="46">
        <v>45222</v>
      </c>
      <c r="C833" s="44" t="s">
        <v>69</v>
      </c>
      <c r="D833" s="47">
        <v>5</v>
      </c>
      <c r="E833" s="48">
        <v>45226</v>
      </c>
      <c r="F833" s="47">
        <v>3</v>
      </c>
      <c r="G833" s="48">
        <v>45230</v>
      </c>
      <c r="H833" s="47" t="s">
        <v>3</v>
      </c>
      <c r="I833" s="47" t="s">
        <v>41</v>
      </c>
      <c r="J833" s="47" t="s">
        <v>41</v>
      </c>
      <c r="K833" s="47" t="s">
        <v>41</v>
      </c>
    </row>
    <row r="834" spans="1:11" x14ac:dyDescent="0.25">
      <c r="A834" s="44">
        <v>1882</v>
      </c>
      <c r="B834" s="46">
        <v>45222</v>
      </c>
      <c r="C834" s="44" t="s">
        <v>69</v>
      </c>
      <c r="D834" s="47">
        <v>5</v>
      </c>
      <c r="E834" s="48">
        <v>45226</v>
      </c>
      <c r="F834" s="47">
        <v>3</v>
      </c>
      <c r="G834" s="48">
        <v>45230</v>
      </c>
      <c r="H834" s="47" t="s">
        <v>3</v>
      </c>
      <c r="I834" s="47" t="s">
        <v>5</v>
      </c>
      <c r="J834" s="47" t="s">
        <v>41</v>
      </c>
      <c r="K834" s="47" t="s">
        <v>4</v>
      </c>
    </row>
    <row r="835" spans="1:11" x14ac:dyDescent="0.25">
      <c r="A835" s="44">
        <v>2660</v>
      </c>
      <c r="B835" s="46">
        <v>45223</v>
      </c>
      <c r="C835" s="44" t="s">
        <v>69</v>
      </c>
      <c r="D835" s="47">
        <v>5</v>
      </c>
      <c r="E835" s="48">
        <v>45227</v>
      </c>
      <c r="F835" s="47">
        <v>3</v>
      </c>
      <c r="G835" s="48">
        <v>45231</v>
      </c>
      <c r="H835" s="47" t="s">
        <v>3</v>
      </c>
      <c r="I835" s="47" t="s">
        <v>41</v>
      </c>
      <c r="J835" s="47" t="s">
        <v>41</v>
      </c>
      <c r="K835" s="47" t="s">
        <v>41</v>
      </c>
    </row>
    <row r="836" spans="1:11" x14ac:dyDescent="0.25">
      <c r="A836" s="44">
        <v>1803</v>
      </c>
      <c r="B836" s="46">
        <v>45223</v>
      </c>
      <c r="C836" s="44" t="s">
        <v>7</v>
      </c>
      <c r="D836" s="47">
        <v>5</v>
      </c>
      <c r="E836" s="48">
        <v>45227</v>
      </c>
      <c r="F836" s="47">
        <v>3</v>
      </c>
      <c r="G836" s="68">
        <v>45231</v>
      </c>
      <c r="H836" s="47" t="s">
        <v>41</v>
      </c>
      <c r="I836" s="47" t="s">
        <v>5</v>
      </c>
      <c r="J836" s="47" t="s">
        <v>41</v>
      </c>
      <c r="K836" s="47" t="s">
        <v>41</v>
      </c>
    </row>
    <row r="837" spans="1:11" x14ac:dyDescent="0.25">
      <c r="A837" s="44">
        <v>2230</v>
      </c>
      <c r="B837" s="46">
        <v>45224</v>
      </c>
      <c r="C837" s="44" t="s">
        <v>69</v>
      </c>
      <c r="D837" s="47">
        <v>5</v>
      </c>
      <c r="E837" s="48">
        <v>45228</v>
      </c>
      <c r="F837" s="47">
        <v>3</v>
      </c>
      <c r="G837" s="48">
        <v>45232</v>
      </c>
      <c r="H837" s="47" t="s">
        <v>41</v>
      </c>
      <c r="I837" s="47" t="s">
        <v>5</v>
      </c>
      <c r="J837" s="47" t="s">
        <v>41</v>
      </c>
      <c r="K837" s="47" t="s">
        <v>41</v>
      </c>
    </row>
    <row r="838" spans="1:11" x14ac:dyDescent="0.25">
      <c r="A838" s="44">
        <v>2646</v>
      </c>
      <c r="B838" s="46">
        <v>45224</v>
      </c>
      <c r="C838" s="44" t="s">
        <v>7</v>
      </c>
      <c r="D838" s="47">
        <v>5</v>
      </c>
      <c r="E838" s="48">
        <v>45228</v>
      </c>
      <c r="F838" s="47">
        <v>3</v>
      </c>
      <c r="G838" s="48">
        <v>45232</v>
      </c>
      <c r="H838" s="47" t="s">
        <v>41</v>
      </c>
      <c r="I838" s="47" t="s">
        <v>5</v>
      </c>
      <c r="J838" s="47" t="s">
        <v>41</v>
      </c>
      <c r="K838" s="47" t="s">
        <v>41</v>
      </c>
    </row>
    <row r="839" spans="1:11" x14ac:dyDescent="0.25">
      <c r="A839" s="44">
        <v>964</v>
      </c>
      <c r="B839" s="46">
        <v>45224</v>
      </c>
      <c r="C839" s="44" t="s">
        <v>43</v>
      </c>
      <c r="D839" s="47">
        <v>5</v>
      </c>
      <c r="E839" s="48">
        <v>45228</v>
      </c>
      <c r="F839" s="47">
        <v>4</v>
      </c>
      <c r="G839" s="48">
        <v>45233</v>
      </c>
      <c r="H839" s="47" t="s">
        <v>3</v>
      </c>
      <c r="I839" s="47" t="s">
        <v>5</v>
      </c>
      <c r="J839" s="47" t="s">
        <v>41</v>
      </c>
      <c r="K839" s="47" t="s">
        <v>41</v>
      </c>
    </row>
    <row r="840" spans="1:11" x14ac:dyDescent="0.25">
      <c r="A840" s="44">
        <v>3470</v>
      </c>
      <c r="B840" s="46">
        <v>45225</v>
      </c>
      <c r="C840" s="44" t="s">
        <v>7</v>
      </c>
      <c r="D840" s="47">
        <v>5</v>
      </c>
      <c r="E840" s="48">
        <v>45229</v>
      </c>
      <c r="F840" s="47">
        <v>3</v>
      </c>
      <c r="G840" s="48">
        <v>45233</v>
      </c>
      <c r="H840" s="47" t="s">
        <v>41</v>
      </c>
      <c r="I840" s="47" t="s">
        <v>41</v>
      </c>
      <c r="J840" s="47" t="s">
        <v>1</v>
      </c>
      <c r="K840" s="47" t="s">
        <v>41</v>
      </c>
    </row>
    <row r="841" spans="1:11" x14ac:dyDescent="0.25">
      <c r="A841" s="44">
        <v>1866</v>
      </c>
      <c r="B841" s="46">
        <v>45225</v>
      </c>
      <c r="C841" s="44" t="s">
        <v>40</v>
      </c>
      <c r="D841" s="47">
        <v>3</v>
      </c>
      <c r="E841" s="48">
        <v>45227</v>
      </c>
      <c r="F841" s="47">
        <v>9</v>
      </c>
      <c r="G841" s="48">
        <v>45237</v>
      </c>
      <c r="H841" s="47" t="s">
        <v>3</v>
      </c>
      <c r="I841" s="47" t="s">
        <v>41</v>
      </c>
      <c r="J841" s="47" t="s">
        <v>41</v>
      </c>
      <c r="K841" s="47" t="s">
        <v>41</v>
      </c>
    </row>
    <row r="842" spans="1:11" x14ac:dyDescent="0.25">
      <c r="A842" s="44">
        <v>2939</v>
      </c>
      <c r="B842" s="46">
        <v>45225</v>
      </c>
      <c r="C842" s="44" t="s">
        <v>42</v>
      </c>
      <c r="D842" s="47">
        <v>5</v>
      </c>
      <c r="E842" s="48">
        <v>45229</v>
      </c>
      <c r="F842" s="47">
        <v>2</v>
      </c>
      <c r="G842" s="48">
        <v>45232</v>
      </c>
      <c r="H842" s="47" t="s">
        <v>41</v>
      </c>
      <c r="I842" s="47" t="s">
        <v>41</v>
      </c>
      <c r="J842" s="47" t="s">
        <v>41</v>
      </c>
      <c r="K842" s="47" t="s">
        <v>4</v>
      </c>
    </row>
    <row r="843" spans="1:11" x14ac:dyDescent="0.25">
      <c r="A843" s="44">
        <v>2958</v>
      </c>
      <c r="B843" s="46">
        <v>45225</v>
      </c>
      <c r="C843" s="44" t="s">
        <v>14</v>
      </c>
      <c r="D843" s="47">
        <v>3</v>
      </c>
      <c r="E843" s="48">
        <v>45227</v>
      </c>
      <c r="F843" s="47">
        <v>2</v>
      </c>
      <c r="G843" s="48">
        <v>45230</v>
      </c>
      <c r="H843" s="47" t="s">
        <v>41</v>
      </c>
      <c r="I843" s="47" t="s">
        <v>41</v>
      </c>
      <c r="J843" s="47" t="s">
        <v>41</v>
      </c>
      <c r="K843" s="47" t="s">
        <v>4</v>
      </c>
    </row>
    <row r="844" spans="1:11" x14ac:dyDescent="0.25">
      <c r="A844" s="44">
        <v>2226</v>
      </c>
      <c r="B844" s="46">
        <v>45225</v>
      </c>
      <c r="C844" s="44" t="s">
        <v>7</v>
      </c>
      <c r="D844" s="47">
        <v>4</v>
      </c>
      <c r="E844" s="48">
        <v>45228</v>
      </c>
      <c r="F844" s="47">
        <v>3</v>
      </c>
      <c r="G844" s="48">
        <v>45232</v>
      </c>
      <c r="H844" s="47" t="s">
        <v>41</v>
      </c>
      <c r="I844" s="47" t="s">
        <v>41</v>
      </c>
      <c r="J844" s="47" t="s">
        <v>41</v>
      </c>
      <c r="K844" s="47" t="s">
        <v>4</v>
      </c>
    </row>
    <row r="845" spans="1:11" x14ac:dyDescent="0.25">
      <c r="A845" s="44">
        <v>1845</v>
      </c>
      <c r="B845" s="46">
        <v>45226</v>
      </c>
      <c r="C845" s="44" t="s">
        <v>7</v>
      </c>
      <c r="D845" s="47">
        <v>5</v>
      </c>
      <c r="E845" s="48">
        <v>45230</v>
      </c>
      <c r="F845" s="47">
        <v>3</v>
      </c>
      <c r="G845" s="48">
        <v>45234</v>
      </c>
      <c r="H845" s="47" t="s">
        <v>41</v>
      </c>
      <c r="I845" s="47" t="s">
        <v>41</v>
      </c>
      <c r="J845" s="47" t="s">
        <v>1</v>
      </c>
      <c r="K845" s="47" t="s">
        <v>41</v>
      </c>
    </row>
    <row r="846" spans="1:11" x14ac:dyDescent="0.25">
      <c r="A846" s="44">
        <v>3037</v>
      </c>
      <c r="B846" s="46">
        <v>45227</v>
      </c>
      <c r="C846" s="44" t="s">
        <v>7</v>
      </c>
      <c r="D846" s="47">
        <v>5</v>
      </c>
      <c r="E846" s="48">
        <v>45231</v>
      </c>
      <c r="F846" s="47">
        <v>3</v>
      </c>
      <c r="G846" s="48">
        <v>45235</v>
      </c>
      <c r="H846" s="47" t="s">
        <v>41</v>
      </c>
      <c r="I846" s="47" t="s">
        <v>5</v>
      </c>
      <c r="J846" s="47" t="s">
        <v>41</v>
      </c>
      <c r="K846" s="47" t="s">
        <v>41</v>
      </c>
    </row>
    <row r="847" spans="1:11" x14ac:dyDescent="0.25">
      <c r="A847" s="44">
        <v>1974</v>
      </c>
      <c r="B847" s="46">
        <v>45227</v>
      </c>
      <c r="C847" s="44" t="s">
        <v>7</v>
      </c>
      <c r="D847" s="47">
        <v>5</v>
      </c>
      <c r="E847" s="48">
        <v>45231</v>
      </c>
      <c r="F847" s="47">
        <v>3</v>
      </c>
      <c r="G847" s="48">
        <v>45235</v>
      </c>
      <c r="H847" s="47" t="s">
        <v>41</v>
      </c>
      <c r="I847" s="47" t="s">
        <v>5</v>
      </c>
      <c r="J847" s="47" t="s">
        <v>41</v>
      </c>
      <c r="K847" s="47" t="s">
        <v>41</v>
      </c>
    </row>
    <row r="848" spans="1:11" x14ac:dyDescent="0.25">
      <c r="A848" s="44">
        <v>2939</v>
      </c>
      <c r="B848" s="46">
        <v>45227</v>
      </c>
      <c r="C848" s="44" t="s">
        <v>7</v>
      </c>
      <c r="D848" s="47">
        <v>5</v>
      </c>
      <c r="E848" s="48">
        <v>45231</v>
      </c>
      <c r="F848" s="47">
        <v>3</v>
      </c>
      <c r="G848" s="48">
        <v>45235</v>
      </c>
      <c r="H848" s="47" t="s">
        <v>41</v>
      </c>
      <c r="I848" s="47" t="s">
        <v>41</v>
      </c>
      <c r="J848" s="47" t="s">
        <v>41</v>
      </c>
      <c r="K848" s="47" t="s">
        <v>4</v>
      </c>
    </row>
    <row r="849" spans="1:11" x14ac:dyDescent="0.25">
      <c r="A849" s="44">
        <v>1149</v>
      </c>
      <c r="B849" s="46">
        <v>45227</v>
      </c>
      <c r="C849" s="44" t="s">
        <v>40</v>
      </c>
      <c r="D849" s="47">
        <v>5</v>
      </c>
      <c r="E849" s="48">
        <v>45231</v>
      </c>
      <c r="F849" s="47">
        <v>9</v>
      </c>
      <c r="G849" s="48">
        <v>45241</v>
      </c>
      <c r="H849" s="47" t="s">
        <v>3</v>
      </c>
      <c r="I849" s="47" t="s">
        <v>5</v>
      </c>
      <c r="J849" s="47" t="s">
        <v>1</v>
      </c>
      <c r="K849" s="47" t="s">
        <v>4</v>
      </c>
    </row>
    <row r="850" spans="1:11" x14ac:dyDescent="0.25">
      <c r="A850" s="44">
        <v>2379</v>
      </c>
      <c r="B850" s="46">
        <v>45227</v>
      </c>
      <c r="C850" s="44" t="s">
        <v>7</v>
      </c>
      <c r="D850" s="47">
        <v>5</v>
      </c>
      <c r="E850" s="48">
        <v>45231</v>
      </c>
      <c r="F850" s="47">
        <v>3</v>
      </c>
      <c r="G850" s="48">
        <v>45235</v>
      </c>
      <c r="H850" s="47" t="s">
        <v>3</v>
      </c>
      <c r="I850" s="47" t="s">
        <v>41</v>
      </c>
      <c r="J850" s="47" t="s">
        <v>41</v>
      </c>
      <c r="K850" s="47" t="s">
        <v>41</v>
      </c>
    </row>
    <row r="851" spans="1:11" x14ac:dyDescent="0.25">
      <c r="A851" s="44">
        <v>2194</v>
      </c>
      <c r="B851" s="46">
        <v>45227</v>
      </c>
      <c r="C851" s="44" t="s">
        <v>7</v>
      </c>
      <c r="D851" s="47">
        <v>5</v>
      </c>
      <c r="E851" s="48">
        <v>45231</v>
      </c>
      <c r="F851" s="47">
        <v>3</v>
      </c>
      <c r="G851" s="48">
        <v>45235</v>
      </c>
      <c r="H851" s="47" t="s">
        <v>41</v>
      </c>
      <c r="I851" s="47" t="s">
        <v>41</v>
      </c>
      <c r="J851" s="47" t="s">
        <v>1</v>
      </c>
      <c r="K851" s="47" t="s">
        <v>41</v>
      </c>
    </row>
    <row r="852" spans="1:11" x14ac:dyDescent="0.25">
      <c r="A852" s="44">
        <v>2689</v>
      </c>
      <c r="B852" s="46">
        <v>45228</v>
      </c>
      <c r="C852" s="44" t="s">
        <v>7</v>
      </c>
      <c r="D852" s="47">
        <v>5</v>
      </c>
      <c r="E852" s="48">
        <v>45232</v>
      </c>
      <c r="F852" s="47">
        <v>3</v>
      </c>
      <c r="G852" s="48">
        <v>45236</v>
      </c>
      <c r="H852" s="47" t="s">
        <v>3</v>
      </c>
      <c r="I852" s="47" t="s">
        <v>41</v>
      </c>
      <c r="J852" s="47" t="s">
        <v>41</v>
      </c>
      <c r="K852" s="47" t="s">
        <v>41</v>
      </c>
    </row>
    <row r="853" spans="1:11" x14ac:dyDescent="0.25">
      <c r="A853" s="44">
        <v>2458</v>
      </c>
      <c r="B853" s="46">
        <v>45228</v>
      </c>
      <c r="C853" s="44" t="s">
        <v>7</v>
      </c>
      <c r="D853" s="47">
        <v>5</v>
      </c>
      <c r="E853" s="48">
        <v>45232</v>
      </c>
      <c r="F853" s="47">
        <v>3</v>
      </c>
      <c r="G853" s="48">
        <v>45236</v>
      </c>
      <c r="H853" s="47" t="s">
        <v>41</v>
      </c>
      <c r="I853" s="47" t="s">
        <v>41</v>
      </c>
      <c r="J853" s="47" t="s">
        <v>1</v>
      </c>
      <c r="K853" s="47" t="s">
        <v>41</v>
      </c>
    </row>
    <row r="854" spans="1:11" x14ac:dyDescent="0.25">
      <c r="A854" s="44">
        <v>1168</v>
      </c>
      <c r="B854" s="46">
        <v>45229</v>
      </c>
      <c r="C854" s="44" t="s">
        <v>7</v>
      </c>
      <c r="D854" s="47">
        <v>5</v>
      </c>
      <c r="E854" s="48">
        <v>45233</v>
      </c>
      <c r="F854" s="47">
        <v>3</v>
      </c>
      <c r="G854" s="48">
        <v>45237</v>
      </c>
      <c r="H854" s="47" t="s">
        <v>41</v>
      </c>
      <c r="I854" s="47" t="s">
        <v>41</v>
      </c>
      <c r="J854" s="47" t="s">
        <v>1</v>
      </c>
      <c r="K854" s="47" t="s">
        <v>41</v>
      </c>
    </row>
    <row r="855" spans="1:11" x14ac:dyDescent="0.25">
      <c r="A855" s="44">
        <v>1882</v>
      </c>
      <c r="B855" s="46">
        <v>45229</v>
      </c>
      <c r="C855" s="44" t="s">
        <v>7</v>
      </c>
      <c r="D855" s="47">
        <v>5</v>
      </c>
      <c r="E855" s="48">
        <v>45233</v>
      </c>
      <c r="F855" s="47">
        <v>3</v>
      </c>
      <c r="G855" s="48">
        <v>45237</v>
      </c>
      <c r="H855" s="47" t="s">
        <v>3</v>
      </c>
      <c r="I855" s="47" t="s">
        <v>41</v>
      </c>
      <c r="J855" s="47" t="s">
        <v>41</v>
      </c>
      <c r="K855" s="47" t="s">
        <v>4</v>
      </c>
    </row>
    <row r="856" spans="1:11" x14ac:dyDescent="0.25">
      <c r="A856" s="44">
        <v>3667</v>
      </c>
      <c r="B856" s="46">
        <v>45229</v>
      </c>
      <c r="C856" s="44" t="s">
        <v>7</v>
      </c>
      <c r="D856" s="47">
        <v>5</v>
      </c>
      <c r="E856" s="48">
        <v>45233</v>
      </c>
      <c r="F856" s="47">
        <v>3</v>
      </c>
      <c r="G856" s="48">
        <v>45237</v>
      </c>
      <c r="H856" s="47" t="s">
        <v>41</v>
      </c>
      <c r="I856" s="47" t="s">
        <v>41</v>
      </c>
      <c r="J856" s="47" t="s">
        <v>1</v>
      </c>
      <c r="K856" s="47" t="s">
        <v>41</v>
      </c>
    </row>
    <row r="857" spans="1:11" x14ac:dyDescent="0.25">
      <c r="A857" s="44">
        <v>834</v>
      </c>
      <c r="B857" s="46">
        <v>45229</v>
      </c>
      <c r="C857" s="44" t="s">
        <v>7</v>
      </c>
      <c r="D857" s="47">
        <v>5</v>
      </c>
      <c r="E857" s="48">
        <v>45233</v>
      </c>
      <c r="F857" s="47">
        <v>3</v>
      </c>
      <c r="G857" s="48">
        <v>45237</v>
      </c>
      <c r="H857" s="47" t="s">
        <v>3</v>
      </c>
      <c r="I857" s="47" t="s">
        <v>5</v>
      </c>
      <c r="J857" s="47" t="s">
        <v>1</v>
      </c>
      <c r="K857" s="47" t="s">
        <v>4</v>
      </c>
    </row>
    <row r="858" spans="1:11" x14ac:dyDescent="0.25">
      <c r="A858" s="44">
        <v>2549</v>
      </c>
      <c r="B858" s="46">
        <v>45229</v>
      </c>
      <c r="C858" s="44" t="s">
        <v>7</v>
      </c>
      <c r="D858" s="47">
        <v>5</v>
      </c>
      <c r="E858" s="48">
        <v>45233</v>
      </c>
      <c r="F858" s="47">
        <v>3</v>
      </c>
      <c r="G858" s="48">
        <v>45237</v>
      </c>
      <c r="H858" s="47" t="s">
        <v>3</v>
      </c>
      <c r="I858" s="47" t="s">
        <v>5</v>
      </c>
      <c r="J858" s="47" t="s">
        <v>41</v>
      </c>
      <c r="K858" s="47" t="s">
        <v>41</v>
      </c>
    </row>
    <row r="859" spans="1:11" x14ac:dyDescent="0.25">
      <c r="A859" s="44">
        <v>3731</v>
      </c>
      <c r="B859" s="46">
        <v>45230</v>
      </c>
      <c r="C859" s="44" t="s">
        <v>81</v>
      </c>
      <c r="D859" s="47">
        <v>5</v>
      </c>
      <c r="E859" s="48">
        <v>45234</v>
      </c>
      <c r="F859" s="47">
        <v>3</v>
      </c>
      <c r="G859" s="48">
        <v>45238</v>
      </c>
      <c r="H859" s="47" t="s">
        <v>41</v>
      </c>
      <c r="I859" s="47" t="s">
        <v>41</v>
      </c>
      <c r="J859" s="47" t="s">
        <v>1</v>
      </c>
      <c r="K859" s="47" t="s">
        <v>4</v>
      </c>
    </row>
    <row r="860" spans="1:11" x14ac:dyDescent="0.25">
      <c r="A860" s="44">
        <v>1990</v>
      </c>
      <c r="B860" s="46">
        <v>45230</v>
      </c>
      <c r="C860" s="44" t="s">
        <v>7</v>
      </c>
      <c r="D860" s="47">
        <v>5</v>
      </c>
      <c r="E860" s="48">
        <v>45234</v>
      </c>
      <c r="F860" s="47">
        <v>3</v>
      </c>
      <c r="G860" s="48">
        <v>45238</v>
      </c>
      <c r="H860" s="47" t="s">
        <v>41</v>
      </c>
      <c r="I860" s="47" t="s">
        <v>5</v>
      </c>
      <c r="J860" s="47" t="s">
        <v>41</v>
      </c>
      <c r="K860" s="47" t="s">
        <v>41</v>
      </c>
    </row>
    <row r="861" spans="1:11" x14ac:dyDescent="0.25">
      <c r="A861" s="44">
        <v>3568</v>
      </c>
      <c r="B861" s="46">
        <v>45230</v>
      </c>
      <c r="C861" s="44" t="s">
        <v>81</v>
      </c>
      <c r="D861" s="47">
        <v>5</v>
      </c>
      <c r="E861" s="48">
        <v>45234</v>
      </c>
      <c r="F861" s="47">
        <v>3</v>
      </c>
      <c r="G861" s="48">
        <v>45238</v>
      </c>
      <c r="H861" s="47" t="s">
        <v>3</v>
      </c>
      <c r="I861" s="47" t="s">
        <v>41</v>
      </c>
      <c r="J861" s="47" t="s">
        <v>1</v>
      </c>
      <c r="K861" s="47" t="s">
        <v>41</v>
      </c>
    </row>
    <row r="862" spans="1:11" x14ac:dyDescent="0.25">
      <c r="A862" s="44">
        <v>2731</v>
      </c>
      <c r="B862" s="46">
        <v>45230</v>
      </c>
      <c r="C862" s="44" t="s">
        <v>43</v>
      </c>
      <c r="D862" s="47">
        <v>8</v>
      </c>
      <c r="E862" s="48">
        <v>45237</v>
      </c>
      <c r="F862" s="47">
        <v>4</v>
      </c>
      <c r="G862" s="48">
        <v>45242</v>
      </c>
      <c r="H862" s="47" t="s">
        <v>41</v>
      </c>
      <c r="I862" s="47" t="s">
        <v>5</v>
      </c>
      <c r="J862" s="47" t="s">
        <v>41</v>
      </c>
      <c r="K862" s="47" t="s">
        <v>41</v>
      </c>
    </row>
    <row r="863" spans="1:11" x14ac:dyDescent="0.25">
      <c r="A863" s="44">
        <v>3078</v>
      </c>
      <c r="B863" s="46">
        <v>45230</v>
      </c>
      <c r="C863" s="44" t="s">
        <v>40</v>
      </c>
      <c r="D863" s="47">
        <v>3</v>
      </c>
      <c r="E863" s="48">
        <v>45232</v>
      </c>
      <c r="F863" s="47">
        <v>9</v>
      </c>
      <c r="G863" s="48">
        <v>45242</v>
      </c>
      <c r="H863" s="47" t="s">
        <v>3</v>
      </c>
      <c r="I863" s="47" t="s">
        <v>5</v>
      </c>
      <c r="J863" s="47" t="s">
        <v>41</v>
      </c>
      <c r="K863" s="47" t="s">
        <v>41</v>
      </c>
    </row>
    <row r="864" spans="1:11" x14ac:dyDescent="0.25">
      <c r="A864" s="44">
        <v>2958</v>
      </c>
      <c r="B864" s="46">
        <v>45230</v>
      </c>
      <c r="C864" s="44" t="s">
        <v>43</v>
      </c>
      <c r="D864" s="47">
        <v>8</v>
      </c>
      <c r="E864" s="48">
        <v>45237</v>
      </c>
      <c r="F864" s="47">
        <v>4</v>
      </c>
      <c r="G864" s="48">
        <v>45242</v>
      </c>
      <c r="H864" s="47" t="s">
        <v>41</v>
      </c>
      <c r="I864" s="47" t="s">
        <v>41</v>
      </c>
      <c r="J864" s="47" t="s">
        <v>41</v>
      </c>
      <c r="K864" s="47" t="s">
        <v>4</v>
      </c>
    </row>
    <row r="865" spans="1:11" x14ac:dyDescent="0.25">
      <c r="A865" s="44">
        <v>3116</v>
      </c>
      <c r="B865" s="46">
        <v>45230</v>
      </c>
      <c r="C865" s="44" t="s">
        <v>7</v>
      </c>
      <c r="D865" s="47">
        <v>5</v>
      </c>
      <c r="E865" s="48">
        <v>45234</v>
      </c>
      <c r="F865" s="47">
        <v>3</v>
      </c>
      <c r="G865" s="48">
        <v>45238</v>
      </c>
      <c r="H865" s="47" t="s">
        <v>3</v>
      </c>
      <c r="I865" s="47" t="s">
        <v>41</v>
      </c>
      <c r="J865" s="47" t="s">
        <v>41</v>
      </c>
      <c r="K865" s="47" t="s">
        <v>41</v>
      </c>
    </row>
    <row r="866" spans="1:11" x14ac:dyDescent="0.25">
      <c r="A866" s="44">
        <v>3426</v>
      </c>
      <c r="B866" s="46">
        <v>45231</v>
      </c>
      <c r="C866" s="44" t="s">
        <v>7</v>
      </c>
      <c r="D866" s="47">
        <v>5</v>
      </c>
      <c r="E866" s="48">
        <v>45235</v>
      </c>
      <c r="F866" s="47">
        <v>3</v>
      </c>
      <c r="G866" s="48">
        <v>45239</v>
      </c>
      <c r="H866" s="47" t="s">
        <v>41</v>
      </c>
      <c r="I866" s="47" t="s">
        <v>41</v>
      </c>
      <c r="J866" s="47" t="s">
        <v>1</v>
      </c>
      <c r="K866" s="47" t="s">
        <v>41</v>
      </c>
    </row>
    <row r="867" spans="1:11" x14ac:dyDescent="0.25">
      <c r="A867" s="44">
        <v>1797</v>
      </c>
      <c r="B867" s="46">
        <v>45231</v>
      </c>
      <c r="C867" s="44" t="s">
        <v>7</v>
      </c>
      <c r="D867" s="47">
        <v>5</v>
      </c>
      <c r="E867" s="48">
        <v>45235</v>
      </c>
      <c r="F867" s="47">
        <v>3</v>
      </c>
      <c r="G867" s="48">
        <v>45239</v>
      </c>
      <c r="H867" s="47" t="s">
        <v>41</v>
      </c>
      <c r="I867" s="47" t="s">
        <v>5</v>
      </c>
      <c r="J867" s="47" t="s">
        <v>41</v>
      </c>
      <c r="K867" s="47" t="s">
        <v>41</v>
      </c>
    </row>
    <row r="868" spans="1:11" x14ac:dyDescent="0.25">
      <c r="A868" s="44">
        <v>3224</v>
      </c>
      <c r="B868" s="46">
        <v>45231</v>
      </c>
      <c r="C868" s="44" t="s">
        <v>7</v>
      </c>
      <c r="D868" s="47">
        <v>5</v>
      </c>
      <c r="E868" s="48">
        <v>45235</v>
      </c>
      <c r="F868" s="47">
        <v>3</v>
      </c>
      <c r="G868" s="48">
        <v>45239</v>
      </c>
      <c r="H868" s="47" t="s">
        <v>41</v>
      </c>
      <c r="I868" s="47" t="s">
        <v>5</v>
      </c>
      <c r="J868" s="47" t="s">
        <v>41</v>
      </c>
      <c r="K868" s="47" t="s">
        <v>41</v>
      </c>
    </row>
    <row r="869" spans="1:11" x14ac:dyDescent="0.25">
      <c r="A869" s="44">
        <v>2810</v>
      </c>
      <c r="B869" s="46">
        <v>45231</v>
      </c>
      <c r="C869" s="44" t="s">
        <v>7</v>
      </c>
      <c r="D869" s="47">
        <v>5</v>
      </c>
      <c r="E869" s="48">
        <v>45235</v>
      </c>
      <c r="F869" s="47">
        <v>3</v>
      </c>
      <c r="G869" s="48">
        <v>45239</v>
      </c>
      <c r="H869" s="47" t="s">
        <v>41</v>
      </c>
      <c r="I869" s="47" t="s">
        <v>41</v>
      </c>
      <c r="J869" s="47" t="s">
        <v>1</v>
      </c>
      <c r="K869" s="47" t="s">
        <v>41</v>
      </c>
    </row>
    <row r="870" spans="1:11" x14ac:dyDescent="0.25">
      <c r="A870" s="44">
        <v>2458</v>
      </c>
      <c r="B870" s="46">
        <v>45231</v>
      </c>
      <c r="C870" s="44" t="s">
        <v>40</v>
      </c>
      <c r="D870" s="47">
        <v>5</v>
      </c>
      <c r="E870" s="48">
        <v>45235</v>
      </c>
      <c r="F870" s="47">
        <v>9</v>
      </c>
      <c r="G870" s="48">
        <v>45245</v>
      </c>
      <c r="H870" s="47" t="s">
        <v>41</v>
      </c>
      <c r="I870" s="47" t="s">
        <v>41</v>
      </c>
      <c r="J870" s="47" t="s">
        <v>1</v>
      </c>
      <c r="K870" s="47" t="s">
        <v>41</v>
      </c>
    </row>
    <row r="871" spans="1:11" x14ac:dyDescent="0.25">
      <c r="A871" s="44">
        <v>516</v>
      </c>
      <c r="B871" s="46">
        <v>45231</v>
      </c>
      <c r="C871" s="44" t="s">
        <v>7</v>
      </c>
      <c r="D871" s="47">
        <v>5</v>
      </c>
      <c r="E871" s="48">
        <v>45235</v>
      </c>
      <c r="F871" s="47">
        <v>3</v>
      </c>
      <c r="G871" s="48">
        <v>45239</v>
      </c>
      <c r="H871" s="47" t="s">
        <v>41</v>
      </c>
      <c r="I871" s="47" t="s">
        <v>5</v>
      </c>
      <c r="J871" s="47" t="s">
        <v>41</v>
      </c>
      <c r="K871" s="47" t="s">
        <v>41</v>
      </c>
    </row>
    <row r="872" spans="1:11" x14ac:dyDescent="0.25">
      <c r="A872" s="44">
        <v>1149</v>
      </c>
      <c r="B872" s="46">
        <v>45232</v>
      </c>
      <c r="C872" s="44" t="s">
        <v>7</v>
      </c>
      <c r="D872" s="47">
        <v>5</v>
      </c>
      <c r="E872" s="48">
        <v>45236</v>
      </c>
      <c r="F872" s="47">
        <v>3</v>
      </c>
      <c r="G872" s="48">
        <v>45240</v>
      </c>
      <c r="H872" s="47" t="s">
        <v>3</v>
      </c>
      <c r="I872" s="47" t="s">
        <v>5</v>
      </c>
      <c r="J872" s="47" t="s">
        <v>1</v>
      </c>
      <c r="K872" s="47" t="s">
        <v>4</v>
      </c>
    </row>
    <row r="873" spans="1:11" x14ac:dyDescent="0.25">
      <c r="A873" s="44">
        <v>3479</v>
      </c>
      <c r="B873" s="46">
        <v>45232</v>
      </c>
      <c r="C873" s="44" t="s">
        <v>7</v>
      </c>
      <c r="D873" s="47">
        <v>5</v>
      </c>
      <c r="E873" s="48">
        <v>45236</v>
      </c>
      <c r="F873" s="47">
        <v>3</v>
      </c>
      <c r="G873" s="48">
        <v>45240</v>
      </c>
      <c r="H873" s="47" t="s">
        <v>3</v>
      </c>
      <c r="I873" s="47" t="s">
        <v>41</v>
      </c>
      <c r="J873" s="47" t="s">
        <v>41</v>
      </c>
      <c r="K873" s="47" t="s">
        <v>41</v>
      </c>
    </row>
    <row r="874" spans="1:11" x14ac:dyDescent="0.25">
      <c r="A874" s="44">
        <v>1100</v>
      </c>
      <c r="B874" s="46">
        <v>45232</v>
      </c>
      <c r="C874" s="44" t="s">
        <v>7</v>
      </c>
      <c r="D874" s="47">
        <v>5</v>
      </c>
      <c r="E874" s="48">
        <v>45236</v>
      </c>
      <c r="F874" s="47">
        <v>3</v>
      </c>
      <c r="G874" s="48">
        <v>45240</v>
      </c>
      <c r="H874" s="47" t="s">
        <v>3</v>
      </c>
      <c r="I874" s="47" t="s">
        <v>41</v>
      </c>
      <c r="J874" s="47" t="s">
        <v>41</v>
      </c>
      <c r="K874" s="47" t="s">
        <v>41</v>
      </c>
    </row>
    <row r="875" spans="1:11" x14ac:dyDescent="0.25">
      <c r="A875" s="44">
        <v>3624</v>
      </c>
      <c r="B875" s="46">
        <v>45232</v>
      </c>
      <c r="C875" s="44" t="s">
        <v>7</v>
      </c>
      <c r="D875" s="47">
        <v>5</v>
      </c>
      <c r="E875" s="48">
        <v>45236</v>
      </c>
      <c r="F875" s="47">
        <v>3</v>
      </c>
      <c r="G875" s="48">
        <v>45240</v>
      </c>
      <c r="H875" s="47" t="s">
        <v>41</v>
      </c>
      <c r="I875" s="47" t="s">
        <v>41</v>
      </c>
      <c r="J875" s="47" t="s">
        <v>1</v>
      </c>
      <c r="K875" s="47" t="s">
        <v>41</v>
      </c>
    </row>
    <row r="876" spans="1:11" x14ac:dyDescent="0.25">
      <c r="A876" s="44">
        <v>2689</v>
      </c>
      <c r="B876" s="46">
        <v>45232</v>
      </c>
      <c r="C876" s="44" t="s">
        <v>14</v>
      </c>
      <c r="D876" s="47">
        <v>5</v>
      </c>
      <c r="E876" s="48">
        <v>45236</v>
      </c>
      <c r="F876" s="47">
        <v>3</v>
      </c>
      <c r="G876" s="48">
        <v>45240</v>
      </c>
      <c r="H876" s="47" t="s">
        <v>3</v>
      </c>
      <c r="I876" s="47" t="s">
        <v>41</v>
      </c>
      <c r="J876" s="47" t="s">
        <v>41</v>
      </c>
      <c r="K876" s="47" t="s">
        <v>41</v>
      </c>
    </row>
    <row r="877" spans="1:11" x14ac:dyDescent="0.25">
      <c r="A877" s="64">
        <v>3078</v>
      </c>
      <c r="B877" s="65">
        <v>45232</v>
      </c>
      <c r="C877" s="64" t="s">
        <v>14</v>
      </c>
      <c r="D877" s="66">
        <v>5</v>
      </c>
      <c r="E877" s="67">
        <v>45236</v>
      </c>
      <c r="F877" s="66">
        <v>3</v>
      </c>
      <c r="G877" s="67">
        <v>45240</v>
      </c>
      <c r="H877" s="66" t="s">
        <v>3</v>
      </c>
      <c r="I877" s="66" t="s">
        <v>41</v>
      </c>
      <c r="J877" s="66" t="s">
        <v>41</v>
      </c>
      <c r="K877" s="66" t="s">
        <v>41</v>
      </c>
    </row>
    <row r="878" spans="1:11" x14ac:dyDescent="0.25">
      <c r="A878" s="39">
        <v>1390</v>
      </c>
      <c r="B878" s="41">
        <v>45232</v>
      </c>
      <c r="C878" s="40" t="s">
        <v>14</v>
      </c>
      <c r="D878" s="42">
        <v>5</v>
      </c>
      <c r="E878" s="43">
        <v>45236</v>
      </c>
      <c r="F878" s="42">
        <v>3</v>
      </c>
      <c r="G878" s="43">
        <v>45240</v>
      </c>
      <c r="H878" s="42" t="s">
        <v>3</v>
      </c>
      <c r="I878" s="42" t="s">
        <v>5</v>
      </c>
      <c r="J878" s="42" t="s">
        <v>1</v>
      </c>
      <c r="K878" s="42" t="s">
        <v>41</v>
      </c>
    </row>
    <row r="879" spans="1:11" x14ac:dyDescent="0.25">
      <c r="A879" s="44">
        <v>3667</v>
      </c>
      <c r="B879" s="46">
        <v>45232</v>
      </c>
      <c r="C879" s="45" t="s">
        <v>40</v>
      </c>
      <c r="D879" s="47">
        <v>3</v>
      </c>
      <c r="E879" s="48">
        <v>45234</v>
      </c>
      <c r="F879" s="47">
        <v>3</v>
      </c>
      <c r="G879" s="48">
        <v>45238</v>
      </c>
      <c r="H879" s="47" t="s">
        <v>41</v>
      </c>
      <c r="I879" s="47" t="s">
        <v>41</v>
      </c>
      <c r="J879" s="47" t="s">
        <v>1</v>
      </c>
      <c r="K879" s="47" t="s">
        <v>41</v>
      </c>
    </row>
    <row r="880" spans="1:11" x14ac:dyDescent="0.25">
      <c r="A880" s="44">
        <v>2603</v>
      </c>
      <c r="B880" s="46">
        <v>45232</v>
      </c>
      <c r="C880" s="45" t="s">
        <v>7</v>
      </c>
      <c r="D880" s="47">
        <v>5</v>
      </c>
      <c r="E880" s="48">
        <v>45236</v>
      </c>
      <c r="F880" s="47">
        <v>3</v>
      </c>
      <c r="G880" s="48">
        <v>45240</v>
      </c>
      <c r="H880" s="47" t="s">
        <v>41</v>
      </c>
      <c r="I880" s="47" t="s">
        <v>41</v>
      </c>
      <c r="J880" s="47" t="s">
        <v>41</v>
      </c>
      <c r="K880" s="47" t="s">
        <v>4</v>
      </c>
    </row>
    <row r="881" spans="1:11" x14ac:dyDescent="0.25">
      <c r="A881" s="44">
        <v>1203</v>
      </c>
      <c r="B881" s="46">
        <v>45233</v>
      </c>
      <c r="C881" s="45" t="s">
        <v>7</v>
      </c>
      <c r="D881" s="47">
        <v>5</v>
      </c>
      <c r="E881" s="48">
        <v>45237</v>
      </c>
      <c r="F881" s="47">
        <v>3</v>
      </c>
      <c r="G881" s="48">
        <v>45241</v>
      </c>
      <c r="H881" s="47" t="s">
        <v>41</v>
      </c>
      <c r="I881" s="47" t="s">
        <v>5</v>
      </c>
      <c r="J881" s="47" t="s">
        <v>41</v>
      </c>
      <c r="K881" s="47" t="s">
        <v>4</v>
      </c>
    </row>
    <row r="882" spans="1:11" x14ac:dyDescent="0.25">
      <c r="A882" s="44">
        <v>2723</v>
      </c>
      <c r="B882" s="46">
        <v>45233</v>
      </c>
      <c r="C882" s="45" t="s">
        <v>7</v>
      </c>
      <c r="D882" s="47">
        <v>5</v>
      </c>
      <c r="E882" s="48">
        <v>45237</v>
      </c>
      <c r="F882" s="47">
        <v>3</v>
      </c>
      <c r="G882" s="48">
        <v>45241</v>
      </c>
      <c r="H882" s="47" t="s">
        <v>41</v>
      </c>
      <c r="I882" s="47" t="s">
        <v>5</v>
      </c>
      <c r="J882" s="47" t="s">
        <v>41</v>
      </c>
      <c r="K882" s="47" t="s">
        <v>41</v>
      </c>
    </row>
    <row r="883" spans="1:11" x14ac:dyDescent="0.25">
      <c r="A883" s="44">
        <v>3479</v>
      </c>
      <c r="B883" s="46">
        <v>45233</v>
      </c>
      <c r="C883" s="45" t="s">
        <v>40</v>
      </c>
      <c r="D883" s="47">
        <v>3</v>
      </c>
      <c r="E883" s="48">
        <v>45235</v>
      </c>
      <c r="F883" s="47">
        <v>9</v>
      </c>
      <c r="G883" s="48">
        <v>45245</v>
      </c>
      <c r="H883" s="47" t="s">
        <v>3</v>
      </c>
      <c r="I883" s="47" t="s">
        <v>41</v>
      </c>
      <c r="J883" s="47" t="s">
        <v>41</v>
      </c>
      <c r="K883" s="47" t="s">
        <v>41</v>
      </c>
    </row>
    <row r="884" spans="1:11" x14ac:dyDescent="0.25">
      <c r="A884" s="44">
        <v>2958</v>
      </c>
      <c r="B884" s="46">
        <v>45233</v>
      </c>
      <c r="C884" s="45" t="s">
        <v>14</v>
      </c>
      <c r="D884" s="47">
        <v>5</v>
      </c>
      <c r="E884" s="48">
        <v>45237</v>
      </c>
      <c r="F884" s="47">
        <v>3</v>
      </c>
      <c r="G884" s="48">
        <v>45241</v>
      </c>
      <c r="H884" s="47" t="s">
        <v>41</v>
      </c>
      <c r="I884" s="47" t="s">
        <v>41</v>
      </c>
      <c r="J884" s="47" t="s">
        <v>1</v>
      </c>
      <c r="K884" s="47" t="s">
        <v>41</v>
      </c>
    </row>
    <row r="885" spans="1:11" x14ac:dyDescent="0.25">
      <c r="A885" s="44">
        <v>3078</v>
      </c>
      <c r="B885" s="46">
        <v>45233</v>
      </c>
      <c r="C885" s="45" t="s">
        <v>40</v>
      </c>
      <c r="D885" s="47">
        <v>3</v>
      </c>
      <c r="E885" s="48">
        <v>45235</v>
      </c>
      <c r="F885" s="47">
        <v>9</v>
      </c>
      <c r="G885" s="48">
        <v>45245</v>
      </c>
      <c r="H885" s="47" t="s">
        <v>3</v>
      </c>
      <c r="I885" s="47" t="s">
        <v>41</v>
      </c>
      <c r="J885" s="47" t="s">
        <v>41</v>
      </c>
      <c r="K885" s="47" t="s">
        <v>41</v>
      </c>
    </row>
    <row r="886" spans="1:11" x14ac:dyDescent="0.25">
      <c r="A886" s="44">
        <v>1990</v>
      </c>
      <c r="B886" s="46">
        <v>45234</v>
      </c>
      <c r="C886" s="45" t="s">
        <v>81</v>
      </c>
      <c r="D886" s="47">
        <v>5</v>
      </c>
      <c r="E886" s="48">
        <v>45238</v>
      </c>
      <c r="F886" s="47">
        <v>3</v>
      </c>
      <c r="G886" s="48">
        <v>45242</v>
      </c>
      <c r="H886" s="47" t="s">
        <v>3</v>
      </c>
      <c r="I886" s="47" t="s">
        <v>41</v>
      </c>
      <c r="J886" s="47" t="s">
        <v>41</v>
      </c>
      <c r="K886" s="47" t="s">
        <v>41</v>
      </c>
    </row>
    <row r="887" spans="1:11" x14ac:dyDescent="0.25">
      <c r="A887" s="44">
        <v>2603</v>
      </c>
      <c r="B887" s="46">
        <v>45234</v>
      </c>
      <c r="C887" s="45" t="s">
        <v>40</v>
      </c>
      <c r="D887" s="47">
        <v>3</v>
      </c>
      <c r="E887" s="48">
        <v>45236</v>
      </c>
      <c r="F887" s="47">
        <v>9</v>
      </c>
      <c r="G887" s="48">
        <v>45246</v>
      </c>
      <c r="H887" s="47" t="s">
        <v>41</v>
      </c>
      <c r="I887" s="47" t="s">
        <v>41</v>
      </c>
      <c r="J887" s="47" t="s">
        <v>41</v>
      </c>
      <c r="K887" s="47" t="s">
        <v>4</v>
      </c>
    </row>
    <row r="888" spans="1:11" x14ac:dyDescent="0.25">
      <c r="A888" s="44">
        <v>834</v>
      </c>
      <c r="B888" s="46">
        <v>45234</v>
      </c>
      <c r="C888" s="45" t="s">
        <v>14</v>
      </c>
      <c r="D888" s="47">
        <v>5</v>
      </c>
      <c r="E888" s="48">
        <v>45238</v>
      </c>
      <c r="F888" s="47">
        <v>3</v>
      </c>
      <c r="G888" s="48">
        <v>45242</v>
      </c>
      <c r="H888" s="47" t="s">
        <v>41</v>
      </c>
      <c r="I888" s="47" t="s">
        <v>5</v>
      </c>
      <c r="J888" s="47" t="s">
        <v>41</v>
      </c>
      <c r="K888" s="47" t="s">
        <v>41</v>
      </c>
    </row>
    <row r="889" spans="1:11" x14ac:dyDescent="0.25">
      <c r="A889" s="44">
        <v>186</v>
      </c>
      <c r="B889" s="46">
        <v>45234</v>
      </c>
      <c r="C889" s="45" t="s">
        <v>7</v>
      </c>
      <c r="D889" s="47">
        <v>5</v>
      </c>
      <c r="E889" s="48">
        <v>45238</v>
      </c>
      <c r="F889" s="47">
        <v>3</v>
      </c>
      <c r="G889" s="48">
        <v>45242</v>
      </c>
      <c r="H889" s="47" t="s">
        <v>3</v>
      </c>
      <c r="I889" s="47" t="s">
        <v>41</v>
      </c>
      <c r="J889" s="47" t="s">
        <v>41</v>
      </c>
      <c r="K889" s="47" t="s">
        <v>41</v>
      </c>
    </row>
    <row r="890" spans="1:11" x14ac:dyDescent="0.25">
      <c r="A890" s="44">
        <v>2939</v>
      </c>
      <c r="B890" s="46">
        <v>45234</v>
      </c>
      <c r="C890" s="45" t="s">
        <v>81</v>
      </c>
      <c r="D890" s="47">
        <v>5</v>
      </c>
      <c r="E890" s="48">
        <v>45238</v>
      </c>
      <c r="F890" s="47">
        <v>3</v>
      </c>
      <c r="G890" s="48">
        <v>45242</v>
      </c>
      <c r="H890" s="47" t="s">
        <v>41</v>
      </c>
      <c r="I890" s="47" t="s">
        <v>41</v>
      </c>
      <c r="J890" s="47" t="s">
        <v>41</v>
      </c>
      <c r="K890" s="47" t="s">
        <v>4</v>
      </c>
    </row>
    <row r="891" spans="1:11" x14ac:dyDescent="0.25">
      <c r="A891" s="44">
        <v>2103</v>
      </c>
      <c r="B891" s="46">
        <v>45235</v>
      </c>
      <c r="C891" s="45" t="s">
        <v>7</v>
      </c>
      <c r="D891" s="47">
        <v>5</v>
      </c>
      <c r="E891" s="48">
        <v>45239</v>
      </c>
      <c r="F891" s="47">
        <v>3</v>
      </c>
      <c r="G891" s="48">
        <v>45243</v>
      </c>
      <c r="H891" s="47" t="s">
        <v>3</v>
      </c>
      <c r="I891" s="47" t="s">
        <v>41</v>
      </c>
      <c r="J891" s="47" t="s">
        <v>41</v>
      </c>
      <c r="K891" s="47" t="s">
        <v>41</v>
      </c>
    </row>
    <row r="892" spans="1:11" x14ac:dyDescent="0.25">
      <c r="A892" s="44">
        <v>3110</v>
      </c>
      <c r="B892" s="46">
        <v>45236</v>
      </c>
      <c r="C892" s="45" t="s">
        <v>7</v>
      </c>
      <c r="D892" s="47">
        <v>5</v>
      </c>
      <c r="E892" s="48">
        <v>45240</v>
      </c>
      <c r="F892" s="47">
        <v>3</v>
      </c>
      <c r="G892" s="48">
        <v>45244</v>
      </c>
      <c r="H892" s="47" t="s">
        <v>41</v>
      </c>
      <c r="I892" s="47" t="s">
        <v>41</v>
      </c>
      <c r="J892" s="47" t="s">
        <v>41</v>
      </c>
      <c r="K892" s="47" t="s">
        <v>4</v>
      </c>
    </row>
    <row r="893" spans="1:11" x14ac:dyDescent="0.25">
      <c r="A893" s="44">
        <v>2168</v>
      </c>
      <c r="B893" s="46">
        <v>45236</v>
      </c>
      <c r="C893" s="45" t="s">
        <v>81</v>
      </c>
      <c r="D893" s="47">
        <v>5</v>
      </c>
      <c r="E893" s="48">
        <v>45240</v>
      </c>
      <c r="F893" s="47">
        <v>3</v>
      </c>
      <c r="G893" s="48">
        <v>45244</v>
      </c>
      <c r="H893" s="47" t="s">
        <v>3</v>
      </c>
      <c r="I893" s="47" t="s">
        <v>5</v>
      </c>
      <c r="J893" s="47" t="s">
        <v>1</v>
      </c>
      <c r="K893" s="47" t="s">
        <v>4</v>
      </c>
    </row>
    <row r="894" spans="1:11" x14ac:dyDescent="0.25">
      <c r="A894" s="44">
        <v>3030</v>
      </c>
      <c r="B894" s="46">
        <v>45237</v>
      </c>
      <c r="C894" s="45" t="s">
        <v>40</v>
      </c>
      <c r="D894" s="47">
        <v>3</v>
      </c>
      <c r="E894" s="48">
        <v>45239</v>
      </c>
      <c r="F894" s="47">
        <v>9</v>
      </c>
      <c r="G894" s="48">
        <v>45249</v>
      </c>
      <c r="H894" s="47" t="s">
        <v>41</v>
      </c>
      <c r="I894" s="47" t="s">
        <v>5</v>
      </c>
      <c r="J894" s="47" t="s">
        <v>41</v>
      </c>
      <c r="K894" s="47" t="s">
        <v>41</v>
      </c>
    </row>
    <row r="895" spans="1:11" x14ac:dyDescent="0.25">
      <c r="A895" s="44">
        <v>2636</v>
      </c>
      <c r="B895" s="46">
        <v>45237</v>
      </c>
      <c r="C895" s="45" t="s">
        <v>7</v>
      </c>
      <c r="D895" s="47">
        <v>5</v>
      </c>
      <c r="E895" s="48">
        <v>45241</v>
      </c>
      <c r="F895" s="47">
        <v>3</v>
      </c>
      <c r="G895" s="48">
        <v>45245</v>
      </c>
      <c r="H895" s="47" t="s">
        <v>41</v>
      </c>
      <c r="I895" s="47" t="s">
        <v>5</v>
      </c>
      <c r="J895" s="47" t="s">
        <v>41</v>
      </c>
      <c r="K895" s="47" t="s">
        <v>41</v>
      </c>
    </row>
    <row r="896" spans="1:11" x14ac:dyDescent="0.25">
      <c r="A896" s="44">
        <v>3140</v>
      </c>
      <c r="B896" s="46">
        <v>45237</v>
      </c>
      <c r="C896" s="45" t="s">
        <v>7</v>
      </c>
      <c r="D896" s="47">
        <v>5</v>
      </c>
      <c r="E896" s="48">
        <v>45241</v>
      </c>
      <c r="F896" s="47">
        <v>3</v>
      </c>
      <c r="G896" s="48">
        <v>45245</v>
      </c>
      <c r="H896" s="47" t="s">
        <v>41</v>
      </c>
      <c r="I896" s="47" t="s">
        <v>5</v>
      </c>
      <c r="J896" s="47" t="s">
        <v>41</v>
      </c>
      <c r="K896" s="47" t="s">
        <v>41</v>
      </c>
    </row>
    <row r="897" spans="1:11" x14ac:dyDescent="0.25">
      <c r="A897" s="44">
        <v>2518</v>
      </c>
      <c r="B897" s="46">
        <v>45237</v>
      </c>
      <c r="C897" s="45" t="s">
        <v>7</v>
      </c>
      <c r="D897" s="47">
        <v>5</v>
      </c>
      <c r="E897" s="48">
        <v>45241</v>
      </c>
      <c r="F897" s="47">
        <v>3</v>
      </c>
      <c r="G897" s="48">
        <v>45245</v>
      </c>
      <c r="H897" s="47" t="s">
        <v>41</v>
      </c>
      <c r="I897" s="47" t="s">
        <v>41</v>
      </c>
      <c r="J897" s="47" t="s">
        <v>1</v>
      </c>
      <c r="K897" s="47" t="s">
        <v>41</v>
      </c>
    </row>
    <row r="898" spans="1:11" x14ac:dyDescent="0.25">
      <c r="A898" s="44">
        <v>2745</v>
      </c>
      <c r="B898" s="46">
        <v>45238</v>
      </c>
      <c r="C898" s="45" t="s">
        <v>40</v>
      </c>
      <c r="D898" s="47">
        <v>3</v>
      </c>
      <c r="E898" s="48">
        <v>45240</v>
      </c>
      <c r="F898" s="47">
        <v>9</v>
      </c>
      <c r="G898" s="48">
        <v>45250</v>
      </c>
      <c r="H898" s="47" t="s">
        <v>41</v>
      </c>
      <c r="I898" s="47" t="s">
        <v>5</v>
      </c>
      <c r="J898" s="47" t="s">
        <v>41</v>
      </c>
      <c r="K898" s="47" t="s">
        <v>41</v>
      </c>
    </row>
    <row r="899" spans="1:11" x14ac:dyDescent="0.25">
      <c r="A899" s="44">
        <v>3306</v>
      </c>
      <c r="B899" s="46">
        <v>45238</v>
      </c>
      <c r="C899" s="45" t="s">
        <v>7</v>
      </c>
      <c r="D899" s="47">
        <v>5</v>
      </c>
      <c r="E899" s="48">
        <v>45242</v>
      </c>
      <c r="F899" s="47">
        <v>3</v>
      </c>
      <c r="G899" s="48">
        <v>45246</v>
      </c>
      <c r="H899" s="47" t="s">
        <v>41</v>
      </c>
      <c r="I899" s="47" t="s">
        <v>41</v>
      </c>
      <c r="J899" s="47" t="s">
        <v>1</v>
      </c>
      <c r="K899" s="47" t="s">
        <v>41</v>
      </c>
    </row>
    <row r="900" spans="1:11" x14ac:dyDescent="0.25">
      <c r="A900" s="44">
        <v>2689</v>
      </c>
      <c r="B900" s="46">
        <v>45238</v>
      </c>
      <c r="C900" s="45" t="s">
        <v>7</v>
      </c>
      <c r="D900" s="47">
        <v>5</v>
      </c>
      <c r="E900" s="48">
        <v>45242</v>
      </c>
      <c r="F900" s="47">
        <v>3</v>
      </c>
      <c r="G900" s="48">
        <v>45246</v>
      </c>
      <c r="H900" s="47" t="s">
        <v>3</v>
      </c>
      <c r="I900" s="47" t="s">
        <v>41</v>
      </c>
      <c r="J900" s="47" t="s">
        <v>41</v>
      </c>
      <c r="K900" s="47" t="s">
        <v>41</v>
      </c>
    </row>
    <row r="901" spans="1:11" x14ac:dyDescent="0.25">
      <c r="A901" s="44">
        <v>2924</v>
      </c>
      <c r="B901" s="46">
        <v>45239</v>
      </c>
      <c r="C901" s="45" t="s">
        <v>7</v>
      </c>
      <c r="D901" s="47">
        <v>5</v>
      </c>
      <c r="E901" s="48">
        <v>45243</v>
      </c>
      <c r="F901" s="47">
        <v>3</v>
      </c>
      <c r="G901" s="48">
        <v>45247</v>
      </c>
      <c r="H901" s="47" t="s">
        <v>41</v>
      </c>
      <c r="I901" s="47" t="s">
        <v>41</v>
      </c>
      <c r="J901" s="47" t="s">
        <v>1</v>
      </c>
      <c r="K901" s="47" t="s">
        <v>41</v>
      </c>
    </row>
    <row r="902" spans="1:11" x14ac:dyDescent="0.25">
      <c r="A902" s="44">
        <v>2939</v>
      </c>
      <c r="B902" s="46">
        <v>45239</v>
      </c>
      <c r="C902" s="45" t="s">
        <v>14</v>
      </c>
      <c r="D902" s="47">
        <v>5</v>
      </c>
      <c r="E902" s="48">
        <v>45243</v>
      </c>
      <c r="F902" s="47">
        <v>3</v>
      </c>
      <c r="G902" s="48">
        <v>45247</v>
      </c>
      <c r="H902" s="47" t="s">
        <v>41</v>
      </c>
      <c r="I902" s="47" t="s">
        <v>41</v>
      </c>
      <c r="J902" s="47" t="s">
        <v>41</v>
      </c>
      <c r="K902" s="47" t="s">
        <v>4</v>
      </c>
    </row>
    <row r="903" spans="1:11" x14ac:dyDescent="0.25">
      <c r="A903" s="44">
        <v>834</v>
      </c>
      <c r="B903" s="46">
        <v>45239</v>
      </c>
      <c r="C903" s="45" t="s">
        <v>14</v>
      </c>
      <c r="D903" s="47">
        <v>5</v>
      </c>
      <c r="E903" s="48">
        <v>45243</v>
      </c>
      <c r="F903" s="47">
        <v>3</v>
      </c>
      <c r="G903" s="48">
        <v>45247</v>
      </c>
      <c r="H903" s="47" t="s">
        <v>3</v>
      </c>
      <c r="I903" s="47" t="s">
        <v>5</v>
      </c>
      <c r="J903" s="47" t="s">
        <v>1</v>
      </c>
      <c r="K903" s="47" t="s">
        <v>4</v>
      </c>
    </row>
    <row r="904" spans="1:11" x14ac:dyDescent="0.25">
      <c r="A904" s="44">
        <v>2458</v>
      </c>
      <c r="B904" s="46">
        <v>45239</v>
      </c>
      <c r="C904" s="45" t="s">
        <v>14</v>
      </c>
      <c r="D904" s="47">
        <v>5</v>
      </c>
      <c r="E904" s="48">
        <v>45243</v>
      </c>
      <c r="F904" s="47">
        <v>3</v>
      </c>
      <c r="G904" s="48">
        <v>45247</v>
      </c>
      <c r="H904" s="47" t="s">
        <v>41</v>
      </c>
      <c r="I904" s="47" t="s">
        <v>41</v>
      </c>
      <c r="J904" s="47" t="s">
        <v>1</v>
      </c>
      <c r="K904" s="47" t="s">
        <v>41</v>
      </c>
    </row>
    <row r="905" spans="1:11" x14ac:dyDescent="0.25">
      <c r="A905" s="44">
        <v>3116</v>
      </c>
      <c r="B905" s="46">
        <v>45239</v>
      </c>
      <c r="C905" s="45" t="s">
        <v>14</v>
      </c>
      <c r="D905" s="47">
        <v>5</v>
      </c>
      <c r="E905" s="48">
        <v>45243</v>
      </c>
      <c r="F905" s="47">
        <v>3</v>
      </c>
      <c r="G905" s="48">
        <v>45247</v>
      </c>
      <c r="H905" s="47" t="s">
        <v>3</v>
      </c>
      <c r="I905" s="47" t="s">
        <v>41</v>
      </c>
      <c r="J905" s="47" t="s">
        <v>41</v>
      </c>
      <c r="K905" s="47" t="s">
        <v>41</v>
      </c>
    </row>
    <row r="906" spans="1:11" x14ac:dyDescent="0.25">
      <c r="A906" s="44">
        <v>2958</v>
      </c>
      <c r="B906" s="46">
        <v>45239</v>
      </c>
      <c r="C906" s="45" t="s">
        <v>14</v>
      </c>
      <c r="D906" s="47">
        <v>5</v>
      </c>
      <c r="E906" s="48">
        <v>45243</v>
      </c>
      <c r="F906" s="47">
        <v>3</v>
      </c>
      <c r="G906" s="48">
        <v>45247</v>
      </c>
      <c r="H906" s="47" t="s">
        <v>3</v>
      </c>
      <c r="I906" s="47" t="s">
        <v>41</v>
      </c>
      <c r="J906" s="47" t="s">
        <v>41</v>
      </c>
      <c r="K906" s="47" t="s">
        <v>41</v>
      </c>
    </row>
    <row r="907" spans="1:11" x14ac:dyDescent="0.25">
      <c r="A907" s="44">
        <v>1149</v>
      </c>
      <c r="B907" s="46">
        <v>45239</v>
      </c>
      <c r="C907" s="45" t="s">
        <v>14</v>
      </c>
      <c r="D907" s="47">
        <v>5</v>
      </c>
      <c r="E907" s="48">
        <v>45243</v>
      </c>
      <c r="F907" s="47">
        <v>3</v>
      </c>
      <c r="G907" s="48">
        <v>45247</v>
      </c>
      <c r="H907" s="47" t="s">
        <v>41</v>
      </c>
      <c r="I907" s="47" t="s">
        <v>41</v>
      </c>
      <c r="J907" s="47" t="s">
        <v>41</v>
      </c>
      <c r="K907" s="47" t="s">
        <v>4</v>
      </c>
    </row>
    <row r="908" spans="1:11" x14ac:dyDescent="0.25">
      <c r="A908" s="44">
        <v>3426</v>
      </c>
      <c r="B908" s="46">
        <v>45240</v>
      </c>
      <c r="C908" s="45" t="s">
        <v>43</v>
      </c>
      <c r="D908" s="47">
        <v>5</v>
      </c>
      <c r="E908" s="48">
        <v>45244</v>
      </c>
      <c r="F908" s="47">
        <v>4</v>
      </c>
      <c r="G908" s="48">
        <v>45249</v>
      </c>
      <c r="H908" s="47" t="s">
        <v>41</v>
      </c>
      <c r="I908" s="47" t="s">
        <v>41</v>
      </c>
      <c r="J908" s="47" t="s">
        <v>1</v>
      </c>
      <c r="K908" s="47" t="s">
        <v>41</v>
      </c>
    </row>
    <row r="909" spans="1:11" x14ac:dyDescent="0.25">
      <c r="A909" s="44">
        <v>3078</v>
      </c>
      <c r="B909" s="46">
        <v>45240</v>
      </c>
      <c r="C909" s="45" t="s">
        <v>14</v>
      </c>
      <c r="D909" s="47">
        <v>5</v>
      </c>
      <c r="E909" s="48">
        <v>45244</v>
      </c>
      <c r="F909" s="47">
        <v>3</v>
      </c>
      <c r="G909" s="48">
        <v>45248</v>
      </c>
      <c r="H909" s="47" t="s">
        <v>3</v>
      </c>
      <c r="I909" s="47" t="s">
        <v>41</v>
      </c>
      <c r="J909" s="47" t="s">
        <v>41</v>
      </c>
      <c r="K909" s="47" t="s">
        <v>41</v>
      </c>
    </row>
    <row r="910" spans="1:11" x14ac:dyDescent="0.25">
      <c r="A910" s="44">
        <v>2226</v>
      </c>
      <c r="B910" s="46">
        <v>45240</v>
      </c>
      <c r="C910" s="45" t="s">
        <v>14</v>
      </c>
      <c r="D910" s="47">
        <v>5</v>
      </c>
      <c r="E910" s="48">
        <v>45244</v>
      </c>
      <c r="F910" s="47">
        <v>3</v>
      </c>
      <c r="G910" s="48">
        <v>45248</v>
      </c>
      <c r="H910" s="47" t="s">
        <v>41</v>
      </c>
      <c r="I910" s="47" t="s">
        <v>5</v>
      </c>
      <c r="J910" s="47" t="s">
        <v>41</v>
      </c>
      <c r="K910" s="47" t="s">
        <v>4</v>
      </c>
    </row>
    <row r="911" spans="1:11" x14ac:dyDescent="0.25">
      <c r="A911" s="44">
        <v>2797</v>
      </c>
      <c r="B911" s="46">
        <v>45240</v>
      </c>
      <c r="C911" s="45" t="s">
        <v>14</v>
      </c>
      <c r="D911" s="47">
        <v>5</v>
      </c>
      <c r="E911" s="48">
        <v>45244</v>
      </c>
      <c r="F911" s="47">
        <v>3</v>
      </c>
      <c r="G911" s="48">
        <v>45248</v>
      </c>
      <c r="H911" s="47" t="s">
        <v>41</v>
      </c>
      <c r="I911" s="47" t="s">
        <v>41</v>
      </c>
      <c r="J911" s="47" t="s">
        <v>1</v>
      </c>
      <c r="K911" s="47" t="s">
        <v>41</v>
      </c>
    </row>
    <row r="912" spans="1:11" x14ac:dyDescent="0.25">
      <c r="A912" s="44">
        <v>2549</v>
      </c>
      <c r="B912" s="46">
        <v>45240</v>
      </c>
      <c r="C912" s="45" t="s">
        <v>14</v>
      </c>
      <c r="D912" s="47">
        <v>5</v>
      </c>
      <c r="E912" s="48">
        <v>45244</v>
      </c>
      <c r="F912" s="47">
        <v>3</v>
      </c>
      <c r="G912" s="48">
        <v>45248</v>
      </c>
      <c r="H912" s="47" t="s">
        <v>3</v>
      </c>
      <c r="I912" s="47" t="s">
        <v>5</v>
      </c>
      <c r="J912" s="47" t="s">
        <v>41</v>
      </c>
      <c r="K912" s="47" t="s">
        <v>41</v>
      </c>
    </row>
    <row r="913" spans="1:11" x14ac:dyDescent="0.25">
      <c r="A913" s="44">
        <v>3012</v>
      </c>
      <c r="B913" s="46">
        <v>45240</v>
      </c>
      <c r="C913" s="45" t="s">
        <v>14</v>
      </c>
      <c r="D913" s="47">
        <v>5</v>
      </c>
      <c r="E913" s="48">
        <v>45244</v>
      </c>
      <c r="F913" s="47">
        <v>3</v>
      </c>
      <c r="G913" s="48">
        <v>45248</v>
      </c>
      <c r="H913" s="47" t="s">
        <v>41</v>
      </c>
      <c r="I913" s="47" t="s">
        <v>5</v>
      </c>
      <c r="J913" s="47" t="s">
        <v>41</v>
      </c>
      <c r="K913" s="47" t="s">
        <v>4</v>
      </c>
    </row>
    <row r="914" spans="1:11" x14ac:dyDescent="0.25">
      <c r="A914" s="44">
        <v>2840</v>
      </c>
      <c r="B914" s="46">
        <v>45240</v>
      </c>
      <c r="C914" s="45" t="s">
        <v>7</v>
      </c>
      <c r="D914" s="47">
        <v>5</v>
      </c>
      <c r="E914" s="48">
        <v>45244</v>
      </c>
      <c r="F914" s="47">
        <v>3</v>
      </c>
      <c r="G914" s="48">
        <v>45248</v>
      </c>
      <c r="H914" s="47" t="s">
        <v>41</v>
      </c>
      <c r="I914" s="47" t="s">
        <v>41</v>
      </c>
      <c r="J914" s="47" t="s">
        <v>1</v>
      </c>
      <c r="K914" s="47" t="s">
        <v>41</v>
      </c>
    </row>
    <row r="915" spans="1:11" x14ac:dyDescent="0.25">
      <c r="A915" s="44">
        <v>3110</v>
      </c>
      <c r="B915" s="46">
        <v>45240</v>
      </c>
      <c r="C915" s="45" t="s">
        <v>14</v>
      </c>
      <c r="D915" s="47">
        <v>5</v>
      </c>
      <c r="E915" s="48">
        <v>45244</v>
      </c>
      <c r="F915" s="47">
        <v>3</v>
      </c>
      <c r="G915" s="48">
        <v>45248</v>
      </c>
      <c r="H915" s="47" t="s">
        <v>41</v>
      </c>
      <c r="I915" s="47" t="s">
        <v>41</v>
      </c>
      <c r="J915" s="47" t="s">
        <v>41</v>
      </c>
      <c r="K915" s="47" t="s">
        <v>4</v>
      </c>
    </row>
    <row r="916" spans="1:11" x14ac:dyDescent="0.25">
      <c r="A916" s="44">
        <v>3100</v>
      </c>
      <c r="B916" s="46">
        <v>45241</v>
      </c>
      <c r="C916" s="45" t="s">
        <v>7</v>
      </c>
      <c r="D916" s="47">
        <v>5</v>
      </c>
      <c r="E916" s="48">
        <v>45245</v>
      </c>
      <c r="F916" s="47">
        <v>3</v>
      </c>
      <c r="G916" s="48">
        <v>45249</v>
      </c>
      <c r="H916" s="47" t="s">
        <v>41</v>
      </c>
      <c r="I916" s="47" t="s">
        <v>41</v>
      </c>
      <c r="J916" s="47" t="s">
        <v>41</v>
      </c>
      <c r="K916" s="47" t="s">
        <v>4</v>
      </c>
    </row>
    <row r="917" spans="1:11" x14ac:dyDescent="0.25">
      <c r="A917" s="44">
        <v>3533</v>
      </c>
      <c r="B917" s="46">
        <v>45241</v>
      </c>
      <c r="C917" s="45" t="s">
        <v>40</v>
      </c>
      <c r="D917" s="47">
        <v>3</v>
      </c>
      <c r="E917" s="48">
        <v>45243</v>
      </c>
      <c r="F917" s="47">
        <v>9</v>
      </c>
      <c r="G917" s="48">
        <v>45253</v>
      </c>
      <c r="H917" s="47" t="s">
        <v>41</v>
      </c>
      <c r="I917" s="47" t="s">
        <v>41</v>
      </c>
      <c r="J917" s="47" t="s">
        <v>1</v>
      </c>
      <c r="K917" s="47" t="s">
        <v>41</v>
      </c>
    </row>
    <row r="918" spans="1:11" x14ac:dyDescent="0.25">
      <c r="A918" s="44">
        <v>2391</v>
      </c>
      <c r="B918" s="46">
        <v>45241</v>
      </c>
      <c r="C918" s="45" t="s">
        <v>7</v>
      </c>
      <c r="D918" s="47">
        <v>5</v>
      </c>
      <c r="E918" s="48">
        <v>45245</v>
      </c>
      <c r="F918" s="47">
        <v>3</v>
      </c>
      <c r="G918" s="48">
        <v>45249</v>
      </c>
      <c r="H918" s="47" t="s">
        <v>3</v>
      </c>
      <c r="I918" s="47" t="s">
        <v>5</v>
      </c>
      <c r="J918" s="47" t="s">
        <v>1</v>
      </c>
      <c r="K918" s="47" t="s">
        <v>4</v>
      </c>
    </row>
    <row r="919" spans="1:11" x14ac:dyDescent="0.25">
      <c r="A919" s="44">
        <v>2646</v>
      </c>
      <c r="B919" s="46">
        <v>45241</v>
      </c>
      <c r="C919" s="45" t="s">
        <v>7</v>
      </c>
      <c r="D919" s="47">
        <v>5</v>
      </c>
      <c r="E919" s="48">
        <v>45245</v>
      </c>
      <c r="F919" s="47">
        <v>3</v>
      </c>
      <c r="G919" s="48">
        <v>45249</v>
      </c>
      <c r="H919" s="47" t="s">
        <v>41</v>
      </c>
      <c r="I919" s="47" t="s">
        <v>5</v>
      </c>
      <c r="J919" s="47" t="s">
        <v>41</v>
      </c>
      <c r="K919" s="47" t="s">
        <v>41</v>
      </c>
    </row>
    <row r="920" spans="1:11" x14ac:dyDescent="0.25">
      <c r="A920" s="44">
        <v>1140</v>
      </c>
      <c r="B920" s="46">
        <v>45242</v>
      </c>
      <c r="C920" s="45" t="s">
        <v>7</v>
      </c>
      <c r="D920" s="47">
        <v>5</v>
      </c>
      <c r="E920" s="48">
        <v>45246</v>
      </c>
      <c r="F920" s="47">
        <v>3</v>
      </c>
      <c r="G920" s="48">
        <v>45250</v>
      </c>
      <c r="H920" s="47" t="s">
        <v>41</v>
      </c>
      <c r="I920" s="47" t="s">
        <v>41</v>
      </c>
      <c r="J920" s="47" t="s">
        <v>41</v>
      </c>
      <c r="K920" s="47" t="s">
        <v>4</v>
      </c>
    </row>
    <row r="921" spans="1:11" x14ac:dyDescent="0.25">
      <c r="A921" s="44">
        <v>2488</v>
      </c>
      <c r="B921" s="46">
        <v>45242</v>
      </c>
      <c r="C921" s="45" t="s">
        <v>7</v>
      </c>
      <c r="D921" s="47">
        <v>5</v>
      </c>
      <c r="E921" s="48">
        <v>45246</v>
      </c>
      <c r="F921" s="47">
        <v>3</v>
      </c>
      <c r="G921" s="48">
        <v>45250</v>
      </c>
      <c r="H921" s="47" t="s">
        <v>41</v>
      </c>
      <c r="I921" s="47" t="s">
        <v>5</v>
      </c>
      <c r="J921" s="47" t="s">
        <v>41</v>
      </c>
      <c r="K921" s="47" t="s">
        <v>41</v>
      </c>
    </row>
    <row r="922" spans="1:11" x14ac:dyDescent="0.25">
      <c r="A922" s="44">
        <v>1845</v>
      </c>
      <c r="B922" s="46">
        <v>45242</v>
      </c>
      <c r="C922" s="45" t="s">
        <v>7</v>
      </c>
      <c r="D922" s="47">
        <v>5</v>
      </c>
      <c r="E922" s="48">
        <v>45246</v>
      </c>
      <c r="F922" s="47">
        <v>3</v>
      </c>
      <c r="G922" s="48">
        <v>45250</v>
      </c>
      <c r="H922" s="47" t="s">
        <v>3</v>
      </c>
      <c r="I922" s="47" t="s">
        <v>5</v>
      </c>
      <c r="J922" s="47" t="s">
        <v>1</v>
      </c>
      <c r="K922" s="47" t="s">
        <v>4</v>
      </c>
    </row>
    <row r="923" spans="1:11" x14ac:dyDescent="0.25">
      <c r="A923" s="44">
        <v>1960</v>
      </c>
      <c r="B923" s="46">
        <v>45242</v>
      </c>
      <c r="C923" s="45" t="s">
        <v>7</v>
      </c>
      <c r="D923" s="47">
        <v>5</v>
      </c>
      <c r="E923" s="48">
        <v>45246</v>
      </c>
      <c r="F923" s="47">
        <v>3</v>
      </c>
      <c r="G923" s="48">
        <v>45250</v>
      </c>
      <c r="H923" s="47" t="s">
        <v>3</v>
      </c>
      <c r="I923" s="47" t="s">
        <v>41</v>
      </c>
      <c r="J923" s="47" t="s">
        <v>1</v>
      </c>
      <c r="K923" s="47" t="s">
        <v>41</v>
      </c>
    </row>
    <row r="924" spans="1:11" x14ac:dyDescent="0.25">
      <c r="A924" s="44">
        <v>2194</v>
      </c>
      <c r="B924" s="46">
        <v>45242</v>
      </c>
      <c r="C924" s="45" t="s">
        <v>7</v>
      </c>
      <c r="D924" s="47">
        <v>5</v>
      </c>
      <c r="E924" s="48">
        <v>45246</v>
      </c>
      <c r="F924" s="47">
        <v>3</v>
      </c>
      <c r="G924" s="48">
        <v>45250</v>
      </c>
      <c r="H924" s="47" t="s">
        <v>3</v>
      </c>
      <c r="I924" s="47" t="s">
        <v>41</v>
      </c>
      <c r="J924" s="47" t="s">
        <v>1</v>
      </c>
      <c r="K924" s="47" t="s">
        <v>4</v>
      </c>
    </row>
    <row r="925" spans="1:11" x14ac:dyDescent="0.25">
      <c r="A925" s="44">
        <v>1114</v>
      </c>
      <c r="B925" s="46">
        <v>45242</v>
      </c>
      <c r="C925" s="45" t="s">
        <v>7</v>
      </c>
      <c r="D925" s="47">
        <v>5</v>
      </c>
      <c r="E925" s="48">
        <v>45246</v>
      </c>
      <c r="F925" s="47">
        <v>3</v>
      </c>
      <c r="G925" s="48">
        <v>45250</v>
      </c>
      <c r="H925" s="47" t="s">
        <v>41</v>
      </c>
      <c r="I925" s="47" t="s">
        <v>5</v>
      </c>
      <c r="J925" s="47" t="s">
        <v>41</v>
      </c>
      <c r="K925" s="47" t="s">
        <v>41</v>
      </c>
    </row>
    <row r="926" spans="1:11" x14ac:dyDescent="0.25">
      <c r="A926" s="44">
        <v>2810</v>
      </c>
      <c r="B926" s="46">
        <v>45244</v>
      </c>
      <c r="C926" s="45" t="s">
        <v>7</v>
      </c>
      <c r="D926" s="47">
        <v>5</v>
      </c>
      <c r="E926" s="48">
        <v>45248</v>
      </c>
      <c r="F926" s="47">
        <v>3</v>
      </c>
      <c r="G926" s="48">
        <v>45252</v>
      </c>
      <c r="H926" s="47" t="s">
        <v>41</v>
      </c>
      <c r="I926" s="47" t="s">
        <v>41</v>
      </c>
      <c r="J926" s="47" t="s">
        <v>1</v>
      </c>
      <c r="K926" s="47" t="s">
        <v>41</v>
      </c>
    </row>
    <row r="927" spans="1:11" x14ac:dyDescent="0.25">
      <c r="A927" s="44">
        <v>308</v>
      </c>
      <c r="B927" s="46">
        <v>45244</v>
      </c>
      <c r="C927" s="45" t="s">
        <v>7</v>
      </c>
      <c r="D927" s="47">
        <v>5</v>
      </c>
      <c r="E927" s="48">
        <v>45248</v>
      </c>
      <c r="F927" s="47">
        <v>3</v>
      </c>
      <c r="G927" s="48">
        <v>45252</v>
      </c>
      <c r="H927" s="47" t="s">
        <v>41</v>
      </c>
      <c r="I927" s="47" t="s">
        <v>41</v>
      </c>
      <c r="J927" s="47" t="s">
        <v>41</v>
      </c>
      <c r="K927" s="47" t="s">
        <v>4</v>
      </c>
    </row>
    <row r="928" spans="1:11" x14ac:dyDescent="0.25">
      <c r="A928" s="44">
        <v>2250</v>
      </c>
      <c r="B928" s="46">
        <v>45244</v>
      </c>
      <c r="C928" s="45" t="s">
        <v>7</v>
      </c>
      <c r="D928" s="47">
        <v>5</v>
      </c>
      <c r="E928" s="48">
        <v>45248</v>
      </c>
      <c r="F928" s="47">
        <v>3</v>
      </c>
      <c r="G928" s="48">
        <v>45252</v>
      </c>
      <c r="H928" s="47" t="s">
        <v>3</v>
      </c>
      <c r="I928" s="47" t="s">
        <v>5</v>
      </c>
      <c r="J928" s="47" t="s">
        <v>41</v>
      </c>
      <c r="K928" s="47" t="s">
        <v>41</v>
      </c>
    </row>
    <row r="929" spans="1:11" x14ac:dyDescent="0.25">
      <c r="A929" s="44">
        <v>1160</v>
      </c>
      <c r="B929" s="46">
        <v>45244</v>
      </c>
      <c r="C929" s="45" t="s">
        <v>7</v>
      </c>
      <c r="D929" s="47">
        <v>5</v>
      </c>
      <c r="E929" s="48">
        <v>45248</v>
      </c>
      <c r="F929" s="47">
        <v>3</v>
      </c>
      <c r="G929" s="48">
        <v>45252</v>
      </c>
      <c r="H929" s="47" t="s">
        <v>41</v>
      </c>
      <c r="I929" s="47" t="s">
        <v>41</v>
      </c>
      <c r="J929" s="47" t="s">
        <v>1</v>
      </c>
      <c r="K929" s="47" t="s">
        <v>4</v>
      </c>
    </row>
    <row r="930" spans="1:11" x14ac:dyDescent="0.25">
      <c r="A930" s="44">
        <v>2906</v>
      </c>
      <c r="B930" s="46">
        <v>45244</v>
      </c>
      <c r="C930" s="45" t="s">
        <v>7</v>
      </c>
      <c r="D930" s="47">
        <v>5</v>
      </c>
      <c r="E930" s="48">
        <v>45248</v>
      </c>
      <c r="F930" s="47">
        <v>3</v>
      </c>
      <c r="G930" s="48">
        <v>45252</v>
      </c>
      <c r="H930" s="47" t="s">
        <v>41</v>
      </c>
      <c r="I930" s="47" t="s">
        <v>5</v>
      </c>
      <c r="J930" s="47" t="s">
        <v>1</v>
      </c>
      <c r="K930" s="47" t="s">
        <v>41</v>
      </c>
    </row>
    <row r="931" spans="1:11" x14ac:dyDescent="0.25">
      <c r="A931" s="44">
        <v>2803</v>
      </c>
      <c r="B931" s="46">
        <v>45244</v>
      </c>
      <c r="C931" s="45" t="s">
        <v>7</v>
      </c>
      <c r="D931" s="47">
        <v>5</v>
      </c>
      <c r="E931" s="48">
        <v>45248</v>
      </c>
      <c r="F931" s="47">
        <v>3</v>
      </c>
      <c r="G931" s="48">
        <v>45252</v>
      </c>
      <c r="H931" s="47" t="s">
        <v>3</v>
      </c>
      <c r="I931" s="47" t="s">
        <v>41</v>
      </c>
      <c r="J931" s="47" t="s">
        <v>41</v>
      </c>
      <c r="K931" s="47" t="s">
        <v>41</v>
      </c>
    </row>
    <row r="932" spans="1:11" x14ac:dyDescent="0.25">
      <c r="A932" s="44">
        <v>3667</v>
      </c>
      <c r="B932" s="46">
        <v>45244</v>
      </c>
      <c r="C932" s="45" t="s">
        <v>14</v>
      </c>
      <c r="D932" s="47">
        <v>5</v>
      </c>
      <c r="E932" s="48">
        <v>45248</v>
      </c>
      <c r="F932" s="47">
        <v>3</v>
      </c>
      <c r="G932" s="48">
        <v>45252</v>
      </c>
      <c r="H932" s="47" t="s">
        <v>41</v>
      </c>
      <c r="I932" s="47" t="s">
        <v>41</v>
      </c>
      <c r="J932" s="47" t="s">
        <v>1</v>
      </c>
      <c r="K932" s="47" t="s">
        <v>41</v>
      </c>
    </row>
    <row r="933" spans="1:11" x14ac:dyDescent="0.25">
      <c r="A933" s="44">
        <v>2445</v>
      </c>
      <c r="B933" s="46">
        <v>45244</v>
      </c>
      <c r="C933" s="45" t="s">
        <v>14</v>
      </c>
      <c r="D933" s="47">
        <v>5</v>
      </c>
      <c r="E933" s="48">
        <v>45248</v>
      </c>
      <c r="F933" s="47">
        <v>3</v>
      </c>
      <c r="G933" s="48">
        <v>45252</v>
      </c>
      <c r="H933" s="47" t="s">
        <v>41</v>
      </c>
      <c r="I933" s="47" t="s">
        <v>5</v>
      </c>
      <c r="J933" s="47" t="s">
        <v>41</v>
      </c>
      <c r="K933" s="47" t="s">
        <v>41</v>
      </c>
    </row>
    <row r="934" spans="1:11" x14ac:dyDescent="0.25">
      <c r="A934" s="44">
        <v>2660</v>
      </c>
      <c r="B934" s="46">
        <v>45244</v>
      </c>
      <c r="C934" s="45" t="s">
        <v>14</v>
      </c>
      <c r="D934" s="47">
        <v>5</v>
      </c>
      <c r="E934" s="48">
        <v>45248</v>
      </c>
      <c r="F934" s="47">
        <v>3</v>
      </c>
      <c r="G934" s="48">
        <v>45252</v>
      </c>
      <c r="H934" s="47" t="s">
        <v>3</v>
      </c>
      <c r="I934" s="47" t="s">
        <v>5</v>
      </c>
      <c r="J934" s="47" t="s">
        <v>41</v>
      </c>
      <c r="K934" s="47" t="s">
        <v>41</v>
      </c>
    </row>
    <row r="935" spans="1:11" x14ac:dyDescent="0.25">
      <c r="A935" s="44">
        <v>3078</v>
      </c>
      <c r="B935" s="46">
        <v>45244</v>
      </c>
      <c r="C935" s="45" t="s">
        <v>43</v>
      </c>
      <c r="D935" s="47">
        <v>5</v>
      </c>
      <c r="E935" s="48">
        <v>45248</v>
      </c>
      <c r="F935" s="47">
        <v>4</v>
      </c>
      <c r="G935" s="48">
        <v>45253</v>
      </c>
      <c r="H935" s="47" t="s">
        <v>3</v>
      </c>
      <c r="I935" s="47" t="s">
        <v>41</v>
      </c>
      <c r="J935" s="47" t="s">
        <v>41</v>
      </c>
      <c r="K935" s="47" t="s">
        <v>4</v>
      </c>
    </row>
    <row r="936" spans="1:11" x14ac:dyDescent="0.25">
      <c r="A936" s="44">
        <v>301</v>
      </c>
      <c r="B936" s="46">
        <v>45244</v>
      </c>
      <c r="C936" s="45" t="s">
        <v>7</v>
      </c>
      <c r="D936" s="47">
        <v>5</v>
      </c>
      <c r="E936" s="48">
        <v>45248</v>
      </c>
      <c r="F936" s="47">
        <v>3</v>
      </c>
      <c r="G936" s="48">
        <v>45252</v>
      </c>
      <c r="H936" s="47" t="s">
        <v>41</v>
      </c>
      <c r="I936" s="47" t="s">
        <v>5</v>
      </c>
      <c r="J936" s="47" t="s">
        <v>41</v>
      </c>
      <c r="K936" s="47" t="s">
        <v>41</v>
      </c>
    </row>
    <row r="937" spans="1:11" x14ac:dyDescent="0.25">
      <c r="A937" s="44">
        <v>1797</v>
      </c>
      <c r="B937" s="46">
        <v>45244</v>
      </c>
      <c r="C937" s="45" t="s">
        <v>7</v>
      </c>
      <c r="D937" s="47">
        <v>5</v>
      </c>
      <c r="E937" s="48">
        <v>45248</v>
      </c>
      <c r="F937" s="47">
        <v>3</v>
      </c>
      <c r="G937" s="48">
        <v>45252</v>
      </c>
      <c r="H937" s="47" t="s">
        <v>41</v>
      </c>
      <c r="I937" s="47" t="s">
        <v>5</v>
      </c>
      <c r="J937" s="47" t="s">
        <v>41</v>
      </c>
      <c r="K937" s="47" t="s">
        <v>41</v>
      </c>
    </row>
    <row r="938" spans="1:11" x14ac:dyDescent="0.25">
      <c r="A938" s="44">
        <v>1866</v>
      </c>
      <c r="B938" s="46">
        <v>45245</v>
      </c>
      <c r="C938" s="45" t="s">
        <v>7</v>
      </c>
      <c r="D938" s="47">
        <v>5</v>
      </c>
      <c r="E938" s="48">
        <v>45249</v>
      </c>
      <c r="F938" s="47">
        <v>3</v>
      </c>
      <c r="G938" s="48">
        <v>45253</v>
      </c>
      <c r="H938" s="47" t="s">
        <v>3</v>
      </c>
      <c r="I938" s="47" t="s">
        <v>41</v>
      </c>
      <c r="J938" s="47" t="s">
        <v>41</v>
      </c>
      <c r="K938" s="47" t="s">
        <v>41</v>
      </c>
    </row>
    <row r="939" spans="1:11" x14ac:dyDescent="0.25">
      <c r="A939" s="44">
        <v>2549</v>
      </c>
      <c r="B939" s="46">
        <v>45245</v>
      </c>
      <c r="C939" s="45" t="s">
        <v>14</v>
      </c>
      <c r="D939" s="47">
        <v>5</v>
      </c>
      <c r="E939" s="48">
        <v>45249</v>
      </c>
      <c r="F939" s="47">
        <v>3</v>
      </c>
      <c r="G939" s="48">
        <v>45253</v>
      </c>
      <c r="H939" s="47" t="s">
        <v>41</v>
      </c>
      <c r="I939" s="47" t="s">
        <v>5</v>
      </c>
      <c r="J939" s="47" t="s">
        <v>41</v>
      </c>
      <c r="K939" s="47" t="s">
        <v>41</v>
      </c>
    </row>
    <row r="940" spans="1:11" x14ac:dyDescent="0.25">
      <c r="A940" s="44">
        <v>2226</v>
      </c>
      <c r="B940" s="46">
        <v>45245</v>
      </c>
      <c r="C940" s="45" t="s">
        <v>6</v>
      </c>
      <c r="D940" s="47">
        <v>5</v>
      </c>
      <c r="E940" s="48">
        <v>45249</v>
      </c>
      <c r="F940" s="47">
        <v>5</v>
      </c>
      <c r="G940" s="48">
        <v>45255</v>
      </c>
      <c r="H940" s="47" t="s">
        <v>41</v>
      </c>
      <c r="I940" s="47" t="s">
        <v>41</v>
      </c>
      <c r="J940" s="47" t="s">
        <v>41</v>
      </c>
      <c r="K940" s="47" t="s">
        <v>4</v>
      </c>
    </row>
    <row r="941" spans="1:11" x14ac:dyDescent="0.25">
      <c r="A941" s="44">
        <v>1974</v>
      </c>
      <c r="B941" s="46">
        <v>45245</v>
      </c>
      <c r="C941" s="45" t="s">
        <v>7</v>
      </c>
      <c r="D941" s="47">
        <v>5</v>
      </c>
      <c r="E941" s="48">
        <v>45249</v>
      </c>
      <c r="F941" s="47">
        <v>3</v>
      </c>
      <c r="G941" s="48">
        <v>45253</v>
      </c>
      <c r="H941" s="47" t="s">
        <v>41</v>
      </c>
      <c r="I941" s="47" t="s">
        <v>5</v>
      </c>
      <c r="J941" s="47" t="s">
        <v>41</v>
      </c>
      <c r="K941" s="47" t="s">
        <v>4</v>
      </c>
    </row>
    <row r="942" spans="1:11" x14ac:dyDescent="0.25">
      <c r="A942" s="44">
        <v>1149</v>
      </c>
      <c r="B942" s="46">
        <v>45245</v>
      </c>
      <c r="C942" s="45" t="s">
        <v>6</v>
      </c>
      <c r="D942" s="47">
        <v>3</v>
      </c>
      <c r="E942" s="48">
        <v>45247</v>
      </c>
      <c r="F942" s="47">
        <v>5</v>
      </c>
      <c r="G942" s="48">
        <v>45253</v>
      </c>
      <c r="H942" s="47" t="s">
        <v>41</v>
      </c>
      <c r="I942" s="47" t="s">
        <v>41</v>
      </c>
      <c r="J942" s="47" t="s">
        <v>1</v>
      </c>
      <c r="K942" s="47" t="s">
        <v>4</v>
      </c>
    </row>
    <row r="943" spans="1:11" x14ac:dyDescent="0.25">
      <c r="A943" s="44">
        <v>853</v>
      </c>
      <c r="B943" s="46">
        <v>45245</v>
      </c>
      <c r="C943" s="45" t="s">
        <v>7</v>
      </c>
      <c r="D943" s="47">
        <v>5</v>
      </c>
      <c r="E943" s="48">
        <v>45249</v>
      </c>
      <c r="F943" s="47">
        <v>3</v>
      </c>
      <c r="G943" s="48">
        <v>45253</v>
      </c>
      <c r="H943" s="47" t="s">
        <v>3</v>
      </c>
      <c r="I943" s="47" t="s">
        <v>5</v>
      </c>
      <c r="J943" s="47" t="s">
        <v>41</v>
      </c>
      <c r="K943" s="47" t="s">
        <v>41</v>
      </c>
    </row>
    <row r="944" spans="1:11" x14ac:dyDescent="0.25">
      <c r="A944" s="44">
        <v>2301</v>
      </c>
      <c r="B944" s="46">
        <v>45245</v>
      </c>
      <c r="C944" s="45" t="s">
        <v>7</v>
      </c>
      <c r="D944" s="47">
        <v>5</v>
      </c>
      <c r="E944" s="48">
        <v>45249</v>
      </c>
      <c r="F944" s="47">
        <v>3</v>
      </c>
      <c r="G944" s="48">
        <v>45253</v>
      </c>
      <c r="H944" s="47" t="s">
        <v>3</v>
      </c>
      <c r="I944" s="47" t="s">
        <v>41</v>
      </c>
      <c r="J944" s="47" t="s">
        <v>41</v>
      </c>
      <c r="K944" s="47" t="s">
        <v>41</v>
      </c>
    </row>
    <row r="945" spans="1:11" x14ac:dyDescent="0.25">
      <c r="A945" s="44">
        <v>1840</v>
      </c>
      <c r="B945" s="46">
        <v>45245</v>
      </c>
      <c r="C945" s="45" t="s">
        <v>7</v>
      </c>
      <c r="D945" s="47">
        <v>5</v>
      </c>
      <c r="E945" s="48">
        <v>45249</v>
      </c>
      <c r="F945" s="47">
        <v>3</v>
      </c>
      <c r="G945" s="48">
        <v>45253</v>
      </c>
      <c r="H945" s="47" t="s">
        <v>3</v>
      </c>
      <c r="I945" s="47" t="s">
        <v>41</v>
      </c>
      <c r="J945" s="47" t="s">
        <v>41</v>
      </c>
      <c r="K945" s="47" t="s">
        <v>4</v>
      </c>
    </row>
    <row r="946" spans="1:11" x14ac:dyDescent="0.25">
      <c r="A946" s="44">
        <v>2770</v>
      </c>
      <c r="B946" s="46">
        <v>45245</v>
      </c>
      <c r="C946" s="45" t="s">
        <v>14</v>
      </c>
      <c r="D946" s="47">
        <v>5</v>
      </c>
      <c r="E946" s="48">
        <v>45249</v>
      </c>
      <c r="F946" s="47">
        <v>3</v>
      </c>
      <c r="G946" s="48">
        <v>45253</v>
      </c>
      <c r="H946" s="47" t="s">
        <v>3</v>
      </c>
      <c r="I946" s="47" t="s">
        <v>41</v>
      </c>
      <c r="J946" s="47" t="s">
        <v>41</v>
      </c>
      <c r="K946" s="47" t="s">
        <v>41</v>
      </c>
    </row>
    <row r="947" spans="1:11" x14ac:dyDescent="0.25">
      <c r="A947" s="44">
        <v>2726</v>
      </c>
      <c r="B947" s="46">
        <v>45245</v>
      </c>
      <c r="C947" s="45" t="s">
        <v>14</v>
      </c>
      <c r="D947" s="47">
        <v>5</v>
      </c>
      <c r="E947" s="48">
        <v>45249</v>
      </c>
      <c r="F947" s="47">
        <v>3</v>
      </c>
      <c r="G947" s="48">
        <v>45253</v>
      </c>
      <c r="H947" s="47" t="s">
        <v>41</v>
      </c>
      <c r="I947" s="47" t="s">
        <v>5</v>
      </c>
      <c r="J947" s="47" t="s">
        <v>41</v>
      </c>
      <c r="K947" s="47" t="s">
        <v>41</v>
      </c>
    </row>
    <row r="948" spans="1:11" x14ac:dyDescent="0.25">
      <c r="A948" s="44">
        <v>830</v>
      </c>
      <c r="B948" s="46">
        <v>45245</v>
      </c>
      <c r="C948" s="45" t="s">
        <v>14</v>
      </c>
      <c r="D948" s="47">
        <v>5</v>
      </c>
      <c r="E948" s="48">
        <v>45249</v>
      </c>
      <c r="F948" s="47">
        <v>3</v>
      </c>
      <c r="G948" s="48">
        <v>45253</v>
      </c>
      <c r="H948" s="47" t="s">
        <v>3</v>
      </c>
      <c r="I948" s="47" t="s">
        <v>5</v>
      </c>
      <c r="J948" s="47" t="s">
        <v>1</v>
      </c>
      <c r="K948" s="47" t="s">
        <v>41</v>
      </c>
    </row>
    <row r="949" spans="1:11" x14ac:dyDescent="0.25">
      <c r="A949" s="44">
        <v>1318</v>
      </c>
      <c r="B949" s="46">
        <v>45246</v>
      </c>
      <c r="C949" s="45" t="s">
        <v>7</v>
      </c>
      <c r="D949" s="47">
        <v>5</v>
      </c>
      <c r="E949" s="48">
        <v>45250</v>
      </c>
      <c r="F949" s="47">
        <v>3</v>
      </c>
      <c r="G949" s="48">
        <v>45254</v>
      </c>
      <c r="H949" s="47" t="s">
        <v>3</v>
      </c>
      <c r="I949" s="47" t="s">
        <v>5</v>
      </c>
      <c r="J949" s="47" t="s">
        <v>41</v>
      </c>
      <c r="K949" s="47" t="s">
        <v>41</v>
      </c>
    </row>
    <row r="950" spans="1:11" x14ac:dyDescent="0.25">
      <c r="A950" s="44">
        <v>2646</v>
      </c>
      <c r="B950" s="46">
        <v>44942</v>
      </c>
      <c r="C950" s="45" t="s">
        <v>14</v>
      </c>
      <c r="D950" s="47">
        <v>5</v>
      </c>
      <c r="E950" s="48">
        <v>44946</v>
      </c>
      <c r="F950" s="47">
        <v>3</v>
      </c>
      <c r="G950" s="48">
        <v>44950</v>
      </c>
      <c r="H950" s="47" t="s">
        <v>41</v>
      </c>
      <c r="I950" s="47" t="s">
        <v>5</v>
      </c>
      <c r="J950" s="47" t="s">
        <v>1</v>
      </c>
      <c r="K950" s="47" t="s">
        <v>41</v>
      </c>
    </row>
    <row r="951" spans="1:11" x14ac:dyDescent="0.25">
      <c r="A951" s="44">
        <v>2958</v>
      </c>
      <c r="B951" s="46">
        <v>45247</v>
      </c>
      <c r="C951" s="45" t="s">
        <v>14</v>
      </c>
      <c r="D951" s="47">
        <v>5</v>
      </c>
      <c r="E951" s="48">
        <v>45251</v>
      </c>
      <c r="F951" s="47">
        <v>3</v>
      </c>
      <c r="G951" s="48">
        <v>45255</v>
      </c>
      <c r="H951" s="47" t="s">
        <v>3</v>
      </c>
      <c r="I951" s="47" t="s">
        <v>5</v>
      </c>
      <c r="J951" s="47" t="s">
        <v>41</v>
      </c>
      <c r="K951" s="47" t="s">
        <v>4</v>
      </c>
    </row>
    <row r="952" spans="1:11" x14ac:dyDescent="0.25">
      <c r="A952" s="44">
        <v>3507</v>
      </c>
      <c r="B952" s="46">
        <v>45247</v>
      </c>
      <c r="C952" s="45" t="s">
        <v>7</v>
      </c>
      <c r="D952" s="47">
        <v>5</v>
      </c>
      <c r="E952" s="48">
        <v>45251</v>
      </c>
      <c r="F952" s="47">
        <v>3</v>
      </c>
      <c r="G952" s="48">
        <v>45255</v>
      </c>
      <c r="H952" s="47" t="s">
        <v>3</v>
      </c>
      <c r="I952" s="47" t="s">
        <v>41</v>
      </c>
      <c r="J952" s="47" t="s">
        <v>41</v>
      </c>
      <c r="K952" s="47" t="s">
        <v>41</v>
      </c>
    </row>
    <row r="953" spans="1:11" x14ac:dyDescent="0.25">
      <c r="A953" s="44">
        <v>3657</v>
      </c>
      <c r="B953" s="46">
        <v>45247</v>
      </c>
      <c r="C953" s="45" t="s">
        <v>7</v>
      </c>
      <c r="D953" s="47">
        <v>5</v>
      </c>
      <c r="E953" s="48">
        <v>45251</v>
      </c>
      <c r="F953" s="47">
        <v>3</v>
      </c>
      <c r="G953" s="48">
        <v>45255</v>
      </c>
      <c r="H953" s="47" t="s">
        <v>41</v>
      </c>
      <c r="I953" s="47" t="s">
        <v>41</v>
      </c>
      <c r="J953" s="47" t="s">
        <v>1</v>
      </c>
      <c r="K953" s="47" t="s">
        <v>4</v>
      </c>
    </row>
    <row r="954" spans="1:11" x14ac:dyDescent="0.25">
      <c r="A954" s="44">
        <v>2914</v>
      </c>
      <c r="B954" s="46">
        <v>45247</v>
      </c>
      <c r="C954" s="45" t="s">
        <v>7</v>
      </c>
      <c r="D954" s="47">
        <v>5</v>
      </c>
      <c r="E954" s="48">
        <v>45251</v>
      </c>
      <c r="F954" s="47">
        <v>3</v>
      </c>
      <c r="G954" s="48">
        <v>45255</v>
      </c>
      <c r="H954" s="47" t="s">
        <v>41</v>
      </c>
      <c r="I954" s="47" t="s">
        <v>41</v>
      </c>
      <c r="J954" s="47" t="s">
        <v>1</v>
      </c>
      <c r="K954" s="47" t="s">
        <v>41</v>
      </c>
    </row>
    <row r="955" spans="1:11" x14ac:dyDescent="0.25">
      <c r="A955" s="44">
        <v>3171</v>
      </c>
      <c r="B955" s="46">
        <v>45248</v>
      </c>
      <c r="C955" s="45" t="s">
        <v>7</v>
      </c>
      <c r="D955" s="47">
        <v>5</v>
      </c>
      <c r="E955" s="48">
        <v>45252</v>
      </c>
      <c r="F955" s="47">
        <v>3</v>
      </c>
      <c r="G955" s="48">
        <v>45256</v>
      </c>
      <c r="H955" s="47" t="s">
        <v>3</v>
      </c>
      <c r="I955" s="47" t="s">
        <v>41</v>
      </c>
      <c r="J955" s="47" t="s">
        <v>41</v>
      </c>
      <c r="K955" s="47" t="s">
        <v>41</v>
      </c>
    </row>
    <row r="956" spans="1:11" x14ac:dyDescent="0.25">
      <c r="A956" s="44">
        <v>2168</v>
      </c>
      <c r="B956" s="46">
        <v>45249</v>
      </c>
      <c r="C956" s="45" t="s">
        <v>6</v>
      </c>
      <c r="D956" s="47">
        <v>5</v>
      </c>
      <c r="E956" s="48">
        <v>45253</v>
      </c>
      <c r="F956" s="47">
        <v>5</v>
      </c>
      <c r="G956" s="48">
        <v>45259</v>
      </c>
      <c r="H956" s="47" t="s">
        <v>3</v>
      </c>
      <c r="I956" s="47" t="s">
        <v>5</v>
      </c>
      <c r="J956" s="47" t="s">
        <v>1</v>
      </c>
      <c r="K956" s="47" t="s">
        <v>4</v>
      </c>
    </row>
    <row r="957" spans="1:11" x14ac:dyDescent="0.25">
      <c r="A957" s="44">
        <v>1797</v>
      </c>
      <c r="B957" s="46">
        <v>45249</v>
      </c>
      <c r="C957" s="45" t="s">
        <v>6</v>
      </c>
      <c r="D957" s="47">
        <v>5</v>
      </c>
      <c r="E957" s="48">
        <v>45253</v>
      </c>
      <c r="F957" s="47">
        <v>5</v>
      </c>
      <c r="G957" s="48">
        <v>45259</v>
      </c>
      <c r="H957" s="47" t="s">
        <v>41</v>
      </c>
      <c r="I957" s="47" t="s">
        <v>5</v>
      </c>
      <c r="J957" s="47" t="s">
        <v>41</v>
      </c>
      <c r="K957" s="47" t="s">
        <v>41</v>
      </c>
    </row>
    <row r="958" spans="1:11" x14ac:dyDescent="0.25">
      <c r="A958" s="44">
        <v>2226</v>
      </c>
      <c r="B958" s="46">
        <v>45250</v>
      </c>
      <c r="C958" s="45" t="s">
        <v>6</v>
      </c>
      <c r="D958" s="47">
        <v>3</v>
      </c>
      <c r="E958" s="48">
        <v>45252</v>
      </c>
      <c r="F958" s="47">
        <v>5</v>
      </c>
      <c r="G958" s="48">
        <v>45258</v>
      </c>
      <c r="H958" s="47" t="s">
        <v>41</v>
      </c>
      <c r="I958" s="47" t="s">
        <v>5</v>
      </c>
      <c r="J958" s="47" t="s">
        <v>41</v>
      </c>
      <c r="K958" s="47" t="s">
        <v>4</v>
      </c>
    </row>
    <row r="959" spans="1:11" x14ac:dyDescent="0.25">
      <c r="A959" s="44">
        <v>1149</v>
      </c>
      <c r="B959" s="46">
        <v>45249</v>
      </c>
      <c r="C959" s="45" t="s">
        <v>6</v>
      </c>
      <c r="D959" s="47">
        <v>5</v>
      </c>
      <c r="E959" s="48">
        <v>45253</v>
      </c>
      <c r="F959" s="47">
        <v>5</v>
      </c>
      <c r="G959" s="48">
        <v>45259</v>
      </c>
      <c r="H959" s="47" t="s">
        <v>41</v>
      </c>
      <c r="I959" s="47" t="s">
        <v>41</v>
      </c>
      <c r="J959" s="47" t="s">
        <v>1</v>
      </c>
      <c r="K959" s="47" t="s">
        <v>41</v>
      </c>
    </row>
    <row r="960" spans="1:11" x14ac:dyDescent="0.25">
      <c r="A960" s="44">
        <v>2194</v>
      </c>
      <c r="B960" s="46">
        <v>45250</v>
      </c>
      <c r="C960" s="45" t="s">
        <v>6</v>
      </c>
      <c r="D960" s="47">
        <v>5</v>
      </c>
      <c r="E960" s="48">
        <v>45254</v>
      </c>
      <c r="F960" s="47">
        <v>5</v>
      </c>
      <c r="G960" s="48">
        <v>45260</v>
      </c>
      <c r="H960" s="47" t="s">
        <v>41</v>
      </c>
      <c r="I960" s="47" t="s">
        <v>5</v>
      </c>
      <c r="J960" s="47" t="s">
        <v>41</v>
      </c>
      <c r="K960" s="47" t="s">
        <v>4</v>
      </c>
    </row>
    <row r="961" spans="1:11" x14ac:dyDescent="0.25">
      <c r="A961" s="44">
        <v>2549</v>
      </c>
      <c r="B961" s="46">
        <v>45250</v>
      </c>
      <c r="C961" s="45" t="s">
        <v>6</v>
      </c>
      <c r="D961" s="47">
        <v>5</v>
      </c>
      <c r="E961" s="48">
        <v>45254</v>
      </c>
      <c r="F961" s="47">
        <v>5</v>
      </c>
      <c r="G961" s="48">
        <v>45260</v>
      </c>
      <c r="H961" s="47" t="s">
        <v>41</v>
      </c>
      <c r="I961" s="47" t="s">
        <v>5</v>
      </c>
      <c r="J961" s="47" t="s">
        <v>41</v>
      </c>
      <c r="K961" s="47" t="s">
        <v>41</v>
      </c>
    </row>
    <row r="962" spans="1:11" x14ac:dyDescent="0.25">
      <c r="A962" s="44">
        <v>577</v>
      </c>
      <c r="B962" s="46">
        <v>45251</v>
      </c>
      <c r="C962" s="45" t="s">
        <v>14</v>
      </c>
      <c r="D962" s="47">
        <v>5</v>
      </c>
      <c r="E962" s="48">
        <v>45255</v>
      </c>
      <c r="F962" s="47">
        <v>3</v>
      </c>
      <c r="G962" s="48">
        <v>45259</v>
      </c>
      <c r="H962" s="47" t="s">
        <v>41</v>
      </c>
      <c r="I962" s="47" t="s">
        <v>5</v>
      </c>
      <c r="J962" s="47" t="s">
        <v>41</v>
      </c>
      <c r="K962" s="47" t="s">
        <v>4</v>
      </c>
    </row>
    <row r="963" spans="1:11" x14ac:dyDescent="0.25">
      <c r="A963" s="44">
        <v>1871</v>
      </c>
      <c r="B963" s="46">
        <v>45251</v>
      </c>
      <c r="C963" s="45" t="s">
        <v>14</v>
      </c>
      <c r="D963" s="47">
        <v>5</v>
      </c>
      <c r="E963" s="48">
        <v>45255</v>
      </c>
      <c r="F963" s="47">
        <v>3</v>
      </c>
      <c r="G963" s="48">
        <v>45259</v>
      </c>
      <c r="H963" s="47" t="s">
        <v>41</v>
      </c>
      <c r="I963" s="47" t="s">
        <v>5</v>
      </c>
      <c r="J963" s="47" t="s">
        <v>41</v>
      </c>
      <c r="K963" s="47" t="s">
        <v>41</v>
      </c>
    </row>
    <row r="964" spans="1:11" x14ac:dyDescent="0.25">
      <c r="A964" s="44">
        <v>1161</v>
      </c>
      <c r="B964" s="46">
        <v>45251</v>
      </c>
      <c r="C964" s="45" t="s">
        <v>14</v>
      </c>
      <c r="D964" s="47">
        <v>5</v>
      </c>
      <c r="E964" s="48">
        <v>45255</v>
      </c>
      <c r="F964" s="47">
        <v>3</v>
      </c>
      <c r="G964" s="48">
        <v>45259</v>
      </c>
      <c r="H964" s="47" t="s">
        <v>3</v>
      </c>
      <c r="I964" s="47" t="s">
        <v>41</v>
      </c>
      <c r="J964" s="47" t="s">
        <v>41</v>
      </c>
      <c r="K964" s="47" t="s">
        <v>41</v>
      </c>
    </row>
    <row r="965" spans="1:11" x14ac:dyDescent="0.25">
      <c r="A965" s="44">
        <v>3502</v>
      </c>
      <c r="B965" s="46">
        <v>45251</v>
      </c>
      <c r="C965" s="45" t="s">
        <v>14</v>
      </c>
      <c r="D965" s="47">
        <v>5</v>
      </c>
      <c r="E965" s="48">
        <v>45255</v>
      </c>
      <c r="F965" s="47">
        <v>3</v>
      </c>
      <c r="G965" s="48">
        <v>45259</v>
      </c>
      <c r="H965" s="47" t="s">
        <v>41</v>
      </c>
      <c r="I965" s="47" t="s">
        <v>41</v>
      </c>
      <c r="J965" s="47" t="s">
        <v>41</v>
      </c>
      <c r="K965" s="47" t="s">
        <v>4</v>
      </c>
    </row>
    <row r="966" spans="1:11" x14ac:dyDescent="0.25">
      <c r="A966" s="44">
        <v>2600</v>
      </c>
      <c r="B966" s="46">
        <v>45251</v>
      </c>
      <c r="C966" s="45" t="s">
        <v>7</v>
      </c>
      <c r="D966" s="47">
        <v>5</v>
      </c>
      <c r="E966" s="48">
        <v>45255</v>
      </c>
      <c r="F966" s="47">
        <v>3</v>
      </c>
      <c r="G966" s="48">
        <v>45259</v>
      </c>
      <c r="H966" s="47" t="s">
        <v>3</v>
      </c>
      <c r="I966" s="47" t="s">
        <v>41</v>
      </c>
      <c r="J966" s="47" t="s">
        <v>41</v>
      </c>
      <c r="K966" s="47" t="s">
        <v>41</v>
      </c>
    </row>
    <row r="967" spans="1:11" x14ac:dyDescent="0.25">
      <c r="A967" s="44">
        <v>2716</v>
      </c>
      <c r="B967" s="46">
        <v>45251</v>
      </c>
      <c r="C967" s="45" t="s">
        <v>7</v>
      </c>
      <c r="D967" s="47">
        <v>5</v>
      </c>
      <c r="E967" s="48">
        <v>45255</v>
      </c>
      <c r="F967" s="47">
        <v>3</v>
      </c>
      <c r="G967" s="48">
        <v>45259</v>
      </c>
      <c r="H967" s="47" t="s">
        <v>3</v>
      </c>
      <c r="I967" s="47" t="s">
        <v>41</v>
      </c>
      <c r="J967" s="47" t="s">
        <v>41</v>
      </c>
      <c r="K967" s="47" t="s">
        <v>41</v>
      </c>
    </row>
    <row r="968" spans="1:11" x14ac:dyDescent="0.25">
      <c r="A968" s="44">
        <v>3037</v>
      </c>
      <c r="B968" s="46">
        <v>45251</v>
      </c>
      <c r="C968" s="45" t="s">
        <v>7</v>
      </c>
      <c r="D968" s="47">
        <v>5</v>
      </c>
      <c r="E968" s="48">
        <v>45255</v>
      </c>
      <c r="F968" s="47">
        <v>3</v>
      </c>
      <c r="G968" s="48">
        <v>45259</v>
      </c>
      <c r="H968" s="47" t="s">
        <v>41</v>
      </c>
      <c r="I968" s="47" t="s">
        <v>5</v>
      </c>
      <c r="J968" s="47" t="s">
        <v>41</v>
      </c>
      <c r="K968" s="47" t="s">
        <v>41</v>
      </c>
    </row>
    <row r="969" spans="1:11" x14ac:dyDescent="0.25">
      <c r="A969" s="44">
        <v>2410</v>
      </c>
      <c r="B969" s="46">
        <v>45251</v>
      </c>
      <c r="C969" s="45" t="s">
        <v>7</v>
      </c>
      <c r="D969" s="47">
        <v>5</v>
      </c>
      <c r="E969" s="48">
        <v>45255</v>
      </c>
      <c r="F969" s="47">
        <v>3</v>
      </c>
      <c r="G969" s="48">
        <v>45259</v>
      </c>
      <c r="H969" s="47" t="s">
        <v>3</v>
      </c>
      <c r="I969" s="47" t="s">
        <v>41</v>
      </c>
      <c r="J969" s="47" t="s">
        <v>41</v>
      </c>
      <c r="K969" s="47" t="s">
        <v>4</v>
      </c>
    </row>
    <row r="970" spans="1:11" x14ac:dyDescent="0.25">
      <c r="A970" s="44">
        <v>2734</v>
      </c>
      <c r="B970" s="46">
        <v>45251</v>
      </c>
      <c r="C970" s="45" t="s">
        <v>7</v>
      </c>
      <c r="D970" s="47">
        <v>5</v>
      </c>
      <c r="E970" s="48">
        <v>45255</v>
      </c>
      <c r="F970" s="47">
        <v>3</v>
      </c>
      <c r="G970" s="48">
        <v>45259</v>
      </c>
      <c r="H970" s="47" t="s">
        <v>3</v>
      </c>
      <c r="I970" s="47" t="s">
        <v>41</v>
      </c>
      <c r="J970" s="47" t="s">
        <v>41</v>
      </c>
      <c r="K970" s="47" t="s">
        <v>41</v>
      </c>
    </row>
    <row r="971" spans="1:11" x14ac:dyDescent="0.25">
      <c r="A971" s="44">
        <v>3138</v>
      </c>
      <c r="B971" s="46">
        <v>45251</v>
      </c>
      <c r="C971" s="45" t="s">
        <v>7</v>
      </c>
      <c r="D971" s="47">
        <v>5</v>
      </c>
      <c r="E971" s="48">
        <v>45255</v>
      </c>
      <c r="F971" s="47">
        <v>3</v>
      </c>
      <c r="G971" s="48">
        <v>45259</v>
      </c>
      <c r="H971" s="47" t="s">
        <v>41</v>
      </c>
      <c r="I971" s="47" t="s">
        <v>5</v>
      </c>
      <c r="J971" s="47" t="s">
        <v>41</v>
      </c>
      <c r="K971" s="47" t="s">
        <v>4</v>
      </c>
    </row>
    <row r="972" spans="1:11" x14ac:dyDescent="0.25">
      <c r="A972" s="44">
        <v>2186</v>
      </c>
      <c r="B972" s="46">
        <v>45251</v>
      </c>
      <c r="C972" s="45" t="s">
        <v>7</v>
      </c>
      <c r="D972" s="47">
        <v>5</v>
      </c>
      <c r="E972" s="48">
        <v>45255</v>
      </c>
      <c r="F972" s="47">
        <v>3</v>
      </c>
      <c r="G972" s="48">
        <v>45259</v>
      </c>
      <c r="H972" s="47" t="s">
        <v>41</v>
      </c>
      <c r="I972" s="47" t="s">
        <v>41</v>
      </c>
      <c r="J972" s="47" t="s">
        <v>41</v>
      </c>
      <c r="K972" s="47" t="s">
        <v>4</v>
      </c>
    </row>
    <row r="973" spans="1:11" x14ac:dyDescent="0.25">
      <c r="A973" s="44">
        <v>2548</v>
      </c>
      <c r="B973" s="46">
        <v>45251</v>
      </c>
      <c r="C973" s="45" t="s">
        <v>7</v>
      </c>
      <c r="D973" s="47">
        <v>5</v>
      </c>
      <c r="E973" s="48">
        <v>45255</v>
      </c>
      <c r="F973" s="47">
        <v>3</v>
      </c>
      <c r="G973" s="48">
        <v>45259</v>
      </c>
      <c r="H973" s="47" t="s">
        <v>41</v>
      </c>
      <c r="I973" s="47" t="s">
        <v>41</v>
      </c>
      <c r="J973" s="47" t="s">
        <v>41</v>
      </c>
      <c r="K973" s="47" t="s">
        <v>4</v>
      </c>
    </row>
    <row r="974" spans="1:11" x14ac:dyDescent="0.25">
      <c r="A974" s="44">
        <v>2840</v>
      </c>
      <c r="B974" s="46">
        <v>45251</v>
      </c>
      <c r="C974" s="45" t="s">
        <v>7</v>
      </c>
      <c r="D974" s="47">
        <v>5</v>
      </c>
      <c r="E974" s="48">
        <v>45255</v>
      </c>
      <c r="F974" s="47">
        <v>3</v>
      </c>
      <c r="G974" s="48">
        <v>45259</v>
      </c>
      <c r="H974" s="47" t="s">
        <v>41</v>
      </c>
      <c r="I974" s="47" t="s">
        <v>41</v>
      </c>
      <c r="J974" s="47" t="s">
        <v>1</v>
      </c>
      <c r="K974" s="47" t="s">
        <v>41</v>
      </c>
    </row>
    <row r="975" spans="1:11" x14ac:dyDescent="0.25">
      <c r="A975" s="44">
        <v>3110</v>
      </c>
      <c r="B975" s="46">
        <v>45251</v>
      </c>
      <c r="C975" s="45" t="s">
        <v>7</v>
      </c>
      <c r="D975" s="47">
        <v>5</v>
      </c>
      <c r="E975" s="48">
        <v>45255</v>
      </c>
      <c r="F975" s="47">
        <v>3</v>
      </c>
      <c r="G975" s="48">
        <v>45259</v>
      </c>
      <c r="H975" s="47" t="s">
        <v>41</v>
      </c>
      <c r="I975" s="47" t="s">
        <v>5</v>
      </c>
      <c r="J975" s="47" t="s">
        <v>41</v>
      </c>
      <c r="K975" s="47" t="s">
        <v>41</v>
      </c>
    </row>
    <row r="976" spans="1:11" x14ac:dyDescent="0.25">
      <c r="A976" s="44">
        <v>1845</v>
      </c>
      <c r="B976" s="46">
        <v>45251</v>
      </c>
      <c r="C976" s="45" t="s">
        <v>14</v>
      </c>
      <c r="D976" s="47">
        <v>5</v>
      </c>
      <c r="E976" s="48">
        <v>45255</v>
      </c>
      <c r="F976" s="47">
        <v>3</v>
      </c>
      <c r="G976" s="48">
        <v>45259</v>
      </c>
      <c r="H976" s="47" t="s">
        <v>41</v>
      </c>
      <c r="I976" s="47" t="s">
        <v>41</v>
      </c>
      <c r="J976" s="47" t="s">
        <v>1</v>
      </c>
      <c r="K976" s="47" t="s">
        <v>4</v>
      </c>
    </row>
    <row r="977" spans="1:11" x14ac:dyDescent="0.25">
      <c r="A977" s="44">
        <v>3132</v>
      </c>
      <c r="B977" s="46">
        <v>45251</v>
      </c>
      <c r="C977" s="45" t="s">
        <v>7</v>
      </c>
      <c r="D977" s="47">
        <v>5</v>
      </c>
      <c r="E977" s="48">
        <v>45255</v>
      </c>
      <c r="F977" s="47">
        <v>3</v>
      </c>
      <c r="G977" s="48">
        <v>45259</v>
      </c>
      <c r="H977" s="47" t="s">
        <v>41</v>
      </c>
      <c r="I977" s="47" t="s">
        <v>5</v>
      </c>
      <c r="J977" s="47" t="s">
        <v>41</v>
      </c>
      <c r="K977" s="47" t="s">
        <v>41</v>
      </c>
    </row>
    <row r="978" spans="1:11" x14ac:dyDescent="0.25">
      <c r="A978" s="44">
        <v>3238</v>
      </c>
      <c r="B978" s="46">
        <v>45252</v>
      </c>
      <c r="C978" s="45" t="s">
        <v>7</v>
      </c>
      <c r="D978" s="47">
        <v>5</v>
      </c>
      <c r="E978" s="48">
        <v>45256</v>
      </c>
      <c r="F978" s="47">
        <v>3</v>
      </c>
      <c r="G978" s="48">
        <v>45260</v>
      </c>
      <c r="H978" s="47" t="s">
        <v>41</v>
      </c>
      <c r="I978" s="47" t="s">
        <v>41</v>
      </c>
      <c r="J978" s="47" t="s">
        <v>41</v>
      </c>
      <c r="K978" s="47" t="s">
        <v>4</v>
      </c>
    </row>
    <row r="979" spans="1:11" x14ac:dyDescent="0.25">
      <c r="A979" s="44">
        <v>2660</v>
      </c>
      <c r="B979" s="46">
        <v>45252</v>
      </c>
      <c r="C979" s="45" t="s">
        <v>7</v>
      </c>
      <c r="D979" s="47">
        <v>5</v>
      </c>
      <c r="E979" s="48">
        <v>45256</v>
      </c>
      <c r="F979" s="47">
        <v>3</v>
      </c>
      <c r="G979" s="48">
        <v>45260</v>
      </c>
      <c r="H979" s="47" t="s">
        <v>41</v>
      </c>
      <c r="I979" s="47" t="s">
        <v>5</v>
      </c>
      <c r="J979" s="47" t="s">
        <v>41</v>
      </c>
      <c r="K979" s="47" t="s">
        <v>41</v>
      </c>
    </row>
    <row r="980" spans="1:11" x14ac:dyDescent="0.25">
      <c r="A980" s="44">
        <v>1974</v>
      </c>
      <c r="B980" s="46">
        <v>45253</v>
      </c>
      <c r="C980" s="45" t="s">
        <v>14</v>
      </c>
      <c r="D980" s="47">
        <v>5</v>
      </c>
      <c r="E980" s="48">
        <v>45257</v>
      </c>
      <c r="F980" s="47">
        <v>3</v>
      </c>
      <c r="G980" s="48">
        <v>45261</v>
      </c>
      <c r="H980" s="47" t="s">
        <v>41</v>
      </c>
      <c r="I980" s="47" t="s">
        <v>41</v>
      </c>
      <c r="J980" s="47" t="s">
        <v>41</v>
      </c>
      <c r="K980" s="47" t="s">
        <v>4</v>
      </c>
    </row>
    <row r="981" spans="1:11" x14ac:dyDescent="0.25">
      <c r="A981" s="44">
        <v>3657</v>
      </c>
      <c r="B981" s="46">
        <v>45253</v>
      </c>
      <c r="C981" s="45" t="s">
        <v>14</v>
      </c>
      <c r="D981" s="47">
        <v>5</v>
      </c>
      <c r="E981" s="48">
        <v>45257</v>
      </c>
      <c r="F981" s="47">
        <v>3</v>
      </c>
      <c r="G981" s="48">
        <v>45261</v>
      </c>
      <c r="H981" s="47" t="s">
        <v>41</v>
      </c>
      <c r="I981" s="47" t="s">
        <v>41</v>
      </c>
      <c r="J981" s="47" t="s">
        <v>41</v>
      </c>
      <c r="K981" s="47" t="s">
        <v>4</v>
      </c>
    </row>
    <row r="982" spans="1:11" x14ac:dyDescent="0.25">
      <c r="A982" s="44">
        <v>1840</v>
      </c>
      <c r="B982" s="46">
        <v>45253</v>
      </c>
      <c r="C982" s="45" t="s">
        <v>14</v>
      </c>
      <c r="D982" s="47">
        <v>5</v>
      </c>
      <c r="E982" s="48">
        <v>45257</v>
      </c>
      <c r="F982" s="47">
        <v>3</v>
      </c>
      <c r="G982" s="48">
        <v>45261</v>
      </c>
      <c r="H982" s="47" t="s">
        <v>41</v>
      </c>
      <c r="I982" s="47" t="s">
        <v>5</v>
      </c>
      <c r="J982" s="47" t="s">
        <v>41</v>
      </c>
      <c r="K982" s="47" t="s">
        <v>4</v>
      </c>
    </row>
    <row r="983" spans="1:11" x14ac:dyDescent="0.25">
      <c r="A983" s="44">
        <v>853</v>
      </c>
      <c r="B983" s="46">
        <v>45253</v>
      </c>
      <c r="C983" s="45" t="s">
        <v>14</v>
      </c>
      <c r="D983" s="47">
        <v>5</v>
      </c>
      <c r="E983" s="48">
        <v>45257</v>
      </c>
      <c r="F983" s="47">
        <v>3</v>
      </c>
      <c r="G983" s="48">
        <v>45261</v>
      </c>
      <c r="H983" s="47" t="s">
        <v>41</v>
      </c>
      <c r="I983" s="47" t="s">
        <v>5</v>
      </c>
      <c r="J983" s="47" t="s">
        <v>41</v>
      </c>
      <c r="K983" s="47" t="s">
        <v>41</v>
      </c>
    </row>
    <row r="984" spans="1:11" x14ac:dyDescent="0.25">
      <c r="A984" s="44">
        <v>2549</v>
      </c>
      <c r="B984" s="46">
        <v>45253</v>
      </c>
      <c r="C984" s="45" t="s">
        <v>14</v>
      </c>
      <c r="D984" s="47">
        <v>5</v>
      </c>
      <c r="E984" s="48">
        <v>45257</v>
      </c>
      <c r="F984" s="47">
        <v>3</v>
      </c>
      <c r="G984" s="48">
        <v>45261</v>
      </c>
      <c r="H984" s="47" t="s">
        <v>3</v>
      </c>
      <c r="I984" s="47" t="s">
        <v>41</v>
      </c>
      <c r="J984" s="47" t="s">
        <v>41</v>
      </c>
      <c r="K984" s="47" t="s">
        <v>41</v>
      </c>
    </row>
    <row r="985" spans="1:11" x14ac:dyDescent="0.25">
      <c r="A985" s="44">
        <v>2759</v>
      </c>
      <c r="B985" s="46">
        <v>45253</v>
      </c>
      <c r="C985" s="45" t="s">
        <v>7</v>
      </c>
      <c r="D985" s="47">
        <v>5</v>
      </c>
      <c r="E985" s="48">
        <v>45257</v>
      </c>
      <c r="F985" s="47">
        <v>3</v>
      </c>
      <c r="G985" s="48">
        <v>45261</v>
      </c>
      <c r="H985" s="47" t="s">
        <v>41</v>
      </c>
      <c r="I985" s="47" t="s">
        <v>5</v>
      </c>
      <c r="J985" s="47" t="s">
        <v>41</v>
      </c>
      <c r="K985" s="47" t="s">
        <v>41</v>
      </c>
    </row>
    <row r="986" spans="1:11" x14ac:dyDescent="0.25">
      <c r="A986" s="44">
        <v>3544</v>
      </c>
      <c r="B986" s="46">
        <v>45253</v>
      </c>
      <c r="C986" s="45" t="s">
        <v>7</v>
      </c>
      <c r="D986" s="47">
        <v>5</v>
      </c>
      <c r="E986" s="48">
        <v>45257</v>
      </c>
      <c r="F986" s="47">
        <v>3</v>
      </c>
      <c r="G986" s="48">
        <v>45261</v>
      </c>
      <c r="H986" s="47" t="s">
        <v>41</v>
      </c>
      <c r="I986" s="47" t="s">
        <v>41</v>
      </c>
      <c r="J986" s="47" t="s">
        <v>1</v>
      </c>
      <c r="K986" s="47" t="s">
        <v>41</v>
      </c>
    </row>
    <row r="987" spans="1:11" x14ac:dyDescent="0.25">
      <c r="A987" s="44">
        <v>2646</v>
      </c>
      <c r="B987" s="46">
        <v>45255</v>
      </c>
      <c r="C987" s="45" t="s">
        <v>14</v>
      </c>
      <c r="D987" s="47">
        <v>5</v>
      </c>
      <c r="E987" s="48">
        <v>45259</v>
      </c>
      <c r="F987" s="47">
        <v>3</v>
      </c>
      <c r="G987" s="48">
        <v>45263</v>
      </c>
      <c r="H987" s="47" t="s">
        <v>41</v>
      </c>
      <c r="I987" s="47" t="s">
        <v>5</v>
      </c>
      <c r="J987" s="47" t="s">
        <v>1</v>
      </c>
      <c r="K987" s="47" t="s">
        <v>4</v>
      </c>
    </row>
    <row r="988" spans="1:11" x14ac:dyDescent="0.25">
      <c r="A988" s="44">
        <v>2726</v>
      </c>
      <c r="B988" s="46">
        <v>45255</v>
      </c>
      <c r="C988" s="45" t="s">
        <v>7</v>
      </c>
      <c r="D988" s="47">
        <v>5</v>
      </c>
      <c r="E988" s="48">
        <v>45259</v>
      </c>
      <c r="F988" s="47">
        <v>3</v>
      </c>
      <c r="G988" s="48">
        <v>45263</v>
      </c>
      <c r="H988" s="47" t="s">
        <v>41</v>
      </c>
      <c r="I988" s="47" t="s">
        <v>41</v>
      </c>
      <c r="J988" s="47" t="s">
        <v>41</v>
      </c>
      <c r="K988" s="47" t="s">
        <v>4</v>
      </c>
    </row>
    <row r="989" spans="1:11" x14ac:dyDescent="0.25">
      <c r="A989" s="44">
        <v>2194</v>
      </c>
      <c r="B989" s="46">
        <v>45255</v>
      </c>
      <c r="C989" s="45" t="s">
        <v>84</v>
      </c>
      <c r="D989" s="47">
        <v>3</v>
      </c>
      <c r="E989" s="48">
        <v>45257</v>
      </c>
      <c r="F989" s="47">
        <v>9</v>
      </c>
      <c r="G989" s="48">
        <v>45267</v>
      </c>
      <c r="H989" s="47" t="s">
        <v>41</v>
      </c>
      <c r="I989" s="47" t="s">
        <v>5</v>
      </c>
      <c r="J989" s="47" t="s">
        <v>41</v>
      </c>
      <c r="K989" s="47" t="s">
        <v>41</v>
      </c>
    </row>
    <row r="990" spans="1:11" x14ac:dyDescent="0.25">
      <c r="A990" s="44">
        <v>2791</v>
      </c>
      <c r="B990" s="46">
        <v>45255</v>
      </c>
      <c r="C990" s="45" t="s">
        <v>85</v>
      </c>
      <c r="D990" s="47">
        <v>5</v>
      </c>
      <c r="E990" s="48">
        <v>45259</v>
      </c>
      <c r="F990" s="47">
        <v>3</v>
      </c>
      <c r="G990" s="48">
        <v>45263</v>
      </c>
      <c r="H990" s="47" t="s">
        <v>41</v>
      </c>
      <c r="I990" s="47" t="s">
        <v>5</v>
      </c>
      <c r="J990" s="47" t="s">
        <v>41</v>
      </c>
      <c r="K990" s="47" t="s">
        <v>41</v>
      </c>
    </row>
    <row r="991" spans="1:11" x14ac:dyDescent="0.25">
      <c r="A991" s="44">
        <v>3423</v>
      </c>
      <c r="B991" s="46">
        <v>45255</v>
      </c>
      <c r="C991" s="45" t="s">
        <v>85</v>
      </c>
      <c r="D991" s="47">
        <v>5</v>
      </c>
      <c r="E991" s="48">
        <v>45259</v>
      </c>
      <c r="F991" s="47">
        <v>3</v>
      </c>
      <c r="G991" s="48">
        <v>45263</v>
      </c>
      <c r="H991" s="47" t="s">
        <v>41</v>
      </c>
      <c r="I991" s="47" t="s">
        <v>5</v>
      </c>
      <c r="J991" s="47" t="s">
        <v>41</v>
      </c>
      <c r="K991" s="47" t="s">
        <v>4</v>
      </c>
    </row>
    <row r="992" spans="1:11" x14ac:dyDescent="0.25">
      <c r="A992" s="44">
        <v>2379</v>
      </c>
      <c r="B992" s="46">
        <v>45255</v>
      </c>
      <c r="C992" s="45" t="s">
        <v>85</v>
      </c>
      <c r="D992" s="47">
        <v>5</v>
      </c>
      <c r="E992" s="48">
        <v>45259</v>
      </c>
      <c r="F992" s="47">
        <v>3</v>
      </c>
      <c r="G992" s="48">
        <v>45263</v>
      </c>
      <c r="H992" s="47" t="s">
        <v>41</v>
      </c>
      <c r="I992" s="47" t="s">
        <v>5</v>
      </c>
      <c r="J992" s="47" t="s">
        <v>41</v>
      </c>
      <c r="K992" s="47" t="s">
        <v>4</v>
      </c>
    </row>
    <row r="993" spans="1:11" x14ac:dyDescent="0.25">
      <c r="A993" s="44">
        <v>1017</v>
      </c>
      <c r="B993" s="46">
        <v>45255</v>
      </c>
      <c r="C993" s="45" t="s">
        <v>85</v>
      </c>
      <c r="D993" s="47">
        <v>5</v>
      </c>
      <c r="E993" s="48">
        <v>45259</v>
      </c>
      <c r="F993" s="47">
        <v>3</v>
      </c>
      <c r="G993" s="48">
        <v>45263</v>
      </c>
      <c r="H993" s="47" t="s">
        <v>41</v>
      </c>
      <c r="I993" s="47" t="s">
        <v>5</v>
      </c>
      <c r="J993" s="47" t="s">
        <v>41</v>
      </c>
      <c r="K993" s="47" t="s">
        <v>4</v>
      </c>
    </row>
    <row r="994" spans="1:11" x14ac:dyDescent="0.25">
      <c r="A994" s="44">
        <v>2627</v>
      </c>
      <c r="B994" s="46">
        <v>45255</v>
      </c>
      <c r="C994" s="45" t="s">
        <v>85</v>
      </c>
      <c r="D994" s="47">
        <v>5</v>
      </c>
      <c r="E994" s="48">
        <v>45259</v>
      </c>
      <c r="F994" s="47">
        <v>3</v>
      </c>
      <c r="G994" s="48">
        <v>45263</v>
      </c>
      <c r="H994" s="47" t="s">
        <v>3</v>
      </c>
      <c r="I994" s="47" t="s">
        <v>5</v>
      </c>
      <c r="J994" s="47" t="s">
        <v>1</v>
      </c>
      <c r="K994" s="47" t="s">
        <v>41</v>
      </c>
    </row>
    <row r="995" spans="1:11" x14ac:dyDescent="0.25">
      <c r="A995" s="44">
        <v>2439</v>
      </c>
      <c r="B995" s="46">
        <v>45255</v>
      </c>
      <c r="C995" s="45" t="s">
        <v>85</v>
      </c>
      <c r="D995" s="47">
        <v>5</v>
      </c>
      <c r="E995" s="48">
        <v>45259</v>
      </c>
      <c r="F995" s="47">
        <v>3</v>
      </c>
      <c r="G995" s="48">
        <v>45263</v>
      </c>
      <c r="H995" s="47" t="s">
        <v>41</v>
      </c>
      <c r="I995" s="47" t="s">
        <v>41</v>
      </c>
      <c r="J995" s="47" t="s">
        <v>1</v>
      </c>
      <c r="K995" s="47" t="s">
        <v>41</v>
      </c>
    </row>
    <row r="996" spans="1:11" x14ac:dyDescent="0.25">
      <c r="A996" s="44">
        <v>1945</v>
      </c>
      <c r="B996" s="46">
        <v>45255</v>
      </c>
      <c r="C996" s="45" t="s">
        <v>7</v>
      </c>
      <c r="D996" s="47">
        <v>5</v>
      </c>
      <c r="E996" s="48">
        <v>45259</v>
      </c>
      <c r="F996" s="47">
        <v>3</v>
      </c>
      <c r="G996" s="48">
        <v>45263</v>
      </c>
      <c r="H996" s="47" t="s">
        <v>41</v>
      </c>
      <c r="I996" s="47" t="s">
        <v>41</v>
      </c>
      <c r="J996" s="47" t="s">
        <v>1</v>
      </c>
      <c r="K996" s="47" t="s">
        <v>4</v>
      </c>
    </row>
    <row r="997" spans="1:11" x14ac:dyDescent="0.25">
      <c r="A997" s="44">
        <v>1960</v>
      </c>
      <c r="B997" s="46">
        <v>45256</v>
      </c>
      <c r="C997" s="45" t="s">
        <v>7</v>
      </c>
      <c r="D997" s="47">
        <v>5</v>
      </c>
      <c r="E997" s="48">
        <v>45260</v>
      </c>
      <c r="F997" s="47">
        <v>3</v>
      </c>
      <c r="G997" s="48">
        <v>45264</v>
      </c>
      <c r="H997" s="47" t="s">
        <v>41</v>
      </c>
      <c r="I997" s="47" t="s">
        <v>41</v>
      </c>
      <c r="J997" s="47" t="s">
        <v>41</v>
      </c>
      <c r="K997" s="47" t="s">
        <v>4</v>
      </c>
    </row>
    <row r="998" spans="1:11" x14ac:dyDescent="0.25">
      <c r="A998" s="44">
        <v>2766</v>
      </c>
      <c r="B998" s="46">
        <v>45257</v>
      </c>
      <c r="C998" s="45" t="s">
        <v>85</v>
      </c>
      <c r="D998" s="47">
        <v>5</v>
      </c>
      <c r="E998" s="48">
        <v>45261</v>
      </c>
      <c r="F998" s="47">
        <v>3</v>
      </c>
      <c r="G998" s="48">
        <v>45265</v>
      </c>
      <c r="H998" s="47" t="s">
        <v>3</v>
      </c>
      <c r="I998" s="47" t="s">
        <v>5</v>
      </c>
      <c r="J998" s="47" t="s">
        <v>41</v>
      </c>
      <c r="K998" s="47" t="s">
        <v>41</v>
      </c>
    </row>
    <row r="999" spans="1:11" x14ac:dyDescent="0.25">
      <c r="A999" s="44">
        <v>3138</v>
      </c>
      <c r="B999" s="46">
        <v>45258</v>
      </c>
      <c r="C999" s="45" t="s">
        <v>14</v>
      </c>
      <c r="D999" s="47">
        <v>5</v>
      </c>
      <c r="E999" s="48">
        <v>45262</v>
      </c>
      <c r="F999" s="47">
        <v>3</v>
      </c>
      <c r="G999" s="48">
        <v>45266</v>
      </c>
      <c r="H999" s="47" t="s">
        <v>41</v>
      </c>
      <c r="I999" s="47" t="s">
        <v>5</v>
      </c>
      <c r="J999" s="47" t="s">
        <v>41</v>
      </c>
      <c r="K999" s="47" t="s">
        <v>41</v>
      </c>
    </row>
    <row r="1000" spans="1:11" x14ac:dyDescent="0.25">
      <c r="A1000" s="44">
        <v>2427</v>
      </c>
      <c r="B1000" s="46">
        <v>45258</v>
      </c>
      <c r="C1000" s="45" t="s">
        <v>14</v>
      </c>
      <c r="D1000" s="47">
        <v>5</v>
      </c>
      <c r="E1000" s="48">
        <v>45262</v>
      </c>
      <c r="F1000" s="47">
        <v>3</v>
      </c>
      <c r="G1000" s="48">
        <v>45266</v>
      </c>
      <c r="H1000" s="47" t="s">
        <v>41</v>
      </c>
      <c r="I1000" s="47" t="s">
        <v>41</v>
      </c>
      <c r="J1000" s="47" t="s">
        <v>1</v>
      </c>
      <c r="K1000" s="47" t="s">
        <v>41</v>
      </c>
    </row>
    <row r="1001" spans="1:11" x14ac:dyDescent="0.25">
      <c r="A1001" s="44">
        <v>2840</v>
      </c>
      <c r="B1001" s="46">
        <v>45258</v>
      </c>
      <c r="C1001" s="45" t="s">
        <v>85</v>
      </c>
      <c r="D1001" s="47">
        <v>5</v>
      </c>
      <c r="E1001" s="48">
        <v>45262</v>
      </c>
      <c r="F1001" s="47">
        <v>3</v>
      </c>
      <c r="G1001" s="48">
        <v>45266</v>
      </c>
      <c r="H1001" s="47" t="s">
        <v>41</v>
      </c>
      <c r="I1001" s="47" t="s">
        <v>41</v>
      </c>
      <c r="J1001" s="47" t="s">
        <v>1</v>
      </c>
      <c r="K1001" s="47" t="s">
        <v>41</v>
      </c>
    </row>
    <row r="1002" spans="1:11" x14ac:dyDescent="0.25">
      <c r="A1002" s="44">
        <v>1797</v>
      </c>
      <c r="B1002" s="46">
        <v>45258</v>
      </c>
      <c r="C1002" s="45" t="s">
        <v>85</v>
      </c>
      <c r="D1002" s="47">
        <v>5</v>
      </c>
      <c r="E1002" s="48">
        <v>45262</v>
      </c>
      <c r="F1002" s="47">
        <v>3</v>
      </c>
      <c r="G1002" s="48">
        <v>45266</v>
      </c>
      <c r="H1002" s="47" t="s">
        <v>41</v>
      </c>
      <c r="I1002" s="47" t="s">
        <v>5</v>
      </c>
      <c r="J1002" s="47" t="s">
        <v>41</v>
      </c>
      <c r="K1002" s="47" t="s">
        <v>4</v>
      </c>
    </row>
    <row r="1003" spans="1:11" x14ac:dyDescent="0.25">
      <c r="A1003" s="44">
        <v>1840</v>
      </c>
      <c r="B1003" s="46">
        <v>45258</v>
      </c>
      <c r="C1003" s="45" t="s">
        <v>85</v>
      </c>
      <c r="D1003" s="47">
        <v>5</v>
      </c>
      <c r="E1003" s="48">
        <v>45262</v>
      </c>
      <c r="F1003" s="47">
        <v>3</v>
      </c>
      <c r="G1003" s="48">
        <v>45266</v>
      </c>
      <c r="H1003" s="47" t="s">
        <v>41</v>
      </c>
      <c r="I1003" s="47" t="s">
        <v>5</v>
      </c>
      <c r="J1003" s="47" t="s">
        <v>41</v>
      </c>
      <c r="K1003" s="47" t="s">
        <v>41</v>
      </c>
    </row>
    <row r="1004" spans="1:11" x14ac:dyDescent="0.25">
      <c r="A1004" s="44">
        <v>2549</v>
      </c>
      <c r="B1004" s="46">
        <v>45258</v>
      </c>
      <c r="C1004" s="45" t="s">
        <v>85</v>
      </c>
      <c r="D1004" s="47">
        <v>5</v>
      </c>
      <c r="E1004" s="48">
        <v>45262</v>
      </c>
      <c r="F1004" s="47">
        <v>3</v>
      </c>
      <c r="G1004" s="48">
        <v>45266</v>
      </c>
      <c r="H1004" s="47" t="s">
        <v>41</v>
      </c>
      <c r="I1004" s="47" t="s">
        <v>41</v>
      </c>
      <c r="J1004" s="47" t="s">
        <v>41</v>
      </c>
      <c r="K1004" s="47" t="s">
        <v>4</v>
      </c>
    </row>
    <row r="1005" spans="1:11" x14ac:dyDescent="0.25">
      <c r="A1005" s="44">
        <v>2186</v>
      </c>
      <c r="B1005" s="46">
        <v>45258</v>
      </c>
      <c r="C1005" s="45" t="s">
        <v>85</v>
      </c>
      <c r="D1005" s="47">
        <v>5</v>
      </c>
      <c r="E1005" s="48">
        <v>45262</v>
      </c>
      <c r="F1005" s="47">
        <v>3</v>
      </c>
      <c r="G1005" s="48">
        <v>45266</v>
      </c>
      <c r="H1005" s="47" t="s">
        <v>41</v>
      </c>
      <c r="I1005" s="47" t="s">
        <v>41</v>
      </c>
      <c r="J1005" s="47" t="s">
        <v>41</v>
      </c>
      <c r="K1005" s="47" t="s">
        <v>4</v>
      </c>
    </row>
    <row r="1006" spans="1:11" x14ac:dyDescent="0.25">
      <c r="A1006" s="44">
        <v>2660</v>
      </c>
      <c r="B1006" s="46">
        <v>45258</v>
      </c>
      <c r="C1006" s="45" t="s">
        <v>85</v>
      </c>
      <c r="D1006" s="47">
        <v>5</v>
      </c>
      <c r="E1006" s="48">
        <v>45262</v>
      </c>
      <c r="F1006" s="47">
        <v>3</v>
      </c>
      <c r="G1006" s="48">
        <v>45266</v>
      </c>
      <c r="H1006" s="47" t="s">
        <v>41</v>
      </c>
      <c r="I1006" s="47" t="s">
        <v>41</v>
      </c>
      <c r="J1006" s="47" t="s">
        <v>41</v>
      </c>
      <c r="K1006" s="47" t="s">
        <v>4</v>
      </c>
    </row>
    <row r="1007" spans="1:11" x14ac:dyDescent="0.25">
      <c r="A1007" s="44">
        <v>3037</v>
      </c>
      <c r="B1007" s="46">
        <v>45258</v>
      </c>
      <c r="C1007" s="45" t="s">
        <v>85</v>
      </c>
      <c r="D1007" s="47">
        <v>5</v>
      </c>
      <c r="E1007" s="48">
        <v>45262</v>
      </c>
      <c r="F1007" s="47">
        <v>3</v>
      </c>
      <c r="G1007" s="48">
        <v>45266</v>
      </c>
      <c r="H1007" s="47" t="s">
        <v>41</v>
      </c>
      <c r="I1007" s="47" t="s">
        <v>5</v>
      </c>
      <c r="J1007" s="47" t="s">
        <v>41</v>
      </c>
      <c r="K1007" s="47" t="s">
        <v>41</v>
      </c>
    </row>
    <row r="1008" spans="1:11" x14ac:dyDescent="0.25">
      <c r="A1008" s="44">
        <v>2168</v>
      </c>
      <c r="B1008" s="46">
        <v>45259</v>
      </c>
      <c r="C1008" s="45" t="s">
        <v>14</v>
      </c>
      <c r="D1008" s="47">
        <v>5</v>
      </c>
      <c r="E1008" s="48">
        <v>45263</v>
      </c>
      <c r="F1008" s="47">
        <v>3</v>
      </c>
      <c r="G1008" s="48">
        <v>45267</v>
      </c>
      <c r="H1008" s="47" t="s">
        <v>3</v>
      </c>
      <c r="I1008" s="47" t="s">
        <v>5</v>
      </c>
      <c r="J1008" s="47" t="s">
        <v>1</v>
      </c>
      <c r="K1008" s="47" t="s">
        <v>4</v>
      </c>
    </row>
    <row r="1009" spans="1:11" x14ac:dyDescent="0.25">
      <c r="A1009" s="44">
        <v>2600</v>
      </c>
      <c r="B1009" s="46">
        <v>45259</v>
      </c>
      <c r="C1009" s="45" t="s">
        <v>14</v>
      </c>
      <c r="D1009" s="47">
        <v>5</v>
      </c>
      <c r="E1009" s="48">
        <v>45263</v>
      </c>
      <c r="F1009" s="47">
        <v>3</v>
      </c>
      <c r="G1009" s="48">
        <v>45267</v>
      </c>
      <c r="H1009" s="47" t="s">
        <v>3</v>
      </c>
      <c r="I1009" s="47" t="s">
        <v>41</v>
      </c>
      <c r="J1009" s="47" t="s">
        <v>41</v>
      </c>
      <c r="K1009" s="47" t="s">
        <v>41</v>
      </c>
    </row>
    <row r="1010" spans="1:11" x14ac:dyDescent="0.25">
      <c r="A1010" s="44">
        <v>3110</v>
      </c>
      <c r="B1010" s="46">
        <v>45259</v>
      </c>
      <c r="C1010" s="45" t="s">
        <v>86</v>
      </c>
      <c r="D1010" s="47">
        <v>5</v>
      </c>
      <c r="E1010" s="48">
        <v>45263</v>
      </c>
      <c r="F1010" s="47">
        <v>5</v>
      </c>
      <c r="G1010" s="48">
        <v>45269</v>
      </c>
      <c r="H1010" s="47" t="s">
        <v>41</v>
      </c>
      <c r="I1010" s="47" t="s">
        <v>5</v>
      </c>
      <c r="J1010" s="47" t="s">
        <v>41</v>
      </c>
      <c r="K1010" s="47" t="s">
        <v>41</v>
      </c>
    </row>
    <row r="1011" spans="1:11" x14ac:dyDescent="0.25">
      <c r="A1011" s="44">
        <v>2848</v>
      </c>
      <c r="B1011" s="46">
        <v>45259</v>
      </c>
      <c r="C1011" s="45" t="s">
        <v>86</v>
      </c>
      <c r="D1011" s="47">
        <v>5</v>
      </c>
      <c r="E1011" s="48">
        <v>45263</v>
      </c>
      <c r="F1011" s="47">
        <v>5</v>
      </c>
      <c r="G1011" s="48">
        <v>45269</v>
      </c>
      <c r="H1011" s="47" t="s">
        <v>3</v>
      </c>
      <c r="I1011" s="47" t="s">
        <v>41</v>
      </c>
      <c r="J1011" s="47" t="s">
        <v>41</v>
      </c>
      <c r="K1011" s="47" t="s">
        <v>41</v>
      </c>
    </row>
    <row r="1012" spans="1:11" x14ac:dyDescent="0.25">
      <c r="A1012" s="44">
        <v>853</v>
      </c>
      <c r="B1012" s="46">
        <v>45259</v>
      </c>
      <c r="C1012" s="45" t="s">
        <v>86</v>
      </c>
      <c r="D1012" s="47">
        <v>5</v>
      </c>
      <c r="E1012" s="48">
        <v>45263</v>
      </c>
      <c r="F1012" s="47">
        <v>5</v>
      </c>
      <c r="G1012" s="48">
        <v>45269</v>
      </c>
      <c r="H1012" s="47" t="s">
        <v>41</v>
      </c>
      <c r="I1012" s="47" t="s">
        <v>5</v>
      </c>
      <c r="J1012" s="47" t="s">
        <v>41</v>
      </c>
      <c r="K1012" s="47" t="s">
        <v>41</v>
      </c>
    </row>
    <row r="1013" spans="1:11" x14ac:dyDescent="0.25">
      <c r="A1013" s="44">
        <v>1997</v>
      </c>
      <c r="B1013" s="46">
        <v>45259</v>
      </c>
      <c r="C1013" s="45" t="s">
        <v>7</v>
      </c>
      <c r="D1013" s="47">
        <v>5</v>
      </c>
      <c r="E1013" s="48">
        <v>45263</v>
      </c>
      <c r="F1013" s="47">
        <v>3</v>
      </c>
      <c r="G1013" s="48">
        <v>45267</v>
      </c>
      <c r="H1013" s="47" t="s">
        <v>3</v>
      </c>
      <c r="I1013" s="47" t="s">
        <v>5</v>
      </c>
      <c r="J1013" s="47" t="s">
        <v>41</v>
      </c>
      <c r="K1013" s="47" t="s">
        <v>41</v>
      </c>
    </row>
    <row r="1014" spans="1:11" x14ac:dyDescent="0.25">
      <c r="A1014" s="44">
        <v>3100</v>
      </c>
      <c r="B1014" s="46">
        <v>45260</v>
      </c>
      <c r="C1014" s="45" t="s">
        <v>85</v>
      </c>
      <c r="D1014" s="47">
        <v>5</v>
      </c>
      <c r="E1014" s="48">
        <v>45264</v>
      </c>
      <c r="F1014" s="47">
        <v>3</v>
      </c>
      <c r="G1014" s="48">
        <v>45268</v>
      </c>
      <c r="H1014" s="47" t="s">
        <v>41</v>
      </c>
      <c r="I1014" s="47" t="s">
        <v>41</v>
      </c>
      <c r="J1014" s="47" t="s">
        <v>1</v>
      </c>
      <c r="K1014" s="47" t="s">
        <v>4</v>
      </c>
    </row>
    <row r="1015" spans="1:11" x14ac:dyDescent="0.25">
      <c r="A1015" s="44">
        <v>1364</v>
      </c>
      <c r="B1015" s="46">
        <v>45260</v>
      </c>
      <c r="C1015" s="45" t="s">
        <v>14</v>
      </c>
      <c r="D1015" s="47">
        <v>5</v>
      </c>
      <c r="E1015" s="48">
        <v>45264</v>
      </c>
      <c r="F1015" s="47">
        <v>3</v>
      </c>
      <c r="G1015" s="48">
        <v>45268</v>
      </c>
      <c r="H1015" s="47" t="s">
        <v>3</v>
      </c>
      <c r="I1015" s="47" t="s">
        <v>5</v>
      </c>
      <c r="J1015" s="47" t="s">
        <v>1</v>
      </c>
      <c r="K1015" s="47" t="s">
        <v>4</v>
      </c>
    </row>
    <row r="1016" spans="1:11" x14ac:dyDescent="0.25">
      <c r="A1016" s="44">
        <v>1810</v>
      </c>
      <c r="B1016" s="46">
        <v>45261</v>
      </c>
      <c r="C1016" s="45" t="s">
        <v>86</v>
      </c>
      <c r="D1016" s="47">
        <v>5</v>
      </c>
      <c r="E1016" s="48">
        <v>45265</v>
      </c>
      <c r="F1016" s="47">
        <v>5</v>
      </c>
      <c r="G1016" s="48">
        <v>45271</v>
      </c>
      <c r="H1016" s="47" t="s">
        <v>3</v>
      </c>
      <c r="I1016" s="47" t="s">
        <v>41</v>
      </c>
      <c r="J1016" s="47" t="s">
        <v>41</v>
      </c>
      <c r="K1016" s="47" t="s">
        <v>41</v>
      </c>
    </row>
    <row r="1017" spans="1:11" x14ac:dyDescent="0.25">
      <c r="A1017" s="44">
        <v>3657</v>
      </c>
      <c r="B1017" s="46">
        <v>45261</v>
      </c>
      <c r="C1017" s="45" t="s">
        <v>86</v>
      </c>
      <c r="D1017" s="47">
        <v>5</v>
      </c>
      <c r="E1017" s="48">
        <v>45265</v>
      </c>
      <c r="F1017" s="47">
        <v>5</v>
      </c>
      <c r="G1017" s="48">
        <v>45271</v>
      </c>
      <c r="H1017" s="47" t="s">
        <v>41</v>
      </c>
      <c r="I1017" s="47" t="s">
        <v>41</v>
      </c>
      <c r="J1017" s="47" t="s">
        <v>41</v>
      </c>
      <c r="K1017" s="47" t="s">
        <v>4</v>
      </c>
    </row>
    <row r="1018" spans="1:11" x14ac:dyDescent="0.25">
      <c r="A1018" s="44">
        <v>1945</v>
      </c>
      <c r="B1018" s="46">
        <v>45261</v>
      </c>
      <c r="C1018" s="45" t="s">
        <v>85</v>
      </c>
      <c r="D1018" s="47">
        <v>5</v>
      </c>
      <c r="E1018" s="48">
        <v>45265</v>
      </c>
      <c r="F1018" s="47">
        <v>3</v>
      </c>
      <c r="G1018" s="48">
        <v>45269</v>
      </c>
      <c r="H1018" s="47" t="s">
        <v>41</v>
      </c>
      <c r="I1018" s="47" t="s">
        <v>41</v>
      </c>
      <c r="J1018" s="47" t="s">
        <v>1</v>
      </c>
      <c r="K1018" s="47" t="s">
        <v>41</v>
      </c>
    </row>
    <row r="1019" spans="1:11" x14ac:dyDescent="0.25">
      <c r="A1019" s="44">
        <v>2194</v>
      </c>
      <c r="B1019" s="46">
        <v>45261</v>
      </c>
      <c r="C1019" s="45" t="s">
        <v>85</v>
      </c>
      <c r="D1019" s="47">
        <v>5</v>
      </c>
      <c r="E1019" s="48">
        <v>45265</v>
      </c>
      <c r="F1019" s="47">
        <v>3</v>
      </c>
      <c r="G1019" s="48">
        <v>45269</v>
      </c>
      <c r="H1019" s="47" t="s">
        <v>41</v>
      </c>
      <c r="I1019" s="47" t="s">
        <v>5</v>
      </c>
      <c r="J1019" s="47" t="s">
        <v>1</v>
      </c>
      <c r="K1019" s="47" t="s">
        <v>4</v>
      </c>
    </row>
    <row r="1020" spans="1:11" x14ac:dyDescent="0.25">
      <c r="A1020" s="44">
        <v>3446</v>
      </c>
      <c r="B1020" s="46">
        <v>45261</v>
      </c>
      <c r="C1020" s="45" t="s">
        <v>7</v>
      </c>
      <c r="D1020" s="47">
        <v>5</v>
      </c>
      <c r="E1020" s="48">
        <v>45265</v>
      </c>
      <c r="F1020" s="47">
        <v>3</v>
      </c>
      <c r="G1020" s="48">
        <v>45269</v>
      </c>
      <c r="H1020" s="47" t="s">
        <v>41</v>
      </c>
      <c r="I1020" s="47" t="s">
        <v>5</v>
      </c>
      <c r="J1020" s="47" t="s">
        <v>41</v>
      </c>
      <c r="K1020" s="47" t="s">
        <v>41</v>
      </c>
    </row>
    <row r="1021" spans="1:11" x14ac:dyDescent="0.25">
      <c r="A1021" s="44">
        <v>3502</v>
      </c>
      <c r="B1021" s="46">
        <v>45263</v>
      </c>
      <c r="C1021" s="45" t="s">
        <v>85</v>
      </c>
      <c r="D1021" s="47">
        <v>5</v>
      </c>
      <c r="E1021" s="48">
        <v>45267</v>
      </c>
      <c r="F1021" s="47">
        <v>3</v>
      </c>
      <c r="G1021" s="48">
        <v>45271</v>
      </c>
      <c r="H1021" s="47" t="s">
        <v>41</v>
      </c>
      <c r="I1021" s="47" t="s">
        <v>41</v>
      </c>
      <c r="J1021" s="47" t="s">
        <v>1</v>
      </c>
      <c r="K1021" s="47" t="s">
        <v>4</v>
      </c>
    </row>
    <row r="1022" spans="1:11" x14ac:dyDescent="0.25">
      <c r="A1022" s="44">
        <v>2549</v>
      </c>
      <c r="B1022" s="46">
        <v>45263</v>
      </c>
      <c r="C1022" s="45" t="s">
        <v>86</v>
      </c>
      <c r="D1022" s="47">
        <v>5</v>
      </c>
      <c r="E1022" s="48">
        <v>45267</v>
      </c>
      <c r="F1022" s="47">
        <v>5</v>
      </c>
      <c r="G1022" s="48">
        <v>45273</v>
      </c>
      <c r="H1022" s="47" t="s">
        <v>41</v>
      </c>
      <c r="I1022" s="47" t="s">
        <v>41</v>
      </c>
      <c r="J1022" s="47" t="s">
        <v>41</v>
      </c>
      <c r="K1022" s="47" t="s">
        <v>4</v>
      </c>
    </row>
    <row r="1023" spans="1:11" x14ac:dyDescent="0.25">
      <c r="A1023" s="44">
        <v>1840</v>
      </c>
      <c r="B1023" s="46">
        <v>45263</v>
      </c>
      <c r="C1023" s="45" t="s">
        <v>86</v>
      </c>
      <c r="D1023" s="47">
        <v>5</v>
      </c>
      <c r="E1023" s="48">
        <v>45267</v>
      </c>
      <c r="F1023" s="47">
        <v>5</v>
      </c>
      <c r="G1023" s="48">
        <v>45273</v>
      </c>
      <c r="H1023" s="47" t="s">
        <v>3</v>
      </c>
      <c r="I1023" s="47" t="s">
        <v>5</v>
      </c>
      <c r="J1023" s="47" t="s">
        <v>41</v>
      </c>
      <c r="K1023" s="47" t="s">
        <v>41</v>
      </c>
    </row>
    <row r="1024" spans="1:11" x14ac:dyDescent="0.25">
      <c r="A1024" s="44">
        <v>1797</v>
      </c>
      <c r="B1024" s="46">
        <v>45263</v>
      </c>
      <c r="C1024" s="45" t="s">
        <v>86</v>
      </c>
      <c r="D1024" s="47">
        <v>5</v>
      </c>
      <c r="E1024" s="48">
        <v>45267</v>
      </c>
      <c r="F1024" s="47">
        <v>5</v>
      </c>
      <c r="G1024" s="48">
        <v>45273</v>
      </c>
      <c r="H1024" s="47" t="s">
        <v>41</v>
      </c>
      <c r="I1024" s="47" t="s">
        <v>5</v>
      </c>
      <c r="J1024" s="47" t="s">
        <v>41</v>
      </c>
      <c r="K1024" s="47" t="s">
        <v>4</v>
      </c>
    </row>
    <row r="1025" spans="1:11" x14ac:dyDescent="0.25">
      <c r="A1025" s="44">
        <v>3138</v>
      </c>
      <c r="B1025" s="46">
        <v>45263</v>
      </c>
      <c r="C1025" s="45" t="s">
        <v>86</v>
      </c>
      <c r="D1025" s="47">
        <v>5</v>
      </c>
      <c r="E1025" s="48">
        <v>45267</v>
      </c>
      <c r="F1025" s="47">
        <v>5</v>
      </c>
      <c r="G1025" s="48">
        <v>45273</v>
      </c>
      <c r="H1025" s="47" t="s">
        <v>41</v>
      </c>
      <c r="I1025" s="47" t="s">
        <v>5</v>
      </c>
      <c r="J1025" s="47" t="s">
        <v>1</v>
      </c>
      <c r="K1025" s="47" t="s">
        <v>41</v>
      </c>
    </row>
    <row r="1026" spans="1:11" x14ac:dyDescent="0.25">
      <c r="A1026" s="44">
        <v>2427</v>
      </c>
      <c r="B1026" s="46">
        <v>45263</v>
      </c>
      <c r="C1026" s="45" t="s">
        <v>86</v>
      </c>
      <c r="D1026" s="47">
        <v>5</v>
      </c>
      <c r="E1026" s="48">
        <v>45267</v>
      </c>
      <c r="F1026" s="47">
        <v>5</v>
      </c>
      <c r="G1026" s="48">
        <v>45273</v>
      </c>
      <c r="H1026" s="47" t="s">
        <v>41</v>
      </c>
      <c r="I1026" s="47" t="s">
        <v>41</v>
      </c>
      <c r="J1026" s="47" t="s">
        <v>1</v>
      </c>
      <c r="K1026" s="47" t="s">
        <v>41</v>
      </c>
    </row>
    <row r="1027" spans="1:11" x14ac:dyDescent="0.25">
      <c r="A1027" s="44">
        <v>3141</v>
      </c>
      <c r="B1027" s="46">
        <v>45263</v>
      </c>
      <c r="C1027" s="45" t="s">
        <v>7</v>
      </c>
      <c r="D1027" s="47">
        <v>5</v>
      </c>
      <c r="E1027" s="48">
        <v>45267</v>
      </c>
      <c r="F1027" s="47">
        <v>3</v>
      </c>
      <c r="G1027" s="48">
        <v>45271</v>
      </c>
      <c r="H1027" s="47" t="s">
        <v>3</v>
      </c>
      <c r="I1027" s="47" t="s">
        <v>5</v>
      </c>
      <c r="J1027" s="47" t="s">
        <v>41</v>
      </c>
      <c r="K1027" s="47" t="s">
        <v>41</v>
      </c>
    </row>
    <row r="1028" spans="1:11" x14ac:dyDescent="0.25">
      <c r="A1028" s="44">
        <v>2840</v>
      </c>
      <c r="B1028" s="46">
        <v>45264</v>
      </c>
      <c r="C1028" s="45" t="s">
        <v>86</v>
      </c>
      <c r="D1028" s="47">
        <v>5</v>
      </c>
      <c r="E1028" s="48">
        <v>45268</v>
      </c>
      <c r="F1028" s="47">
        <v>5</v>
      </c>
      <c r="G1028" s="48">
        <v>45274</v>
      </c>
      <c r="H1028" s="47" t="s">
        <v>41</v>
      </c>
      <c r="I1028" s="47" t="s">
        <v>5</v>
      </c>
      <c r="J1028" s="47" t="s">
        <v>41</v>
      </c>
      <c r="K1028" s="47" t="s">
        <v>41</v>
      </c>
    </row>
    <row r="1029" spans="1:11" x14ac:dyDescent="0.25">
      <c r="A1029" s="44">
        <v>853</v>
      </c>
      <c r="B1029" s="46">
        <v>45264</v>
      </c>
      <c r="C1029" s="45" t="s">
        <v>86</v>
      </c>
      <c r="D1029" s="47">
        <v>5</v>
      </c>
      <c r="E1029" s="48">
        <v>45268</v>
      </c>
      <c r="F1029" s="47">
        <v>5</v>
      </c>
      <c r="G1029" s="48">
        <v>45274</v>
      </c>
      <c r="H1029" s="47" t="s">
        <v>41</v>
      </c>
      <c r="I1029" s="47" t="s">
        <v>5</v>
      </c>
      <c r="J1029" s="47" t="s">
        <v>41</v>
      </c>
      <c r="K1029" s="47" t="s">
        <v>41</v>
      </c>
    </row>
    <row r="1030" spans="1:11" x14ac:dyDescent="0.25">
      <c r="A1030" s="44">
        <v>3037</v>
      </c>
      <c r="B1030" s="46">
        <v>45265</v>
      </c>
      <c r="C1030" s="45" t="s">
        <v>86</v>
      </c>
      <c r="D1030" s="47">
        <v>5</v>
      </c>
      <c r="E1030" s="48">
        <v>45269</v>
      </c>
      <c r="F1030" s="47">
        <v>5</v>
      </c>
      <c r="G1030" s="48">
        <v>45275</v>
      </c>
      <c r="H1030" s="47" t="s">
        <v>41</v>
      </c>
      <c r="I1030" s="47" t="s">
        <v>41</v>
      </c>
      <c r="J1030" s="47" t="s">
        <v>41</v>
      </c>
      <c r="K1030" s="47" t="s">
        <v>4</v>
      </c>
    </row>
    <row r="1031" spans="1:11" x14ac:dyDescent="0.25">
      <c r="A1031" s="44">
        <v>2706</v>
      </c>
      <c r="B1031" s="46">
        <v>45265</v>
      </c>
      <c r="C1031" s="45" t="s">
        <v>85</v>
      </c>
      <c r="D1031" s="47">
        <v>5</v>
      </c>
      <c r="E1031" s="48">
        <v>45269</v>
      </c>
      <c r="F1031" s="47">
        <v>3</v>
      </c>
      <c r="G1031" s="48">
        <v>45273</v>
      </c>
      <c r="H1031" s="47" t="s">
        <v>41</v>
      </c>
      <c r="I1031" s="47" t="s">
        <v>5</v>
      </c>
      <c r="J1031" s="47" t="s">
        <v>41</v>
      </c>
      <c r="K1031" s="47" t="s">
        <v>4</v>
      </c>
    </row>
    <row r="1032" spans="1:11" x14ac:dyDescent="0.25">
      <c r="A1032" s="44">
        <v>1823</v>
      </c>
      <c r="B1032" s="46">
        <v>45265</v>
      </c>
      <c r="C1032" s="45" t="s">
        <v>7</v>
      </c>
      <c r="D1032" s="47">
        <v>5</v>
      </c>
      <c r="E1032" s="48">
        <v>45269</v>
      </c>
      <c r="F1032" s="47">
        <v>3</v>
      </c>
      <c r="G1032" s="48">
        <v>45273</v>
      </c>
      <c r="H1032" s="47" t="s">
        <v>41</v>
      </c>
      <c r="I1032" s="47" t="s">
        <v>41</v>
      </c>
      <c r="J1032" s="47" t="s">
        <v>1</v>
      </c>
      <c r="K1032" s="47" t="s">
        <v>41</v>
      </c>
    </row>
    <row r="1033" spans="1:11" x14ac:dyDescent="0.25">
      <c r="A1033" s="44">
        <v>3673</v>
      </c>
      <c r="B1033" s="46">
        <v>45265</v>
      </c>
      <c r="C1033" s="45" t="s">
        <v>7</v>
      </c>
      <c r="D1033" s="47">
        <v>5</v>
      </c>
      <c r="E1033" s="48">
        <v>45269</v>
      </c>
      <c r="F1033" s="47">
        <v>3</v>
      </c>
      <c r="G1033" s="48">
        <v>45273</v>
      </c>
      <c r="H1033" s="47" t="s">
        <v>3</v>
      </c>
      <c r="I1033" s="47" t="s">
        <v>41</v>
      </c>
      <c r="J1033" s="47" t="s">
        <v>41</v>
      </c>
      <c r="K1033" s="47" t="s">
        <v>41</v>
      </c>
    </row>
    <row r="1034" spans="1:11" x14ac:dyDescent="0.25">
      <c r="A1034" s="44">
        <v>2118</v>
      </c>
      <c r="B1034" s="46">
        <v>45266</v>
      </c>
      <c r="C1034" s="45" t="s">
        <v>7</v>
      </c>
      <c r="D1034" s="47">
        <v>5</v>
      </c>
      <c r="E1034" s="48">
        <v>45270</v>
      </c>
      <c r="F1034" s="47">
        <v>3</v>
      </c>
      <c r="G1034" s="48">
        <v>45274</v>
      </c>
      <c r="H1034" s="47" t="s">
        <v>41</v>
      </c>
      <c r="I1034" s="47" t="s">
        <v>41</v>
      </c>
      <c r="J1034" s="47" t="s">
        <v>1</v>
      </c>
      <c r="K1034" s="47" t="s">
        <v>41</v>
      </c>
    </row>
    <row r="1035" spans="1:11" x14ac:dyDescent="0.25">
      <c r="A1035" s="44">
        <v>3536</v>
      </c>
      <c r="B1035" s="46">
        <v>45266</v>
      </c>
      <c r="C1035" s="45" t="s">
        <v>7</v>
      </c>
      <c r="D1035" s="47">
        <v>5</v>
      </c>
      <c r="E1035" s="48">
        <v>45270</v>
      </c>
      <c r="F1035" s="47">
        <v>3</v>
      </c>
      <c r="G1035" s="48">
        <v>45274</v>
      </c>
      <c r="H1035" s="47" t="s">
        <v>41</v>
      </c>
      <c r="I1035" s="47" t="s">
        <v>41</v>
      </c>
      <c r="J1035" s="47" t="s">
        <v>1</v>
      </c>
      <c r="K1035" s="47" t="s">
        <v>4</v>
      </c>
    </row>
    <row r="1036" spans="1:11" x14ac:dyDescent="0.25">
      <c r="A1036" s="44">
        <v>872</v>
      </c>
      <c r="B1036" s="46">
        <v>45266</v>
      </c>
      <c r="C1036" s="45" t="s">
        <v>7</v>
      </c>
      <c r="D1036" s="47">
        <v>5</v>
      </c>
      <c r="E1036" s="48">
        <v>45270</v>
      </c>
      <c r="F1036" s="47">
        <v>3</v>
      </c>
      <c r="G1036" s="48">
        <v>45274</v>
      </c>
      <c r="H1036" s="47" t="s">
        <v>3</v>
      </c>
      <c r="I1036" s="47" t="s">
        <v>5</v>
      </c>
      <c r="J1036" s="47" t="s">
        <v>41</v>
      </c>
      <c r="K1036" s="47" t="s">
        <v>41</v>
      </c>
    </row>
    <row r="1037" spans="1:11" x14ac:dyDescent="0.25">
      <c r="A1037" s="44">
        <v>3309</v>
      </c>
      <c r="B1037" s="46">
        <v>45266</v>
      </c>
      <c r="C1037" s="45" t="s">
        <v>7</v>
      </c>
      <c r="D1037" s="47">
        <v>5</v>
      </c>
      <c r="E1037" s="48">
        <v>45270</v>
      </c>
      <c r="F1037" s="47">
        <v>3</v>
      </c>
      <c r="G1037" s="48">
        <v>45274</v>
      </c>
      <c r="H1037" s="47" t="s">
        <v>41</v>
      </c>
      <c r="I1037" s="47" t="s">
        <v>41</v>
      </c>
      <c r="J1037" s="47" t="s">
        <v>41</v>
      </c>
      <c r="K1037" s="47" t="s">
        <v>4</v>
      </c>
    </row>
    <row r="1038" spans="1:11" x14ac:dyDescent="0.25">
      <c r="A1038" s="44">
        <v>2250</v>
      </c>
      <c r="B1038" s="46">
        <v>45266</v>
      </c>
      <c r="C1038" s="45" t="s">
        <v>84</v>
      </c>
      <c r="D1038" s="47">
        <v>5</v>
      </c>
      <c r="E1038" s="48">
        <v>45270</v>
      </c>
      <c r="F1038" s="47">
        <v>9</v>
      </c>
      <c r="G1038" s="48">
        <v>45280</v>
      </c>
      <c r="H1038" s="47" t="s">
        <v>3</v>
      </c>
      <c r="I1038" s="47" t="s">
        <v>5</v>
      </c>
      <c r="J1038" s="47" t="s">
        <v>41</v>
      </c>
      <c r="K1038" s="47" t="s">
        <v>41</v>
      </c>
    </row>
    <row r="1039" spans="1:11" x14ac:dyDescent="0.25">
      <c r="A1039" s="44">
        <v>2600</v>
      </c>
      <c r="B1039" s="46">
        <v>45266</v>
      </c>
      <c r="C1039" s="45" t="s">
        <v>84</v>
      </c>
      <c r="D1039" s="47">
        <v>5</v>
      </c>
      <c r="E1039" s="48">
        <v>45270</v>
      </c>
      <c r="F1039" s="47">
        <v>9</v>
      </c>
      <c r="G1039" s="48">
        <v>45280</v>
      </c>
      <c r="H1039" s="47" t="s">
        <v>3</v>
      </c>
      <c r="I1039" s="47" t="s">
        <v>41</v>
      </c>
      <c r="J1039" s="47" t="s">
        <v>41</v>
      </c>
      <c r="K1039" s="47" t="s">
        <v>41</v>
      </c>
    </row>
    <row r="1040" spans="1:11" x14ac:dyDescent="0.25">
      <c r="A1040" s="44">
        <v>2660</v>
      </c>
      <c r="B1040" s="46">
        <v>45266</v>
      </c>
      <c r="C1040" s="45" t="s">
        <v>86</v>
      </c>
      <c r="D1040" s="47">
        <v>5</v>
      </c>
      <c r="E1040" s="48">
        <v>45270</v>
      </c>
      <c r="F1040" s="47">
        <v>5</v>
      </c>
      <c r="G1040" s="48">
        <v>45276</v>
      </c>
      <c r="H1040" s="47" t="s">
        <v>3</v>
      </c>
      <c r="I1040" s="47" t="s">
        <v>5</v>
      </c>
      <c r="J1040" s="47" t="s">
        <v>41</v>
      </c>
      <c r="K1040" s="47" t="s">
        <v>41</v>
      </c>
    </row>
    <row r="1041" spans="1:11" x14ac:dyDescent="0.25">
      <c r="A1041" s="44">
        <v>2512</v>
      </c>
      <c r="B1041" s="46">
        <v>45266</v>
      </c>
      <c r="C1041" s="45" t="s">
        <v>7</v>
      </c>
      <c r="D1041" s="47">
        <v>5</v>
      </c>
      <c r="E1041" s="48">
        <v>45270</v>
      </c>
      <c r="F1041" s="47">
        <v>3</v>
      </c>
      <c r="G1041" s="48">
        <v>45274</v>
      </c>
      <c r="H1041" s="47" t="s">
        <v>41</v>
      </c>
      <c r="I1041" s="47" t="s">
        <v>5</v>
      </c>
      <c r="J1041" s="47" t="s">
        <v>41</v>
      </c>
      <c r="K1041" s="47" t="s">
        <v>41</v>
      </c>
    </row>
    <row r="1042" spans="1:11" x14ac:dyDescent="0.25">
      <c r="A1042" s="44">
        <v>577</v>
      </c>
      <c r="B1042" s="46">
        <v>45268</v>
      </c>
      <c r="C1042" s="45" t="s">
        <v>86</v>
      </c>
      <c r="D1042" s="47">
        <v>5</v>
      </c>
      <c r="E1042" s="48">
        <v>45272</v>
      </c>
      <c r="F1042" s="47">
        <v>5</v>
      </c>
      <c r="G1042" s="48">
        <v>45278</v>
      </c>
      <c r="H1042" s="47" t="s">
        <v>41</v>
      </c>
      <c r="I1042" s="47" t="s">
        <v>5</v>
      </c>
      <c r="J1042" s="47" t="s">
        <v>41</v>
      </c>
      <c r="K1042" s="47" t="s">
        <v>41</v>
      </c>
    </row>
    <row r="1043" spans="1:11" x14ac:dyDescent="0.25">
      <c r="A1043" s="44">
        <v>3092</v>
      </c>
      <c r="B1043" s="46">
        <v>45268</v>
      </c>
      <c r="C1043" s="45" t="s">
        <v>86</v>
      </c>
      <c r="D1043" s="47">
        <v>5</v>
      </c>
      <c r="E1043" s="48">
        <v>45272</v>
      </c>
      <c r="F1043" s="47">
        <v>5</v>
      </c>
      <c r="G1043" s="48">
        <v>45278</v>
      </c>
      <c r="H1043" s="47" t="s">
        <v>41</v>
      </c>
      <c r="I1043" s="47" t="s">
        <v>5</v>
      </c>
      <c r="J1043" s="47" t="s">
        <v>41</v>
      </c>
      <c r="K1043" s="47" t="s">
        <v>41</v>
      </c>
    </row>
    <row r="1044" spans="1:11" x14ac:dyDescent="0.25">
      <c r="A1044" s="44">
        <v>2410</v>
      </c>
      <c r="B1044" s="46">
        <v>45268</v>
      </c>
      <c r="C1044" s="45" t="s">
        <v>86</v>
      </c>
      <c r="D1044" s="47">
        <v>5</v>
      </c>
      <c r="E1044" s="48">
        <v>45272</v>
      </c>
      <c r="F1044" s="47">
        <v>5</v>
      </c>
      <c r="G1044" s="48">
        <v>45278</v>
      </c>
      <c r="H1044" s="47" t="s">
        <v>3</v>
      </c>
      <c r="I1044" s="47" t="s">
        <v>41</v>
      </c>
      <c r="J1044" s="47" t="s">
        <v>41</v>
      </c>
      <c r="K1044" s="47" t="s">
        <v>4</v>
      </c>
    </row>
    <row r="1045" spans="1:11" x14ac:dyDescent="0.25">
      <c r="A1045" s="44">
        <v>2219</v>
      </c>
      <c r="B1045" s="46">
        <v>45268</v>
      </c>
      <c r="C1045" s="45" t="s">
        <v>7</v>
      </c>
      <c r="D1045" s="47">
        <v>5</v>
      </c>
      <c r="E1045" s="48">
        <v>45272</v>
      </c>
      <c r="F1045" s="47">
        <v>3</v>
      </c>
      <c r="G1045" s="48">
        <v>45276</v>
      </c>
      <c r="H1045" s="47" t="s">
        <v>41</v>
      </c>
      <c r="I1045" s="47" t="s">
        <v>5</v>
      </c>
      <c r="J1045" s="47" t="s">
        <v>41</v>
      </c>
      <c r="K1045" s="47" t="s">
        <v>4</v>
      </c>
    </row>
    <row r="1046" spans="1:11" x14ac:dyDescent="0.25">
      <c r="A1046" s="44">
        <v>3110</v>
      </c>
      <c r="B1046" s="46">
        <v>45268</v>
      </c>
      <c r="C1046" s="45" t="s">
        <v>85</v>
      </c>
      <c r="D1046" s="47">
        <v>5</v>
      </c>
      <c r="E1046" s="48">
        <v>45272</v>
      </c>
      <c r="F1046" s="47">
        <v>3</v>
      </c>
      <c r="G1046" s="48">
        <v>45276</v>
      </c>
      <c r="H1046" s="47" t="s">
        <v>41</v>
      </c>
      <c r="I1046" s="47" t="s">
        <v>5</v>
      </c>
      <c r="J1046" s="47" t="s">
        <v>41</v>
      </c>
      <c r="K1046" s="47" t="s">
        <v>4</v>
      </c>
    </row>
    <row r="1047" spans="1:11" x14ac:dyDescent="0.25">
      <c r="A1047" s="44">
        <v>1364</v>
      </c>
      <c r="B1047" s="46">
        <v>45268</v>
      </c>
      <c r="C1047" s="45" t="s">
        <v>85</v>
      </c>
      <c r="D1047" s="47">
        <v>5</v>
      </c>
      <c r="E1047" s="48">
        <v>45272</v>
      </c>
      <c r="F1047" s="47">
        <v>3</v>
      </c>
      <c r="G1047" s="48">
        <v>45276</v>
      </c>
      <c r="H1047" s="47" t="s">
        <v>41</v>
      </c>
      <c r="I1047" s="47" t="s">
        <v>41</v>
      </c>
      <c r="J1047" s="47" t="s">
        <v>1</v>
      </c>
      <c r="K1047" s="47" t="s">
        <v>4</v>
      </c>
    </row>
    <row r="1048" spans="1:11" x14ac:dyDescent="0.25">
      <c r="A1048" s="44">
        <v>3502</v>
      </c>
      <c r="B1048" s="46">
        <v>45268</v>
      </c>
      <c r="C1048" s="45" t="s">
        <v>85</v>
      </c>
      <c r="D1048" s="47">
        <v>5</v>
      </c>
      <c r="E1048" s="48">
        <v>45272</v>
      </c>
      <c r="F1048" s="47">
        <v>3</v>
      </c>
      <c r="G1048" s="48">
        <v>45276</v>
      </c>
      <c r="H1048" s="47" t="s">
        <v>3</v>
      </c>
      <c r="I1048" s="47" t="s">
        <v>41</v>
      </c>
      <c r="J1048" s="47" t="s">
        <v>1</v>
      </c>
      <c r="K1048" s="47" t="s">
        <v>4</v>
      </c>
    </row>
    <row r="1049" spans="1:11" x14ac:dyDescent="0.25">
      <c r="A1049" s="44">
        <v>3446</v>
      </c>
      <c r="B1049" s="46">
        <v>45268</v>
      </c>
      <c r="C1049" s="45" t="s">
        <v>86</v>
      </c>
      <c r="D1049" s="47">
        <v>5</v>
      </c>
      <c r="E1049" s="48">
        <v>45272</v>
      </c>
      <c r="F1049" s="47">
        <v>5</v>
      </c>
      <c r="G1049" s="48">
        <v>45278</v>
      </c>
      <c r="H1049" s="47" t="s">
        <v>41</v>
      </c>
      <c r="I1049" s="47" t="s">
        <v>5</v>
      </c>
      <c r="J1049" s="47" t="s">
        <v>41</v>
      </c>
      <c r="K1049" s="47" t="s">
        <v>41</v>
      </c>
    </row>
    <row r="1050" spans="1:11" x14ac:dyDescent="0.25">
      <c r="A1050" s="44">
        <v>3107</v>
      </c>
      <c r="B1050" s="46">
        <v>45269</v>
      </c>
      <c r="C1050" s="45" t="s">
        <v>7</v>
      </c>
      <c r="D1050" s="47">
        <v>5</v>
      </c>
      <c r="E1050" s="48">
        <v>45273</v>
      </c>
      <c r="F1050" s="47">
        <v>3</v>
      </c>
      <c r="G1050" s="48">
        <v>45277</v>
      </c>
      <c r="H1050" s="47" t="s">
        <v>3</v>
      </c>
      <c r="I1050" s="47" t="s">
        <v>41</v>
      </c>
      <c r="J1050" s="47" t="s">
        <v>41</v>
      </c>
      <c r="K1050" s="47" t="s">
        <v>41</v>
      </c>
    </row>
    <row r="1051" spans="1:11" x14ac:dyDescent="0.25">
      <c r="A1051" s="44">
        <v>1960</v>
      </c>
      <c r="B1051" s="46">
        <v>45270</v>
      </c>
      <c r="C1051" s="45" t="s">
        <v>86</v>
      </c>
      <c r="D1051" s="47">
        <v>5</v>
      </c>
      <c r="E1051" s="48">
        <v>45274</v>
      </c>
      <c r="F1051" s="47">
        <v>5</v>
      </c>
      <c r="G1051" s="48">
        <v>45280</v>
      </c>
      <c r="H1051" s="47" t="s">
        <v>41</v>
      </c>
      <c r="I1051" s="47" t="s">
        <v>5</v>
      </c>
      <c r="J1051" s="47" t="s">
        <v>1</v>
      </c>
      <c r="K1051" s="47" t="s">
        <v>41</v>
      </c>
    </row>
    <row r="1052" spans="1:11" x14ac:dyDescent="0.25">
      <c r="A1052" s="44">
        <v>1160</v>
      </c>
      <c r="B1052" s="46">
        <v>45270</v>
      </c>
      <c r="C1052" s="45" t="s">
        <v>6</v>
      </c>
      <c r="D1052" s="47">
        <v>5</v>
      </c>
      <c r="E1052" s="48">
        <v>45274</v>
      </c>
      <c r="F1052" s="47">
        <v>5</v>
      </c>
      <c r="G1052" s="48">
        <v>45280</v>
      </c>
      <c r="H1052" s="47" t="s">
        <v>41</v>
      </c>
      <c r="I1052" s="47" t="s">
        <v>41</v>
      </c>
      <c r="J1052" s="47" t="s">
        <v>1</v>
      </c>
      <c r="K1052" s="47" t="s">
        <v>41</v>
      </c>
    </row>
    <row r="1053" spans="1:11" x14ac:dyDescent="0.25">
      <c r="A1053" s="44">
        <v>1780</v>
      </c>
      <c r="B1053" s="46">
        <v>45270</v>
      </c>
      <c r="C1053" s="45" t="s">
        <v>6</v>
      </c>
      <c r="D1053" s="47">
        <v>5</v>
      </c>
      <c r="E1053" s="48">
        <v>45274</v>
      </c>
      <c r="F1053" s="47">
        <v>5</v>
      </c>
      <c r="G1053" s="48">
        <v>45280</v>
      </c>
      <c r="H1053" s="47" t="s">
        <v>3</v>
      </c>
      <c r="I1053" s="47" t="s">
        <v>5</v>
      </c>
      <c r="J1053" s="47" t="s">
        <v>41</v>
      </c>
      <c r="K1053" s="47" t="s">
        <v>41</v>
      </c>
    </row>
    <row r="1054" spans="1:11" x14ac:dyDescent="0.25">
      <c r="A1054" s="44">
        <v>2427</v>
      </c>
      <c r="B1054" s="46">
        <v>45270</v>
      </c>
      <c r="C1054" s="45" t="s">
        <v>6</v>
      </c>
      <c r="D1054" s="47">
        <v>5</v>
      </c>
      <c r="E1054" s="48">
        <v>45274</v>
      </c>
      <c r="F1054" s="47">
        <v>5</v>
      </c>
      <c r="G1054" s="48">
        <v>45280</v>
      </c>
      <c r="H1054" s="47" t="s">
        <v>41</v>
      </c>
      <c r="I1054" s="47" t="s">
        <v>41</v>
      </c>
      <c r="J1054" s="47" t="s">
        <v>1</v>
      </c>
      <c r="K1054" s="47" t="s">
        <v>41</v>
      </c>
    </row>
    <row r="1055" spans="1:11" x14ac:dyDescent="0.25">
      <c r="A1055" s="44">
        <v>2773</v>
      </c>
      <c r="B1055" s="46">
        <v>45271</v>
      </c>
      <c r="C1055" s="45" t="s">
        <v>85</v>
      </c>
      <c r="D1055" s="47">
        <v>5</v>
      </c>
      <c r="E1055" s="48">
        <v>45275</v>
      </c>
      <c r="F1055" s="47">
        <v>3</v>
      </c>
      <c r="G1055" s="48">
        <v>45279</v>
      </c>
      <c r="H1055" s="47" t="s">
        <v>3</v>
      </c>
      <c r="I1055" s="47" t="s">
        <v>41</v>
      </c>
      <c r="J1055" s="47" t="s">
        <v>41</v>
      </c>
      <c r="K1055" s="47" t="s">
        <v>41</v>
      </c>
    </row>
    <row r="1056" spans="1:11" x14ac:dyDescent="0.25">
      <c r="A1056" s="44">
        <v>2118</v>
      </c>
      <c r="B1056" s="46">
        <v>45273</v>
      </c>
      <c r="C1056" s="45" t="s">
        <v>14</v>
      </c>
      <c r="D1056" s="47">
        <v>5</v>
      </c>
      <c r="E1056" s="48">
        <v>45277</v>
      </c>
      <c r="F1056" s="47">
        <v>3</v>
      </c>
      <c r="G1056" s="48">
        <v>45281</v>
      </c>
      <c r="H1056" s="47" t="s">
        <v>41</v>
      </c>
      <c r="I1056" s="47" t="s">
        <v>41</v>
      </c>
      <c r="J1056" s="47" t="s">
        <v>1</v>
      </c>
      <c r="K1056" s="47" t="s">
        <v>41</v>
      </c>
    </row>
    <row r="1057" spans="1:11" x14ac:dyDescent="0.25">
      <c r="A1057" s="44">
        <v>3141</v>
      </c>
      <c r="B1057" s="46">
        <v>45273</v>
      </c>
      <c r="C1057" s="45" t="s">
        <v>14</v>
      </c>
      <c r="D1057" s="47">
        <v>5</v>
      </c>
      <c r="E1057" s="48">
        <v>45277</v>
      </c>
      <c r="F1057" s="47">
        <v>3</v>
      </c>
      <c r="G1057" s="48">
        <v>45281</v>
      </c>
      <c r="H1057" s="47" t="s">
        <v>3</v>
      </c>
      <c r="I1057" s="47" t="s">
        <v>5</v>
      </c>
      <c r="J1057" s="47" t="s">
        <v>41</v>
      </c>
      <c r="K1057" s="47" t="s">
        <v>4</v>
      </c>
    </row>
    <row r="1058" spans="1:11" x14ac:dyDescent="0.25">
      <c r="A1058" s="44">
        <v>2549</v>
      </c>
      <c r="B1058" s="46">
        <v>45273</v>
      </c>
      <c r="C1058" s="45" t="s">
        <v>14</v>
      </c>
      <c r="D1058" s="47">
        <v>5</v>
      </c>
      <c r="E1058" s="48">
        <v>45277</v>
      </c>
      <c r="F1058" s="47">
        <v>3</v>
      </c>
      <c r="G1058" s="48">
        <v>45281</v>
      </c>
      <c r="H1058" s="47" t="s">
        <v>41</v>
      </c>
      <c r="I1058" s="47" t="s">
        <v>41</v>
      </c>
      <c r="J1058" s="47" t="s">
        <v>41</v>
      </c>
      <c r="K1058" s="47" t="s">
        <v>4</v>
      </c>
    </row>
    <row r="1059" spans="1:11" x14ac:dyDescent="0.25">
      <c r="A1059" s="44">
        <v>3536</v>
      </c>
      <c r="B1059" s="46">
        <v>45273</v>
      </c>
      <c r="C1059" s="45" t="s">
        <v>14</v>
      </c>
      <c r="D1059" s="47">
        <v>5</v>
      </c>
      <c r="E1059" s="48">
        <v>45277</v>
      </c>
      <c r="F1059" s="47">
        <v>3</v>
      </c>
      <c r="G1059" s="48">
        <v>45281</v>
      </c>
      <c r="H1059" s="47" t="s">
        <v>41</v>
      </c>
      <c r="I1059" s="47" t="s">
        <v>41</v>
      </c>
      <c r="J1059" s="47" t="s">
        <v>41</v>
      </c>
      <c r="K1059" s="47" t="s">
        <v>4</v>
      </c>
    </row>
    <row r="1060" spans="1:11" x14ac:dyDescent="0.25">
      <c r="A1060" s="44">
        <v>3502</v>
      </c>
      <c r="B1060" s="46">
        <v>45273</v>
      </c>
      <c r="C1060" s="45" t="s">
        <v>6</v>
      </c>
      <c r="D1060" s="47">
        <v>5</v>
      </c>
      <c r="E1060" s="48">
        <v>45277</v>
      </c>
      <c r="F1060" s="47">
        <v>5</v>
      </c>
      <c r="G1060" s="48">
        <v>45283</v>
      </c>
      <c r="H1060" s="47" t="s">
        <v>41</v>
      </c>
      <c r="I1060" s="47" t="s">
        <v>41</v>
      </c>
      <c r="J1060" s="47" t="s">
        <v>1</v>
      </c>
      <c r="K1060" s="47" t="s">
        <v>41</v>
      </c>
    </row>
    <row r="1061" spans="1:11" x14ac:dyDescent="0.25">
      <c r="A1061" s="44">
        <v>2250</v>
      </c>
      <c r="B1061" s="46">
        <v>45273</v>
      </c>
      <c r="C1061" s="45" t="s">
        <v>6</v>
      </c>
      <c r="D1061" s="47">
        <v>5</v>
      </c>
      <c r="E1061" s="48">
        <v>45277</v>
      </c>
      <c r="F1061" s="47">
        <v>5</v>
      </c>
      <c r="G1061" s="48">
        <v>45283</v>
      </c>
      <c r="H1061" s="47" t="s">
        <v>3</v>
      </c>
      <c r="I1061" s="47" t="s">
        <v>5</v>
      </c>
      <c r="J1061" s="47" t="s">
        <v>1</v>
      </c>
      <c r="K1061" s="47" t="s">
        <v>41</v>
      </c>
    </row>
    <row r="1062" spans="1:11" x14ac:dyDescent="0.25">
      <c r="A1062" s="44">
        <v>873</v>
      </c>
      <c r="B1062" s="46">
        <v>45273</v>
      </c>
      <c r="C1062" s="45" t="s">
        <v>7</v>
      </c>
      <c r="D1062" s="47">
        <v>5</v>
      </c>
      <c r="E1062" s="48">
        <v>45277</v>
      </c>
      <c r="F1062" s="47">
        <v>3</v>
      </c>
      <c r="G1062" s="48">
        <v>45281</v>
      </c>
      <c r="H1062" s="47" t="s">
        <v>41</v>
      </c>
      <c r="I1062" s="47" t="s">
        <v>41</v>
      </c>
      <c r="J1062" s="47" t="s">
        <v>41</v>
      </c>
      <c r="K1062" s="47" t="s">
        <v>4</v>
      </c>
    </row>
    <row r="1063" spans="1:11" x14ac:dyDescent="0.25">
      <c r="A1063" s="44">
        <v>3055</v>
      </c>
      <c r="B1063" s="46">
        <v>45273</v>
      </c>
      <c r="C1063" s="45" t="s">
        <v>7</v>
      </c>
      <c r="D1063" s="47">
        <v>5</v>
      </c>
      <c r="E1063" s="48">
        <v>45277</v>
      </c>
      <c r="F1063" s="47">
        <v>3</v>
      </c>
      <c r="G1063" s="48">
        <v>45281</v>
      </c>
      <c r="H1063" s="47" t="s">
        <v>3</v>
      </c>
      <c r="I1063" s="47" t="s">
        <v>41</v>
      </c>
      <c r="J1063" s="47" t="s">
        <v>41</v>
      </c>
      <c r="K1063" s="47" t="s">
        <v>41</v>
      </c>
    </row>
    <row r="1064" spans="1:11" x14ac:dyDescent="0.25">
      <c r="A1064" s="44">
        <v>3431</v>
      </c>
      <c r="B1064" s="46">
        <v>45273</v>
      </c>
      <c r="C1064" s="45" t="s">
        <v>7</v>
      </c>
      <c r="D1064" s="47">
        <v>5</v>
      </c>
      <c r="E1064" s="48">
        <v>45277</v>
      </c>
      <c r="F1064" s="47">
        <v>3</v>
      </c>
      <c r="G1064" s="48">
        <v>45281</v>
      </c>
      <c r="H1064" s="47" t="s">
        <v>41</v>
      </c>
      <c r="I1064" s="47" t="s">
        <v>41</v>
      </c>
      <c r="J1064" s="47" t="s">
        <v>1</v>
      </c>
      <c r="K1064" s="47" t="s">
        <v>41</v>
      </c>
    </row>
    <row r="1065" spans="1:11" x14ac:dyDescent="0.25">
      <c r="A1065" s="44">
        <v>2766</v>
      </c>
      <c r="B1065" s="46">
        <v>45273</v>
      </c>
      <c r="C1065" s="45" t="s">
        <v>84</v>
      </c>
      <c r="D1065" s="47">
        <v>5</v>
      </c>
      <c r="E1065" s="48">
        <v>45277</v>
      </c>
      <c r="F1065" s="47">
        <v>9</v>
      </c>
      <c r="G1065" s="48">
        <v>45287</v>
      </c>
      <c r="H1065" s="47" t="s">
        <v>41</v>
      </c>
      <c r="I1065" s="47" t="s">
        <v>5</v>
      </c>
      <c r="J1065" s="47" t="s">
        <v>41</v>
      </c>
      <c r="K1065" s="47" t="s">
        <v>41</v>
      </c>
    </row>
    <row r="1066" spans="1:11" x14ac:dyDescent="0.25">
      <c r="A1066" s="44">
        <v>2512</v>
      </c>
      <c r="B1066" s="46">
        <v>45275</v>
      </c>
      <c r="C1066" s="45" t="s">
        <v>14</v>
      </c>
      <c r="D1066" s="47">
        <v>5</v>
      </c>
      <c r="E1066" s="48">
        <v>45279</v>
      </c>
      <c r="F1066" s="47">
        <v>3</v>
      </c>
      <c r="G1066" s="48">
        <v>45283</v>
      </c>
      <c r="H1066" s="47" t="s">
        <v>41</v>
      </c>
      <c r="I1066" s="47" t="s">
        <v>5</v>
      </c>
      <c r="J1066" s="47" t="s">
        <v>41</v>
      </c>
      <c r="K1066" s="47" t="s">
        <v>41</v>
      </c>
    </row>
    <row r="1067" spans="1:11" x14ac:dyDescent="0.25">
      <c r="A1067" s="44">
        <v>2745</v>
      </c>
      <c r="B1067" s="46">
        <v>45275</v>
      </c>
      <c r="C1067" s="45" t="s">
        <v>7</v>
      </c>
      <c r="D1067" s="47">
        <v>5</v>
      </c>
      <c r="E1067" s="48">
        <v>45279</v>
      </c>
      <c r="F1067" s="47">
        <v>3</v>
      </c>
      <c r="G1067" s="48">
        <v>45283</v>
      </c>
      <c r="H1067" s="47" t="s">
        <v>41</v>
      </c>
      <c r="I1067" s="47" t="s">
        <v>5</v>
      </c>
      <c r="J1067" s="47" t="s">
        <v>41</v>
      </c>
      <c r="K1067" s="47" t="s">
        <v>41</v>
      </c>
    </row>
    <row r="1068" spans="1:11" x14ac:dyDescent="0.25">
      <c r="A1068" s="44">
        <v>1728</v>
      </c>
      <c r="B1068" s="46">
        <v>45275</v>
      </c>
      <c r="C1068" s="45" t="s">
        <v>7</v>
      </c>
      <c r="D1068" s="47">
        <v>5</v>
      </c>
      <c r="E1068" s="48">
        <v>45279</v>
      </c>
      <c r="F1068" s="47">
        <v>3</v>
      </c>
      <c r="G1068" s="48">
        <v>45283</v>
      </c>
      <c r="H1068" s="47" t="s">
        <v>41</v>
      </c>
      <c r="I1068" s="47" t="s">
        <v>5</v>
      </c>
      <c r="J1068" s="47" t="s">
        <v>41</v>
      </c>
      <c r="K1068" s="47" t="s">
        <v>41</v>
      </c>
    </row>
    <row r="1069" spans="1:11" x14ac:dyDescent="0.25">
      <c r="A1069" s="44">
        <v>3446</v>
      </c>
      <c r="B1069" s="46">
        <v>45275</v>
      </c>
      <c r="C1069" s="45" t="s">
        <v>84</v>
      </c>
      <c r="D1069" s="47">
        <v>5</v>
      </c>
      <c r="E1069" s="48">
        <v>45279</v>
      </c>
      <c r="F1069" s="47">
        <v>9</v>
      </c>
      <c r="G1069" s="48">
        <v>45289</v>
      </c>
      <c r="H1069" s="47" t="s">
        <v>41</v>
      </c>
      <c r="I1069" s="47" t="s">
        <v>5</v>
      </c>
      <c r="J1069" s="47" t="s">
        <v>41</v>
      </c>
      <c r="K1069" s="47" t="s">
        <v>41</v>
      </c>
    </row>
    <row r="1070" spans="1:11" x14ac:dyDescent="0.25">
      <c r="A1070" s="44">
        <v>3037</v>
      </c>
      <c r="B1070" s="46">
        <v>45275</v>
      </c>
      <c r="C1070" s="45" t="s">
        <v>84</v>
      </c>
      <c r="D1070" s="47">
        <v>5</v>
      </c>
      <c r="E1070" s="48">
        <v>45279</v>
      </c>
      <c r="F1070" s="47">
        <v>9</v>
      </c>
      <c r="G1070" s="48">
        <v>45289</v>
      </c>
      <c r="H1070" s="47" t="s">
        <v>41</v>
      </c>
      <c r="I1070" s="47" t="s">
        <v>41</v>
      </c>
      <c r="J1070" s="47" t="s">
        <v>41</v>
      </c>
      <c r="K1070" s="47" t="s">
        <v>4</v>
      </c>
    </row>
    <row r="1071" spans="1:11" x14ac:dyDescent="0.25">
      <c r="A1071" s="44">
        <v>1364</v>
      </c>
      <c r="B1071" s="46">
        <v>45275</v>
      </c>
      <c r="C1071" s="45" t="s">
        <v>84</v>
      </c>
      <c r="D1071" s="47">
        <v>5</v>
      </c>
      <c r="E1071" s="48">
        <v>45279</v>
      </c>
      <c r="F1071" s="47">
        <v>9</v>
      </c>
      <c r="G1071" s="48">
        <v>45289</v>
      </c>
      <c r="H1071" s="47" t="s">
        <v>41</v>
      </c>
      <c r="I1071" s="47" t="s">
        <v>5</v>
      </c>
      <c r="J1071" s="47" t="s">
        <v>1</v>
      </c>
      <c r="K1071" s="47" t="s">
        <v>41</v>
      </c>
    </row>
    <row r="1072" spans="1:11" x14ac:dyDescent="0.25">
      <c r="A1072" s="44">
        <v>2379</v>
      </c>
      <c r="B1072" s="46">
        <v>45275</v>
      </c>
      <c r="C1072" s="45" t="s">
        <v>7</v>
      </c>
      <c r="D1072" s="47">
        <v>5</v>
      </c>
      <c r="E1072" s="48">
        <v>45279</v>
      </c>
      <c r="F1072" s="47">
        <v>3</v>
      </c>
      <c r="G1072" s="48">
        <v>45283</v>
      </c>
      <c r="H1072" s="47" t="s">
        <v>41</v>
      </c>
      <c r="I1072" s="47" t="s">
        <v>5</v>
      </c>
      <c r="J1072" s="47" t="s">
        <v>41</v>
      </c>
      <c r="K1072" s="47" t="s">
        <v>41</v>
      </c>
    </row>
    <row r="1073" spans="1:11" x14ac:dyDescent="0.25">
      <c r="A1073" s="44">
        <v>2186</v>
      </c>
      <c r="B1073" s="46">
        <v>45278</v>
      </c>
      <c r="C1073" s="45" t="s">
        <v>7</v>
      </c>
      <c r="D1073" s="47">
        <v>5</v>
      </c>
      <c r="E1073" s="48">
        <v>45282</v>
      </c>
      <c r="F1073" s="47">
        <v>3</v>
      </c>
      <c r="G1073" s="48">
        <v>45286</v>
      </c>
      <c r="H1073" s="47" t="s">
        <v>3</v>
      </c>
      <c r="I1073" s="47" t="s">
        <v>5</v>
      </c>
      <c r="J1073" s="47" t="s">
        <v>1</v>
      </c>
      <c r="K1073" s="47" t="s">
        <v>41</v>
      </c>
    </row>
    <row r="1074" spans="1:11" x14ac:dyDescent="0.25">
      <c r="A1074" s="44">
        <v>2625</v>
      </c>
      <c r="B1074" s="46">
        <v>45278</v>
      </c>
      <c r="C1074" s="45" t="s">
        <v>6</v>
      </c>
      <c r="D1074" s="47">
        <v>5</v>
      </c>
      <c r="E1074" s="48">
        <v>45282</v>
      </c>
      <c r="F1074" s="47">
        <v>5</v>
      </c>
      <c r="G1074" s="48">
        <v>45288</v>
      </c>
      <c r="H1074" s="47" t="s">
        <v>3</v>
      </c>
      <c r="I1074" s="47" t="s">
        <v>41</v>
      </c>
      <c r="J1074" s="47" t="s">
        <v>41</v>
      </c>
      <c r="K1074" s="47" t="s">
        <v>41</v>
      </c>
    </row>
    <row r="1075" spans="1:11" x14ac:dyDescent="0.25">
      <c r="A1075" s="44">
        <v>2766</v>
      </c>
      <c r="B1075" s="46">
        <v>45279</v>
      </c>
      <c r="C1075" s="45" t="s">
        <v>6</v>
      </c>
      <c r="D1075" s="47">
        <v>5</v>
      </c>
      <c r="E1075" s="48">
        <v>45283</v>
      </c>
      <c r="F1075" s="47">
        <v>5</v>
      </c>
      <c r="G1075" s="48">
        <v>45289</v>
      </c>
      <c r="H1075" s="47" t="s">
        <v>41</v>
      </c>
      <c r="I1075" s="47" t="s">
        <v>5</v>
      </c>
      <c r="J1075" s="47" t="s">
        <v>41</v>
      </c>
      <c r="K1075" s="47" t="s">
        <v>41</v>
      </c>
    </row>
    <row r="1076" spans="1:11" x14ac:dyDescent="0.25">
      <c r="A1076" s="44">
        <v>3107</v>
      </c>
      <c r="B1076" s="46">
        <v>45279</v>
      </c>
      <c r="C1076" s="45" t="s">
        <v>6</v>
      </c>
      <c r="D1076" s="47">
        <v>5</v>
      </c>
      <c r="E1076" s="48">
        <v>45283</v>
      </c>
      <c r="F1076" s="47">
        <v>5</v>
      </c>
      <c r="G1076" s="48">
        <v>45289</v>
      </c>
      <c r="H1076" s="47" t="s">
        <v>3</v>
      </c>
      <c r="I1076" s="47" t="s">
        <v>41</v>
      </c>
      <c r="J1076" s="47" t="s">
        <v>41</v>
      </c>
      <c r="K1076" s="47" t="s">
        <v>41</v>
      </c>
    </row>
    <row r="1077" spans="1:11" x14ac:dyDescent="0.25">
      <c r="A1077" s="44">
        <v>3055</v>
      </c>
      <c r="B1077" s="46">
        <v>45279</v>
      </c>
      <c r="C1077" s="45" t="s">
        <v>6</v>
      </c>
      <c r="D1077" s="47">
        <v>5</v>
      </c>
      <c r="E1077" s="48">
        <v>45283</v>
      </c>
      <c r="F1077" s="47">
        <v>5</v>
      </c>
      <c r="G1077" s="48">
        <v>45289</v>
      </c>
      <c r="H1077" s="47" t="s">
        <v>3</v>
      </c>
      <c r="I1077" s="47" t="s">
        <v>41</v>
      </c>
      <c r="J1077" s="47" t="s">
        <v>1</v>
      </c>
      <c r="K1077" s="47" t="s">
        <v>41</v>
      </c>
    </row>
    <row r="1078" spans="1:11" x14ac:dyDescent="0.25">
      <c r="A1078" s="44">
        <v>1780</v>
      </c>
      <c r="B1078" s="46">
        <v>45279</v>
      </c>
      <c r="C1078" s="45" t="s">
        <v>6</v>
      </c>
      <c r="D1078" s="47">
        <v>5</v>
      </c>
      <c r="E1078" s="48">
        <v>45283</v>
      </c>
      <c r="F1078" s="47">
        <v>5</v>
      </c>
      <c r="G1078" s="48">
        <v>45289</v>
      </c>
      <c r="H1078" s="47" t="s">
        <v>3</v>
      </c>
      <c r="I1078" s="47" t="s">
        <v>5</v>
      </c>
      <c r="J1078" s="47" t="s">
        <v>41</v>
      </c>
      <c r="K1078" s="47" t="s">
        <v>41</v>
      </c>
    </row>
    <row r="1079" spans="1:11" x14ac:dyDescent="0.25">
      <c r="A1079" s="44">
        <v>2427</v>
      </c>
      <c r="B1079" s="46">
        <v>45279</v>
      </c>
      <c r="C1079" s="45" t="s">
        <v>14</v>
      </c>
      <c r="D1079" s="47">
        <v>5</v>
      </c>
      <c r="E1079" s="48">
        <v>45283</v>
      </c>
      <c r="F1079" s="47">
        <v>3</v>
      </c>
      <c r="G1079" s="48">
        <v>45287</v>
      </c>
      <c r="H1079" s="47" t="s">
        <v>3</v>
      </c>
      <c r="I1079" s="47" t="s">
        <v>41</v>
      </c>
      <c r="J1079" s="47" t="s">
        <v>41</v>
      </c>
      <c r="K1079" s="47" t="s">
        <v>41</v>
      </c>
    </row>
    <row r="1080" spans="1:11" x14ac:dyDescent="0.25">
      <c r="A1080" s="44">
        <v>3544</v>
      </c>
      <c r="B1080" s="46">
        <v>45280</v>
      </c>
      <c r="C1080" s="45" t="s">
        <v>6</v>
      </c>
      <c r="D1080" s="47">
        <v>5</v>
      </c>
      <c r="E1080" s="48">
        <v>45284</v>
      </c>
      <c r="F1080" s="47">
        <v>5</v>
      </c>
      <c r="G1080" s="48">
        <v>45290</v>
      </c>
      <c r="H1080" s="47" t="s">
        <v>3</v>
      </c>
      <c r="I1080" s="47" t="s">
        <v>41</v>
      </c>
      <c r="J1080" s="47" t="s">
        <v>41</v>
      </c>
      <c r="K1080" s="47" t="s">
        <v>41</v>
      </c>
    </row>
    <row r="1081" spans="1:11" x14ac:dyDescent="0.25">
      <c r="A1081" s="44">
        <v>1160</v>
      </c>
      <c r="B1081" s="46">
        <v>45281</v>
      </c>
      <c r="C1081" s="45" t="s">
        <v>6</v>
      </c>
      <c r="D1081" s="47">
        <v>5</v>
      </c>
      <c r="E1081" s="48">
        <v>45285</v>
      </c>
      <c r="F1081" s="47">
        <v>5</v>
      </c>
      <c r="G1081" s="48">
        <v>45291</v>
      </c>
      <c r="H1081" s="47" t="s">
        <v>41</v>
      </c>
      <c r="I1081" s="47" t="s">
        <v>41</v>
      </c>
      <c r="J1081" s="47" t="s">
        <v>1</v>
      </c>
      <c r="K1081" s="47" t="s">
        <v>41</v>
      </c>
    </row>
    <row r="1082" spans="1:11" x14ac:dyDescent="0.25">
      <c r="A1082" s="44">
        <v>2706</v>
      </c>
      <c r="B1082" s="46">
        <v>45281</v>
      </c>
      <c r="C1082" s="45" t="s">
        <v>6</v>
      </c>
      <c r="D1082" s="47">
        <v>5</v>
      </c>
      <c r="E1082" s="48">
        <v>45285</v>
      </c>
      <c r="F1082" s="47">
        <v>5</v>
      </c>
      <c r="G1082" s="48">
        <v>45291</v>
      </c>
      <c r="H1082" s="47" t="s">
        <v>3</v>
      </c>
      <c r="I1082" s="47" t="s">
        <v>5</v>
      </c>
      <c r="J1082" s="47" t="s">
        <v>41</v>
      </c>
      <c r="K1082" s="47" t="s">
        <v>4</v>
      </c>
    </row>
    <row r="1083" spans="1:11" x14ac:dyDescent="0.25">
      <c r="A1083" s="44">
        <v>2118</v>
      </c>
      <c r="B1083" s="46">
        <v>45281</v>
      </c>
      <c r="C1083" s="45" t="s">
        <v>85</v>
      </c>
      <c r="D1083" s="47">
        <v>5</v>
      </c>
      <c r="E1083" s="48">
        <v>45285</v>
      </c>
      <c r="F1083" s="47">
        <v>3</v>
      </c>
      <c r="G1083" s="48">
        <v>45289</v>
      </c>
      <c r="H1083" s="47" t="s">
        <v>41</v>
      </c>
      <c r="I1083" s="47" t="s">
        <v>41</v>
      </c>
      <c r="J1083" s="47" t="s">
        <v>1</v>
      </c>
      <c r="K1083" s="47" t="s">
        <v>41</v>
      </c>
    </row>
    <row r="1084" spans="1:11" x14ac:dyDescent="0.25">
      <c r="A1084" s="44">
        <v>872</v>
      </c>
      <c r="B1084" s="46">
        <v>45281</v>
      </c>
      <c r="C1084" s="45" t="s">
        <v>7</v>
      </c>
      <c r="D1084" s="47">
        <v>5</v>
      </c>
      <c r="E1084" s="48">
        <v>45285</v>
      </c>
      <c r="F1084" s="47">
        <v>3</v>
      </c>
      <c r="G1084" s="48">
        <v>45289</v>
      </c>
      <c r="H1084" s="47" t="s">
        <v>41</v>
      </c>
      <c r="I1084" s="47" t="s">
        <v>5</v>
      </c>
      <c r="J1084" s="47" t="s">
        <v>41</v>
      </c>
      <c r="K1084" s="47" t="s">
        <v>41</v>
      </c>
    </row>
    <row r="1085" spans="1:11" x14ac:dyDescent="0.25">
      <c r="A1085" s="44">
        <v>3831</v>
      </c>
      <c r="B1085" s="46">
        <v>45282</v>
      </c>
      <c r="C1085" s="45" t="s">
        <v>7</v>
      </c>
      <c r="D1085" s="47">
        <v>5</v>
      </c>
      <c r="E1085" s="48">
        <v>45286</v>
      </c>
      <c r="F1085" s="47">
        <v>3</v>
      </c>
      <c r="G1085" s="48">
        <v>45290</v>
      </c>
      <c r="H1085" s="47" t="s">
        <v>41</v>
      </c>
      <c r="I1085" s="47" t="s">
        <v>41</v>
      </c>
      <c r="J1085" s="47" t="s">
        <v>1</v>
      </c>
      <c r="K1085" s="47" t="s">
        <v>41</v>
      </c>
    </row>
    <row r="1086" spans="1:11" x14ac:dyDescent="0.25">
      <c r="A1086" s="44">
        <v>2734</v>
      </c>
      <c r="B1086" s="46">
        <v>45283</v>
      </c>
      <c r="C1086" s="45" t="s">
        <v>7</v>
      </c>
      <c r="D1086" s="47">
        <v>5</v>
      </c>
      <c r="E1086" s="48">
        <v>45287</v>
      </c>
      <c r="F1086" s="47">
        <v>3</v>
      </c>
      <c r="G1086" s="48">
        <v>45291</v>
      </c>
      <c r="H1086" s="47" t="s">
        <v>41</v>
      </c>
      <c r="I1086" s="47" t="s">
        <v>5</v>
      </c>
      <c r="J1086" s="47" t="s">
        <v>41</v>
      </c>
      <c r="K1086" s="47" t="s">
        <v>41</v>
      </c>
    </row>
    <row r="1087" spans="1:11" x14ac:dyDescent="0.25">
      <c r="A1087" s="44">
        <v>2512</v>
      </c>
      <c r="B1087" s="46">
        <v>45283</v>
      </c>
      <c r="C1087" s="45" t="s">
        <v>6</v>
      </c>
      <c r="D1087" s="47">
        <v>5</v>
      </c>
      <c r="E1087" s="48">
        <v>45287</v>
      </c>
      <c r="F1087" s="47">
        <v>5</v>
      </c>
      <c r="G1087" s="48">
        <v>45293</v>
      </c>
      <c r="H1087" s="47" t="s">
        <v>41</v>
      </c>
      <c r="I1087" s="47" t="s">
        <v>5</v>
      </c>
      <c r="J1087" s="47" t="s">
        <v>41</v>
      </c>
      <c r="K1087" s="47" t="s">
        <v>4</v>
      </c>
    </row>
    <row r="1088" spans="1:11" x14ac:dyDescent="0.25">
      <c r="A1088" s="44">
        <v>2229</v>
      </c>
      <c r="B1088" s="46">
        <v>45283</v>
      </c>
      <c r="C1088" s="45" t="s">
        <v>7</v>
      </c>
      <c r="D1088" s="47">
        <v>5</v>
      </c>
      <c r="E1088" s="48">
        <v>45287</v>
      </c>
      <c r="F1088" s="47">
        <v>3</v>
      </c>
      <c r="G1088" s="48">
        <v>45291</v>
      </c>
      <c r="H1088" s="47" t="s">
        <v>3</v>
      </c>
      <c r="I1088" s="47" t="s">
        <v>5</v>
      </c>
      <c r="J1088" s="47" t="s">
        <v>1</v>
      </c>
      <c r="K1088" s="47" t="s">
        <v>4</v>
      </c>
    </row>
    <row r="1089" spans="1:11" x14ac:dyDescent="0.25">
      <c r="A1089" s="44">
        <v>2276</v>
      </c>
      <c r="B1089" s="46">
        <v>45283</v>
      </c>
      <c r="C1089" s="45" t="s">
        <v>84</v>
      </c>
      <c r="D1089" s="47">
        <v>5</v>
      </c>
      <c r="E1089" s="48">
        <v>45287</v>
      </c>
      <c r="F1089" s="47">
        <v>9</v>
      </c>
      <c r="G1089" s="48">
        <v>45297</v>
      </c>
      <c r="H1089" s="47" t="s">
        <v>3</v>
      </c>
      <c r="I1089" s="47" t="s">
        <v>5</v>
      </c>
      <c r="J1089" s="47" t="s">
        <v>1</v>
      </c>
      <c r="K1089" s="47" t="s">
        <v>4</v>
      </c>
    </row>
    <row r="1090" spans="1:11" x14ac:dyDescent="0.25">
      <c r="A1090" s="44">
        <v>3661</v>
      </c>
      <c r="B1090" s="46">
        <v>45284</v>
      </c>
      <c r="C1090" s="45" t="s">
        <v>7</v>
      </c>
      <c r="D1090" s="47">
        <v>5</v>
      </c>
      <c r="E1090" s="48">
        <v>45288</v>
      </c>
      <c r="F1090" s="47">
        <v>3</v>
      </c>
      <c r="G1090" s="48">
        <v>45292</v>
      </c>
      <c r="H1090" s="47" t="s">
        <v>41</v>
      </c>
      <c r="I1090" s="47" t="s">
        <v>41</v>
      </c>
      <c r="J1090" s="47" t="s">
        <v>1</v>
      </c>
      <c r="K1090" s="47" t="s">
        <v>4</v>
      </c>
    </row>
    <row r="1091" spans="1:11" x14ac:dyDescent="0.25">
      <c r="A1091" s="44">
        <v>2250</v>
      </c>
      <c r="B1091" s="46">
        <v>45285</v>
      </c>
      <c r="C1091" s="45" t="s">
        <v>85</v>
      </c>
      <c r="D1091" s="47">
        <v>5</v>
      </c>
      <c r="E1091" s="48">
        <v>45289</v>
      </c>
      <c r="F1091" s="47">
        <v>3</v>
      </c>
      <c r="G1091" s="48">
        <v>45293</v>
      </c>
      <c r="H1091" s="47" t="s">
        <v>41</v>
      </c>
      <c r="I1091" s="47" t="s">
        <v>41</v>
      </c>
      <c r="J1091" s="47" t="s">
        <v>1</v>
      </c>
      <c r="K1091" s="47" t="s">
        <v>41</v>
      </c>
    </row>
    <row r="1092" spans="1:11" x14ac:dyDescent="0.25">
      <c r="A1092" s="44">
        <v>2774</v>
      </c>
      <c r="B1092" s="46">
        <v>45285</v>
      </c>
      <c r="C1092" s="45" t="s">
        <v>7</v>
      </c>
      <c r="D1092" s="47">
        <v>5</v>
      </c>
      <c r="E1092" s="48">
        <v>45289</v>
      </c>
      <c r="F1092" s="47">
        <v>3</v>
      </c>
      <c r="G1092" s="48">
        <v>45293</v>
      </c>
      <c r="H1092" s="47" t="s">
        <v>41</v>
      </c>
      <c r="I1092" s="47" t="s">
        <v>5</v>
      </c>
      <c r="J1092" s="47" t="s">
        <v>41</v>
      </c>
      <c r="K1092" s="47" t="s">
        <v>41</v>
      </c>
    </row>
    <row r="1093" spans="1:11" x14ac:dyDescent="0.25">
      <c r="A1093" s="44">
        <v>2427</v>
      </c>
      <c r="B1093" s="46">
        <v>45286</v>
      </c>
      <c r="C1093" s="45" t="s">
        <v>14</v>
      </c>
      <c r="D1093" s="47">
        <v>5</v>
      </c>
      <c r="E1093" s="48">
        <v>45290</v>
      </c>
      <c r="F1093" s="47">
        <v>3</v>
      </c>
      <c r="G1093" s="48">
        <v>45294</v>
      </c>
      <c r="H1093" s="47" t="s">
        <v>3</v>
      </c>
      <c r="I1093" s="47" t="s">
        <v>41</v>
      </c>
      <c r="J1093" s="47" t="s">
        <v>41</v>
      </c>
      <c r="K1093" s="47" t="s">
        <v>41</v>
      </c>
    </row>
    <row r="1094" spans="1:11" x14ac:dyDescent="0.25">
      <c r="A1094" s="44">
        <v>2766</v>
      </c>
      <c r="B1094" s="46">
        <v>45286</v>
      </c>
      <c r="C1094" s="45" t="s">
        <v>14</v>
      </c>
      <c r="D1094" s="47">
        <v>5</v>
      </c>
      <c r="E1094" s="48">
        <v>45290</v>
      </c>
      <c r="F1094" s="47">
        <v>3</v>
      </c>
      <c r="G1094" s="48">
        <v>45294</v>
      </c>
      <c r="H1094" s="47" t="s">
        <v>41</v>
      </c>
      <c r="I1094" s="47" t="s">
        <v>5</v>
      </c>
      <c r="J1094" s="47" t="s">
        <v>41</v>
      </c>
      <c r="K1094" s="47" t="s">
        <v>41</v>
      </c>
    </row>
    <row r="1095" spans="1:11" x14ac:dyDescent="0.25">
      <c r="A1095" s="44">
        <v>1728</v>
      </c>
      <c r="B1095" s="46">
        <v>45286</v>
      </c>
      <c r="C1095" s="45" t="s">
        <v>14</v>
      </c>
      <c r="D1095" s="47">
        <v>5</v>
      </c>
      <c r="E1095" s="48">
        <v>45290</v>
      </c>
      <c r="F1095" s="47">
        <v>3</v>
      </c>
      <c r="G1095" s="48">
        <v>45294</v>
      </c>
      <c r="H1095" s="47" t="s">
        <v>3</v>
      </c>
      <c r="I1095" s="47" t="s">
        <v>5</v>
      </c>
      <c r="J1095" s="47" t="s">
        <v>41</v>
      </c>
      <c r="K1095" s="47" t="s">
        <v>41</v>
      </c>
    </row>
    <row r="1096" spans="1:11" x14ac:dyDescent="0.25">
      <c r="A1096" s="44">
        <v>2625</v>
      </c>
      <c r="B1096" s="46">
        <v>45286</v>
      </c>
      <c r="C1096" s="45" t="s">
        <v>14</v>
      </c>
      <c r="D1096" s="47">
        <v>5</v>
      </c>
      <c r="E1096" s="48">
        <v>45290</v>
      </c>
      <c r="F1096" s="47">
        <v>3</v>
      </c>
      <c r="G1096" s="48">
        <v>45294</v>
      </c>
      <c r="H1096" s="47" t="s">
        <v>3</v>
      </c>
      <c r="I1096" s="47" t="s">
        <v>41</v>
      </c>
      <c r="J1096" s="47" t="s">
        <v>41</v>
      </c>
      <c r="K1096" s="47" t="s">
        <v>41</v>
      </c>
    </row>
    <row r="1097" spans="1:11" x14ac:dyDescent="0.25">
      <c r="A1097" s="44">
        <v>872</v>
      </c>
      <c r="B1097" s="46">
        <v>45286</v>
      </c>
      <c r="C1097" s="45" t="s">
        <v>14</v>
      </c>
      <c r="D1097" s="47">
        <v>5</v>
      </c>
      <c r="E1097" s="48">
        <v>45290</v>
      </c>
      <c r="F1097" s="47">
        <v>3</v>
      </c>
      <c r="G1097" s="48">
        <v>45294</v>
      </c>
      <c r="H1097" s="47" t="s">
        <v>3</v>
      </c>
      <c r="I1097" s="47" t="s">
        <v>5</v>
      </c>
      <c r="J1097" s="47" t="s">
        <v>41</v>
      </c>
      <c r="K1097" s="47" t="s">
        <v>41</v>
      </c>
    </row>
    <row r="1098" spans="1:11" x14ac:dyDescent="0.25">
      <c r="A1098" s="44">
        <v>3107</v>
      </c>
      <c r="B1098" s="46">
        <v>45286</v>
      </c>
      <c r="C1098" s="45" t="s">
        <v>14</v>
      </c>
      <c r="D1098" s="47">
        <v>5</v>
      </c>
      <c r="E1098" s="48">
        <v>45290</v>
      </c>
      <c r="F1098" s="47">
        <v>3</v>
      </c>
      <c r="G1098" s="48">
        <v>45294</v>
      </c>
      <c r="H1098" s="47" t="s">
        <v>3</v>
      </c>
      <c r="I1098" s="47" t="s">
        <v>41</v>
      </c>
      <c r="J1098" s="47" t="s">
        <v>41</v>
      </c>
      <c r="K1098" s="47" t="s">
        <v>41</v>
      </c>
    </row>
    <row r="1099" spans="1:11" x14ac:dyDescent="0.25">
      <c r="A1099" s="44">
        <v>3138</v>
      </c>
      <c r="B1099" s="46">
        <v>45286</v>
      </c>
      <c r="C1099" s="45" t="s">
        <v>14</v>
      </c>
      <c r="D1099" s="47">
        <v>5</v>
      </c>
      <c r="E1099" s="48">
        <v>45290</v>
      </c>
      <c r="F1099" s="47">
        <v>3</v>
      </c>
      <c r="G1099" s="48">
        <v>45294</v>
      </c>
      <c r="H1099" s="47" t="s">
        <v>3</v>
      </c>
      <c r="I1099" s="47" t="s">
        <v>41</v>
      </c>
      <c r="J1099" s="47" t="s">
        <v>41</v>
      </c>
      <c r="K1099" s="47" t="s">
        <v>41</v>
      </c>
    </row>
    <row r="1100" spans="1:11" x14ac:dyDescent="0.25">
      <c r="A1100" s="44">
        <v>2379</v>
      </c>
      <c r="B1100" s="46">
        <v>45286</v>
      </c>
      <c r="C1100" s="45" t="s">
        <v>14</v>
      </c>
      <c r="D1100" s="47">
        <v>5</v>
      </c>
      <c r="E1100" s="48">
        <v>45290</v>
      </c>
      <c r="F1100" s="47">
        <v>3</v>
      </c>
      <c r="G1100" s="48">
        <v>45294</v>
      </c>
      <c r="H1100" s="47" t="s">
        <v>41</v>
      </c>
      <c r="I1100" s="47" t="s">
        <v>5</v>
      </c>
      <c r="J1100" s="47" t="s">
        <v>41</v>
      </c>
      <c r="K1100" s="47" t="s">
        <v>41</v>
      </c>
    </row>
    <row r="1101" spans="1:11" x14ac:dyDescent="0.25">
      <c r="A1101" s="44">
        <v>2553</v>
      </c>
      <c r="B1101" s="46">
        <v>45288</v>
      </c>
      <c r="C1101" s="45" t="s">
        <v>7</v>
      </c>
      <c r="D1101" s="47">
        <v>5</v>
      </c>
      <c r="E1101" s="48">
        <v>45292</v>
      </c>
      <c r="F1101" s="47">
        <v>3</v>
      </c>
      <c r="G1101" s="48">
        <v>45296</v>
      </c>
      <c r="H1101" s="47" t="s">
        <v>3</v>
      </c>
      <c r="I1101" s="47" t="s">
        <v>41</v>
      </c>
      <c r="J1101" s="47" t="s">
        <v>1</v>
      </c>
      <c r="K1101" s="47" t="s">
        <v>4</v>
      </c>
    </row>
    <row r="1102" spans="1:11" x14ac:dyDescent="0.25">
      <c r="A1102" s="44">
        <v>3307</v>
      </c>
      <c r="B1102" s="46">
        <v>45288</v>
      </c>
      <c r="C1102" s="45" t="s">
        <v>7</v>
      </c>
      <c r="D1102" s="47">
        <v>5</v>
      </c>
      <c r="E1102" s="48">
        <v>45292</v>
      </c>
      <c r="F1102" s="47">
        <v>3</v>
      </c>
      <c r="G1102" s="48">
        <v>45296</v>
      </c>
      <c r="H1102" s="47" t="s">
        <v>3</v>
      </c>
      <c r="I1102" s="47" t="s">
        <v>41</v>
      </c>
      <c r="J1102" s="47" t="s">
        <v>41</v>
      </c>
      <c r="K1102" s="47" t="s">
        <v>41</v>
      </c>
    </row>
    <row r="1103" spans="1:11" x14ac:dyDescent="0.25">
      <c r="A1103" s="44">
        <v>964</v>
      </c>
      <c r="B1103" s="46">
        <v>45288</v>
      </c>
      <c r="C1103" s="45" t="s">
        <v>7</v>
      </c>
      <c r="D1103" s="47">
        <v>5</v>
      </c>
      <c r="E1103" s="48">
        <v>45292</v>
      </c>
      <c r="F1103" s="47">
        <v>3</v>
      </c>
      <c r="G1103" s="48">
        <v>45296</v>
      </c>
      <c r="H1103" s="47" t="s">
        <v>41</v>
      </c>
      <c r="I1103" s="47" t="s">
        <v>5</v>
      </c>
      <c r="J1103" s="47" t="s">
        <v>1</v>
      </c>
      <c r="K1103" s="47" t="s">
        <v>4</v>
      </c>
    </row>
    <row r="1104" spans="1:11" x14ac:dyDescent="0.25">
      <c r="A1104" s="44">
        <v>3055</v>
      </c>
      <c r="B1104" s="46">
        <v>45288</v>
      </c>
      <c r="C1104" s="45" t="s">
        <v>84</v>
      </c>
      <c r="D1104" s="47">
        <v>5</v>
      </c>
      <c r="E1104" s="48">
        <v>45292</v>
      </c>
      <c r="F1104" s="47">
        <v>9</v>
      </c>
      <c r="G1104" s="48">
        <v>45302</v>
      </c>
      <c r="H1104" s="47" t="s">
        <v>3</v>
      </c>
      <c r="I1104" s="47" t="s">
        <v>5</v>
      </c>
      <c r="J1104" s="47" t="s">
        <v>1</v>
      </c>
      <c r="K1104" s="47" t="s">
        <v>4</v>
      </c>
    </row>
    <row r="1105" spans="1:11" x14ac:dyDescent="0.25">
      <c r="A1105" s="44">
        <v>2152</v>
      </c>
      <c r="B1105" s="46">
        <v>45288</v>
      </c>
      <c r="C1105" s="45" t="s">
        <v>7</v>
      </c>
      <c r="D1105" s="47">
        <v>5</v>
      </c>
      <c r="E1105" s="48">
        <v>45292</v>
      </c>
      <c r="F1105" s="47">
        <v>3</v>
      </c>
      <c r="G1105" s="48">
        <v>45296</v>
      </c>
      <c r="H1105" s="47" t="s">
        <v>3</v>
      </c>
      <c r="I1105" s="47" t="s">
        <v>41</v>
      </c>
      <c r="J1105" s="47" t="s">
        <v>41</v>
      </c>
      <c r="K1105" s="47" t="s">
        <v>41</v>
      </c>
    </row>
    <row r="1106" spans="1:11" x14ac:dyDescent="0.25">
      <c r="A1106" s="44">
        <v>1871</v>
      </c>
      <c r="B1106" s="46">
        <v>45289</v>
      </c>
      <c r="C1106" s="45" t="s">
        <v>7</v>
      </c>
      <c r="D1106" s="47">
        <v>5</v>
      </c>
      <c r="E1106" s="48">
        <v>45293</v>
      </c>
      <c r="F1106" s="47">
        <v>3</v>
      </c>
      <c r="G1106" s="48">
        <v>45297</v>
      </c>
      <c r="H1106" s="47" t="s">
        <v>3</v>
      </c>
      <c r="I1106" s="47" t="s">
        <v>41</v>
      </c>
      <c r="J1106" s="47" t="s">
        <v>41</v>
      </c>
      <c r="K1106" s="47" t="s">
        <v>41</v>
      </c>
    </row>
    <row r="1107" spans="1:11" x14ac:dyDescent="0.25">
      <c r="A1107" s="44">
        <v>3114</v>
      </c>
      <c r="B1107" s="46">
        <v>45289</v>
      </c>
      <c r="C1107" s="45" t="s">
        <v>7</v>
      </c>
      <c r="D1107" s="47">
        <v>5</v>
      </c>
      <c r="E1107" s="48">
        <v>45293</v>
      </c>
      <c r="F1107" s="47">
        <v>3</v>
      </c>
      <c r="G1107" s="48">
        <v>45297</v>
      </c>
      <c r="H1107" s="47" t="s">
        <v>41</v>
      </c>
      <c r="I1107" s="47" t="s">
        <v>41</v>
      </c>
      <c r="J1107" s="47" t="s">
        <v>41</v>
      </c>
      <c r="K1107" s="47" t="s">
        <v>4</v>
      </c>
    </row>
    <row r="1108" spans="1:11" x14ac:dyDescent="0.25">
      <c r="A1108" s="44">
        <v>2791</v>
      </c>
      <c r="B1108" s="46">
        <v>45289</v>
      </c>
      <c r="C1108" s="45" t="s">
        <v>7</v>
      </c>
      <c r="D1108" s="47">
        <v>5</v>
      </c>
      <c r="E1108" s="48">
        <v>45293</v>
      </c>
      <c r="F1108" s="47">
        <v>3</v>
      </c>
      <c r="G1108" s="48">
        <v>45297</v>
      </c>
      <c r="H1108" s="47" t="s">
        <v>3</v>
      </c>
      <c r="I1108" s="47" t="s">
        <v>41</v>
      </c>
      <c r="J1108" s="47" t="s">
        <v>41</v>
      </c>
      <c r="K1108" s="47" t="s">
        <v>41</v>
      </c>
    </row>
    <row r="1109" spans="1:11" x14ac:dyDescent="0.25">
      <c r="A1109" s="44">
        <v>2526</v>
      </c>
      <c r="B1109" s="46">
        <v>45290</v>
      </c>
      <c r="C1109" s="45" t="s">
        <v>6</v>
      </c>
      <c r="D1109" s="47">
        <v>5</v>
      </c>
      <c r="E1109" s="48">
        <v>45294</v>
      </c>
      <c r="F1109" s="47">
        <v>5</v>
      </c>
      <c r="G1109" s="48">
        <v>45300</v>
      </c>
      <c r="H1109" s="47" t="s">
        <v>3</v>
      </c>
      <c r="I1109" s="47" t="s">
        <v>41</v>
      </c>
      <c r="J1109" s="47" t="s">
        <v>41</v>
      </c>
      <c r="K1109" s="47" t="s">
        <v>41</v>
      </c>
    </row>
    <row r="1110" spans="1:11" x14ac:dyDescent="0.25">
      <c r="A1110" s="44">
        <v>2512</v>
      </c>
      <c r="B1110" s="46">
        <v>45290</v>
      </c>
      <c r="C1110" s="45" t="s">
        <v>6</v>
      </c>
      <c r="D1110" s="47">
        <v>5</v>
      </c>
      <c r="E1110" s="48">
        <v>45294</v>
      </c>
      <c r="F1110" s="47">
        <v>5</v>
      </c>
      <c r="G1110" s="48">
        <v>45300</v>
      </c>
      <c r="H1110" s="47" t="s">
        <v>3</v>
      </c>
      <c r="I1110" s="47" t="s">
        <v>41</v>
      </c>
      <c r="J1110" s="47" t="s">
        <v>1</v>
      </c>
      <c r="K1110" s="47" t="s">
        <v>4</v>
      </c>
    </row>
    <row r="1111" spans="1:11" x14ac:dyDescent="0.25">
      <c r="A1111" s="44">
        <v>872</v>
      </c>
      <c r="B1111" s="46">
        <v>45290</v>
      </c>
      <c r="C1111" s="45" t="s">
        <v>6</v>
      </c>
      <c r="D1111" s="47">
        <v>5</v>
      </c>
      <c r="E1111" s="48">
        <v>45294</v>
      </c>
      <c r="F1111" s="47">
        <v>5</v>
      </c>
      <c r="G1111" s="48">
        <v>45300</v>
      </c>
      <c r="H1111" s="47" t="s">
        <v>41</v>
      </c>
      <c r="I1111" s="47" t="s">
        <v>5</v>
      </c>
      <c r="J1111" s="47" t="s">
        <v>41</v>
      </c>
      <c r="K1111" s="47" t="s">
        <v>41</v>
      </c>
    </row>
    <row r="1112" spans="1:11" x14ac:dyDescent="0.25">
      <c r="A1112" s="44">
        <v>1728</v>
      </c>
      <c r="B1112" s="46">
        <v>45290</v>
      </c>
      <c r="C1112" s="45" t="s">
        <v>6</v>
      </c>
      <c r="D1112" s="47">
        <v>5</v>
      </c>
      <c r="E1112" s="48">
        <v>45294</v>
      </c>
      <c r="F1112" s="47">
        <v>5</v>
      </c>
      <c r="G1112" s="48">
        <v>45300</v>
      </c>
      <c r="H1112" s="47" t="s">
        <v>3</v>
      </c>
      <c r="I1112" s="47" t="s">
        <v>5</v>
      </c>
      <c r="J1112" s="47" t="s">
        <v>41</v>
      </c>
      <c r="K1112" s="47" t="s">
        <v>41</v>
      </c>
    </row>
    <row r="1113" spans="1:11" x14ac:dyDescent="0.25">
      <c r="A1113" s="44">
        <v>3544</v>
      </c>
      <c r="B1113" s="46">
        <v>45290</v>
      </c>
      <c r="C1113" s="45" t="s">
        <v>6</v>
      </c>
      <c r="D1113" s="47">
        <v>5</v>
      </c>
      <c r="E1113" s="48">
        <v>45294</v>
      </c>
      <c r="F1113" s="47">
        <v>5</v>
      </c>
      <c r="G1113" s="48">
        <v>45300</v>
      </c>
      <c r="H1113" s="47" t="s">
        <v>3</v>
      </c>
      <c r="I1113" s="47" t="s">
        <v>41</v>
      </c>
      <c r="J1113" s="47" t="s">
        <v>1</v>
      </c>
      <c r="K1113" s="47" t="s">
        <v>41</v>
      </c>
    </row>
    <row r="1114" spans="1:11" x14ac:dyDescent="0.25">
      <c r="A1114" s="44">
        <v>2774</v>
      </c>
      <c r="B1114" s="46">
        <v>45290</v>
      </c>
      <c r="C1114" s="45" t="s">
        <v>6</v>
      </c>
      <c r="D1114" s="47">
        <v>5</v>
      </c>
      <c r="E1114" s="48">
        <v>45294</v>
      </c>
      <c r="F1114" s="47">
        <v>5</v>
      </c>
      <c r="G1114" s="48">
        <v>45300</v>
      </c>
      <c r="H1114" s="47" t="s">
        <v>3</v>
      </c>
      <c r="I1114" s="47" t="s">
        <v>5</v>
      </c>
      <c r="J1114" s="47" t="s">
        <v>1</v>
      </c>
      <c r="K1114" s="47" t="s">
        <v>41</v>
      </c>
    </row>
    <row r="1115" spans="1:11" x14ac:dyDescent="0.25">
      <c r="A1115" s="44">
        <v>2594</v>
      </c>
      <c r="B1115" s="46">
        <v>45290</v>
      </c>
      <c r="C1115" s="45" t="s">
        <v>7</v>
      </c>
      <c r="D1115" s="47">
        <v>5</v>
      </c>
      <c r="E1115" s="48">
        <v>45294</v>
      </c>
      <c r="F1115" s="47">
        <v>3</v>
      </c>
      <c r="G1115" s="48">
        <v>45298</v>
      </c>
      <c r="H1115" s="47" t="s">
        <v>41</v>
      </c>
      <c r="I1115" s="47" t="s">
        <v>5</v>
      </c>
      <c r="J1115" s="47" t="s">
        <v>41</v>
      </c>
      <c r="K1115" s="47" t="s">
        <v>41</v>
      </c>
    </row>
    <row r="1116" spans="1:11" x14ac:dyDescent="0.25">
      <c r="A1116" s="44">
        <v>3247</v>
      </c>
      <c r="B1116" s="46">
        <v>45290</v>
      </c>
      <c r="C1116" s="45" t="s">
        <v>7</v>
      </c>
      <c r="D1116" s="47">
        <v>5</v>
      </c>
      <c r="E1116" s="48">
        <v>45294</v>
      </c>
      <c r="F1116" s="47">
        <v>3</v>
      </c>
      <c r="G1116" s="48">
        <v>45298</v>
      </c>
      <c r="H1116" s="47" t="s">
        <v>41</v>
      </c>
      <c r="I1116" s="47" t="s">
        <v>41</v>
      </c>
      <c r="J1116" s="47" t="s">
        <v>41</v>
      </c>
      <c r="K1116" s="47" t="s">
        <v>4</v>
      </c>
    </row>
    <row r="1117" spans="1:11" x14ac:dyDescent="0.25">
      <c r="A1117" s="44">
        <v>2734</v>
      </c>
      <c r="B1117" s="46">
        <v>45291</v>
      </c>
      <c r="C1117" s="45" t="s">
        <v>84</v>
      </c>
      <c r="D1117" s="47">
        <v>5</v>
      </c>
      <c r="E1117" s="48">
        <v>45295</v>
      </c>
      <c r="F1117" s="47">
        <v>9</v>
      </c>
      <c r="G1117" s="48">
        <v>45305</v>
      </c>
      <c r="H1117" s="47" t="s">
        <v>41</v>
      </c>
      <c r="I1117" s="47" t="s">
        <v>5</v>
      </c>
      <c r="J1117" s="47" t="s">
        <v>41</v>
      </c>
      <c r="K1117" s="47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8D7E-E1DA-4C68-8D53-7B0739AEEDF5}">
  <dimension ref="A1:N1762"/>
  <sheetViews>
    <sheetView topLeftCell="A48" workbookViewId="0">
      <selection activeCell="B1" sqref="B1"/>
    </sheetView>
  </sheetViews>
  <sheetFormatPr defaultRowHeight="21.75" customHeight="1" x14ac:dyDescent="0.25"/>
  <cols>
    <col min="1" max="1" width="9.140625" style="38"/>
    <col min="2" max="2" width="19.42578125" style="38" bestFit="1" customWidth="1"/>
    <col min="3" max="3" width="9.140625" style="38"/>
    <col min="4" max="4" width="16" style="38" bestFit="1" customWidth="1"/>
    <col min="5" max="5" width="9.140625" style="38"/>
    <col min="6" max="6" width="11" style="38" customWidth="1"/>
    <col min="7" max="7" width="9.140625" style="38"/>
    <col min="8" max="8" width="15.5703125" style="38" customWidth="1"/>
    <col min="9" max="9" width="11.140625" style="38" bestFit="1" customWidth="1"/>
    <col min="10" max="10" width="16.7109375" style="38" customWidth="1"/>
    <col min="11" max="14" width="5.7109375" style="38" customWidth="1"/>
    <col min="15" max="16384" width="9.140625" style="38"/>
  </cols>
  <sheetData>
    <row r="1" spans="1:14" ht="26.25" customHeight="1" x14ac:dyDescent="0.25">
      <c r="A1" s="97" t="s">
        <v>36</v>
      </c>
      <c r="B1" s="97" t="s">
        <v>37</v>
      </c>
      <c r="C1" s="97"/>
      <c r="D1" s="97" t="s">
        <v>87</v>
      </c>
      <c r="E1" s="97"/>
      <c r="F1" s="72" t="s">
        <v>39</v>
      </c>
      <c r="G1" s="97"/>
      <c r="H1" s="72" t="s">
        <v>88</v>
      </c>
      <c r="I1" s="97" t="s">
        <v>89</v>
      </c>
      <c r="J1" s="72" t="s">
        <v>88</v>
      </c>
      <c r="K1" s="101" t="s">
        <v>90</v>
      </c>
      <c r="L1" s="101"/>
      <c r="M1" s="101"/>
      <c r="N1" s="101"/>
    </row>
    <row r="2" spans="1:14" ht="21.75" customHeight="1" x14ac:dyDescent="0.25">
      <c r="A2" s="73">
        <v>1206</v>
      </c>
      <c r="B2" s="74">
        <v>45294</v>
      </c>
      <c r="C2" s="75" t="s">
        <v>41</v>
      </c>
      <c r="D2" s="75" t="s">
        <v>7</v>
      </c>
      <c r="E2" s="75" t="s">
        <v>41</v>
      </c>
      <c r="F2" s="76">
        <v>5</v>
      </c>
      <c r="G2" s="76" t="s">
        <v>41</v>
      </c>
      <c r="H2" s="77">
        <v>45298</v>
      </c>
      <c r="I2" s="76">
        <v>3</v>
      </c>
      <c r="J2" s="77">
        <v>45302</v>
      </c>
      <c r="K2" s="76" t="s">
        <v>41</v>
      </c>
      <c r="L2" s="76" t="s">
        <v>41</v>
      </c>
      <c r="M2" s="76" t="s">
        <v>1</v>
      </c>
      <c r="N2" s="76" t="s">
        <v>41</v>
      </c>
    </row>
    <row r="3" spans="1:14" ht="21.75" customHeight="1" x14ac:dyDescent="0.25">
      <c r="A3" s="78">
        <v>3031</v>
      </c>
      <c r="B3" s="79">
        <v>45294</v>
      </c>
      <c r="C3" s="80" t="s">
        <v>41</v>
      </c>
      <c r="D3" s="80" t="s">
        <v>7</v>
      </c>
      <c r="E3" s="80" t="s">
        <v>41</v>
      </c>
      <c r="F3" s="81">
        <v>5</v>
      </c>
      <c r="G3" s="81" t="s">
        <v>41</v>
      </c>
      <c r="H3" s="82">
        <v>45298</v>
      </c>
      <c r="I3" s="81">
        <v>3</v>
      </c>
      <c r="J3" s="82">
        <v>45302</v>
      </c>
      <c r="K3" s="81" t="s">
        <v>3</v>
      </c>
      <c r="L3" s="81" t="s">
        <v>5</v>
      </c>
      <c r="M3" s="81" t="s">
        <v>1</v>
      </c>
      <c r="N3" s="81" t="s">
        <v>4</v>
      </c>
    </row>
    <row r="4" spans="1:14" ht="21.75" customHeight="1" x14ac:dyDescent="0.25">
      <c r="A4" s="78">
        <v>2108</v>
      </c>
      <c r="B4" s="79">
        <v>45295</v>
      </c>
      <c r="C4" s="80" t="s">
        <v>41</v>
      </c>
      <c r="D4" s="80" t="s">
        <v>6</v>
      </c>
      <c r="E4" s="80" t="s">
        <v>41</v>
      </c>
      <c r="F4" s="81">
        <v>5</v>
      </c>
      <c r="G4" s="81" t="s">
        <v>41</v>
      </c>
      <c r="H4" s="82">
        <v>45299</v>
      </c>
      <c r="I4" s="81">
        <v>5</v>
      </c>
      <c r="J4" s="82">
        <v>45305</v>
      </c>
      <c r="K4" s="81" t="s">
        <v>41</v>
      </c>
      <c r="L4" s="81" t="s">
        <v>5</v>
      </c>
      <c r="M4" s="81" t="s">
        <v>1</v>
      </c>
      <c r="N4" s="81" t="s">
        <v>41</v>
      </c>
    </row>
    <row r="5" spans="1:14" ht="21.75" customHeight="1" x14ac:dyDescent="0.25">
      <c r="A5" s="78">
        <v>573</v>
      </c>
      <c r="B5" s="79">
        <v>45295</v>
      </c>
      <c r="C5" s="80" t="s">
        <v>41</v>
      </c>
      <c r="D5" s="80" t="s">
        <v>7</v>
      </c>
      <c r="E5" s="80" t="s">
        <v>41</v>
      </c>
      <c r="F5" s="81">
        <v>5</v>
      </c>
      <c r="G5" s="81" t="s">
        <v>41</v>
      </c>
      <c r="H5" s="82">
        <v>45299</v>
      </c>
      <c r="I5" s="81">
        <v>3</v>
      </c>
      <c r="J5" s="82">
        <v>45303</v>
      </c>
      <c r="K5" s="81" t="s">
        <v>41</v>
      </c>
      <c r="L5" s="81" t="s">
        <v>41</v>
      </c>
      <c r="M5" s="81" t="s">
        <v>1</v>
      </c>
      <c r="N5" s="81" t="s">
        <v>41</v>
      </c>
    </row>
    <row r="6" spans="1:14" ht="21.75" customHeight="1" x14ac:dyDescent="0.25">
      <c r="A6" s="78">
        <v>3172</v>
      </c>
      <c r="B6" s="79">
        <v>45295</v>
      </c>
      <c r="C6" s="80" t="s">
        <v>41</v>
      </c>
      <c r="D6" s="80" t="s">
        <v>7</v>
      </c>
      <c r="E6" s="80" t="s">
        <v>41</v>
      </c>
      <c r="F6" s="81">
        <v>5</v>
      </c>
      <c r="G6" s="81" t="s">
        <v>41</v>
      </c>
      <c r="H6" s="82">
        <v>45299</v>
      </c>
      <c r="I6" s="81">
        <v>3</v>
      </c>
      <c r="J6" s="82">
        <v>45303</v>
      </c>
      <c r="K6" s="81" t="s">
        <v>3</v>
      </c>
      <c r="L6" s="81" t="s">
        <v>41</v>
      </c>
      <c r="M6" s="81" t="s">
        <v>41</v>
      </c>
      <c r="N6" s="81" t="s">
        <v>41</v>
      </c>
    </row>
    <row r="7" spans="1:14" ht="21.75" customHeight="1" x14ac:dyDescent="0.25">
      <c r="A7" s="78">
        <v>3307</v>
      </c>
      <c r="B7" s="79">
        <v>45296</v>
      </c>
      <c r="C7" s="80" t="s">
        <v>41</v>
      </c>
      <c r="D7" s="80" t="s">
        <v>6</v>
      </c>
      <c r="E7" s="80" t="s">
        <v>41</v>
      </c>
      <c r="F7" s="81">
        <v>5</v>
      </c>
      <c r="G7" s="81" t="s">
        <v>41</v>
      </c>
      <c r="H7" s="82">
        <v>45300</v>
      </c>
      <c r="I7" s="81">
        <v>5</v>
      </c>
      <c r="J7" s="82">
        <v>45306</v>
      </c>
      <c r="K7" s="81" t="s">
        <v>3</v>
      </c>
      <c r="L7" s="81" t="s">
        <v>41</v>
      </c>
      <c r="M7" s="81" t="s">
        <v>41</v>
      </c>
      <c r="N7" s="81" t="s">
        <v>41</v>
      </c>
    </row>
    <row r="8" spans="1:14" ht="21.75" customHeight="1" x14ac:dyDescent="0.25">
      <c r="A8" s="78">
        <v>2020</v>
      </c>
      <c r="B8" s="79">
        <v>45296</v>
      </c>
      <c r="C8" s="80" t="s">
        <v>41</v>
      </c>
      <c r="D8" s="80" t="s">
        <v>7</v>
      </c>
      <c r="E8" s="80" t="s">
        <v>41</v>
      </c>
      <c r="F8" s="81">
        <v>5</v>
      </c>
      <c r="G8" s="81" t="s">
        <v>41</v>
      </c>
      <c r="H8" s="82">
        <v>45300</v>
      </c>
      <c r="I8" s="81">
        <v>3</v>
      </c>
      <c r="J8" s="82">
        <v>45304</v>
      </c>
      <c r="K8" s="81" t="s">
        <v>3</v>
      </c>
      <c r="L8" s="81" t="s">
        <v>5</v>
      </c>
      <c r="M8" s="81" t="s">
        <v>41</v>
      </c>
      <c r="N8" s="81" t="s">
        <v>41</v>
      </c>
    </row>
    <row r="9" spans="1:14" ht="21.75" customHeight="1" x14ac:dyDescent="0.25">
      <c r="A9" s="78">
        <v>2238</v>
      </c>
      <c r="B9" s="79">
        <v>45296</v>
      </c>
      <c r="C9" s="80" t="s">
        <v>41</v>
      </c>
      <c r="D9" s="80" t="s">
        <v>7</v>
      </c>
      <c r="E9" s="80" t="s">
        <v>41</v>
      </c>
      <c r="F9" s="81">
        <v>5</v>
      </c>
      <c r="G9" s="81" t="s">
        <v>41</v>
      </c>
      <c r="H9" s="82">
        <v>45300</v>
      </c>
      <c r="I9" s="81">
        <v>3</v>
      </c>
      <c r="J9" s="82">
        <v>45304</v>
      </c>
      <c r="K9" s="81" t="s">
        <v>3</v>
      </c>
      <c r="L9" s="81" t="s">
        <v>5</v>
      </c>
      <c r="M9" s="81" t="s">
        <v>1</v>
      </c>
      <c r="N9" s="81" t="s">
        <v>4</v>
      </c>
    </row>
    <row r="10" spans="1:14" ht="21.75" customHeight="1" x14ac:dyDescent="0.25">
      <c r="A10" s="78">
        <v>2716</v>
      </c>
      <c r="B10" s="79">
        <v>45296</v>
      </c>
      <c r="C10" s="80" t="s">
        <v>41</v>
      </c>
      <c r="D10" s="80" t="s">
        <v>7</v>
      </c>
      <c r="E10" s="80" t="s">
        <v>41</v>
      </c>
      <c r="F10" s="81">
        <v>5</v>
      </c>
      <c r="G10" s="81" t="s">
        <v>41</v>
      </c>
      <c r="H10" s="82">
        <v>45300</v>
      </c>
      <c r="I10" s="81">
        <v>3</v>
      </c>
      <c r="J10" s="82">
        <v>45304</v>
      </c>
      <c r="K10" s="81" t="s">
        <v>3</v>
      </c>
      <c r="L10" s="81" t="s">
        <v>5</v>
      </c>
      <c r="M10" s="81" t="s">
        <v>41</v>
      </c>
      <c r="N10" s="81" t="s">
        <v>4</v>
      </c>
    </row>
    <row r="11" spans="1:14" ht="21.75" customHeight="1" x14ac:dyDescent="0.25">
      <c r="A11" s="78">
        <v>3054</v>
      </c>
      <c r="B11" s="79">
        <v>45296</v>
      </c>
      <c r="C11" s="80" t="s">
        <v>41</v>
      </c>
      <c r="D11" s="80" t="s">
        <v>7</v>
      </c>
      <c r="E11" s="80" t="s">
        <v>41</v>
      </c>
      <c r="F11" s="81">
        <v>5</v>
      </c>
      <c r="G11" s="81" t="s">
        <v>41</v>
      </c>
      <c r="H11" s="82">
        <v>45300</v>
      </c>
      <c r="I11" s="81">
        <v>3</v>
      </c>
      <c r="J11" s="82">
        <v>45304</v>
      </c>
      <c r="K11" s="81" t="s">
        <v>3</v>
      </c>
      <c r="L11" s="81" t="s">
        <v>41</v>
      </c>
      <c r="M11" s="81" t="s">
        <v>41</v>
      </c>
      <c r="N11" s="81" t="s">
        <v>4</v>
      </c>
    </row>
    <row r="12" spans="1:14" ht="21.75" customHeight="1" x14ac:dyDescent="0.25">
      <c r="A12" s="78">
        <v>1180</v>
      </c>
      <c r="B12" s="79">
        <v>45296</v>
      </c>
      <c r="C12" s="80" t="s">
        <v>41</v>
      </c>
      <c r="D12" s="80" t="s">
        <v>7</v>
      </c>
      <c r="E12" s="80" t="s">
        <v>41</v>
      </c>
      <c r="F12" s="81">
        <v>5</v>
      </c>
      <c r="G12" s="81" t="s">
        <v>41</v>
      </c>
      <c r="H12" s="82">
        <v>45300</v>
      </c>
      <c r="I12" s="81">
        <v>3</v>
      </c>
      <c r="J12" s="82">
        <v>45304</v>
      </c>
      <c r="K12" s="81" t="s">
        <v>41</v>
      </c>
      <c r="L12" s="81" t="s">
        <v>5</v>
      </c>
      <c r="M12" s="81" t="s">
        <v>41</v>
      </c>
      <c r="N12" s="81" t="s">
        <v>4</v>
      </c>
    </row>
    <row r="13" spans="1:14" ht="21.75" customHeight="1" x14ac:dyDescent="0.25">
      <c r="A13" s="78">
        <v>3568</v>
      </c>
      <c r="B13" s="79">
        <v>45296</v>
      </c>
      <c r="C13" s="80" t="s">
        <v>41</v>
      </c>
      <c r="D13" s="80" t="s">
        <v>7</v>
      </c>
      <c r="E13" s="80" t="s">
        <v>41</v>
      </c>
      <c r="F13" s="81">
        <v>5</v>
      </c>
      <c r="G13" s="81" t="s">
        <v>41</v>
      </c>
      <c r="H13" s="82">
        <v>45300</v>
      </c>
      <c r="I13" s="81">
        <v>3</v>
      </c>
      <c r="J13" s="82">
        <v>45304</v>
      </c>
      <c r="K13" s="81" t="s">
        <v>3</v>
      </c>
      <c r="L13" s="81" t="s">
        <v>5</v>
      </c>
      <c r="M13" s="81" t="s">
        <v>41</v>
      </c>
      <c r="N13" s="81" t="s">
        <v>4</v>
      </c>
    </row>
    <row r="14" spans="1:14" ht="21.75" customHeight="1" x14ac:dyDescent="0.25">
      <c r="A14" s="78">
        <v>3309</v>
      </c>
      <c r="B14" s="79">
        <v>45296</v>
      </c>
      <c r="C14" s="80" t="s">
        <v>41</v>
      </c>
      <c r="D14" s="80" t="s">
        <v>91</v>
      </c>
      <c r="E14" s="80" t="s">
        <v>41</v>
      </c>
      <c r="F14" s="81">
        <v>5</v>
      </c>
      <c r="G14" s="81" t="s">
        <v>41</v>
      </c>
      <c r="H14" s="82">
        <v>45300</v>
      </c>
      <c r="I14" s="81">
        <v>3</v>
      </c>
      <c r="J14" s="82">
        <v>45304</v>
      </c>
      <c r="K14" s="81" t="s">
        <v>41</v>
      </c>
      <c r="L14" s="81" t="s">
        <v>41</v>
      </c>
      <c r="M14" s="81" t="s">
        <v>41</v>
      </c>
      <c r="N14" s="81" t="s">
        <v>4</v>
      </c>
    </row>
    <row r="15" spans="1:14" ht="21.75" customHeight="1" x14ac:dyDescent="0.25">
      <c r="A15" s="78">
        <v>2943</v>
      </c>
      <c r="B15" s="79">
        <v>45297</v>
      </c>
      <c r="C15" s="80" t="s">
        <v>41</v>
      </c>
      <c r="D15" s="80" t="s">
        <v>7</v>
      </c>
      <c r="E15" s="80" t="s">
        <v>41</v>
      </c>
      <c r="F15" s="81">
        <v>5</v>
      </c>
      <c r="G15" s="81" t="s">
        <v>41</v>
      </c>
      <c r="H15" s="82">
        <v>45301</v>
      </c>
      <c r="I15" s="81">
        <v>3</v>
      </c>
      <c r="J15" s="82">
        <v>45305</v>
      </c>
      <c r="K15" s="81" t="s">
        <v>41</v>
      </c>
      <c r="L15" s="81" t="s">
        <v>41</v>
      </c>
      <c r="M15" s="81" t="s">
        <v>41</v>
      </c>
      <c r="N15" s="81" t="s">
        <v>4</v>
      </c>
    </row>
    <row r="16" spans="1:14" ht="21.75" customHeight="1" x14ac:dyDescent="0.25">
      <c r="A16" s="78">
        <v>583</v>
      </c>
      <c r="B16" s="79">
        <v>45297</v>
      </c>
      <c r="C16" s="80" t="s">
        <v>41</v>
      </c>
      <c r="D16" s="80" t="s">
        <v>7</v>
      </c>
      <c r="E16" s="80" t="s">
        <v>41</v>
      </c>
      <c r="F16" s="81">
        <v>5</v>
      </c>
      <c r="G16" s="81" t="s">
        <v>41</v>
      </c>
      <c r="H16" s="82">
        <v>45301</v>
      </c>
      <c r="I16" s="81">
        <v>3</v>
      </c>
      <c r="J16" s="82">
        <v>45305</v>
      </c>
      <c r="K16" s="81" t="s">
        <v>3</v>
      </c>
      <c r="L16" s="81" t="s">
        <v>41</v>
      </c>
      <c r="M16" s="81" t="s">
        <v>41</v>
      </c>
      <c r="N16" s="81" t="s">
        <v>41</v>
      </c>
    </row>
    <row r="17" spans="1:14" ht="21.75" customHeight="1" x14ac:dyDescent="0.25">
      <c r="A17" s="78">
        <v>2791</v>
      </c>
      <c r="B17" s="79">
        <v>45297</v>
      </c>
      <c r="C17" s="80" t="s">
        <v>41</v>
      </c>
      <c r="D17" s="80" t="s">
        <v>6</v>
      </c>
      <c r="E17" s="80" t="s">
        <v>41</v>
      </c>
      <c r="F17" s="81">
        <v>5</v>
      </c>
      <c r="G17" s="81" t="s">
        <v>41</v>
      </c>
      <c r="H17" s="82">
        <v>45301</v>
      </c>
      <c r="I17" s="81">
        <v>5</v>
      </c>
      <c r="J17" s="82">
        <v>45307</v>
      </c>
      <c r="K17" s="81" t="s">
        <v>3</v>
      </c>
      <c r="L17" s="81" t="s">
        <v>41</v>
      </c>
      <c r="M17" s="81" t="s">
        <v>41</v>
      </c>
      <c r="N17" s="81" t="s">
        <v>41</v>
      </c>
    </row>
    <row r="18" spans="1:14" ht="21.75" customHeight="1" x14ac:dyDescent="0.25">
      <c r="A18" s="78">
        <v>2518</v>
      </c>
      <c r="B18" s="79">
        <v>45299</v>
      </c>
      <c r="C18" s="80" t="s">
        <v>41</v>
      </c>
      <c r="D18" s="80" t="s">
        <v>7</v>
      </c>
      <c r="E18" s="80" t="s">
        <v>41</v>
      </c>
      <c r="F18" s="81">
        <v>5</v>
      </c>
      <c r="G18" s="81" t="s">
        <v>41</v>
      </c>
      <c r="H18" s="82">
        <v>45303</v>
      </c>
      <c r="I18" s="81">
        <v>3</v>
      </c>
      <c r="J18" s="82">
        <v>45307</v>
      </c>
      <c r="K18" s="81" t="s">
        <v>3</v>
      </c>
      <c r="L18" s="81" t="s">
        <v>5</v>
      </c>
      <c r="M18" s="81" t="s">
        <v>41</v>
      </c>
      <c r="N18" s="81" t="s">
        <v>41</v>
      </c>
    </row>
    <row r="19" spans="1:14" ht="21.75" customHeight="1" x14ac:dyDescent="0.25">
      <c r="A19" s="78">
        <v>3065</v>
      </c>
      <c r="B19" s="79">
        <v>45299</v>
      </c>
      <c r="C19" s="80" t="s">
        <v>41</v>
      </c>
      <c r="D19" s="80" t="s">
        <v>7</v>
      </c>
      <c r="E19" s="80" t="s">
        <v>41</v>
      </c>
      <c r="F19" s="81">
        <v>5</v>
      </c>
      <c r="G19" s="81" t="s">
        <v>41</v>
      </c>
      <c r="H19" s="82">
        <v>45303</v>
      </c>
      <c r="I19" s="81">
        <v>3</v>
      </c>
      <c r="J19" s="82">
        <v>45307</v>
      </c>
      <c r="K19" s="81" t="s">
        <v>41</v>
      </c>
      <c r="L19" s="81" t="s">
        <v>5</v>
      </c>
      <c r="M19" s="81" t="s">
        <v>41</v>
      </c>
      <c r="N19" s="81" t="s">
        <v>41</v>
      </c>
    </row>
    <row r="20" spans="1:14" ht="21.75" customHeight="1" x14ac:dyDescent="0.25">
      <c r="A20" s="78">
        <v>2512</v>
      </c>
      <c r="B20" s="79">
        <v>45300</v>
      </c>
      <c r="C20" s="80" t="s">
        <v>41</v>
      </c>
      <c r="D20" s="80" t="s">
        <v>7</v>
      </c>
      <c r="E20" s="80" t="s">
        <v>41</v>
      </c>
      <c r="F20" s="81">
        <v>5</v>
      </c>
      <c r="G20" s="81" t="s">
        <v>41</v>
      </c>
      <c r="H20" s="82">
        <v>45304</v>
      </c>
      <c r="I20" s="81">
        <v>3</v>
      </c>
      <c r="J20" s="82">
        <v>45308</v>
      </c>
      <c r="K20" s="81" t="s">
        <v>3</v>
      </c>
      <c r="L20" s="81" t="s">
        <v>41</v>
      </c>
      <c r="M20" s="81" t="s">
        <v>1</v>
      </c>
      <c r="N20" s="81" t="s">
        <v>4</v>
      </c>
    </row>
    <row r="21" spans="1:14" ht="21.75" customHeight="1" x14ac:dyDescent="0.25">
      <c r="A21" s="78">
        <v>3055</v>
      </c>
      <c r="B21" s="79">
        <v>45301</v>
      </c>
      <c r="C21" s="80" t="s">
        <v>41</v>
      </c>
      <c r="D21" s="80" t="s">
        <v>91</v>
      </c>
      <c r="E21" s="80" t="s">
        <v>41</v>
      </c>
      <c r="F21" s="81">
        <v>5</v>
      </c>
      <c r="G21" s="81" t="s">
        <v>41</v>
      </c>
      <c r="H21" s="82">
        <v>45305</v>
      </c>
      <c r="I21" s="81">
        <v>3</v>
      </c>
      <c r="J21" s="82">
        <v>45309</v>
      </c>
      <c r="K21" s="81" t="s">
        <v>41</v>
      </c>
      <c r="L21" s="81" t="s">
        <v>5</v>
      </c>
      <c r="M21" s="81" t="s">
        <v>41</v>
      </c>
      <c r="N21" s="81" t="s">
        <v>41</v>
      </c>
    </row>
    <row r="22" spans="1:14" ht="21.75" customHeight="1" x14ac:dyDescent="0.25">
      <c r="A22" s="78">
        <v>2276</v>
      </c>
      <c r="B22" s="79">
        <v>45301</v>
      </c>
      <c r="C22" s="80" t="s">
        <v>41</v>
      </c>
      <c r="D22" s="80" t="s">
        <v>91</v>
      </c>
      <c r="E22" s="80" t="s">
        <v>41</v>
      </c>
      <c r="F22" s="81">
        <v>5</v>
      </c>
      <c r="G22" s="81" t="s">
        <v>41</v>
      </c>
      <c r="H22" s="82">
        <v>45305</v>
      </c>
      <c r="I22" s="81">
        <v>3</v>
      </c>
      <c r="J22" s="82">
        <v>45309</v>
      </c>
      <c r="K22" s="81" t="s">
        <v>3</v>
      </c>
      <c r="L22" s="81" t="s">
        <v>41</v>
      </c>
      <c r="M22" s="81" t="s">
        <v>1</v>
      </c>
      <c r="N22" s="81" t="s">
        <v>4</v>
      </c>
    </row>
    <row r="23" spans="1:14" ht="21.75" customHeight="1" x14ac:dyDescent="0.25">
      <c r="A23" s="78">
        <v>2917</v>
      </c>
      <c r="B23" s="79">
        <v>45301</v>
      </c>
      <c r="C23" s="80" t="s">
        <v>41</v>
      </c>
      <c r="D23" s="80" t="s">
        <v>7</v>
      </c>
      <c r="E23" s="80" t="s">
        <v>41</v>
      </c>
      <c r="F23" s="81">
        <v>5</v>
      </c>
      <c r="G23" s="81" t="s">
        <v>41</v>
      </c>
      <c r="H23" s="82">
        <v>45305</v>
      </c>
      <c r="I23" s="81">
        <v>3</v>
      </c>
      <c r="J23" s="82">
        <v>45309</v>
      </c>
      <c r="K23" s="81" t="s">
        <v>41</v>
      </c>
      <c r="L23" s="81" t="s">
        <v>5</v>
      </c>
      <c r="M23" s="81" t="s">
        <v>41</v>
      </c>
      <c r="N23" s="81" t="s">
        <v>41</v>
      </c>
    </row>
    <row r="24" spans="1:14" ht="21.75" customHeight="1" x14ac:dyDescent="0.25">
      <c r="A24" s="78">
        <v>2020</v>
      </c>
      <c r="B24" s="79">
        <v>45302</v>
      </c>
      <c r="C24" s="80" t="s">
        <v>41</v>
      </c>
      <c r="D24" s="80" t="s">
        <v>91</v>
      </c>
      <c r="E24" s="80" t="s">
        <v>41</v>
      </c>
      <c r="F24" s="81">
        <v>5</v>
      </c>
      <c r="G24" s="81" t="s">
        <v>41</v>
      </c>
      <c r="H24" s="82">
        <v>45306</v>
      </c>
      <c r="I24" s="81">
        <v>3</v>
      </c>
      <c r="J24" s="82">
        <v>45310</v>
      </c>
      <c r="K24" s="81" t="s">
        <v>3</v>
      </c>
      <c r="L24" s="81" t="s">
        <v>41</v>
      </c>
      <c r="M24" s="81" t="s">
        <v>41</v>
      </c>
      <c r="N24" s="81" t="s">
        <v>41</v>
      </c>
    </row>
    <row r="25" spans="1:14" ht="21.75" customHeight="1" x14ac:dyDescent="0.25">
      <c r="A25" s="78">
        <v>513</v>
      </c>
      <c r="B25" s="79">
        <v>45302</v>
      </c>
      <c r="C25" s="80" t="s">
        <v>41</v>
      </c>
      <c r="D25" s="80" t="s">
        <v>91</v>
      </c>
      <c r="E25" s="80" t="s">
        <v>41</v>
      </c>
      <c r="F25" s="81">
        <v>5</v>
      </c>
      <c r="G25" s="81" t="s">
        <v>41</v>
      </c>
      <c r="H25" s="82">
        <v>45306</v>
      </c>
      <c r="I25" s="81">
        <v>3</v>
      </c>
      <c r="J25" s="82">
        <v>45310</v>
      </c>
      <c r="K25" s="81" t="s">
        <v>41</v>
      </c>
      <c r="L25" s="81" t="s">
        <v>41</v>
      </c>
      <c r="M25" s="81" t="s">
        <v>1</v>
      </c>
      <c r="N25" s="81" t="s">
        <v>41</v>
      </c>
    </row>
    <row r="26" spans="1:14" ht="21.75" customHeight="1" x14ac:dyDescent="0.25">
      <c r="A26" s="78">
        <v>3568</v>
      </c>
      <c r="B26" s="79">
        <v>45302</v>
      </c>
      <c r="C26" s="80" t="s">
        <v>41</v>
      </c>
      <c r="D26" s="80" t="s">
        <v>91</v>
      </c>
      <c r="E26" s="80" t="s">
        <v>41</v>
      </c>
      <c r="F26" s="81">
        <v>5</v>
      </c>
      <c r="G26" s="81" t="s">
        <v>41</v>
      </c>
      <c r="H26" s="82">
        <v>45306</v>
      </c>
      <c r="I26" s="81">
        <v>3</v>
      </c>
      <c r="J26" s="82">
        <v>45310</v>
      </c>
      <c r="K26" s="81" t="s">
        <v>3</v>
      </c>
      <c r="L26" s="81" t="s">
        <v>5</v>
      </c>
      <c r="M26" s="81" t="s">
        <v>1</v>
      </c>
      <c r="N26" s="81" t="s">
        <v>4</v>
      </c>
    </row>
    <row r="27" spans="1:14" ht="21.75" customHeight="1" x14ac:dyDescent="0.25">
      <c r="A27" s="78">
        <v>2789</v>
      </c>
      <c r="B27" s="79">
        <v>45302</v>
      </c>
      <c r="C27" s="80" t="s">
        <v>41</v>
      </c>
      <c r="D27" s="80" t="s">
        <v>7</v>
      </c>
      <c r="E27" s="80" t="s">
        <v>41</v>
      </c>
      <c r="F27" s="81">
        <v>5</v>
      </c>
      <c r="G27" s="81" t="s">
        <v>41</v>
      </c>
      <c r="H27" s="82">
        <v>45306</v>
      </c>
      <c r="I27" s="81">
        <v>3</v>
      </c>
      <c r="J27" s="82">
        <v>45310</v>
      </c>
      <c r="K27" s="81" t="s">
        <v>41</v>
      </c>
      <c r="L27" s="81" t="s">
        <v>41</v>
      </c>
      <c r="M27" s="81" t="s">
        <v>1</v>
      </c>
      <c r="N27" s="81" t="s">
        <v>41</v>
      </c>
    </row>
    <row r="28" spans="1:14" ht="21.75" customHeight="1" x14ac:dyDescent="0.25">
      <c r="A28" s="78">
        <v>588</v>
      </c>
      <c r="B28" s="79">
        <v>45302</v>
      </c>
      <c r="C28" s="80" t="s">
        <v>41</v>
      </c>
      <c r="D28" s="80" t="s">
        <v>91</v>
      </c>
      <c r="E28" s="80" t="s">
        <v>41</v>
      </c>
      <c r="F28" s="81">
        <v>5</v>
      </c>
      <c r="G28" s="81" t="s">
        <v>41</v>
      </c>
      <c r="H28" s="82">
        <v>45306</v>
      </c>
      <c r="I28" s="81">
        <v>3</v>
      </c>
      <c r="J28" s="82">
        <v>45310</v>
      </c>
      <c r="K28" s="81" t="s">
        <v>41</v>
      </c>
      <c r="L28" s="81" t="s">
        <v>41</v>
      </c>
      <c r="M28" s="81" t="s">
        <v>1</v>
      </c>
      <c r="N28" s="81" t="s">
        <v>4</v>
      </c>
    </row>
    <row r="29" spans="1:14" ht="21.75" customHeight="1" x14ac:dyDescent="0.25">
      <c r="A29" s="78">
        <v>1180</v>
      </c>
      <c r="B29" s="79">
        <v>45304</v>
      </c>
      <c r="C29" s="80" t="s">
        <v>41</v>
      </c>
      <c r="D29" s="80" t="s">
        <v>6</v>
      </c>
      <c r="E29" s="80" t="s">
        <v>41</v>
      </c>
      <c r="F29" s="81">
        <v>5</v>
      </c>
      <c r="G29" s="81" t="s">
        <v>41</v>
      </c>
      <c r="H29" s="82">
        <v>45308</v>
      </c>
      <c r="I29" s="81">
        <v>5</v>
      </c>
      <c r="J29" s="82">
        <v>45314</v>
      </c>
      <c r="K29" s="81" t="s">
        <v>41</v>
      </c>
      <c r="L29" s="81" t="s">
        <v>5</v>
      </c>
      <c r="M29" s="81" t="s">
        <v>41</v>
      </c>
      <c r="N29" s="81" t="s">
        <v>41</v>
      </c>
    </row>
    <row r="30" spans="1:14" ht="21.75" customHeight="1" x14ac:dyDescent="0.25">
      <c r="A30" s="78">
        <v>1208</v>
      </c>
      <c r="B30" s="79">
        <v>45304</v>
      </c>
      <c r="C30" s="80" t="s">
        <v>41</v>
      </c>
      <c r="D30" s="80" t="s">
        <v>7</v>
      </c>
      <c r="E30" s="80" t="s">
        <v>41</v>
      </c>
      <c r="F30" s="81">
        <v>5</v>
      </c>
      <c r="G30" s="81" t="s">
        <v>41</v>
      </c>
      <c r="H30" s="82">
        <v>45308</v>
      </c>
      <c r="I30" s="81">
        <v>3</v>
      </c>
      <c r="J30" s="82">
        <v>45312</v>
      </c>
      <c r="K30" s="81" t="s">
        <v>3</v>
      </c>
      <c r="L30" s="81" t="s">
        <v>41</v>
      </c>
      <c r="M30" s="81" t="s">
        <v>41</v>
      </c>
      <c r="N30" s="81" t="s">
        <v>4</v>
      </c>
    </row>
    <row r="31" spans="1:14" ht="21.75" customHeight="1" x14ac:dyDescent="0.25">
      <c r="A31" s="78">
        <v>1166</v>
      </c>
      <c r="B31" s="79">
        <v>45304</v>
      </c>
      <c r="C31" s="80" t="s">
        <v>41</v>
      </c>
      <c r="D31" s="80" t="s">
        <v>7</v>
      </c>
      <c r="E31" s="80" t="s">
        <v>41</v>
      </c>
      <c r="F31" s="81">
        <v>5</v>
      </c>
      <c r="G31" s="81" t="s">
        <v>41</v>
      </c>
      <c r="H31" s="82">
        <v>45308</v>
      </c>
      <c r="I31" s="81">
        <v>3</v>
      </c>
      <c r="J31" s="82">
        <v>45312</v>
      </c>
      <c r="K31" s="81" t="s">
        <v>41</v>
      </c>
      <c r="L31" s="81" t="s">
        <v>41</v>
      </c>
      <c r="M31" s="81" t="s">
        <v>41</v>
      </c>
      <c r="N31" s="81" t="s">
        <v>4</v>
      </c>
    </row>
    <row r="32" spans="1:14" ht="21.75" customHeight="1" x14ac:dyDescent="0.25">
      <c r="A32" s="78">
        <v>2933</v>
      </c>
      <c r="B32" s="79">
        <v>45304</v>
      </c>
      <c r="C32" s="80" t="s">
        <v>41</v>
      </c>
      <c r="D32" s="80" t="s">
        <v>7</v>
      </c>
      <c r="E32" s="80" t="s">
        <v>41</v>
      </c>
      <c r="F32" s="81">
        <v>5</v>
      </c>
      <c r="G32" s="81" t="s">
        <v>41</v>
      </c>
      <c r="H32" s="82">
        <v>45308</v>
      </c>
      <c r="I32" s="81">
        <v>3</v>
      </c>
      <c r="J32" s="82">
        <v>45312</v>
      </c>
      <c r="K32" s="81" t="s">
        <v>3</v>
      </c>
      <c r="L32" s="81" t="s">
        <v>41</v>
      </c>
      <c r="M32" s="81" t="s">
        <v>41</v>
      </c>
      <c r="N32" s="81" t="s">
        <v>41</v>
      </c>
    </row>
    <row r="33" spans="1:14" ht="21.75" customHeight="1" x14ac:dyDescent="0.25">
      <c r="A33" s="78">
        <v>583</v>
      </c>
      <c r="B33" s="79">
        <v>45304</v>
      </c>
      <c r="C33" s="80" t="s">
        <v>41</v>
      </c>
      <c r="D33" s="80" t="s">
        <v>84</v>
      </c>
      <c r="E33" s="80" t="s">
        <v>41</v>
      </c>
      <c r="F33" s="81">
        <v>5</v>
      </c>
      <c r="G33" s="81" t="s">
        <v>41</v>
      </c>
      <c r="H33" s="82">
        <v>45308</v>
      </c>
      <c r="I33" s="81">
        <v>9</v>
      </c>
      <c r="J33" s="82">
        <v>45318</v>
      </c>
      <c r="K33" s="81" t="s">
        <v>3</v>
      </c>
      <c r="L33" s="81" t="s">
        <v>41</v>
      </c>
      <c r="M33" s="81" t="s">
        <v>41</v>
      </c>
      <c r="N33" s="81" t="s">
        <v>41</v>
      </c>
    </row>
    <row r="34" spans="1:14" ht="21.75" customHeight="1" x14ac:dyDescent="0.25">
      <c r="A34" s="78">
        <v>3368</v>
      </c>
      <c r="B34" s="79">
        <v>45304</v>
      </c>
      <c r="C34" s="80" t="s">
        <v>41</v>
      </c>
      <c r="D34" s="80" t="s">
        <v>84</v>
      </c>
      <c r="E34" s="80" t="s">
        <v>41</v>
      </c>
      <c r="F34" s="81">
        <v>5</v>
      </c>
      <c r="G34" s="81" t="s">
        <v>41</v>
      </c>
      <c r="H34" s="82">
        <v>45308</v>
      </c>
      <c r="I34" s="81">
        <v>9</v>
      </c>
      <c r="J34" s="82">
        <v>45318</v>
      </c>
      <c r="K34" s="81" t="s">
        <v>3</v>
      </c>
      <c r="L34" s="81" t="s">
        <v>41</v>
      </c>
      <c r="M34" s="81" t="s">
        <v>41</v>
      </c>
      <c r="N34" s="81" t="s">
        <v>41</v>
      </c>
    </row>
    <row r="35" spans="1:14" ht="21.75" customHeight="1" x14ac:dyDescent="0.25">
      <c r="A35" s="78">
        <v>2594</v>
      </c>
      <c r="B35" s="79">
        <v>45304</v>
      </c>
      <c r="C35" s="80" t="s">
        <v>41</v>
      </c>
      <c r="D35" s="80" t="s">
        <v>85</v>
      </c>
      <c r="E35" s="80" t="s">
        <v>41</v>
      </c>
      <c r="F35" s="81">
        <v>5</v>
      </c>
      <c r="G35" s="81" t="s">
        <v>41</v>
      </c>
      <c r="H35" s="82">
        <v>45308</v>
      </c>
      <c r="I35" s="81">
        <v>3</v>
      </c>
      <c r="J35" s="82">
        <v>45312</v>
      </c>
      <c r="K35" s="81" t="s">
        <v>3</v>
      </c>
      <c r="L35" s="81" t="s">
        <v>5</v>
      </c>
      <c r="M35" s="81" t="s">
        <v>41</v>
      </c>
      <c r="N35" s="81" t="s">
        <v>4</v>
      </c>
    </row>
    <row r="36" spans="1:14" ht="21.75" customHeight="1" x14ac:dyDescent="0.25">
      <c r="A36" s="78">
        <v>588</v>
      </c>
      <c r="B36" s="79">
        <v>45304</v>
      </c>
      <c r="C36" s="80" t="s">
        <v>41</v>
      </c>
      <c r="D36" s="80" t="s">
        <v>84</v>
      </c>
      <c r="E36" s="80" t="s">
        <v>41</v>
      </c>
      <c r="F36" s="81">
        <v>5</v>
      </c>
      <c r="G36" s="81" t="s">
        <v>41</v>
      </c>
      <c r="H36" s="82">
        <v>45308</v>
      </c>
      <c r="I36" s="81">
        <v>9</v>
      </c>
      <c r="J36" s="82">
        <v>45318</v>
      </c>
      <c r="K36" s="81" t="s">
        <v>41</v>
      </c>
      <c r="L36" s="81" t="s">
        <v>41</v>
      </c>
      <c r="M36" s="81" t="s">
        <v>1</v>
      </c>
      <c r="N36" s="81" t="s">
        <v>4</v>
      </c>
    </row>
    <row r="37" spans="1:14" ht="21.75" customHeight="1" x14ac:dyDescent="0.25">
      <c r="A37" s="78">
        <v>2716</v>
      </c>
      <c r="B37" s="79">
        <v>45307</v>
      </c>
      <c r="C37" s="80" t="s">
        <v>41</v>
      </c>
      <c r="D37" s="80" t="s">
        <v>7</v>
      </c>
      <c r="E37" s="80" t="s">
        <v>41</v>
      </c>
      <c r="F37" s="81">
        <v>5</v>
      </c>
      <c r="G37" s="81" t="s">
        <v>41</v>
      </c>
      <c r="H37" s="82">
        <v>45311</v>
      </c>
      <c r="I37" s="81">
        <v>3</v>
      </c>
      <c r="J37" s="82">
        <v>45315</v>
      </c>
      <c r="K37" s="81" t="s">
        <v>3</v>
      </c>
      <c r="L37" s="81" t="s">
        <v>5</v>
      </c>
      <c r="M37" s="81" t="s">
        <v>41</v>
      </c>
      <c r="N37" s="81" t="s">
        <v>41</v>
      </c>
    </row>
    <row r="38" spans="1:14" ht="21.75" customHeight="1" x14ac:dyDescent="0.25">
      <c r="A38" s="78">
        <v>2410</v>
      </c>
      <c r="B38" s="79">
        <v>45307</v>
      </c>
      <c r="C38" s="80" t="s">
        <v>41</v>
      </c>
      <c r="D38" s="80" t="s">
        <v>7</v>
      </c>
      <c r="E38" s="80" t="s">
        <v>41</v>
      </c>
      <c r="F38" s="81">
        <v>5</v>
      </c>
      <c r="G38" s="81" t="s">
        <v>41</v>
      </c>
      <c r="H38" s="82">
        <v>45311</v>
      </c>
      <c r="I38" s="81">
        <v>3</v>
      </c>
      <c r="J38" s="82">
        <v>45315</v>
      </c>
      <c r="K38" s="81" t="s">
        <v>3</v>
      </c>
      <c r="L38" s="81" t="s">
        <v>41</v>
      </c>
      <c r="M38" s="81" t="s">
        <v>41</v>
      </c>
      <c r="N38" s="81" t="s">
        <v>41</v>
      </c>
    </row>
    <row r="39" spans="1:14" ht="21.75" customHeight="1" x14ac:dyDescent="0.25">
      <c r="A39" s="78">
        <v>1206</v>
      </c>
      <c r="B39" s="79">
        <v>45307</v>
      </c>
      <c r="C39" s="80" t="s">
        <v>41</v>
      </c>
      <c r="D39" s="80" t="s">
        <v>43</v>
      </c>
      <c r="E39" s="80" t="s">
        <v>41</v>
      </c>
      <c r="F39" s="81">
        <v>5</v>
      </c>
      <c r="G39" s="81" t="s">
        <v>41</v>
      </c>
      <c r="H39" s="82">
        <v>45311</v>
      </c>
      <c r="I39" s="81">
        <v>3</v>
      </c>
      <c r="J39" s="82">
        <v>45315</v>
      </c>
      <c r="K39" s="81" t="s">
        <v>3</v>
      </c>
      <c r="L39" s="81" t="s">
        <v>41</v>
      </c>
      <c r="M39" s="81" t="s">
        <v>41</v>
      </c>
      <c r="N39" s="81" t="s">
        <v>41</v>
      </c>
    </row>
    <row r="40" spans="1:14" ht="21.75" customHeight="1" x14ac:dyDescent="0.25">
      <c r="A40" s="78">
        <v>2276</v>
      </c>
      <c r="B40" s="79">
        <v>45307</v>
      </c>
      <c r="C40" s="80" t="s">
        <v>41</v>
      </c>
      <c r="D40" s="80" t="s">
        <v>43</v>
      </c>
      <c r="E40" s="80" t="s">
        <v>41</v>
      </c>
      <c r="F40" s="81">
        <v>5</v>
      </c>
      <c r="G40" s="81" t="s">
        <v>41</v>
      </c>
      <c r="H40" s="82">
        <v>45311</v>
      </c>
      <c r="I40" s="81">
        <v>3</v>
      </c>
      <c r="J40" s="82">
        <v>45315</v>
      </c>
      <c r="K40" s="81" t="s">
        <v>3</v>
      </c>
      <c r="L40" s="81" t="s">
        <v>5</v>
      </c>
      <c r="M40" s="81" t="s">
        <v>1</v>
      </c>
      <c r="N40" s="81" t="s">
        <v>4</v>
      </c>
    </row>
    <row r="41" spans="1:14" ht="21.75" customHeight="1" x14ac:dyDescent="0.25">
      <c r="A41" s="78">
        <v>3568</v>
      </c>
      <c r="B41" s="79">
        <v>45307</v>
      </c>
      <c r="C41" s="80" t="s">
        <v>41</v>
      </c>
      <c r="D41" s="80" t="s">
        <v>43</v>
      </c>
      <c r="E41" s="80" t="s">
        <v>41</v>
      </c>
      <c r="F41" s="81">
        <v>5</v>
      </c>
      <c r="G41" s="81" t="s">
        <v>41</v>
      </c>
      <c r="H41" s="82">
        <v>45311</v>
      </c>
      <c r="I41" s="81">
        <v>3</v>
      </c>
      <c r="J41" s="82">
        <v>45315</v>
      </c>
      <c r="K41" s="81" t="s">
        <v>3</v>
      </c>
      <c r="L41" s="81" t="s">
        <v>5</v>
      </c>
      <c r="M41" s="81" t="s">
        <v>1</v>
      </c>
      <c r="N41" s="81" t="s">
        <v>4</v>
      </c>
    </row>
    <row r="42" spans="1:14" ht="21.75" customHeight="1" x14ac:dyDescent="0.25">
      <c r="A42" s="78">
        <v>513</v>
      </c>
      <c r="B42" s="79">
        <v>45307</v>
      </c>
      <c r="C42" s="80" t="s">
        <v>41</v>
      </c>
      <c r="D42" s="80" t="s">
        <v>91</v>
      </c>
      <c r="E42" s="80" t="s">
        <v>41</v>
      </c>
      <c r="F42" s="81">
        <v>5</v>
      </c>
      <c r="G42" s="81" t="s">
        <v>41</v>
      </c>
      <c r="H42" s="82">
        <v>45311</v>
      </c>
      <c r="I42" s="81">
        <v>3</v>
      </c>
      <c r="J42" s="82">
        <v>45315</v>
      </c>
      <c r="K42" s="81" t="s">
        <v>3</v>
      </c>
      <c r="L42" s="81" t="s">
        <v>41</v>
      </c>
      <c r="M42" s="81" t="s">
        <v>1</v>
      </c>
      <c r="N42" s="81" t="s">
        <v>41</v>
      </c>
    </row>
    <row r="43" spans="1:14" ht="21.75" customHeight="1" x14ac:dyDescent="0.25">
      <c r="A43" s="78">
        <v>3031</v>
      </c>
      <c r="B43" s="79">
        <v>45307</v>
      </c>
      <c r="C43" s="80" t="s">
        <v>41</v>
      </c>
      <c r="D43" s="80" t="s">
        <v>91</v>
      </c>
      <c r="E43" s="80" t="s">
        <v>41</v>
      </c>
      <c r="F43" s="81">
        <v>5</v>
      </c>
      <c r="G43" s="81" t="s">
        <v>41</v>
      </c>
      <c r="H43" s="82">
        <v>45311</v>
      </c>
      <c r="I43" s="81">
        <v>3</v>
      </c>
      <c r="J43" s="82">
        <v>45315</v>
      </c>
      <c r="K43" s="81" t="s">
        <v>41</v>
      </c>
      <c r="L43" s="81" t="s">
        <v>41</v>
      </c>
      <c r="M43" s="81" t="s">
        <v>1</v>
      </c>
      <c r="N43" s="81" t="s">
        <v>4</v>
      </c>
    </row>
    <row r="44" spans="1:14" ht="21.75" customHeight="1" x14ac:dyDescent="0.25">
      <c r="A44" s="78">
        <v>2914</v>
      </c>
      <c r="B44" s="79">
        <v>45307</v>
      </c>
      <c r="C44" s="80" t="s">
        <v>41</v>
      </c>
      <c r="D44" s="80" t="s">
        <v>91</v>
      </c>
      <c r="E44" s="80" t="s">
        <v>41</v>
      </c>
      <c r="F44" s="81">
        <v>5</v>
      </c>
      <c r="G44" s="81" t="s">
        <v>41</v>
      </c>
      <c r="H44" s="82">
        <v>45311</v>
      </c>
      <c r="I44" s="81">
        <v>3</v>
      </c>
      <c r="J44" s="82">
        <v>45315</v>
      </c>
      <c r="K44" s="81" t="s">
        <v>3</v>
      </c>
      <c r="L44" s="81" t="s">
        <v>5</v>
      </c>
      <c r="M44" s="81" t="s">
        <v>41</v>
      </c>
      <c r="N44" s="81" t="s">
        <v>4</v>
      </c>
    </row>
    <row r="45" spans="1:14" ht="21.75" customHeight="1" x14ac:dyDescent="0.25">
      <c r="A45" s="78">
        <v>3350</v>
      </c>
      <c r="B45" s="79">
        <v>45307</v>
      </c>
      <c r="C45" s="80" t="s">
        <v>41</v>
      </c>
      <c r="D45" s="80" t="s">
        <v>91</v>
      </c>
      <c r="E45" s="80" t="s">
        <v>41</v>
      </c>
      <c r="F45" s="81">
        <v>4</v>
      </c>
      <c r="G45" s="81" t="s">
        <v>41</v>
      </c>
      <c r="H45" s="82">
        <v>45310</v>
      </c>
      <c r="I45" s="81">
        <v>3</v>
      </c>
      <c r="J45" s="82">
        <v>45314</v>
      </c>
      <c r="K45" s="81" t="s">
        <v>41</v>
      </c>
      <c r="L45" s="81" t="s">
        <v>41</v>
      </c>
      <c r="M45" s="81" t="s">
        <v>1</v>
      </c>
      <c r="N45" s="81" t="s">
        <v>4</v>
      </c>
    </row>
    <row r="46" spans="1:14" ht="21.75" customHeight="1" x14ac:dyDescent="0.25">
      <c r="A46" s="78">
        <v>1780</v>
      </c>
      <c r="B46" s="79">
        <v>45307</v>
      </c>
      <c r="C46" s="80" t="s">
        <v>41</v>
      </c>
      <c r="D46" s="80" t="s">
        <v>91</v>
      </c>
      <c r="E46" s="80" t="s">
        <v>41</v>
      </c>
      <c r="F46" s="81">
        <v>4</v>
      </c>
      <c r="G46" s="81" t="s">
        <v>41</v>
      </c>
      <c r="H46" s="82">
        <v>45310</v>
      </c>
      <c r="I46" s="81">
        <v>3</v>
      </c>
      <c r="J46" s="82">
        <v>45314</v>
      </c>
      <c r="K46" s="81" t="s">
        <v>41</v>
      </c>
      <c r="L46" s="81" t="s">
        <v>5</v>
      </c>
      <c r="M46" s="81" t="s">
        <v>1</v>
      </c>
      <c r="N46" s="81" t="s">
        <v>41</v>
      </c>
    </row>
    <row r="47" spans="1:14" ht="21.75" customHeight="1" x14ac:dyDescent="0.25">
      <c r="A47" s="78">
        <v>2238</v>
      </c>
      <c r="B47" s="79">
        <v>45307</v>
      </c>
      <c r="C47" s="80" t="s">
        <v>41</v>
      </c>
      <c r="D47" s="80" t="s">
        <v>91</v>
      </c>
      <c r="E47" s="80" t="s">
        <v>41</v>
      </c>
      <c r="F47" s="81">
        <v>4</v>
      </c>
      <c r="G47" s="81" t="s">
        <v>41</v>
      </c>
      <c r="H47" s="82">
        <v>45310</v>
      </c>
      <c r="I47" s="81">
        <v>3</v>
      </c>
      <c r="J47" s="82">
        <v>45314</v>
      </c>
      <c r="K47" s="81" t="s">
        <v>3</v>
      </c>
      <c r="L47" s="81" t="s">
        <v>5</v>
      </c>
      <c r="M47" s="81" t="s">
        <v>1</v>
      </c>
      <c r="N47" s="81" t="s">
        <v>41</v>
      </c>
    </row>
    <row r="48" spans="1:14" ht="21.75" customHeight="1" x14ac:dyDescent="0.25">
      <c r="A48" s="78">
        <v>3019</v>
      </c>
      <c r="B48" s="79">
        <v>45307</v>
      </c>
      <c r="C48" s="80" t="s">
        <v>41</v>
      </c>
      <c r="D48" s="80" t="s">
        <v>91</v>
      </c>
      <c r="E48" s="80" t="s">
        <v>41</v>
      </c>
      <c r="F48" s="81">
        <v>4</v>
      </c>
      <c r="G48" s="81" t="s">
        <v>41</v>
      </c>
      <c r="H48" s="82">
        <v>45310</v>
      </c>
      <c r="I48" s="81">
        <v>3</v>
      </c>
      <c r="J48" s="82">
        <v>45314</v>
      </c>
      <c r="K48" s="81" t="s">
        <v>41</v>
      </c>
      <c r="L48" s="81" t="s">
        <v>41</v>
      </c>
      <c r="M48" s="81" t="s">
        <v>41</v>
      </c>
      <c r="N48" s="81" t="s">
        <v>4</v>
      </c>
    </row>
    <row r="49" spans="1:14" ht="21.75" customHeight="1" x14ac:dyDescent="0.25">
      <c r="A49" s="78">
        <v>3446</v>
      </c>
      <c r="B49" s="79">
        <v>45307</v>
      </c>
      <c r="C49" s="80" t="s">
        <v>41</v>
      </c>
      <c r="D49" s="80" t="s">
        <v>91</v>
      </c>
      <c r="E49" s="80" t="s">
        <v>41</v>
      </c>
      <c r="F49" s="81">
        <v>4</v>
      </c>
      <c r="G49" s="81" t="s">
        <v>41</v>
      </c>
      <c r="H49" s="82">
        <v>45310</v>
      </c>
      <c r="I49" s="81">
        <v>3</v>
      </c>
      <c r="J49" s="82">
        <v>45314</v>
      </c>
      <c r="K49" s="81" t="s">
        <v>41</v>
      </c>
      <c r="L49" s="81" t="s">
        <v>5</v>
      </c>
      <c r="M49" s="81" t="s">
        <v>41</v>
      </c>
      <c r="N49" s="81" t="s">
        <v>4</v>
      </c>
    </row>
    <row r="50" spans="1:14" ht="21.75" customHeight="1" x14ac:dyDescent="0.25">
      <c r="A50" s="78">
        <v>2445</v>
      </c>
      <c r="B50" s="79">
        <v>45307</v>
      </c>
      <c r="C50" s="80" t="s">
        <v>41</v>
      </c>
      <c r="D50" s="80" t="s">
        <v>91</v>
      </c>
      <c r="E50" s="80" t="s">
        <v>41</v>
      </c>
      <c r="F50" s="81">
        <v>4</v>
      </c>
      <c r="G50" s="81" t="s">
        <v>41</v>
      </c>
      <c r="H50" s="82">
        <v>45310</v>
      </c>
      <c r="I50" s="81">
        <v>3</v>
      </c>
      <c r="J50" s="82">
        <v>45314</v>
      </c>
      <c r="K50" s="81" t="s">
        <v>41</v>
      </c>
      <c r="L50" s="81" t="s">
        <v>5</v>
      </c>
      <c r="M50" s="81" t="s">
        <v>41</v>
      </c>
      <c r="N50" s="81" t="s">
        <v>41</v>
      </c>
    </row>
    <row r="51" spans="1:14" ht="21.75" customHeight="1" x14ac:dyDescent="0.25">
      <c r="A51" s="78">
        <v>2706</v>
      </c>
      <c r="B51" s="79">
        <v>45307</v>
      </c>
      <c r="C51" s="80" t="s">
        <v>41</v>
      </c>
      <c r="D51" s="80" t="s">
        <v>91</v>
      </c>
      <c r="E51" s="80" t="s">
        <v>41</v>
      </c>
      <c r="F51" s="81">
        <v>4</v>
      </c>
      <c r="G51" s="81" t="s">
        <v>41</v>
      </c>
      <c r="H51" s="82">
        <v>45310</v>
      </c>
      <c r="I51" s="81">
        <v>3</v>
      </c>
      <c r="J51" s="82">
        <v>45314</v>
      </c>
      <c r="K51" s="81" t="s">
        <v>41</v>
      </c>
      <c r="L51" s="81" t="s">
        <v>5</v>
      </c>
      <c r="M51" s="81" t="s">
        <v>41</v>
      </c>
      <c r="N51" s="81" t="s">
        <v>4</v>
      </c>
    </row>
    <row r="52" spans="1:14" ht="21.75" customHeight="1" x14ac:dyDescent="0.25">
      <c r="A52" s="78">
        <v>3266</v>
      </c>
      <c r="B52" s="79">
        <v>45307</v>
      </c>
      <c r="C52" s="80" t="s">
        <v>41</v>
      </c>
      <c r="D52" s="80" t="s">
        <v>91</v>
      </c>
      <c r="E52" s="80" t="s">
        <v>41</v>
      </c>
      <c r="F52" s="81">
        <v>4</v>
      </c>
      <c r="G52" s="81" t="s">
        <v>41</v>
      </c>
      <c r="H52" s="82">
        <v>45310</v>
      </c>
      <c r="I52" s="81">
        <v>3</v>
      </c>
      <c r="J52" s="82">
        <v>45314</v>
      </c>
      <c r="K52" s="81" t="s">
        <v>41</v>
      </c>
      <c r="L52" s="81" t="s">
        <v>41</v>
      </c>
      <c r="M52" s="81" t="s">
        <v>1</v>
      </c>
      <c r="N52" s="81" t="s">
        <v>41</v>
      </c>
    </row>
    <row r="53" spans="1:14" ht="21.75" customHeight="1" x14ac:dyDescent="0.25">
      <c r="A53" s="78">
        <v>577</v>
      </c>
      <c r="B53" s="79">
        <v>45307</v>
      </c>
      <c r="C53" s="80" t="s">
        <v>41</v>
      </c>
      <c r="D53" s="80" t="s">
        <v>91</v>
      </c>
      <c r="E53" s="80" t="s">
        <v>41</v>
      </c>
      <c r="F53" s="81">
        <v>4</v>
      </c>
      <c r="G53" s="81" t="s">
        <v>41</v>
      </c>
      <c r="H53" s="82">
        <v>45310</v>
      </c>
      <c r="I53" s="81">
        <v>3</v>
      </c>
      <c r="J53" s="82">
        <v>45314</v>
      </c>
      <c r="K53" s="81" t="s">
        <v>41</v>
      </c>
      <c r="L53" s="81" t="s">
        <v>41</v>
      </c>
      <c r="M53" s="81" t="s">
        <v>1</v>
      </c>
      <c r="N53" s="81" t="s">
        <v>4</v>
      </c>
    </row>
    <row r="54" spans="1:14" ht="21.75" customHeight="1" x14ac:dyDescent="0.25">
      <c r="A54" s="78">
        <v>2310</v>
      </c>
      <c r="B54" s="79">
        <v>45308</v>
      </c>
      <c r="C54" s="80" t="s">
        <v>41</v>
      </c>
      <c r="D54" s="80" t="s">
        <v>7</v>
      </c>
      <c r="E54" s="80" t="s">
        <v>41</v>
      </c>
      <c r="F54" s="81">
        <v>5</v>
      </c>
      <c r="G54" s="81" t="s">
        <v>41</v>
      </c>
      <c r="H54" s="82">
        <v>45312</v>
      </c>
      <c r="I54" s="81">
        <v>3</v>
      </c>
      <c r="J54" s="82">
        <v>45316</v>
      </c>
      <c r="K54" s="81" t="s">
        <v>41</v>
      </c>
      <c r="L54" s="81" t="s">
        <v>5</v>
      </c>
      <c r="M54" s="81" t="s">
        <v>1</v>
      </c>
      <c r="N54" s="81" t="s">
        <v>4</v>
      </c>
    </row>
    <row r="55" spans="1:14" ht="21.75" customHeight="1" x14ac:dyDescent="0.25">
      <c r="A55" s="78">
        <v>2949</v>
      </c>
      <c r="B55" s="79">
        <v>45309</v>
      </c>
      <c r="C55" s="80" t="s">
        <v>41</v>
      </c>
      <c r="D55" s="80" t="s">
        <v>91</v>
      </c>
      <c r="E55" s="80" t="s">
        <v>41</v>
      </c>
      <c r="F55" s="81">
        <v>4</v>
      </c>
      <c r="G55" s="81" t="s">
        <v>41</v>
      </c>
      <c r="H55" s="82">
        <v>45312</v>
      </c>
      <c r="I55" s="81">
        <v>3</v>
      </c>
      <c r="J55" s="82">
        <v>45316</v>
      </c>
      <c r="K55" s="81" t="s">
        <v>3</v>
      </c>
      <c r="L55" s="81" t="s">
        <v>41</v>
      </c>
      <c r="M55" s="81" t="s">
        <v>41</v>
      </c>
      <c r="N55" s="81" t="s">
        <v>41</v>
      </c>
    </row>
    <row r="56" spans="1:14" ht="21.75" customHeight="1" x14ac:dyDescent="0.25">
      <c r="A56" s="78">
        <v>3493</v>
      </c>
      <c r="B56" s="79">
        <v>45310</v>
      </c>
      <c r="C56" s="80" t="s">
        <v>41</v>
      </c>
      <c r="D56" s="80" t="s">
        <v>7</v>
      </c>
      <c r="E56" s="80" t="s">
        <v>41</v>
      </c>
      <c r="F56" s="81">
        <v>5</v>
      </c>
      <c r="G56" s="81" t="s">
        <v>41</v>
      </c>
      <c r="H56" s="82">
        <v>45314</v>
      </c>
      <c r="I56" s="81">
        <v>3</v>
      </c>
      <c r="J56" s="82">
        <v>45318</v>
      </c>
      <c r="K56" s="81" t="s">
        <v>41</v>
      </c>
      <c r="L56" s="81" t="s">
        <v>41</v>
      </c>
      <c r="M56" s="81" t="s">
        <v>1</v>
      </c>
      <c r="N56" s="81" t="s">
        <v>41</v>
      </c>
    </row>
    <row r="57" spans="1:14" ht="21.75" customHeight="1" x14ac:dyDescent="0.25">
      <c r="A57" s="78">
        <v>2020</v>
      </c>
      <c r="B57" s="79">
        <v>45310</v>
      </c>
      <c r="C57" s="80" t="s">
        <v>41</v>
      </c>
      <c r="D57" s="80" t="s">
        <v>91</v>
      </c>
      <c r="E57" s="80" t="s">
        <v>41</v>
      </c>
      <c r="F57" s="81">
        <v>5</v>
      </c>
      <c r="G57" s="81" t="s">
        <v>41</v>
      </c>
      <c r="H57" s="82">
        <v>45314</v>
      </c>
      <c r="I57" s="81">
        <v>3</v>
      </c>
      <c r="J57" s="82">
        <v>45318</v>
      </c>
      <c r="K57" s="81" t="s">
        <v>41</v>
      </c>
      <c r="L57" s="81" t="s">
        <v>5</v>
      </c>
      <c r="M57" s="81" t="s">
        <v>1</v>
      </c>
      <c r="N57" s="81" t="s">
        <v>4</v>
      </c>
    </row>
    <row r="58" spans="1:14" ht="21.75" customHeight="1" x14ac:dyDescent="0.25">
      <c r="A58" s="78">
        <v>2905</v>
      </c>
      <c r="B58" s="79">
        <v>45310</v>
      </c>
      <c r="C58" s="80" t="s">
        <v>41</v>
      </c>
      <c r="D58" s="80" t="s">
        <v>7</v>
      </c>
      <c r="E58" s="80" t="s">
        <v>41</v>
      </c>
      <c r="F58" s="81">
        <v>5</v>
      </c>
      <c r="G58" s="81" t="s">
        <v>41</v>
      </c>
      <c r="H58" s="82">
        <v>45314</v>
      </c>
      <c r="I58" s="81">
        <v>3</v>
      </c>
      <c r="J58" s="82">
        <v>45318</v>
      </c>
      <c r="K58" s="81" t="s">
        <v>3</v>
      </c>
      <c r="L58" s="81" t="s">
        <v>41</v>
      </c>
      <c r="M58" s="81" t="s">
        <v>41</v>
      </c>
      <c r="N58" s="81" t="s">
        <v>41</v>
      </c>
    </row>
    <row r="59" spans="1:14" ht="21.75" customHeight="1" x14ac:dyDescent="0.25">
      <c r="A59" s="78">
        <v>3398</v>
      </c>
      <c r="B59" s="79">
        <v>45311</v>
      </c>
      <c r="C59" s="80" t="s">
        <v>41</v>
      </c>
      <c r="D59" s="80" t="s">
        <v>7</v>
      </c>
      <c r="E59" s="80" t="s">
        <v>41</v>
      </c>
      <c r="F59" s="81">
        <v>5</v>
      </c>
      <c r="G59" s="81" t="s">
        <v>41</v>
      </c>
      <c r="H59" s="82">
        <v>45315</v>
      </c>
      <c r="I59" s="81">
        <v>3</v>
      </c>
      <c r="J59" s="82">
        <v>45319</v>
      </c>
      <c r="K59" s="81" t="s">
        <v>41</v>
      </c>
      <c r="L59" s="81" t="s">
        <v>41</v>
      </c>
      <c r="M59" s="81" t="s">
        <v>1</v>
      </c>
      <c r="N59" s="81" t="s">
        <v>41</v>
      </c>
    </row>
    <row r="60" spans="1:14" ht="21.75" customHeight="1" x14ac:dyDescent="0.25">
      <c r="A60" s="78">
        <v>3065</v>
      </c>
      <c r="B60" s="79">
        <v>45311</v>
      </c>
      <c r="C60" s="80" t="s">
        <v>41</v>
      </c>
      <c r="D60" s="80" t="s">
        <v>7</v>
      </c>
      <c r="E60" s="80" t="s">
        <v>41</v>
      </c>
      <c r="F60" s="81">
        <v>5</v>
      </c>
      <c r="G60" s="81" t="s">
        <v>41</v>
      </c>
      <c r="H60" s="82">
        <v>45315</v>
      </c>
      <c r="I60" s="81">
        <v>3</v>
      </c>
      <c r="J60" s="82">
        <v>45319</v>
      </c>
      <c r="K60" s="81" t="s">
        <v>41</v>
      </c>
      <c r="L60" s="81" t="s">
        <v>41</v>
      </c>
      <c r="M60" s="81" t="s">
        <v>1</v>
      </c>
      <c r="N60" s="81" t="s">
        <v>4</v>
      </c>
    </row>
    <row r="61" spans="1:14" ht="21.75" customHeight="1" x14ac:dyDescent="0.25">
      <c r="A61" s="78">
        <v>1208</v>
      </c>
      <c r="B61" s="79">
        <v>45311</v>
      </c>
      <c r="C61" s="80" t="s">
        <v>41</v>
      </c>
      <c r="D61" s="80" t="s">
        <v>91</v>
      </c>
      <c r="E61" s="80" t="s">
        <v>41</v>
      </c>
      <c r="F61" s="81">
        <v>5</v>
      </c>
      <c r="G61" s="81" t="s">
        <v>41</v>
      </c>
      <c r="H61" s="82">
        <v>45315</v>
      </c>
      <c r="I61" s="81">
        <v>3</v>
      </c>
      <c r="J61" s="82">
        <v>45319</v>
      </c>
      <c r="K61" s="81" t="s">
        <v>41</v>
      </c>
      <c r="L61" s="81" t="s">
        <v>41</v>
      </c>
      <c r="M61" s="81" t="s">
        <v>41</v>
      </c>
      <c r="N61" s="81" t="s">
        <v>4</v>
      </c>
    </row>
    <row r="62" spans="1:14" ht="21.75" customHeight="1" x14ac:dyDescent="0.25">
      <c r="A62" s="78">
        <v>2789</v>
      </c>
      <c r="B62" s="79">
        <v>45311</v>
      </c>
      <c r="C62" s="80" t="s">
        <v>41</v>
      </c>
      <c r="D62" s="80" t="s">
        <v>91</v>
      </c>
      <c r="E62" s="80" t="s">
        <v>41</v>
      </c>
      <c r="F62" s="81">
        <v>5</v>
      </c>
      <c r="G62" s="81" t="s">
        <v>41</v>
      </c>
      <c r="H62" s="82">
        <v>45315</v>
      </c>
      <c r="I62" s="81">
        <v>3</v>
      </c>
      <c r="J62" s="82">
        <v>45319</v>
      </c>
      <c r="K62" s="81" t="s">
        <v>3</v>
      </c>
      <c r="L62" s="81" t="s">
        <v>41</v>
      </c>
      <c r="M62" s="81" t="s">
        <v>41</v>
      </c>
      <c r="N62" s="81" t="s">
        <v>4</v>
      </c>
    </row>
    <row r="63" spans="1:14" ht="21.75" customHeight="1" x14ac:dyDescent="0.25">
      <c r="A63" s="78">
        <v>1166</v>
      </c>
      <c r="B63" s="79">
        <v>45311</v>
      </c>
      <c r="C63" s="80" t="s">
        <v>41</v>
      </c>
      <c r="D63" s="80" t="s">
        <v>91</v>
      </c>
      <c r="E63" s="80" t="s">
        <v>41</v>
      </c>
      <c r="F63" s="81">
        <v>5</v>
      </c>
      <c r="G63" s="81" t="s">
        <v>41</v>
      </c>
      <c r="H63" s="82">
        <v>45315</v>
      </c>
      <c r="I63" s="81">
        <v>3</v>
      </c>
      <c r="J63" s="82">
        <v>45319</v>
      </c>
      <c r="K63" s="81" t="s">
        <v>41</v>
      </c>
      <c r="L63" s="81" t="s">
        <v>41</v>
      </c>
      <c r="M63" s="81" t="s">
        <v>41</v>
      </c>
      <c r="N63" s="81" t="s">
        <v>4</v>
      </c>
    </row>
    <row r="64" spans="1:14" ht="21.75" customHeight="1" x14ac:dyDescent="0.25">
      <c r="A64" s="78">
        <v>583</v>
      </c>
      <c r="B64" s="79">
        <v>45311</v>
      </c>
      <c r="C64" s="80" t="s">
        <v>41</v>
      </c>
      <c r="D64" s="80" t="s">
        <v>43</v>
      </c>
      <c r="E64" s="80" t="s">
        <v>41</v>
      </c>
      <c r="F64" s="81">
        <v>5</v>
      </c>
      <c r="G64" s="81" t="s">
        <v>41</v>
      </c>
      <c r="H64" s="82">
        <v>45315</v>
      </c>
      <c r="I64" s="81">
        <v>3</v>
      </c>
      <c r="J64" s="82">
        <v>45319</v>
      </c>
      <c r="K64" s="81" t="s">
        <v>3</v>
      </c>
      <c r="L64" s="81" t="s">
        <v>41</v>
      </c>
      <c r="M64" s="81" t="s">
        <v>1</v>
      </c>
      <c r="N64" s="81" t="s">
        <v>41</v>
      </c>
    </row>
    <row r="65" spans="1:14" ht="21.75" customHeight="1" x14ac:dyDescent="0.25">
      <c r="A65" s="78">
        <v>3031</v>
      </c>
      <c r="B65" s="79">
        <v>45311</v>
      </c>
      <c r="C65" s="80" t="s">
        <v>41</v>
      </c>
      <c r="D65" s="80" t="s">
        <v>43</v>
      </c>
      <c r="E65" s="80" t="s">
        <v>41</v>
      </c>
      <c r="F65" s="81">
        <v>5</v>
      </c>
      <c r="G65" s="81" t="s">
        <v>41</v>
      </c>
      <c r="H65" s="82">
        <v>45315</v>
      </c>
      <c r="I65" s="81">
        <v>3</v>
      </c>
      <c r="J65" s="82">
        <v>45319</v>
      </c>
      <c r="K65" s="81" t="s">
        <v>41</v>
      </c>
      <c r="L65" s="81" t="s">
        <v>41</v>
      </c>
      <c r="M65" s="81" t="s">
        <v>1</v>
      </c>
      <c r="N65" s="81" t="s">
        <v>4</v>
      </c>
    </row>
    <row r="66" spans="1:14" ht="21.75" customHeight="1" x14ac:dyDescent="0.25">
      <c r="A66" s="78">
        <v>2917</v>
      </c>
      <c r="B66" s="79">
        <v>45312</v>
      </c>
      <c r="C66" s="80" t="s">
        <v>41</v>
      </c>
      <c r="D66" s="80" t="s">
        <v>6</v>
      </c>
      <c r="E66" s="80" t="s">
        <v>41</v>
      </c>
      <c r="F66" s="81">
        <v>5</v>
      </c>
      <c r="G66" s="81" t="s">
        <v>41</v>
      </c>
      <c r="H66" s="82">
        <v>45316</v>
      </c>
      <c r="I66" s="81">
        <v>5</v>
      </c>
      <c r="J66" s="82">
        <v>45322</v>
      </c>
      <c r="K66" s="81" t="s">
        <v>41</v>
      </c>
      <c r="L66" s="81" t="s">
        <v>5</v>
      </c>
      <c r="M66" s="81" t="s">
        <v>41</v>
      </c>
      <c r="N66" s="81" t="s">
        <v>41</v>
      </c>
    </row>
    <row r="67" spans="1:14" ht="21.75" customHeight="1" x14ac:dyDescent="0.25">
      <c r="A67" s="78">
        <v>3063</v>
      </c>
      <c r="B67" s="79">
        <v>45313</v>
      </c>
      <c r="C67" s="80" t="s">
        <v>41</v>
      </c>
      <c r="D67" s="80" t="s">
        <v>7</v>
      </c>
      <c r="E67" s="80" t="s">
        <v>41</v>
      </c>
      <c r="F67" s="81">
        <v>5</v>
      </c>
      <c r="G67" s="81" t="s">
        <v>41</v>
      </c>
      <c r="H67" s="82">
        <v>45317</v>
      </c>
      <c r="I67" s="81">
        <v>3</v>
      </c>
      <c r="J67" s="82">
        <v>45321</v>
      </c>
      <c r="K67" s="81" t="s">
        <v>41</v>
      </c>
      <c r="L67" s="81" t="s">
        <v>5</v>
      </c>
      <c r="M67" s="81" t="s">
        <v>41</v>
      </c>
      <c r="N67" s="81" t="s">
        <v>41</v>
      </c>
    </row>
    <row r="68" spans="1:14" ht="21.75" customHeight="1" x14ac:dyDescent="0.25">
      <c r="A68" s="78">
        <v>2188</v>
      </c>
      <c r="B68" s="79">
        <v>45313</v>
      </c>
      <c r="C68" s="80" t="s">
        <v>41</v>
      </c>
      <c r="D68" s="80" t="s">
        <v>7</v>
      </c>
      <c r="E68" s="80" t="s">
        <v>41</v>
      </c>
      <c r="F68" s="81">
        <v>5</v>
      </c>
      <c r="G68" s="81" t="s">
        <v>41</v>
      </c>
      <c r="H68" s="82">
        <v>45317</v>
      </c>
      <c r="I68" s="81">
        <v>3</v>
      </c>
      <c r="J68" s="82">
        <v>45321</v>
      </c>
      <c r="K68" s="81" t="s">
        <v>41</v>
      </c>
      <c r="L68" s="81" t="s">
        <v>5</v>
      </c>
      <c r="M68" s="81" t="s">
        <v>41</v>
      </c>
      <c r="N68" s="81" t="s">
        <v>41</v>
      </c>
    </row>
    <row r="69" spans="1:14" ht="21.75" customHeight="1" x14ac:dyDescent="0.25">
      <c r="A69" s="78">
        <v>3061</v>
      </c>
      <c r="B69" s="79">
        <v>45313</v>
      </c>
      <c r="C69" s="80" t="s">
        <v>41</v>
      </c>
      <c r="D69" s="80" t="s">
        <v>7</v>
      </c>
      <c r="E69" s="80" t="s">
        <v>41</v>
      </c>
      <c r="F69" s="81">
        <v>5</v>
      </c>
      <c r="G69" s="81" t="s">
        <v>41</v>
      </c>
      <c r="H69" s="82">
        <v>45317</v>
      </c>
      <c r="I69" s="81">
        <v>3</v>
      </c>
      <c r="J69" s="82">
        <v>45321</v>
      </c>
      <c r="K69" s="81" t="s">
        <v>3</v>
      </c>
      <c r="L69" s="81" t="s">
        <v>41</v>
      </c>
      <c r="M69" s="81" t="s">
        <v>41</v>
      </c>
      <c r="N69" s="81" t="s">
        <v>4</v>
      </c>
    </row>
    <row r="70" spans="1:14" ht="21.75" customHeight="1" x14ac:dyDescent="0.25">
      <c r="A70" s="78">
        <v>194</v>
      </c>
      <c r="B70" s="79">
        <v>45313</v>
      </c>
      <c r="C70" s="80" t="s">
        <v>41</v>
      </c>
      <c r="D70" s="80" t="s">
        <v>7</v>
      </c>
      <c r="E70" s="80" t="s">
        <v>41</v>
      </c>
      <c r="F70" s="81">
        <v>5</v>
      </c>
      <c r="G70" s="81" t="s">
        <v>41</v>
      </c>
      <c r="H70" s="82">
        <v>45317</v>
      </c>
      <c r="I70" s="81">
        <v>3</v>
      </c>
      <c r="J70" s="82">
        <v>45321</v>
      </c>
      <c r="K70" s="81" t="s">
        <v>3</v>
      </c>
      <c r="L70" s="81" t="s">
        <v>5</v>
      </c>
      <c r="M70" s="81" t="s">
        <v>41</v>
      </c>
      <c r="N70" s="81" t="s">
        <v>4</v>
      </c>
    </row>
    <row r="71" spans="1:14" ht="21.75" customHeight="1" x14ac:dyDescent="0.25">
      <c r="A71" s="78">
        <v>1180</v>
      </c>
      <c r="B71" s="79">
        <v>45314</v>
      </c>
      <c r="C71" s="80" t="s">
        <v>41</v>
      </c>
      <c r="D71" s="80" t="s">
        <v>91</v>
      </c>
      <c r="E71" s="80" t="s">
        <v>41</v>
      </c>
      <c r="F71" s="81">
        <v>5</v>
      </c>
      <c r="G71" s="81" t="s">
        <v>41</v>
      </c>
      <c r="H71" s="82">
        <v>45318</v>
      </c>
      <c r="I71" s="81">
        <v>3</v>
      </c>
      <c r="J71" s="82">
        <v>45322</v>
      </c>
      <c r="K71" s="81" t="s">
        <v>41</v>
      </c>
      <c r="L71" s="81" t="s">
        <v>5</v>
      </c>
      <c r="M71" s="81" t="s">
        <v>41</v>
      </c>
      <c r="N71" s="81" t="s">
        <v>41</v>
      </c>
    </row>
    <row r="72" spans="1:14" ht="21.75" customHeight="1" x14ac:dyDescent="0.25">
      <c r="A72" s="78">
        <v>2706</v>
      </c>
      <c r="B72" s="79">
        <v>45314</v>
      </c>
      <c r="C72" s="80" t="s">
        <v>41</v>
      </c>
      <c r="D72" s="80" t="s">
        <v>43</v>
      </c>
      <c r="E72" s="80" t="s">
        <v>41</v>
      </c>
      <c r="F72" s="81">
        <v>5</v>
      </c>
      <c r="G72" s="81" t="s">
        <v>41</v>
      </c>
      <c r="H72" s="82">
        <v>45318</v>
      </c>
      <c r="I72" s="81">
        <v>3</v>
      </c>
      <c r="J72" s="82">
        <v>45322</v>
      </c>
      <c r="K72" s="81" t="s">
        <v>41</v>
      </c>
      <c r="L72" s="81" t="s">
        <v>41</v>
      </c>
      <c r="M72" s="81" t="s">
        <v>41</v>
      </c>
      <c r="N72" s="81" t="s">
        <v>4</v>
      </c>
    </row>
    <row r="73" spans="1:14" ht="21.75" customHeight="1" x14ac:dyDescent="0.25">
      <c r="A73" s="78">
        <v>2186</v>
      </c>
      <c r="B73" s="79">
        <v>45314</v>
      </c>
      <c r="C73" s="80" t="s">
        <v>41</v>
      </c>
      <c r="D73" s="80" t="s">
        <v>7</v>
      </c>
      <c r="E73" s="80" t="s">
        <v>41</v>
      </c>
      <c r="F73" s="81">
        <v>5</v>
      </c>
      <c r="G73" s="81" t="s">
        <v>41</v>
      </c>
      <c r="H73" s="82">
        <v>45318</v>
      </c>
      <c r="I73" s="81">
        <v>3</v>
      </c>
      <c r="J73" s="82">
        <v>45322</v>
      </c>
      <c r="K73" s="81" t="s">
        <v>41</v>
      </c>
      <c r="L73" s="81" t="s">
        <v>41</v>
      </c>
      <c r="M73" s="81" t="s">
        <v>1</v>
      </c>
      <c r="N73" s="81" t="s">
        <v>41</v>
      </c>
    </row>
    <row r="74" spans="1:14" ht="21.75" customHeight="1" x14ac:dyDescent="0.25">
      <c r="A74" s="78">
        <v>2933</v>
      </c>
      <c r="B74" s="79">
        <v>45314</v>
      </c>
      <c r="C74" s="80" t="s">
        <v>41</v>
      </c>
      <c r="D74" s="80" t="s">
        <v>7</v>
      </c>
      <c r="E74" s="80" t="s">
        <v>41</v>
      </c>
      <c r="F74" s="81">
        <v>5</v>
      </c>
      <c r="G74" s="81" t="s">
        <v>41</v>
      </c>
      <c r="H74" s="82">
        <v>45318</v>
      </c>
      <c r="I74" s="81">
        <v>3</v>
      </c>
      <c r="J74" s="82">
        <v>45322</v>
      </c>
      <c r="K74" s="81" t="s">
        <v>3</v>
      </c>
      <c r="L74" s="81" t="s">
        <v>41</v>
      </c>
      <c r="M74" s="81" t="s">
        <v>41</v>
      </c>
      <c r="N74" s="81" t="s">
        <v>41</v>
      </c>
    </row>
    <row r="75" spans="1:14" ht="21.75" customHeight="1" x14ac:dyDescent="0.25">
      <c r="A75" s="78">
        <v>3568</v>
      </c>
      <c r="B75" s="79">
        <v>45315</v>
      </c>
      <c r="C75" s="80" t="s">
        <v>41</v>
      </c>
      <c r="D75" s="80" t="s">
        <v>6</v>
      </c>
      <c r="E75" s="80" t="s">
        <v>41</v>
      </c>
      <c r="F75" s="81">
        <v>5</v>
      </c>
      <c r="G75" s="81" t="s">
        <v>41</v>
      </c>
      <c r="H75" s="82">
        <v>45319</v>
      </c>
      <c r="I75" s="81">
        <v>5</v>
      </c>
      <c r="J75" s="82">
        <v>45325</v>
      </c>
      <c r="K75" s="81" t="s">
        <v>41</v>
      </c>
      <c r="L75" s="81" t="s">
        <v>5</v>
      </c>
      <c r="M75" s="81" t="s">
        <v>41</v>
      </c>
      <c r="N75" s="81" t="s">
        <v>4</v>
      </c>
    </row>
    <row r="76" spans="1:14" ht="21.75" customHeight="1" x14ac:dyDescent="0.25">
      <c r="A76" s="78">
        <v>2410</v>
      </c>
      <c r="B76" s="79">
        <v>45315</v>
      </c>
      <c r="C76" s="80" t="s">
        <v>41</v>
      </c>
      <c r="D76" s="80" t="s">
        <v>6</v>
      </c>
      <c r="E76" s="80" t="s">
        <v>41</v>
      </c>
      <c r="F76" s="81">
        <v>5</v>
      </c>
      <c r="G76" s="81" t="s">
        <v>41</v>
      </c>
      <c r="H76" s="82">
        <v>45319</v>
      </c>
      <c r="I76" s="81">
        <v>5</v>
      </c>
      <c r="J76" s="82">
        <v>45325</v>
      </c>
      <c r="K76" s="81" t="s">
        <v>3</v>
      </c>
      <c r="L76" s="81" t="s">
        <v>41</v>
      </c>
      <c r="M76" s="81" t="s">
        <v>41</v>
      </c>
      <c r="N76" s="81" t="s">
        <v>41</v>
      </c>
    </row>
    <row r="77" spans="1:14" ht="21.75" customHeight="1" x14ac:dyDescent="0.25">
      <c r="A77" s="78">
        <v>2238</v>
      </c>
      <c r="B77" s="79">
        <v>45315</v>
      </c>
      <c r="C77" s="80" t="s">
        <v>41</v>
      </c>
      <c r="D77" s="80" t="s">
        <v>84</v>
      </c>
      <c r="E77" s="80" t="s">
        <v>41</v>
      </c>
      <c r="F77" s="81">
        <v>5</v>
      </c>
      <c r="G77" s="81" t="s">
        <v>41</v>
      </c>
      <c r="H77" s="82">
        <v>45319</v>
      </c>
      <c r="I77" s="81">
        <v>9</v>
      </c>
      <c r="J77" s="82">
        <v>45329</v>
      </c>
      <c r="K77" s="81" t="s">
        <v>3</v>
      </c>
      <c r="L77" s="81" t="s">
        <v>5</v>
      </c>
      <c r="M77" s="81" t="s">
        <v>1</v>
      </c>
      <c r="N77" s="81" t="s">
        <v>41</v>
      </c>
    </row>
    <row r="78" spans="1:14" ht="21.75" customHeight="1" x14ac:dyDescent="0.25">
      <c r="A78" s="78">
        <v>805</v>
      </c>
      <c r="B78" s="79">
        <v>45315</v>
      </c>
      <c r="C78" s="80" t="s">
        <v>41</v>
      </c>
      <c r="D78" s="80" t="s">
        <v>6</v>
      </c>
      <c r="E78" s="80" t="s">
        <v>41</v>
      </c>
      <c r="F78" s="81">
        <v>5</v>
      </c>
      <c r="G78" s="81" t="s">
        <v>41</v>
      </c>
      <c r="H78" s="82">
        <v>45319</v>
      </c>
      <c r="I78" s="81">
        <v>5</v>
      </c>
      <c r="J78" s="82">
        <v>45325</v>
      </c>
      <c r="K78" s="81" t="s">
        <v>3</v>
      </c>
      <c r="L78" s="81" t="s">
        <v>41</v>
      </c>
      <c r="M78" s="81" t="s">
        <v>41</v>
      </c>
      <c r="N78" s="81" t="s">
        <v>41</v>
      </c>
    </row>
    <row r="79" spans="1:14" ht="21.75" customHeight="1" x14ac:dyDescent="0.25">
      <c r="A79" s="78">
        <v>2310</v>
      </c>
      <c r="B79" s="79">
        <v>45315</v>
      </c>
      <c r="C79" s="80" t="s">
        <v>41</v>
      </c>
      <c r="D79" s="80" t="s">
        <v>6</v>
      </c>
      <c r="E79" s="80" t="s">
        <v>41</v>
      </c>
      <c r="F79" s="81">
        <v>5</v>
      </c>
      <c r="G79" s="81" t="s">
        <v>41</v>
      </c>
      <c r="H79" s="82">
        <v>45319</v>
      </c>
      <c r="I79" s="81">
        <v>5</v>
      </c>
      <c r="J79" s="82">
        <v>45325</v>
      </c>
      <c r="K79" s="81" t="s">
        <v>41</v>
      </c>
      <c r="L79" s="81" t="s">
        <v>5</v>
      </c>
      <c r="M79" s="81" t="s">
        <v>41</v>
      </c>
      <c r="N79" s="81" t="s">
        <v>4</v>
      </c>
    </row>
    <row r="80" spans="1:14" ht="21.75" customHeight="1" x14ac:dyDescent="0.25">
      <c r="A80" s="78">
        <v>2230</v>
      </c>
      <c r="B80" s="79">
        <v>45315</v>
      </c>
      <c r="C80" s="80" t="s">
        <v>41</v>
      </c>
      <c r="D80" s="80" t="s">
        <v>84</v>
      </c>
      <c r="E80" s="80" t="s">
        <v>41</v>
      </c>
      <c r="F80" s="81">
        <v>5</v>
      </c>
      <c r="G80" s="81" t="s">
        <v>41</v>
      </c>
      <c r="H80" s="82">
        <v>45319</v>
      </c>
      <c r="I80" s="81">
        <v>9</v>
      </c>
      <c r="J80" s="82">
        <v>45329</v>
      </c>
      <c r="K80" s="81" t="s">
        <v>41</v>
      </c>
      <c r="L80" s="81" t="s">
        <v>5</v>
      </c>
      <c r="M80" s="81" t="s">
        <v>41</v>
      </c>
      <c r="N80" s="81" t="s">
        <v>41</v>
      </c>
    </row>
    <row r="81" spans="1:14" ht="21.75" customHeight="1" x14ac:dyDescent="0.25">
      <c r="A81" s="78">
        <v>3065</v>
      </c>
      <c r="B81" s="79">
        <v>45316</v>
      </c>
      <c r="C81" s="80" t="s">
        <v>41</v>
      </c>
      <c r="D81" s="80" t="s">
        <v>85</v>
      </c>
      <c r="E81" s="80" t="s">
        <v>41</v>
      </c>
      <c r="F81" s="81">
        <v>5</v>
      </c>
      <c r="G81" s="81" t="s">
        <v>41</v>
      </c>
      <c r="H81" s="82">
        <v>45320</v>
      </c>
      <c r="I81" s="81">
        <v>4</v>
      </c>
      <c r="J81" s="82">
        <v>45325</v>
      </c>
      <c r="K81" s="81" t="s">
        <v>41</v>
      </c>
      <c r="L81" s="81" t="s">
        <v>5</v>
      </c>
      <c r="M81" s="81" t="s">
        <v>41</v>
      </c>
      <c r="N81" s="81" t="s">
        <v>4</v>
      </c>
    </row>
    <row r="82" spans="1:14" ht="21.75" customHeight="1" x14ac:dyDescent="0.25">
      <c r="A82" s="78">
        <v>1166</v>
      </c>
      <c r="B82" s="79">
        <v>45316</v>
      </c>
      <c r="C82" s="80" t="s">
        <v>41</v>
      </c>
      <c r="D82" s="80" t="s">
        <v>85</v>
      </c>
      <c r="E82" s="80" t="s">
        <v>41</v>
      </c>
      <c r="F82" s="81">
        <v>5</v>
      </c>
      <c r="G82" s="81" t="s">
        <v>41</v>
      </c>
      <c r="H82" s="82">
        <v>45320</v>
      </c>
      <c r="I82" s="81">
        <v>4</v>
      </c>
      <c r="J82" s="82">
        <v>45325</v>
      </c>
      <c r="K82" s="81" t="s">
        <v>41</v>
      </c>
      <c r="L82" s="81" t="s">
        <v>5</v>
      </c>
      <c r="M82" s="81" t="s">
        <v>41</v>
      </c>
      <c r="N82" s="81" t="s">
        <v>4</v>
      </c>
    </row>
    <row r="83" spans="1:14" ht="21.75" customHeight="1" x14ac:dyDescent="0.25">
      <c r="A83" s="78">
        <v>2594</v>
      </c>
      <c r="B83" s="79">
        <v>45316</v>
      </c>
      <c r="C83" s="80" t="s">
        <v>41</v>
      </c>
      <c r="D83" s="80" t="s">
        <v>6</v>
      </c>
      <c r="E83" s="80" t="s">
        <v>41</v>
      </c>
      <c r="F83" s="81">
        <v>5</v>
      </c>
      <c r="G83" s="81" t="s">
        <v>41</v>
      </c>
      <c r="H83" s="82">
        <v>45320</v>
      </c>
      <c r="I83" s="81">
        <v>5</v>
      </c>
      <c r="J83" s="82">
        <v>45326</v>
      </c>
      <c r="K83" s="81" t="s">
        <v>3</v>
      </c>
      <c r="L83" s="81" t="s">
        <v>5</v>
      </c>
      <c r="M83" s="81" t="s">
        <v>1</v>
      </c>
      <c r="N83" s="81" t="s">
        <v>4</v>
      </c>
    </row>
    <row r="84" spans="1:14" ht="21.75" customHeight="1" x14ac:dyDescent="0.25">
      <c r="A84" s="78">
        <v>2216</v>
      </c>
      <c r="B84" s="79">
        <v>45316</v>
      </c>
      <c r="C84" s="80" t="s">
        <v>41</v>
      </c>
      <c r="D84" s="80" t="s">
        <v>7</v>
      </c>
      <c r="E84" s="80" t="s">
        <v>41</v>
      </c>
      <c r="F84" s="81">
        <v>5</v>
      </c>
      <c r="G84" s="81" t="s">
        <v>41</v>
      </c>
      <c r="H84" s="82">
        <v>45320</v>
      </c>
      <c r="I84" s="81">
        <v>3</v>
      </c>
      <c r="J84" s="82">
        <v>45324</v>
      </c>
      <c r="K84" s="81" t="s">
        <v>41</v>
      </c>
      <c r="L84" s="81" t="s">
        <v>41</v>
      </c>
      <c r="M84" s="81" t="s">
        <v>41</v>
      </c>
      <c r="N84" s="81" t="s">
        <v>4</v>
      </c>
    </row>
    <row r="85" spans="1:14" ht="21.75" customHeight="1" x14ac:dyDescent="0.25">
      <c r="A85" s="78">
        <v>1130</v>
      </c>
      <c r="B85" s="79">
        <v>45316</v>
      </c>
      <c r="C85" s="80" t="s">
        <v>41</v>
      </c>
      <c r="D85" s="80" t="s">
        <v>7</v>
      </c>
      <c r="E85" s="80" t="s">
        <v>41</v>
      </c>
      <c r="F85" s="81">
        <v>5</v>
      </c>
      <c r="G85" s="81" t="s">
        <v>41</v>
      </c>
      <c r="H85" s="82">
        <v>45320</v>
      </c>
      <c r="I85" s="81">
        <v>3</v>
      </c>
      <c r="J85" s="82">
        <v>45324</v>
      </c>
      <c r="K85" s="81" t="s">
        <v>3</v>
      </c>
      <c r="L85" s="81" t="s">
        <v>5</v>
      </c>
      <c r="M85" s="81" t="s">
        <v>1</v>
      </c>
      <c r="N85" s="81" t="s">
        <v>4</v>
      </c>
    </row>
    <row r="86" spans="1:14" ht="21.75" customHeight="1" x14ac:dyDescent="0.25">
      <c r="A86" s="78">
        <v>3272</v>
      </c>
      <c r="B86" s="79">
        <v>45316</v>
      </c>
      <c r="C86" s="80" t="s">
        <v>41</v>
      </c>
      <c r="D86" s="80" t="s">
        <v>7</v>
      </c>
      <c r="E86" s="80" t="s">
        <v>41</v>
      </c>
      <c r="F86" s="81">
        <v>5</v>
      </c>
      <c r="G86" s="81" t="s">
        <v>41</v>
      </c>
      <c r="H86" s="82">
        <v>45320</v>
      </c>
      <c r="I86" s="81">
        <v>3</v>
      </c>
      <c r="J86" s="82">
        <v>45324</v>
      </c>
      <c r="K86" s="81" t="s">
        <v>3</v>
      </c>
      <c r="L86" s="81" t="s">
        <v>41</v>
      </c>
      <c r="M86" s="81" t="s">
        <v>41</v>
      </c>
      <c r="N86" s="81" t="s">
        <v>4</v>
      </c>
    </row>
    <row r="87" spans="1:14" ht="21.75" customHeight="1" x14ac:dyDescent="0.25">
      <c r="A87" s="78">
        <v>1317</v>
      </c>
      <c r="B87" s="79">
        <v>45316</v>
      </c>
      <c r="C87" s="80" t="s">
        <v>41</v>
      </c>
      <c r="D87" s="80" t="s">
        <v>7</v>
      </c>
      <c r="E87" s="80" t="s">
        <v>41</v>
      </c>
      <c r="F87" s="81">
        <v>5</v>
      </c>
      <c r="G87" s="81" t="s">
        <v>41</v>
      </c>
      <c r="H87" s="82">
        <v>45320</v>
      </c>
      <c r="I87" s="81">
        <v>3</v>
      </c>
      <c r="J87" s="82">
        <v>45324</v>
      </c>
      <c r="K87" s="81" t="s">
        <v>3</v>
      </c>
      <c r="L87" s="81" t="s">
        <v>41</v>
      </c>
      <c r="M87" s="81" t="s">
        <v>1</v>
      </c>
      <c r="N87" s="81" t="s">
        <v>41</v>
      </c>
    </row>
    <row r="88" spans="1:14" ht="21.75" customHeight="1" x14ac:dyDescent="0.25">
      <c r="A88" s="78">
        <v>2856</v>
      </c>
      <c r="B88" s="79">
        <v>45317</v>
      </c>
      <c r="C88" s="80" t="s">
        <v>41</v>
      </c>
      <c r="D88" s="80" t="s">
        <v>91</v>
      </c>
      <c r="E88" s="80" t="s">
        <v>41</v>
      </c>
      <c r="F88" s="81">
        <v>5</v>
      </c>
      <c r="G88" s="81" t="s">
        <v>41</v>
      </c>
      <c r="H88" s="82">
        <v>45321</v>
      </c>
      <c r="I88" s="81">
        <v>3</v>
      </c>
      <c r="J88" s="82">
        <v>45325</v>
      </c>
      <c r="K88" s="81" t="s">
        <v>41</v>
      </c>
      <c r="L88" s="81" t="s">
        <v>41</v>
      </c>
      <c r="M88" s="81" t="s">
        <v>1</v>
      </c>
      <c r="N88" s="81" t="s">
        <v>41</v>
      </c>
    </row>
    <row r="89" spans="1:14" ht="21.75" customHeight="1" x14ac:dyDescent="0.25">
      <c r="A89" s="78">
        <v>2914</v>
      </c>
      <c r="B89" s="79">
        <v>45317</v>
      </c>
      <c r="C89" s="80" t="s">
        <v>41</v>
      </c>
      <c r="D89" s="80" t="s">
        <v>91</v>
      </c>
      <c r="E89" s="80" t="s">
        <v>41</v>
      </c>
      <c r="F89" s="81">
        <v>5</v>
      </c>
      <c r="G89" s="81" t="s">
        <v>41</v>
      </c>
      <c r="H89" s="82">
        <v>45321</v>
      </c>
      <c r="I89" s="81">
        <v>3</v>
      </c>
      <c r="J89" s="82">
        <v>45325</v>
      </c>
      <c r="K89" s="81" t="s">
        <v>41</v>
      </c>
      <c r="L89" s="81" t="s">
        <v>5</v>
      </c>
      <c r="M89" s="81" t="s">
        <v>41</v>
      </c>
      <c r="N89" s="81" t="s">
        <v>4</v>
      </c>
    </row>
    <row r="90" spans="1:14" ht="21.75" customHeight="1" x14ac:dyDescent="0.25">
      <c r="A90" s="78">
        <v>2415</v>
      </c>
      <c r="B90" s="79">
        <v>45317</v>
      </c>
      <c r="C90" s="80" t="s">
        <v>41</v>
      </c>
      <c r="D90" s="80" t="s">
        <v>7</v>
      </c>
      <c r="E90" s="80" t="s">
        <v>41</v>
      </c>
      <c r="F90" s="81">
        <v>5</v>
      </c>
      <c r="G90" s="81" t="s">
        <v>41</v>
      </c>
      <c r="H90" s="82">
        <v>45321</v>
      </c>
      <c r="I90" s="81">
        <v>3</v>
      </c>
      <c r="J90" s="82">
        <v>45325</v>
      </c>
      <c r="K90" s="81" t="s">
        <v>41</v>
      </c>
      <c r="L90" s="81" t="s">
        <v>41</v>
      </c>
      <c r="M90" s="81" t="s">
        <v>1</v>
      </c>
      <c r="N90" s="81" t="s">
        <v>41</v>
      </c>
    </row>
    <row r="91" spans="1:14" ht="21.75" customHeight="1" x14ac:dyDescent="0.25">
      <c r="A91" s="78">
        <v>3032</v>
      </c>
      <c r="B91" s="79">
        <v>45317</v>
      </c>
      <c r="C91" s="80" t="s">
        <v>41</v>
      </c>
      <c r="D91" s="80" t="s">
        <v>7</v>
      </c>
      <c r="E91" s="80" t="s">
        <v>41</v>
      </c>
      <c r="F91" s="81">
        <v>5</v>
      </c>
      <c r="G91" s="81" t="s">
        <v>41</v>
      </c>
      <c r="H91" s="82">
        <v>45321</v>
      </c>
      <c r="I91" s="81">
        <v>3</v>
      </c>
      <c r="J91" s="82">
        <v>45325</v>
      </c>
      <c r="K91" s="81" t="s">
        <v>41</v>
      </c>
      <c r="L91" s="81" t="s">
        <v>41</v>
      </c>
      <c r="M91" s="81" t="s">
        <v>41</v>
      </c>
      <c r="N91" s="81" t="s">
        <v>4</v>
      </c>
    </row>
    <row r="92" spans="1:14" ht="21.75" customHeight="1" x14ac:dyDescent="0.25">
      <c r="A92" s="78">
        <v>2625</v>
      </c>
      <c r="B92" s="79">
        <v>45318</v>
      </c>
      <c r="C92" s="80" t="s">
        <v>41</v>
      </c>
      <c r="D92" s="80" t="s">
        <v>7</v>
      </c>
      <c r="E92" s="80" t="s">
        <v>41</v>
      </c>
      <c r="F92" s="81">
        <v>5</v>
      </c>
      <c r="G92" s="81" t="s">
        <v>41</v>
      </c>
      <c r="H92" s="82">
        <v>45322</v>
      </c>
      <c r="I92" s="81">
        <v>3</v>
      </c>
      <c r="J92" s="82">
        <v>45326</v>
      </c>
      <c r="K92" s="81" t="s">
        <v>3</v>
      </c>
      <c r="L92" s="81" t="s">
        <v>41</v>
      </c>
      <c r="M92" s="81" t="s">
        <v>1</v>
      </c>
      <c r="N92" s="81" t="s">
        <v>4</v>
      </c>
    </row>
    <row r="93" spans="1:14" ht="21.75" customHeight="1" x14ac:dyDescent="0.25">
      <c r="A93" s="78">
        <v>2981</v>
      </c>
      <c r="B93" s="79">
        <v>45319</v>
      </c>
      <c r="C93" s="80" t="s">
        <v>41</v>
      </c>
      <c r="D93" s="80" t="s">
        <v>7</v>
      </c>
      <c r="E93" s="80" t="s">
        <v>41</v>
      </c>
      <c r="F93" s="81">
        <v>5</v>
      </c>
      <c r="G93" s="81" t="s">
        <v>41</v>
      </c>
      <c r="H93" s="82">
        <v>45323</v>
      </c>
      <c r="I93" s="81">
        <v>3</v>
      </c>
      <c r="J93" s="82">
        <v>45327</v>
      </c>
      <c r="K93" s="81" t="s">
        <v>41</v>
      </c>
      <c r="L93" s="81" t="s">
        <v>5</v>
      </c>
      <c r="M93" s="81" t="s">
        <v>41</v>
      </c>
      <c r="N93" s="81" t="s">
        <v>41</v>
      </c>
    </row>
    <row r="94" spans="1:14" ht="21.75" customHeight="1" x14ac:dyDescent="0.25">
      <c r="A94" s="78">
        <v>3316</v>
      </c>
      <c r="B94" s="79">
        <v>45320</v>
      </c>
      <c r="C94" s="80" t="s">
        <v>41</v>
      </c>
      <c r="D94" s="80" t="s">
        <v>7</v>
      </c>
      <c r="E94" s="80" t="s">
        <v>41</v>
      </c>
      <c r="F94" s="81">
        <v>5</v>
      </c>
      <c r="G94" s="81" t="s">
        <v>41</v>
      </c>
      <c r="H94" s="82">
        <v>45324</v>
      </c>
      <c r="I94" s="81">
        <v>3</v>
      </c>
      <c r="J94" s="82">
        <v>45328</v>
      </c>
      <c r="K94" s="81" t="s">
        <v>41</v>
      </c>
      <c r="L94" s="81" t="s">
        <v>41</v>
      </c>
      <c r="M94" s="81" t="s">
        <v>1</v>
      </c>
      <c r="N94" s="81" t="s">
        <v>41</v>
      </c>
    </row>
    <row r="95" spans="1:14" ht="21.75" customHeight="1" x14ac:dyDescent="0.25">
      <c r="A95" s="78">
        <v>2675</v>
      </c>
      <c r="B95" s="79">
        <v>45321</v>
      </c>
      <c r="C95" s="80" t="s">
        <v>41</v>
      </c>
      <c r="D95" s="80" t="s">
        <v>7</v>
      </c>
      <c r="E95" s="80" t="s">
        <v>41</v>
      </c>
      <c r="F95" s="81">
        <v>5</v>
      </c>
      <c r="G95" s="81" t="s">
        <v>41</v>
      </c>
      <c r="H95" s="82">
        <v>45325</v>
      </c>
      <c r="I95" s="81">
        <v>3</v>
      </c>
      <c r="J95" s="82">
        <v>45329</v>
      </c>
      <c r="K95" s="81" t="s">
        <v>41</v>
      </c>
      <c r="L95" s="81" t="s">
        <v>5</v>
      </c>
      <c r="M95" s="81" t="s">
        <v>1</v>
      </c>
      <c r="N95" s="81" t="s">
        <v>4</v>
      </c>
    </row>
    <row r="96" spans="1:14" ht="21.75" customHeight="1" x14ac:dyDescent="0.25">
      <c r="A96" s="78">
        <v>88</v>
      </c>
      <c r="B96" s="79">
        <v>45321</v>
      </c>
      <c r="C96" s="80" t="s">
        <v>41</v>
      </c>
      <c r="D96" s="80" t="s">
        <v>91</v>
      </c>
      <c r="E96" s="80" t="s">
        <v>41</v>
      </c>
      <c r="F96" s="81">
        <v>5</v>
      </c>
      <c r="G96" s="81" t="s">
        <v>41</v>
      </c>
      <c r="H96" s="82">
        <v>45325</v>
      </c>
      <c r="I96" s="81">
        <v>3</v>
      </c>
      <c r="J96" s="82">
        <v>45329</v>
      </c>
      <c r="K96" s="81" t="s">
        <v>41</v>
      </c>
      <c r="L96" s="81" t="s">
        <v>41</v>
      </c>
      <c r="M96" s="81" t="s">
        <v>41</v>
      </c>
      <c r="N96" s="81" t="s">
        <v>4</v>
      </c>
    </row>
    <row r="97" spans="1:14" ht="21.75" customHeight="1" x14ac:dyDescent="0.25">
      <c r="A97" s="78">
        <v>805</v>
      </c>
      <c r="B97" s="79">
        <v>45321</v>
      </c>
      <c r="C97" s="80" t="s">
        <v>41</v>
      </c>
      <c r="D97" s="80" t="s">
        <v>43</v>
      </c>
      <c r="E97" s="80" t="s">
        <v>41</v>
      </c>
      <c r="F97" s="81">
        <v>5</v>
      </c>
      <c r="G97" s="81" t="s">
        <v>41</v>
      </c>
      <c r="H97" s="82">
        <v>45325</v>
      </c>
      <c r="I97" s="81">
        <v>3</v>
      </c>
      <c r="J97" s="82">
        <v>45329</v>
      </c>
      <c r="K97" s="81" t="s">
        <v>3</v>
      </c>
      <c r="L97" s="81" t="s">
        <v>41</v>
      </c>
      <c r="M97" s="81" t="s">
        <v>1</v>
      </c>
      <c r="N97" s="81" t="s">
        <v>4</v>
      </c>
    </row>
    <row r="98" spans="1:14" ht="21.75" customHeight="1" x14ac:dyDescent="0.25">
      <c r="A98" s="78">
        <v>2310</v>
      </c>
      <c r="B98" s="79">
        <v>45321</v>
      </c>
      <c r="C98" s="80" t="s">
        <v>41</v>
      </c>
      <c r="D98" s="80" t="s">
        <v>43</v>
      </c>
      <c r="E98" s="80" t="s">
        <v>41</v>
      </c>
      <c r="F98" s="81">
        <v>5</v>
      </c>
      <c r="G98" s="81" t="s">
        <v>41</v>
      </c>
      <c r="H98" s="82">
        <v>45325</v>
      </c>
      <c r="I98" s="81">
        <v>3</v>
      </c>
      <c r="J98" s="82">
        <v>45329</v>
      </c>
      <c r="K98" s="81" t="s">
        <v>3</v>
      </c>
      <c r="L98" s="81" t="s">
        <v>5</v>
      </c>
      <c r="M98" s="81" t="s">
        <v>1</v>
      </c>
      <c r="N98" s="81" t="s">
        <v>4</v>
      </c>
    </row>
    <row r="99" spans="1:14" ht="21.75" customHeight="1" x14ac:dyDescent="0.25">
      <c r="A99" s="78">
        <v>1166</v>
      </c>
      <c r="B99" s="79">
        <v>45321</v>
      </c>
      <c r="C99" s="80" t="s">
        <v>41</v>
      </c>
      <c r="D99" s="80" t="s">
        <v>43</v>
      </c>
      <c r="E99" s="80" t="s">
        <v>41</v>
      </c>
      <c r="F99" s="81">
        <v>5</v>
      </c>
      <c r="G99" s="81" t="s">
        <v>41</v>
      </c>
      <c r="H99" s="82">
        <v>45325</v>
      </c>
      <c r="I99" s="81">
        <v>3</v>
      </c>
      <c r="J99" s="82">
        <v>45329</v>
      </c>
      <c r="K99" s="81" t="s">
        <v>41</v>
      </c>
      <c r="L99" s="81" t="s">
        <v>41</v>
      </c>
      <c r="M99" s="81" t="s">
        <v>41</v>
      </c>
      <c r="N99" s="81" t="s">
        <v>4</v>
      </c>
    </row>
    <row r="100" spans="1:14" ht="21.75" customHeight="1" x14ac:dyDescent="0.25">
      <c r="A100" s="78">
        <v>2188</v>
      </c>
      <c r="B100" s="79">
        <v>45321</v>
      </c>
      <c r="C100" s="80" t="s">
        <v>41</v>
      </c>
      <c r="D100" s="80" t="s">
        <v>43</v>
      </c>
      <c r="E100" s="80" t="s">
        <v>41</v>
      </c>
      <c r="F100" s="81">
        <v>5</v>
      </c>
      <c r="G100" s="81" t="s">
        <v>41</v>
      </c>
      <c r="H100" s="82">
        <v>45325</v>
      </c>
      <c r="I100" s="81">
        <v>3</v>
      </c>
      <c r="J100" s="82">
        <v>45329</v>
      </c>
      <c r="K100" s="81" t="s">
        <v>41</v>
      </c>
      <c r="L100" s="81" t="s">
        <v>5</v>
      </c>
      <c r="M100" s="81" t="s">
        <v>41</v>
      </c>
      <c r="N100" s="81" t="s">
        <v>4</v>
      </c>
    </row>
    <row r="101" spans="1:14" ht="21.75" customHeight="1" x14ac:dyDescent="0.25">
      <c r="A101" s="78">
        <v>2238</v>
      </c>
      <c r="B101" s="79">
        <v>45321</v>
      </c>
      <c r="C101" s="80" t="s">
        <v>41</v>
      </c>
      <c r="D101" s="80" t="s">
        <v>43</v>
      </c>
      <c r="E101" s="80" t="s">
        <v>41</v>
      </c>
      <c r="F101" s="81">
        <v>5</v>
      </c>
      <c r="G101" s="81" t="s">
        <v>41</v>
      </c>
      <c r="H101" s="82">
        <v>45325</v>
      </c>
      <c r="I101" s="81">
        <v>3</v>
      </c>
      <c r="J101" s="82">
        <v>45329</v>
      </c>
      <c r="K101" s="81" t="s">
        <v>3</v>
      </c>
      <c r="L101" s="81" t="s">
        <v>5</v>
      </c>
      <c r="M101" s="81" t="s">
        <v>1</v>
      </c>
      <c r="N101" s="81" t="s">
        <v>4</v>
      </c>
    </row>
    <row r="102" spans="1:14" ht="21.75" customHeight="1" x14ac:dyDescent="0.25">
      <c r="A102" s="78">
        <v>194</v>
      </c>
      <c r="B102" s="79">
        <v>45321</v>
      </c>
      <c r="C102" s="80" t="s">
        <v>41</v>
      </c>
      <c r="D102" s="80" t="s">
        <v>43</v>
      </c>
      <c r="E102" s="80" t="s">
        <v>41</v>
      </c>
      <c r="F102" s="81">
        <v>5</v>
      </c>
      <c r="G102" s="81" t="s">
        <v>41</v>
      </c>
      <c r="H102" s="82">
        <v>45325</v>
      </c>
      <c r="I102" s="81">
        <v>3</v>
      </c>
      <c r="J102" s="82">
        <v>45329</v>
      </c>
      <c r="K102" s="81" t="s">
        <v>3</v>
      </c>
      <c r="L102" s="81" t="s">
        <v>41</v>
      </c>
      <c r="M102" s="81" t="s">
        <v>1</v>
      </c>
      <c r="N102" s="81" t="s">
        <v>4</v>
      </c>
    </row>
    <row r="103" spans="1:14" ht="21.75" customHeight="1" x14ac:dyDescent="0.25">
      <c r="A103" s="78">
        <v>2914</v>
      </c>
      <c r="B103" s="79">
        <v>45321</v>
      </c>
      <c r="C103" s="80" t="s">
        <v>41</v>
      </c>
      <c r="D103" s="80" t="s">
        <v>43</v>
      </c>
      <c r="E103" s="80" t="s">
        <v>41</v>
      </c>
      <c r="F103" s="81">
        <v>5</v>
      </c>
      <c r="G103" s="81" t="s">
        <v>41</v>
      </c>
      <c r="H103" s="82">
        <v>45325</v>
      </c>
      <c r="I103" s="81">
        <v>3</v>
      </c>
      <c r="J103" s="82">
        <v>45329</v>
      </c>
      <c r="K103" s="81" t="s">
        <v>3</v>
      </c>
      <c r="L103" s="81" t="s">
        <v>41</v>
      </c>
      <c r="M103" s="81" t="s">
        <v>1</v>
      </c>
      <c r="N103" s="81" t="s">
        <v>4</v>
      </c>
    </row>
    <row r="104" spans="1:14" ht="21.75" customHeight="1" x14ac:dyDescent="0.25">
      <c r="A104" s="78">
        <v>2415</v>
      </c>
      <c r="B104" s="79">
        <v>45321</v>
      </c>
      <c r="C104" s="80" t="s">
        <v>41</v>
      </c>
      <c r="D104" s="80" t="s">
        <v>91</v>
      </c>
      <c r="E104" s="80" t="s">
        <v>41</v>
      </c>
      <c r="F104" s="81">
        <v>5</v>
      </c>
      <c r="G104" s="81" t="s">
        <v>41</v>
      </c>
      <c r="H104" s="82">
        <v>45325</v>
      </c>
      <c r="I104" s="81">
        <v>3</v>
      </c>
      <c r="J104" s="82">
        <v>45329</v>
      </c>
      <c r="K104" s="81" t="s">
        <v>3</v>
      </c>
      <c r="L104" s="81" t="s">
        <v>41</v>
      </c>
      <c r="M104" s="81" t="s">
        <v>1</v>
      </c>
      <c r="N104" s="81" t="s">
        <v>41</v>
      </c>
    </row>
    <row r="105" spans="1:14" ht="21.75" customHeight="1" x14ac:dyDescent="0.25">
      <c r="A105" s="78">
        <v>2050</v>
      </c>
      <c r="B105" s="79">
        <v>45321</v>
      </c>
      <c r="C105" s="80" t="s">
        <v>41</v>
      </c>
      <c r="D105" s="80" t="s">
        <v>91</v>
      </c>
      <c r="E105" s="80" t="s">
        <v>41</v>
      </c>
      <c r="F105" s="81">
        <v>5</v>
      </c>
      <c r="G105" s="81" t="s">
        <v>41</v>
      </c>
      <c r="H105" s="82">
        <v>45325</v>
      </c>
      <c r="I105" s="81">
        <v>3</v>
      </c>
      <c r="J105" s="82">
        <v>45329</v>
      </c>
      <c r="K105" s="81" t="s">
        <v>41</v>
      </c>
      <c r="L105" s="81" t="s">
        <v>41</v>
      </c>
      <c r="M105" s="81" t="s">
        <v>1</v>
      </c>
      <c r="N105" s="81" t="s">
        <v>41</v>
      </c>
    </row>
    <row r="106" spans="1:14" ht="21.75" customHeight="1" x14ac:dyDescent="0.25">
      <c r="A106" s="78">
        <v>2575</v>
      </c>
      <c r="B106" s="79">
        <v>45321</v>
      </c>
      <c r="C106" s="80" t="s">
        <v>41</v>
      </c>
      <c r="D106" s="80" t="s">
        <v>7</v>
      </c>
      <c r="E106" s="80" t="s">
        <v>41</v>
      </c>
      <c r="F106" s="81">
        <v>5</v>
      </c>
      <c r="G106" s="81" t="s">
        <v>41</v>
      </c>
      <c r="H106" s="82">
        <v>45325</v>
      </c>
      <c r="I106" s="81">
        <v>3</v>
      </c>
      <c r="J106" s="82">
        <v>45329</v>
      </c>
      <c r="K106" s="81" t="s">
        <v>3</v>
      </c>
      <c r="L106" s="81" t="s">
        <v>5</v>
      </c>
      <c r="M106" s="81" t="s">
        <v>1</v>
      </c>
      <c r="N106" s="81" t="s">
        <v>4</v>
      </c>
    </row>
    <row r="107" spans="1:14" ht="21.75" customHeight="1" x14ac:dyDescent="0.25">
      <c r="A107" s="78">
        <v>1553</v>
      </c>
      <c r="B107" s="79">
        <v>45322</v>
      </c>
      <c r="C107" s="80" t="s">
        <v>41</v>
      </c>
      <c r="D107" s="80" t="s">
        <v>7</v>
      </c>
      <c r="E107" s="80" t="s">
        <v>41</v>
      </c>
      <c r="F107" s="81">
        <v>5</v>
      </c>
      <c r="G107" s="81" t="s">
        <v>41</v>
      </c>
      <c r="H107" s="82">
        <v>45326</v>
      </c>
      <c r="I107" s="81">
        <v>3</v>
      </c>
      <c r="J107" s="82">
        <v>45330</v>
      </c>
      <c r="K107" s="81" t="s">
        <v>3</v>
      </c>
      <c r="L107" s="81" t="s">
        <v>41</v>
      </c>
      <c r="M107" s="81" t="s">
        <v>1</v>
      </c>
      <c r="N107" s="81" t="s">
        <v>41</v>
      </c>
    </row>
    <row r="108" spans="1:14" ht="21.75" customHeight="1" x14ac:dyDescent="0.25">
      <c r="A108" s="78">
        <v>2186</v>
      </c>
      <c r="B108" s="79">
        <v>45322</v>
      </c>
      <c r="C108" s="80" t="s">
        <v>41</v>
      </c>
      <c r="D108" s="80" t="s">
        <v>91</v>
      </c>
      <c r="E108" s="80" t="s">
        <v>41</v>
      </c>
      <c r="F108" s="81">
        <v>5</v>
      </c>
      <c r="G108" s="81" t="s">
        <v>41</v>
      </c>
      <c r="H108" s="82">
        <v>45326</v>
      </c>
      <c r="I108" s="81">
        <v>3</v>
      </c>
      <c r="J108" s="82">
        <v>45330</v>
      </c>
      <c r="K108" s="81" t="s">
        <v>41</v>
      </c>
      <c r="L108" s="81" t="s">
        <v>41</v>
      </c>
      <c r="M108" s="81" t="s">
        <v>1</v>
      </c>
      <c r="N108" s="81" t="s">
        <v>41</v>
      </c>
    </row>
    <row r="109" spans="1:14" ht="21.75" customHeight="1" x14ac:dyDescent="0.25">
      <c r="A109" s="78">
        <v>2933</v>
      </c>
      <c r="B109" s="79">
        <v>45322</v>
      </c>
      <c r="C109" s="80" t="s">
        <v>41</v>
      </c>
      <c r="D109" s="80" t="s">
        <v>91</v>
      </c>
      <c r="E109" s="80" t="s">
        <v>41</v>
      </c>
      <c r="F109" s="81">
        <v>5</v>
      </c>
      <c r="G109" s="81" t="s">
        <v>41</v>
      </c>
      <c r="H109" s="82">
        <v>45326</v>
      </c>
      <c r="I109" s="81">
        <v>3</v>
      </c>
      <c r="J109" s="82">
        <v>45330</v>
      </c>
      <c r="K109" s="81" t="s">
        <v>3</v>
      </c>
      <c r="L109" s="81" t="s">
        <v>41</v>
      </c>
      <c r="M109" s="81" t="s">
        <v>1</v>
      </c>
      <c r="N109" s="81" t="s">
        <v>41</v>
      </c>
    </row>
    <row r="110" spans="1:14" ht="21.75" customHeight="1" x14ac:dyDescent="0.25">
      <c r="A110" s="78">
        <v>3403</v>
      </c>
      <c r="B110" s="79">
        <v>45323</v>
      </c>
      <c r="C110" s="80" t="s">
        <v>41</v>
      </c>
      <c r="D110" s="80" t="s">
        <v>7</v>
      </c>
      <c r="E110" s="80" t="s">
        <v>41</v>
      </c>
      <c r="F110" s="81">
        <v>5</v>
      </c>
      <c r="G110" s="81" t="s">
        <v>41</v>
      </c>
      <c r="H110" s="82">
        <v>45327</v>
      </c>
      <c r="I110" s="81">
        <v>3</v>
      </c>
      <c r="J110" s="82">
        <v>45331</v>
      </c>
      <c r="K110" s="81" t="s">
        <v>41</v>
      </c>
      <c r="L110" s="81" t="s">
        <v>5</v>
      </c>
      <c r="M110" s="81" t="s">
        <v>41</v>
      </c>
      <c r="N110" s="81" t="s">
        <v>4</v>
      </c>
    </row>
    <row r="111" spans="1:14" ht="21.75" customHeight="1" x14ac:dyDescent="0.25">
      <c r="A111" s="78">
        <v>3172</v>
      </c>
      <c r="B111" s="79">
        <v>45324</v>
      </c>
      <c r="C111" s="80" t="s">
        <v>41</v>
      </c>
      <c r="D111" s="80" t="s">
        <v>7</v>
      </c>
      <c r="E111" s="80" t="s">
        <v>41</v>
      </c>
      <c r="F111" s="81">
        <v>5</v>
      </c>
      <c r="G111" s="81" t="s">
        <v>41</v>
      </c>
      <c r="H111" s="82">
        <v>45328</v>
      </c>
      <c r="I111" s="81">
        <v>3</v>
      </c>
      <c r="J111" s="82">
        <v>45332</v>
      </c>
      <c r="K111" s="81" t="s">
        <v>3</v>
      </c>
      <c r="L111" s="81" t="s">
        <v>41</v>
      </c>
      <c r="M111" s="81" t="s">
        <v>41</v>
      </c>
      <c r="N111" s="81" t="s">
        <v>41</v>
      </c>
    </row>
    <row r="112" spans="1:14" ht="21.75" customHeight="1" x14ac:dyDescent="0.25">
      <c r="A112" s="78">
        <v>2716</v>
      </c>
      <c r="B112" s="79">
        <v>45324</v>
      </c>
      <c r="C112" s="80" t="s">
        <v>41</v>
      </c>
      <c r="D112" s="80" t="s">
        <v>7</v>
      </c>
      <c r="E112" s="80" t="s">
        <v>41</v>
      </c>
      <c r="F112" s="81">
        <v>5</v>
      </c>
      <c r="G112" s="81" t="s">
        <v>41</v>
      </c>
      <c r="H112" s="82">
        <v>45328</v>
      </c>
      <c r="I112" s="81">
        <v>3</v>
      </c>
      <c r="J112" s="82">
        <v>45332</v>
      </c>
      <c r="K112" s="81" t="s">
        <v>41</v>
      </c>
      <c r="L112" s="81" t="s">
        <v>41</v>
      </c>
      <c r="M112" s="81" t="s">
        <v>1</v>
      </c>
      <c r="N112" s="81" t="s">
        <v>41</v>
      </c>
    </row>
    <row r="113" spans="1:14" ht="21.75" customHeight="1" x14ac:dyDescent="0.25">
      <c r="A113" s="78">
        <v>1130</v>
      </c>
      <c r="B113" s="79">
        <v>45324</v>
      </c>
      <c r="C113" s="80" t="s">
        <v>41</v>
      </c>
      <c r="D113" s="80" t="s">
        <v>7</v>
      </c>
      <c r="E113" s="80" t="s">
        <v>41</v>
      </c>
      <c r="F113" s="81">
        <v>5</v>
      </c>
      <c r="G113" s="81" t="s">
        <v>41</v>
      </c>
      <c r="H113" s="82">
        <v>45328</v>
      </c>
      <c r="I113" s="81">
        <v>3</v>
      </c>
      <c r="J113" s="82">
        <v>45332</v>
      </c>
      <c r="K113" s="81" t="s">
        <v>41</v>
      </c>
      <c r="L113" s="81" t="s">
        <v>5</v>
      </c>
      <c r="M113" s="81" t="s">
        <v>41</v>
      </c>
      <c r="N113" s="81" t="s">
        <v>4</v>
      </c>
    </row>
    <row r="114" spans="1:14" ht="21.75" customHeight="1" x14ac:dyDescent="0.25">
      <c r="A114" s="78">
        <v>3272</v>
      </c>
      <c r="B114" s="79">
        <v>45324</v>
      </c>
      <c r="C114" s="80" t="s">
        <v>41</v>
      </c>
      <c r="D114" s="80" t="s">
        <v>91</v>
      </c>
      <c r="E114" s="80" t="s">
        <v>41</v>
      </c>
      <c r="F114" s="81">
        <v>5</v>
      </c>
      <c r="G114" s="81" t="s">
        <v>41</v>
      </c>
      <c r="H114" s="82">
        <v>45328</v>
      </c>
      <c r="I114" s="81">
        <v>3</v>
      </c>
      <c r="J114" s="82">
        <v>45332</v>
      </c>
      <c r="K114" s="81" t="s">
        <v>41</v>
      </c>
      <c r="L114" s="81" t="s">
        <v>41</v>
      </c>
      <c r="M114" s="81" t="s">
        <v>41</v>
      </c>
      <c r="N114" s="81" t="s">
        <v>4</v>
      </c>
    </row>
    <row r="115" spans="1:14" ht="21.75" customHeight="1" x14ac:dyDescent="0.25">
      <c r="A115" s="78">
        <v>2594</v>
      </c>
      <c r="B115" s="79">
        <v>45324</v>
      </c>
      <c r="C115" s="80" t="s">
        <v>41</v>
      </c>
      <c r="D115" s="80" t="s">
        <v>85</v>
      </c>
      <c r="E115" s="80" t="s">
        <v>41</v>
      </c>
      <c r="F115" s="81">
        <v>5</v>
      </c>
      <c r="G115" s="81" t="s">
        <v>41</v>
      </c>
      <c r="H115" s="82">
        <v>45328</v>
      </c>
      <c r="I115" s="81">
        <v>3</v>
      </c>
      <c r="J115" s="82">
        <v>45338</v>
      </c>
      <c r="K115" s="81" t="s">
        <v>3</v>
      </c>
      <c r="L115" s="81" t="s">
        <v>41</v>
      </c>
      <c r="M115" s="81" t="s">
        <v>41</v>
      </c>
      <c r="N115" s="81" t="s">
        <v>4</v>
      </c>
    </row>
    <row r="116" spans="1:14" ht="21.75" customHeight="1" x14ac:dyDescent="0.25">
      <c r="A116" s="78">
        <v>2020</v>
      </c>
      <c r="B116" s="79">
        <v>45324</v>
      </c>
      <c r="C116" s="80" t="s">
        <v>41</v>
      </c>
      <c r="D116" s="80" t="s">
        <v>84</v>
      </c>
      <c r="E116" s="80" t="s">
        <v>41</v>
      </c>
      <c r="F116" s="81">
        <v>5</v>
      </c>
      <c r="G116" s="81" t="s">
        <v>41</v>
      </c>
      <c r="H116" s="82">
        <v>45328</v>
      </c>
      <c r="I116" s="81">
        <v>9</v>
      </c>
      <c r="J116" s="82">
        <v>45338</v>
      </c>
      <c r="K116" s="81" t="s">
        <v>41</v>
      </c>
      <c r="L116" s="81" t="s">
        <v>5</v>
      </c>
      <c r="M116" s="81" t="s">
        <v>1</v>
      </c>
      <c r="N116" s="81" t="s">
        <v>4</v>
      </c>
    </row>
    <row r="117" spans="1:14" ht="21.75" customHeight="1" x14ac:dyDescent="0.25">
      <c r="A117" s="78">
        <v>1625</v>
      </c>
      <c r="B117" s="79">
        <v>45324</v>
      </c>
      <c r="C117" s="80" t="s">
        <v>41</v>
      </c>
      <c r="D117" s="80" t="s">
        <v>84</v>
      </c>
      <c r="E117" s="80" t="s">
        <v>41</v>
      </c>
      <c r="F117" s="81">
        <v>5</v>
      </c>
      <c r="G117" s="81" t="s">
        <v>41</v>
      </c>
      <c r="H117" s="82">
        <v>45328</v>
      </c>
      <c r="I117" s="81">
        <v>9</v>
      </c>
      <c r="J117" s="82">
        <v>45338</v>
      </c>
      <c r="K117" s="81" t="s">
        <v>41</v>
      </c>
      <c r="L117" s="81" t="s">
        <v>41</v>
      </c>
      <c r="M117" s="81" t="s">
        <v>1</v>
      </c>
      <c r="N117" s="81" t="s">
        <v>4</v>
      </c>
    </row>
    <row r="118" spans="1:14" ht="21.75" customHeight="1" x14ac:dyDescent="0.25">
      <c r="A118" s="78">
        <v>2410</v>
      </c>
      <c r="B118" s="79">
        <v>45324</v>
      </c>
      <c r="C118" s="80" t="s">
        <v>41</v>
      </c>
      <c r="D118" s="80" t="s">
        <v>84</v>
      </c>
      <c r="E118" s="80" t="s">
        <v>41</v>
      </c>
      <c r="F118" s="81">
        <v>5</v>
      </c>
      <c r="G118" s="81" t="s">
        <v>41</v>
      </c>
      <c r="H118" s="82">
        <v>45328</v>
      </c>
      <c r="I118" s="81">
        <v>9</v>
      </c>
      <c r="J118" s="82">
        <v>45332</v>
      </c>
      <c r="K118" s="81" t="s">
        <v>3</v>
      </c>
      <c r="L118" s="81" t="s">
        <v>5</v>
      </c>
      <c r="M118" s="81" t="s">
        <v>1</v>
      </c>
      <c r="N118" s="81" t="s">
        <v>41</v>
      </c>
    </row>
    <row r="119" spans="1:14" ht="21.75" customHeight="1" x14ac:dyDescent="0.25">
      <c r="A119" s="78">
        <v>2759</v>
      </c>
      <c r="B119" s="79">
        <v>45324</v>
      </c>
      <c r="C119" s="80" t="s">
        <v>41</v>
      </c>
      <c r="D119" s="80" t="s">
        <v>7</v>
      </c>
      <c r="E119" s="80" t="s">
        <v>41</v>
      </c>
      <c r="F119" s="81">
        <v>5</v>
      </c>
      <c r="G119" s="81" t="s">
        <v>41</v>
      </c>
      <c r="H119" s="82">
        <v>45328</v>
      </c>
      <c r="I119" s="81">
        <v>3</v>
      </c>
      <c r="J119" s="82">
        <v>45332</v>
      </c>
      <c r="K119" s="81" t="s">
        <v>41</v>
      </c>
      <c r="L119" s="81" t="s">
        <v>5</v>
      </c>
      <c r="M119" s="81" t="s">
        <v>41</v>
      </c>
      <c r="N119" s="81" t="s">
        <v>41</v>
      </c>
    </row>
    <row r="120" spans="1:14" ht="21.75" customHeight="1" x14ac:dyDescent="0.25">
      <c r="A120" s="78">
        <v>2901</v>
      </c>
      <c r="B120" s="79">
        <v>45324</v>
      </c>
      <c r="C120" s="80" t="s">
        <v>41</v>
      </c>
      <c r="D120" s="80" t="s">
        <v>7</v>
      </c>
      <c r="E120" s="80" t="s">
        <v>41</v>
      </c>
      <c r="F120" s="81">
        <v>5</v>
      </c>
      <c r="G120" s="81" t="s">
        <v>41</v>
      </c>
      <c r="H120" s="82">
        <v>45328</v>
      </c>
      <c r="I120" s="81">
        <v>3</v>
      </c>
      <c r="J120" s="82">
        <v>45332</v>
      </c>
      <c r="K120" s="81" t="s">
        <v>3</v>
      </c>
      <c r="L120" s="81" t="s">
        <v>5</v>
      </c>
      <c r="M120" s="81" t="s">
        <v>1</v>
      </c>
      <c r="N120" s="81" t="s">
        <v>4</v>
      </c>
    </row>
    <row r="121" spans="1:14" ht="21.75" customHeight="1" x14ac:dyDescent="0.25">
      <c r="A121" s="78">
        <v>2599</v>
      </c>
      <c r="B121" s="79">
        <v>45325</v>
      </c>
      <c r="C121" s="80" t="s">
        <v>41</v>
      </c>
      <c r="D121" s="80" t="s">
        <v>7</v>
      </c>
      <c r="E121" s="80" t="s">
        <v>41</v>
      </c>
      <c r="F121" s="81">
        <v>5</v>
      </c>
      <c r="G121" s="81" t="s">
        <v>41</v>
      </c>
      <c r="H121" s="82">
        <v>45329</v>
      </c>
      <c r="I121" s="81">
        <v>3</v>
      </c>
      <c r="J121" s="82">
        <v>45333</v>
      </c>
      <c r="K121" s="81" t="s">
        <v>41</v>
      </c>
      <c r="L121" s="81" t="s">
        <v>5</v>
      </c>
      <c r="M121" s="81" t="s">
        <v>1</v>
      </c>
      <c r="N121" s="81" t="s">
        <v>41</v>
      </c>
    </row>
    <row r="122" spans="1:14" ht="21.75" customHeight="1" x14ac:dyDescent="0.25">
      <c r="A122" s="78">
        <v>2478</v>
      </c>
      <c r="B122" s="79">
        <v>45325</v>
      </c>
      <c r="C122" s="80" t="s">
        <v>41</v>
      </c>
      <c r="D122" s="80" t="s">
        <v>7</v>
      </c>
      <c r="E122" s="80" t="s">
        <v>41</v>
      </c>
      <c r="F122" s="81">
        <v>5</v>
      </c>
      <c r="G122" s="81" t="s">
        <v>41</v>
      </c>
      <c r="H122" s="82">
        <v>45329</v>
      </c>
      <c r="I122" s="81">
        <v>3</v>
      </c>
      <c r="J122" s="82">
        <v>45333</v>
      </c>
      <c r="K122" s="81" t="s">
        <v>3</v>
      </c>
      <c r="L122" s="81" t="s">
        <v>41</v>
      </c>
      <c r="M122" s="81" t="s">
        <v>41</v>
      </c>
      <c r="N122" s="81" t="s">
        <v>41</v>
      </c>
    </row>
    <row r="123" spans="1:14" ht="21.75" customHeight="1" x14ac:dyDescent="0.25">
      <c r="A123" s="78">
        <v>3432</v>
      </c>
      <c r="B123" s="79">
        <v>45326</v>
      </c>
      <c r="C123" s="80" t="s">
        <v>41</v>
      </c>
      <c r="D123" s="80" t="s">
        <v>7</v>
      </c>
      <c r="E123" s="80" t="s">
        <v>41</v>
      </c>
      <c r="F123" s="81">
        <v>5</v>
      </c>
      <c r="G123" s="81" t="s">
        <v>41</v>
      </c>
      <c r="H123" s="82">
        <v>45330</v>
      </c>
      <c r="I123" s="81">
        <v>3</v>
      </c>
      <c r="J123" s="82">
        <v>45334</v>
      </c>
      <c r="K123" s="81" t="s">
        <v>41</v>
      </c>
      <c r="L123" s="81" t="s">
        <v>41</v>
      </c>
      <c r="M123" s="81" t="s">
        <v>1</v>
      </c>
      <c r="N123" s="81" t="s">
        <v>4</v>
      </c>
    </row>
    <row r="124" spans="1:14" ht="21.75" customHeight="1" x14ac:dyDescent="0.25">
      <c r="A124" s="78">
        <v>2216</v>
      </c>
      <c r="B124" s="79">
        <v>45326</v>
      </c>
      <c r="C124" s="80" t="s">
        <v>41</v>
      </c>
      <c r="D124" s="80" t="s">
        <v>91</v>
      </c>
      <c r="E124" s="80" t="s">
        <v>41</v>
      </c>
      <c r="F124" s="81">
        <v>5</v>
      </c>
      <c r="G124" s="81" t="s">
        <v>41</v>
      </c>
      <c r="H124" s="82">
        <v>45330</v>
      </c>
      <c r="I124" s="81">
        <v>3</v>
      </c>
      <c r="J124" s="82">
        <v>45334</v>
      </c>
      <c r="K124" s="81" t="s">
        <v>41</v>
      </c>
      <c r="L124" s="81" t="s">
        <v>41</v>
      </c>
      <c r="M124" s="81" t="s">
        <v>41</v>
      </c>
      <c r="N124" s="81" t="s">
        <v>4</v>
      </c>
    </row>
    <row r="125" spans="1:14" ht="21.75" customHeight="1" x14ac:dyDescent="0.25">
      <c r="A125" s="78">
        <v>3166</v>
      </c>
      <c r="B125" s="79">
        <v>45326</v>
      </c>
      <c r="C125" s="80" t="s">
        <v>41</v>
      </c>
      <c r="D125" s="80" t="s">
        <v>7</v>
      </c>
      <c r="E125" s="80" t="s">
        <v>41</v>
      </c>
      <c r="F125" s="81">
        <v>5</v>
      </c>
      <c r="G125" s="81" t="s">
        <v>41</v>
      </c>
      <c r="H125" s="82">
        <v>45330</v>
      </c>
      <c r="I125" s="81">
        <v>3</v>
      </c>
      <c r="J125" s="82">
        <v>45340</v>
      </c>
      <c r="K125" s="81" t="s">
        <v>3</v>
      </c>
      <c r="L125" s="81" t="s">
        <v>5</v>
      </c>
      <c r="M125" s="81" t="s">
        <v>41</v>
      </c>
      <c r="N125" s="81" t="s">
        <v>41</v>
      </c>
    </row>
    <row r="126" spans="1:14" ht="21.75" customHeight="1" x14ac:dyDescent="0.25">
      <c r="A126" s="78">
        <v>2914</v>
      </c>
      <c r="B126" s="79">
        <v>45327</v>
      </c>
      <c r="C126" s="80" t="s">
        <v>41</v>
      </c>
      <c r="D126" s="80" t="s">
        <v>84</v>
      </c>
      <c r="E126" s="80" t="s">
        <v>41</v>
      </c>
      <c r="F126" s="81">
        <v>5</v>
      </c>
      <c r="G126" s="81" t="s">
        <v>41</v>
      </c>
      <c r="H126" s="82">
        <v>45331</v>
      </c>
      <c r="I126" s="81">
        <v>9</v>
      </c>
      <c r="J126" s="82">
        <v>45341</v>
      </c>
      <c r="K126" s="81" t="s">
        <v>41</v>
      </c>
      <c r="L126" s="81" t="s">
        <v>41</v>
      </c>
      <c r="M126" s="81" t="s">
        <v>41</v>
      </c>
      <c r="N126" s="81" t="s">
        <v>4</v>
      </c>
    </row>
    <row r="127" spans="1:14" ht="21.75" customHeight="1" x14ac:dyDescent="0.25">
      <c r="A127" s="78">
        <v>2310</v>
      </c>
      <c r="B127" s="79">
        <v>45327</v>
      </c>
      <c r="C127" s="80" t="s">
        <v>41</v>
      </c>
      <c r="D127" s="80" t="s">
        <v>84</v>
      </c>
      <c r="E127" s="80" t="s">
        <v>41</v>
      </c>
      <c r="F127" s="81">
        <v>5</v>
      </c>
      <c r="G127" s="81" t="s">
        <v>41</v>
      </c>
      <c r="H127" s="82">
        <v>45331</v>
      </c>
      <c r="I127" s="81">
        <v>9</v>
      </c>
      <c r="J127" s="82">
        <v>45335</v>
      </c>
      <c r="K127" s="81" t="s">
        <v>41</v>
      </c>
      <c r="L127" s="81" t="s">
        <v>5</v>
      </c>
      <c r="M127" s="81" t="s">
        <v>41</v>
      </c>
      <c r="N127" s="81" t="s">
        <v>41</v>
      </c>
    </row>
    <row r="128" spans="1:14" ht="21.75" customHeight="1" x14ac:dyDescent="0.25">
      <c r="A128" s="78">
        <v>3316</v>
      </c>
      <c r="B128" s="79">
        <v>45327</v>
      </c>
      <c r="C128" s="80" t="s">
        <v>41</v>
      </c>
      <c r="D128" s="80" t="s">
        <v>91</v>
      </c>
      <c r="E128" s="80" t="s">
        <v>41</v>
      </c>
      <c r="F128" s="81">
        <v>5</v>
      </c>
      <c r="G128" s="81" t="s">
        <v>41</v>
      </c>
      <c r="H128" s="82">
        <v>45331</v>
      </c>
      <c r="I128" s="81">
        <v>3</v>
      </c>
      <c r="J128" s="82">
        <v>45335</v>
      </c>
      <c r="K128" s="81" t="s">
        <v>41</v>
      </c>
      <c r="L128" s="81" t="s">
        <v>41</v>
      </c>
      <c r="M128" s="81" t="s">
        <v>1</v>
      </c>
      <c r="N128" s="81" t="s">
        <v>41</v>
      </c>
    </row>
    <row r="129" spans="1:14" ht="21.75" customHeight="1" x14ac:dyDescent="0.25">
      <c r="A129" s="78">
        <v>3787</v>
      </c>
      <c r="B129" s="79">
        <v>45329</v>
      </c>
      <c r="C129" s="80" t="s">
        <v>41</v>
      </c>
      <c r="D129" s="80" t="s">
        <v>7</v>
      </c>
      <c r="E129" s="80" t="s">
        <v>41</v>
      </c>
      <c r="F129" s="81">
        <v>5</v>
      </c>
      <c r="G129" s="81" t="s">
        <v>41</v>
      </c>
      <c r="H129" s="82">
        <v>45333</v>
      </c>
      <c r="I129" s="81">
        <v>3</v>
      </c>
      <c r="J129" s="82">
        <v>45337</v>
      </c>
      <c r="K129" s="81" t="s">
        <v>41</v>
      </c>
      <c r="L129" s="81" t="s">
        <v>41</v>
      </c>
      <c r="M129" s="81" t="s">
        <v>1</v>
      </c>
      <c r="N129" s="81" t="s">
        <v>41</v>
      </c>
    </row>
    <row r="130" spans="1:14" ht="21.75" customHeight="1" x14ac:dyDescent="0.25">
      <c r="A130" s="78">
        <v>3061</v>
      </c>
      <c r="B130" s="79">
        <v>45329</v>
      </c>
      <c r="C130" s="80" t="s">
        <v>41</v>
      </c>
      <c r="D130" s="80" t="s">
        <v>7</v>
      </c>
      <c r="E130" s="80" t="s">
        <v>41</v>
      </c>
      <c r="F130" s="81">
        <v>5</v>
      </c>
      <c r="G130" s="81" t="s">
        <v>41</v>
      </c>
      <c r="H130" s="82">
        <v>45333</v>
      </c>
      <c r="I130" s="81">
        <v>3</v>
      </c>
      <c r="J130" s="82">
        <v>45337</v>
      </c>
      <c r="K130" s="81" t="s">
        <v>3</v>
      </c>
      <c r="L130" s="81" t="s">
        <v>41</v>
      </c>
      <c r="M130" s="81" t="s">
        <v>1</v>
      </c>
      <c r="N130" s="81" t="s">
        <v>4</v>
      </c>
    </row>
    <row r="131" spans="1:14" ht="21.75" customHeight="1" x14ac:dyDescent="0.25">
      <c r="A131" s="78">
        <v>2583</v>
      </c>
      <c r="B131" s="79">
        <v>45329</v>
      </c>
      <c r="C131" s="80" t="s">
        <v>41</v>
      </c>
      <c r="D131" s="80" t="s">
        <v>7</v>
      </c>
      <c r="E131" s="80" t="s">
        <v>41</v>
      </c>
      <c r="F131" s="81">
        <v>5</v>
      </c>
      <c r="G131" s="81" t="s">
        <v>41</v>
      </c>
      <c r="H131" s="82">
        <v>45333</v>
      </c>
      <c r="I131" s="81">
        <v>3</v>
      </c>
      <c r="J131" s="82">
        <v>45343</v>
      </c>
      <c r="K131" s="81" t="s">
        <v>41</v>
      </c>
      <c r="L131" s="81" t="s">
        <v>5</v>
      </c>
      <c r="M131" s="81" t="s">
        <v>41</v>
      </c>
      <c r="N131" s="81" t="s">
        <v>4</v>
      </c>
    </row>
    <row r="132" spans="1:14" ht="21.75" customHeight="1" x14ac:dyDescent="0.25">
      <c r="A132" s="78">
        <v>2901</v>
      </c>
      <c r="B132" s="79">
        <v>45329</v>
      </c>
      <c r="C132" s="80" t="s">
        <v>41</v>
      </c>
      <c r="D132" s="80" t="s">
        <v>84</v>
      </c>
      <c r="E132" s="80" t="s">
        <v>41</v>
      </c>
      <c r="F132" s="81">
        <v>5</v>
      </c>
      <c r="G132" s="81" t="s">
        <v>41</v>
      </c>
      <c r="H132" s="82">
        <v>45333</v>
      </c>
      <c r="I132" s="81">
        <v>9</v>
      </c>
      <c r="J132" s="82">
        <v>45337</v>
      </c>
      <c r="K132" s="81" t="s">
        <v>3</v>
      </c>
      <c r="L132" s="81" t="s">
        <v>5</v>
      </c>
      <c r="M132" s="81" t="s">
        <v>1</v>
      </c>
      <c r="N132" s="81" t="s">
        <v>4</v>
      </c>
    </row>
    <row r="133" spans="1:14" ht="21.75" customHeight="1" x14ac:dyDescent="0.25">
      <c r="A133" s="78">
        <v>88</v>
      </c>
      <c r="B133" s="79">
        <v>45329</v>
      </c>
      <c r="C133" s="80" t="s">
        <v>41</v>
      </c>
      <c r="D133" s="80" t="s">
        <v>91</v>
      </c>
      <c r="E133" s="80" t="s">
        <v>41</v>
      </c>
      <c r="F133" s="81">
        <v>5</v>
      </c>
      <c r="G133" s="81" t="s">
        <v>41</v>
      </c>
      <c r="H133" s="82">
        <v>45333</v>
      </c>
      <c r="I133" s="81">
        <v>3</v>
      </c>
      <c r="J133" s="82">
        <v>45337</v>
      </c>
      <c r="K133" s="81" t="s">
        <v>41</v>
      </c>
      <c r="L133" s="81" t="s">
        <v>5</v>
      </c>
      <c r="M133" s="81" t="s">
        <v>41</v>
      </c>
      <c r="N133" s="81" t="s">
        <v>4</v>
      </c>
    </row>
    <row r="134" spans="1:14" ht="21.75" customHeight="1" x14ac:dyDescent="0.25">
      <c r="A134" s="78">
        <v>2478</v>
      </c>
      <c r="B134" s="79">
        <v>45329</v>
      </c>
      <c r="C134" s="80" t="s">
        <v>41</v>
      </c>
      <c r="D134" s="80" t="s">
        <v>91</v>
      </c>
      <c r="E134" s="80" t="s">
        <v>41</v>
      </c>
      <c r="F134" s="81">
        <v>5</v>
      </c>
      <c r="G134" s="81" t="s">
        <v>41</v>
      </c>
      <c r="H134" s="82">
        <v>45333</v>
      </c>
      <c r="I134" s="81">
        <v>3</v>
      </c>
      <c r="J134" s="82">
        <v>45343</v>
      </c>
      <c r="K134" s="81" t="s">
        <v>3</v>
      </c>
      <c r="L134" s="81" t="s">
        <v>41</v>
      </c>
      <c r="M134" s="81" t="s">
        <v>41</v>
      </c>
      <c r="N134" s="81" t="s">
        <v>41</v>
      </c>
    </row>
    <row r="135" spans="1:14" ht="21.75" customHeight="1" x14ac:dyDescent="0.25">
      <c r="A135" s="78">
        <v>3272</v>
      </c>
      <c r="B135" s="79">
        <v>45329</v>
      </c>
      <c r="C135" s="80" t="s">
        <v>41</v>
      </c>
      <c r="D135" s="80" t="s">
        <v>84</v>
      </c>
      <c r="E135" s="80" t="s">
        <v>41</v>
      </c>
      <c r="F135" s="81">
        <v>5</v>
      </c>
      <c r="G135" s="81" t="s">
        <v>41</v>
      </c>
      <c r="H135" s="82">
        <v>45333</v>
      </c>
      <c r="I135" s="81">
        <v>9</v>
      </c>
      <c r="J135" s="82">
        <v>45343</v>
      </c>
      <c r="K135" s="81" t="s">
        <v>3</v>
      </c>
      <c r="L135" s="81" t="s">
        <v>5</v>
      </c>
      <c r="M135" s="81" t="s">
        <v>1</v>
      </c>
      <c r="N135" s="81" t="s">
        <v>4</v>
      </c>
    </row>
    <row r="136" spans="1:14" ht="21.75" customHeight="1" x14ac:dyDescent="0.25">
      <c r="A136" s="78">
        <v>1130</v>
      </c>
      <c r="B136" s="79">
        <v>45329</v>
      </c>
      <c r="C136" s="80" t="s">
        <v>41</v>
      </c>
      <c r="D136" s="80" t="s">
        <v>84</v>
      </c>
      <c r="E136" s="80" t="s">
        <v>41</v>
      </c>
      <c r="F136" s="81">
        <v>5</v>
      </c>
      <c r="G136" s="81" t="s">
        <v>41</v>
      </c>
      <c r="H136" s="82">
        <v>45333</v>
      </c>
      <c r="I136" s="81">
        <v>9</v>
      </c>
      <c r="J136" s="82">
        <v>45343</v>
      </c>
      <c r="K136" s="81" t="s">
        <v>3</v>
      </c>
      <c r="L136" s="81" t="s">
        <v>5</v>
      </c>
      <c r="M136" s="81" t="s">
        <v>41</v>
      </c>
      <c r="N136" s="81" t="s">
        <v>4</v>
      </c>
    </row>
    <row r="137" spans="1:14" ht="21.75" customHeight="1" x14ac:dyDescent="0.25">
      <c r="A137" s="78">
        <v>2731</v>
      </c>
      <c r="B137" s="79">
        <v>45330</v>
      </c>
      <c r="C137" s="80" t="s">
        <v>41</v>
      </c>
      <c r="D137" s="80" t="s">
        <v>84</v>
      </c>
      <c r="E137" s="80" t="s">
        <v>41</v>
      </c>
      <c r="F137" s="81">
        <v>5</v>
      </c>
      <c r="G137" s="81" t="s">
        <v>41</v>
      </c>
      <c r="H137" s="82">
        <v>45334</v>
      </c>
      <c r="I137" s="81">
        <v>9</v>
      </c>
      <c r="J137" s="82">
        <v>45344</v>
      </c>
      <c r="K137" s="81" t="s">
        <v>41</v>
      </c>
      <c r="L137" s="81" t="s">
        <v>5</v>
      </c>
      <c r="M137" s="81" t="s">
        <v>41</v>
      </c>
      <c r="N137" s="81" t="s">
        <v>41</v>
      </c>
    </row>
    <row r="138" spans="1:14" ht="21.75" customHeight="1" x14ac:dyDescent="0.25">
      <c r="A138" s="78">
        <v>1984</v>
      </c>
      <c r="B138" s="79">
        <v>45330</v>
      </c>
      <c r="C138" s="80" t="s">
        <v>41</v>
      </c>
      <c r="D138" s="80" t="s">
        <v>84</v>
      </c>
      <c r="E138" s="80" t="s">
        <v>41</v>
      </c>
      <c r="F138" s="81">
        <v>5</v>
      </c>
      <c r="G138" s="81" t="s">
        <v>41</v>
      </c>
      <c r="H138" s="82">
        <v>45334</v>
      </c>
      <c r="I138" s="81">
        <v>9</v>
      </c>
      <c r="J138" s="82">
        <v>45338</v>
      </c>
      <c r="K138" s="81" t="s">
        <v>3</v>
      </c>
      <c r="L138" s="81" t="s">
        <v>5</v>
      </c>
      <c r="M138" s="81" t="s">
        <v>1</v>
      </c>
      <c r="N138" s="81" t="s">
        <v>4</v>
      </c>
    </row>
    <row r="139" spans="1:14" ht="21.75" customHeight="1" x14ac:dyDescent="0.25">
      <c r="A139" s="78">
        <v>2329</v>
      </c>
      <c r="B139" s="79">
        <v>45330</v>
      </c>
      <c r="C139" s="80" t="s">
        <v>41</v>
      </c>
      <c r="D139" s="80" t="s">
        <v>7</v>
      </c>
      <c r="E139" s="80" t="s">
        <v>41</v>
      </c>
      <c r="F139" s="81">
        <v>5</v>
      </c>
      <c r="G139" s="81" t="s">
        <v>41</v>
      </c>
      <c r="H139" s="82">
        <v>45334</v>
      </c>
      <c r="I139" s="81">
        <v>3</v>
      </c>
      <c r="J139" s="82">
        <v>45344</v>
      </c>
      <c r="K139" s="81" t="s">
        <v>3</v>
      </c>
      <c r="L139" s="81" t="s">
        <v>5</v>
      </c>
      <c r="M139" s="81" t="s">
        <v>41</v>
      </c>
      <c r="N139" s="81" t="s">
        <v>41</v>
      </c>
    </row>
    <row r="140" spans="1:14" ht="21.75" customHeight="1" x14ac:dyDescent="0.25">
      <c r="A140" s="78">
        <v>2675</v>
      </c>
      <c r="B140" s="79">
        <v>45330</v>
      </c>
      <c r="C140" s="80" t="s">
        <v>41</v>
      </c>
      <c r="D140" s="80" t="s">
        <v>84</v>
      </c>
      <c r="E140" s="80" t="s">
        <v>41</v>
      </c>
      <c r="F140" s="81">
        <v>5</v>
      </c>
      <c r="G140" s="81" t="s">
        <v>41</v>
      </c>
      <c r="H140" s="82">
        <v>45334</v>
      </c>
      <c r="I140" s="81">
        <v>9</v>
      </c>
      <c r="J140" s="82">
        <v>45338</v>
      </c>
      <c r="K140" s="81" t="s">
        <v>3</v>
      </c>
      <c r="L140" s="81" t="s">
        <v>5</v>
      </c>
      <c r="M140" s="81" t="s">
        <v>41</v>
      </c>
      <c r="N140" s="81" t="s">
        <v>4</v>
      </c>
    </row>
    <row r="141" spans="1:14" ht="21.75" customHeight="1" x14ac:dyDescent="0.25">
      <c r="A141" s="78">
        <v>2561</v>
      </c>
      <c r="B141" s="79">
        <v>45331</v>
      </c>
      <c r="C141" s="80" t="s">
        <v>41</v>
      </c>
      <c r="D141" s="80" t="s">
        <v>7</v>
      </c>
      <c r="E141" s="80" t="s">
        <v>41</v>
      </c>
      <c r="F141" s="81">
        <v>5</v>
      </c>
      <c r="G141" s="81" t="s">
        <v>41</v>
      </c>
      <c r="H141" s="82">
        <v>45335</v>
      </c>
      <c r="I141" s="81">
        <v>3</v>
      </c>
      <c r="J141" s="82">
        <v>45339</v>
      </c>
      <c r="K141" s="81" t="s">
        <v>3</v>
      </c>
      <c r="L141" s="81" t="s">
        <v>5</v>
      </c>
      <c r="M141" s="81" t="s">
        <v>41</v>
      </c>
      <c r="N141" s="81" t="s">
        <v>4</v>
      </c>
    </row>
    <row r="142" spans="1:14" ht="21.75" customHeight="1" x14ac:dyDescent="0.25">
      <c r="A142" s="78">
        <v>3432</v>
      </c>
      <c r="B142" s="79">
        <v>45331</v>
      </c>
      <c r="C142" s="80" t="s">
        <v>41</v>
      </c>
      <c r="D142" s="80" t="s">
        <v>91</v>
      </c>
      <c r="E142" s="80" t="s">
        <v>41</v>
      </c>
      <c r="F142" s="81">
        <v>5</v>
      </c>
      <c r="G142" s="81" t="s">
        <v>41</v>
      </c>
      <c r="H142" s="82">
        <v>45335</v>
      </c>
      <c r="I142" s="81">
        <v>3</v>
      </c>
      <c r="J142" s="82">
        <v>45345</v>
      </c>
      <c r="K142" s="81" t="s">
        <v>3</v>
      </c>
      <c r="L142" s="81" t="s">
        <v>5</v>
      </c>
      <c r="M142" s="81" t="s">
        <v>1</v>
      </c>
      <c r="N142" s="81" t="s">
        <v>4</v>
      </c>
    </row>
    <row r="143" spans="1:14" ht="21.75" customHeight="1" x14ac:dyDescent="0.25">
      <c r="A143" s="78">
        <v>2914</v>
      </c>
      <c r="B143" s="79">
        <v>45331</v>
      </c>
      <c r="C143" s="80" t="s">
        <v>41</v>
      </c>
      <c r="D143" s="80" t="s">
        <v>84</v>
      </c>
      <c r="E143" s="80" t="s">
        <v>41</v>
      </c>
      <c r="F143" s="81">
        <v>5</v>
      </c>
      <c r="G143" s="81" t="s">
        <v>41</v>
      </c>
      <c r="H143" s="82">
        <v>45335</v>
      </c>
      <c r="I143" s="81">
        <v>9</v>
      </c>
      <c r="J143" s="82">
        <v>45339</v>
      </c>
      <c r="K143" s="81" t="s">
        <v>41</v>
      </c>
      <c r="L143" s="81" t="s">
        <v>41</v>
      </c>
      <c r="M143" s="81" t="s">
        <v>41</v>
      </c>
      <c r="N143" s="81" t="s">
        <v>4</v>
      </c>
    </row>
    <row r="144" spans="1:14" ht="21.75" customHeight="1" x14ac:dyDescent="0.25">
      <c r="A144" s="78">
        <v>3316</v>
      </c>
      <c r="B144" s="79">
        <v>45331</v>
      </c>
      <c r="C144" s="80" t="s">
        <v>41</v>
      </c>
      <c r="D144" s="80" t="s">
        <v>91</v>
      </c>
      <c r="E144" s="80" t="s">
        <v>41</v>
      </c>
      <c r="F144" s="81">
        <v>5</v>
      </c>
      <c r="G144" s="81" t="s">
        <v>41</v>
      </c>
      <c r="H144" s="82">
        <v>45335</v>
      </c>
      <c r="I144" s="81">
        <v>3</v>
      </c>
      <c r="J144" s="82">
        <v>45339</v>
      </c>
      <c r="K144" s="81" t="s">
        <v>41</v>
      </c>
      <c r="L144" s="81" t="s">
        <v>41</v>
      </c>
      <c r="M144" s="81" t="s">
        <v>1</v>
      </c>
      <c r="N144" s="81" t="s">
        <v>41</v>
      </c>
    </row>
    <row r="145" spans="1:14" ht="21.75" customHeight="1" x14ac:dyDescent="0.25">
      <c r="A145" s="78">
        <v>3193</v>
      </c>
      <c r="B145" s="79">
        <v>45332</v>
      </c>
      <c r="C145" s="80" t="s">
        <v>41</v>
      </c>
      <c r="D145" s="80" t="s">
        <v>7</v>
      </c>
      <c r="E145" s="80" t="s">
        <v>41</v>
      </c>
      <c r="F145" s="81">
        <v>5</v>
      </c>
      <c r="G145" s="81" t="s">
        <v>41</v>
      </c>
      <c r="H145" s="82">
        <v>45336</v>
      </c>
      <c r="I145" s="81">
        <v>3</v>
      </c>
      <c r="J145" s="82">
        <v>45340</v>
      </c>
      <c r="K145" s="81" t="s">
        <v>3</v>
      </c>
      <c r="L145" s="81" t="s">
        <v>41</v>
      </c>
      <c r="M145" s="81" t="s">
        <v>1</v>
      </c>
      <c r="N145" s="81" t="s">
        <v>41</v>
      </c>
    </row>
    <row r="146" spans="1:14" ht="21.75" customHeight="1" x14ac:dyDescent="0.25">
      <c r="A146" s="78">
        <v>861</v>
      </c>
      <c r="B146" s="79">
        <v>45333</v>
      </c>
      <c r="C146" s="80" t="s">
        <v>41</v>
      </c>
      <c r="D146" s="80" t="s">
        <v>7</v>
      </c>
      <c r="E146" s="80" t="s">
        <v>41</v>
      </c>
      <c r="F146" s="81">
        <v>5</v>
      </c>
      <c r="G146" s="81" t="s">
        <v>41</v>
      </c>
      <c r="H146" s="82">
        <v>45337</v>
      </c>
      <c r="I146" s="81">
        <v>3</v>
      </c>
      <c r="J146" s="82">
        <v>45347</v>
      </c>
      <c r="K146" s="81" t="s">
        <v>3</v>
      </c>
      <c r="L146" s="81" t="s">
        <v>5</v>
      </c>
      <c r="M146" s="81" t="s">
        <v>1</v>
      </c>
      <c r="N146" s="81" t="s">
        <v>4</v>
      </c>
    </row>
    <row r="147" spans="1:14" ht="21.75" customHeight="1" x14ac:dyDescent="0.25">
      <c r="A147" s="78">
        <v>3193</v>
      </c>
      <c r="B147" s="79">
        <v>45333</v>
      </c>
      <c r="C147" s="80" t="s">
        <v>41</v>
      </c>
      <c r="D147" s="80" t="s">
        <v>84</v>
      </c>
      <c r="E147" s="80" t="s">
        <v>41</v>
      </c>
      <c r="F147" s="81">
        <v>5</v>
      </c>
      <c r="G147" s="81" t="s">
        <v>41</v>
      </c>
      <c r="H147" s="82">
        <v>45337</v>
      </c>
      <c r="I147" s="81">
        <v>9</v>
      </c>
      <c r="J147" s="82">
        <v>45341</v>
      </c>
      <c r="K147" s="81" t="s">
        <v>3</v>
      </c>
      <c r="L147" s="81" t="s">
        <v>41</v>
      </c>
      <c r="M147" s="81" t="s">
        <v>1</v>
      </c>
      <c r="N147" s="81" t="s">
        <v>41</v>
      </c>
    </row>
    <row r="148" spans="1:14" ht="21.75" customHeight="1" x14ac:dyDescent="0.25">
      <c r="A148" s="78">
        <v>2321</v>
      </c>
      <c r="B148" s="79">
        <v>45333</v>
      </c>
      <c r="C148" s="80" t="s">
        <v>41</v>
      </c>
      <c r="D148" s="80" t="s">
        <v>7</v>
      </c>
      <c r="E148" s="80" t="s">
        <v>41</v>
      </c>
      <c r="F148" s="81">
        <v>5</v>
      </c>
      <c r="G148" s="81" t="s">
        <v>41</v>
      </c>
      <c r="H148" s="82">
        <v>45337</v>
      </c>
      <c r="I148" s="81">
        <v>3</v>
      </c>
      <c r="J148" s="82">
        <v>45341</v>
      </c>
      <c r="K148" s="81" t="s">
        <v>41</v>
      </c>
      <c r="L148" s="81" t="s">
        <v>5</v>
      </c>
      <c r="M148" s="81" t="s">
        <v>41</v>
      </c>
      <c r="N148" s="81" t="s">
        <v>4</v>
      </c>
    </row>
    <row r="149" spans="1:14" ht="21.75" customHeight="1" x14ac:dyDescent="0.25">
      <c r="A149" s="78">
        <v>2329</v>
      </c>
      <c r="B149" s="79">
        <v>45337</v>
      </c>
      <c r="C149" s="80" t="s">
        <v>41</v>
      </c>
      <c r="D149" s="80" t="s">
        <v>91</v>
      </c>
      <c r="E149" s="80" t="s">
        <v>41</v>
      </c>
      <c r="F149" s="81">
        <v>5</v>
      </c>
      <c r="G149" s="81" t="s">
        <v>41</v>
      </c>
      <c r="H149" s="82">
        <v>45341</v>
      </c>
      <c r="I149" s="81">
        <v>3</v>
      </c>
      <c r="J149" s="82">
        <v>45345</v>
      </c>
      <c r="K149" s="81" t="s">
        <v>3</v>
      </c>
      <c r="L149" s="81" t="s">
        <v>41</v>
      </c>
      <c r="M149" s="81" t="s">
        <v>41</v>
      </c>
      <c r="N149" s="81" t="s">
        <v>41</v>
      </c>
    </row>
    <row r="150" spans="1:14" ht="21.75" customHeight="1" x14ac:dyDescent="0.25">
      <c r="A150" s="78">
        <v>2583</v>
      </c>
      <c r="B150" s="79">
        <v>45337</v>
      </c>
      <c r="C150" s="80" t="s">
        <v>41</v>
      </c>
      <c r="D150" s="80" t="s">
        <v>91</v>
      </c>
      <c r="E150" s="80" t="s">
        <v>41</v>
      </c>
      <c r="F150" s="81">
        <v>5</v>
      </c>
      <c r="G150" s="81" t="s">
        <v>41</v>
      </c>
      <c r="H150" s="82">
        <v>45341</v>
      </c>
      <c r="I150" s="81">
        <v>3</v>
      </c>
      <c r="J150" s="82">
        <v>45345</v>
      </c>
      <c r="K150" s="81" t="s">
        <v>41</v>
      </c>
      <c r="L150" s="81" t="s">
        <v>41</v>
      </c>
      <c r="M150" s="81" t="s">
        <v>41</v>
      </c>
      <c r="N150" s="81" t="s">
        <v>4</v>
      </c>
    </row>
    <row r="151" spans="1:14" ht="21.75" customHeight="1" x14ac:dyDescent="0.25">
      <c r="A151" s="78">
        <v>2405</v>
      </c>
      <c r="B151" s="79">
        <v>45337</v>
      </c>
      <c r="C151" s="80" t="s">
        <v>41</v>
      </c>
      <c r="D151" s="80" t="s">
        <v>7</v>
      </c>
      <c r="E151" s="80" t="s">
        <v>41</v>
      </c>
      <c r="F151" s="81">
        <v>5</v>
      </c>
      <c r="G151" s="81" t="s">
        <v>41</v>
      </c>
      <c r="H151" s="82">
        <v>45341</v>
      </c>
      <c r="I151" s="81">
        <v>3</v>
      </c>
      <c r="J151" s="82">
        <v>45345</v>
      </c>
      <c r="K151" s="81" t="s">
        <v>3</v>
      </c>
      <c r="L151" s="81" t="s">
        <v>41</v>
      </c>
      <c r="M151" s="81" t="s">
        <v>41</v>
      </c>
      <c r="N151" s="81" t="s">
        <v>41</v>
      </c>
    </row>
    <row r="152" spans="1:14" ht="21.75" customHeight="1" x14ac:dyDescent="0.25">
      <c r="A152" s="78">
        <v>3397</v>
      </c>
      <c r="B152" s="79">
        <v>45337</v>
      </c>
      <c r="C152" s="80" t="s">
        <v>41</v>
      </c>
      <c r="D152" s="80" t="s">
        <v>7</v>
      </c>
      <c r="E152" s="80" t="s">
        <v>41</v>
      </c>
      <c r="F152" s="81">
        <v>5</v>
      </c>
      <c r="G152" s="81" t="s">
        <v>41</v>
      </c>
      <c r="H152" s="82">
        <v>45341</v>
      </c>
      <c r="I152" s="81">
        <v>3</v>
      </c>
      <c r="J152" s="82">
        <v>45345</v>
      </c>
      <c r="K152" s="81" t="s">
        <v>3</v>
      </c>
      <c r="L152" s="81" t="s">
        <v>41</v>
      </c>
      <c r="M152" s="81" t="s">
        <v>1</v>
      </c>
      <c r="N152" s="81" t="s">
        <v>41</v>
      </c>
    </row>
    <row r="153" spans="1:14" ht="21.75" customHeight="1" x14ac:dyDescent="0.25">
      <c r="A153" s="78">
        <v>651</v>
      </c>
      <c r="B153" s="79">
        <v>45338</v>
      </c>
      <c r="C153" s="80" t="s">
        <v>41</v>
      </c>
      <c r="D153" s="80" t="s">
        <v>91</v>
      </c>
      <c r="E153" s="80" t="s">
        <v>41</v>
      </c>
      <c r="F153" s="81">
        <v>5</v>
      </c>
      <c r="G153" s="81" t="s">
        <v>41</v>
      </c>
      <c r="H153" s="82">
        <v>45342</v>
      </c>
      <c r="I153" s="81">
        <v>3</v>
      </c>
      <c r="J153" s="82">
        <v>45346</v>
      </c>
      <c r="K153" s="81" t="s">
        <v>3</v>
      </c>
      <c r="L153" s="81" t="s">
        <v>41</v>
      </c>
      <c r="M153" s="81" t="s">
        <v>41</v>
      </c>
      <c r="N153" s="81" t="s">
        <v>41</v>
      </c>
    </row>
    <row r="154" spans="1:14" ht="21.75" customHeight="1" x14ac:dyDescent="0.25">
      <c r="A154" s="78">
        <v>3432</v>
      </c>
      <c r="B154" s="79">
        <v>45339</v>
      </c>
      <c r="C154" s="80" t="s">
        <v>41</v>
      </c>
      <c r="D154" s="80" t="s">
        <v>7</v>
      </c>
      <c r="E154" s="80" t="s">
        <v>41</v>
      </c>
      <c r="F154" s="81">
        <v>5</v>
      </c>
      <c r="G154" s="81" t="s">
        <v>41</v>
      </c>
      <c r="H154" s="82">
        <v>45343</v>
      </c>
      <c r="I154" s="81">
        <v>3</v>
      </c>
      <c r="J154" s="82">
        <v>45347</v>
      </c>
      <c r="K154" s="81" t="s">
        <v>3</v>
      </c>
      <c r="L154" s="81" t="s">
        <v>5</v>
      </c>
      <c r="M154" s="81" t="s">
        <v>1</v>
      </c>
      <c r="N154" s="81" t="s">
        <v>4</v>
      </c>
    </row>
    <row r="155" spans="1:14" ht="21.75" customHeight="1" x14ac:dyDescent="0.25">
      <c r="A155" s="78">
        <v>2599</v>
      </c>
      <c r="B155" s="79">
        <v>45341</v>
      </c>
      <c r="C155" s="80" t="s">
        <v>41</v>
      </c>
      <c r="D155" s="80" t="s">
        <v>7</v>
      </c>
      <c r="E155" s="80" t="s">
        <v>41</v>
      </c>
      <c r="F155" s="81">
        <v>5</v>
      </c>
      <c r="G155" s="81" t="s">
        <v>41</v>
      </c>
      <c r="H155" s="82">
        <v>45345</v>
      </c>
      <c r="I155" s="81">
        <v>3</v>
      </c>
      <c r="J155" s="82">
        <v>45349</v>
      </c>
      <c r="K155" s="81" t="s">
        <v>41</v>
      </c>
      <c r="L155" s="81" t="s">
        <v>5</v>
      </c>
      <c r="M155" s="81" t="s">
        <v>1</v>
      </c>
      <c r="N155" s="81" t="s">
        <v>41</v>
      </c>
    </row>
    <row r="156" spans="1:14" ht="21.75" customHeight="1" x14ac:dyDescent="0.25">
      <c r="A156" s="78">
        <v>3007</v>
      </c>
      <c r="B156" s="79">
        <v>45341</v>
      </c>
      <c r="C156" s="80" t="s">
        <v>41</v>
      </c>
      <c r="D156" s="80" t="s">
        <v>7</v>
      </c>
      <c r="E156" s="80" t="s">
        <v>41</v>
      </c>
      <c r="F156" s="81">
        <v>5</v>
      </c>
      <c r="G156" s="81" t="s">
        <v>41</v>
      </c>
      <c r="H156" s="82">
        <v>45345</v>
      </c>
      <c r="I156" s="81">
        <v>3</v>
      </c>
      <c r="J156" s="82">
        <v>45349</v>
      </c>
      <c r="K156" s="81" t="s">
        <v>3</v>
      </c>
      <c r="L156" s="81" t="s">
        <v>5</v>
      </c>
      <c r="M156" s="81" t="s">
        <v>1</v>
      </c>
      <c r="N156" s="81" t="s">
        <v>4</v>
      </c>
    </row>
    <row r="157" spans="1:14" ht="21.75" customHeight="1" x14ac:dyDescent="0.25">
      <c r="A157" s="78">
        <v>1151</v>
      </c>
      <c r="B157" s="79">
        <v>45341</v>
      </c>
      <c r="C157" s="80" t="s">
        <v>41</v>
      </c>
      <c r="D157" s="80" t="s">
        <v>7</v>
      </c>
      <c r="E157" s="80" t="s">
        <v>41</v>
      </c>
      <c r="F157" s="81">
        <v>3</v>
      </c>
      <c r="G157" s="81" t="s">
        <v>41</v>
      </c>
      <c r="H157" s="82">
        <v>45343</v>
      </c>
      <c r="I157" s="81">
        <v>3</v>
      </c>
      <c r="J157" s="82">
        <v>45347</v>
      </c>
      <c r="K157" s="81" t="s">
        <v>41</v>
      </c>
      <c r="L157" s="81" t="s">
        <v>5</v>
      </c>
      <c r="M157" s="81" t="s">
        <v>1</v>
      </c>
      <c r="N157" s="81" t="s">
        <v>4</v>
      </c>
    </row>
    <row r="158" spans="1:14" ht="21.75" customHeight="1" x14ac:dyDescent="0.25">
      <c r="A158" s="78">
        <v>2301</v>
      </c>
      <c r="B158" s="79">
        <v>45341</v>
      </c>
      <c r="C158" s="80" t="s">
        <v>41</v>
      </c>
      <c r="D158" s="80" t="s">
        <v>7</v>
      </c>
      <c r="E158" s="80" t="s">
        <v>41</v>
      </c>
      <c r="F158" s="81">
        <v>3</v>
      </c>
      <c r="G158" s="81" t="s">
        <v>41</v>
      </c>
      <c r="H158" s="82">
        <v>45343</v>
      </c>
      <c r="I158" s="81">
        <v>3</v>
      </c>
      <c r="J158" s="82">
        <v>45347</v>
      </c>
      <c r="K158" s="81" t="s">
        <v>3</v>
      </c>
      <c r="L158" s="81" t="s">
        <v>41</v>
      </c>
      <c r="M158" s="81" t="s">
        <v>1</v>
      </c>
      <c r="N158" s="81" t="s">
        <v>4</v>
      </c>
    </row>
    <row r="159" spans="1:14" ht="21.75" customHeight="1" x14ac:dyDescent="0.25">
      <c r="A159" s="78">
        <v>3493</v>
      </c>
      <c r="B159" s="79">
        <v>45341</v>
      </c>
      <c r="C159" s="80" t="s">
        <v>41</v>
      </c>
      <c r="D159" s="80" t="s">
        <v>7</v>
      </c>
      <c r="E159" s="80" t="s">
        <v>41</v>
      </c>
      <c r="F159" s="81">
        <v>3</v>
      </c>
      <c r="G159" s="81" t="s">
        <v>41</v>
      </c>
      <c r="H159" s="82">
        <v>45343</v>
      </c>
      <c r="I159" s="81">
        <v>3</v>
      </c>
      <c r="J159" s="82">
        <v>45347</v>
      </c>
      <c r="K159" s="81" t="s">
        <v>3</v>
      </c>
      <c r="L159" s="81" t="s">
        <v>41</v>
      </c>
      <c r="M159" s="81" t="s">
        <v>1</v>
      </c>
      <c r="N159" s="81" t="s">
        <v>41</v>
      </c>
    </row>
    <row r="160" spans="1:14" ht="21.75" customHeight="1" x14ac:dyDescent="0.25">
      <c r="A160" s="78">
        <v>2188</v>
      </c>
      <c r="B160" s="79">
        <v>45341</v>
      </c>
      <c r="C160" s="80" t="s">
        <v>41</v>
      </c>
      <c r="D160" s="80" t="s">
        <v>7</v>
      </c>
      <c r="E160" s="80" t="s">
        <v>41</v>
      </c>
      <c r="F160" s="81">
        <v>5</v>
      </c>
      <c r="G160" s="81" t="s">
        <v>41</v>
      </c>
      <c r="H160" s="82">
        <v>45345</v>
      </c>
      <c r="I160" s="81">
        <v>3</v>
      </c>
      <c r="J160" s="82">
        <v>45349</v>
      </c>
      <c r="K160" s="81" t="s">
        <v>3</v>
      </c>
      <c r="L160" s="81" t="s">
        <v>41</v>
      </c>
      <c r="M160" s="81" t="s">
        <v>41</v>
      </c>
      <c r="N160" s="81" t="s">
        <v>4</v>
      </c>
    </row>
    <row r="161" spans="1:14" ht="21.75" customHeight="1" x14ac:dyDescent="0.25">
      <c r="A161" s="78">
        <v>2949</v>
      </c>
      <c r="B161" s="79">
        <v>45341</v>
      </c>
      <c r="C161" s="80" t="s">
        <v>41</v>
      </c>
      <c r="D161" s="80" t="s">
        <v>7</v>
      </c>
      <c r="E161" s="80" t="s">
        <v>41</v>
      </c>
      <c r="F161" s="81">
        <v>5</v>
      </c>
      <c r="G161" s="81" t="s">
        <v>41</v>
      </c>
      <c r="H161" s="82">
        <v>45345</v>
      </c>
      <c r="I161" s="81">
        <v>3</v>
      </c>
      <c r="J161" s="82">
        <v>45349</v>
      </c>
      <c r="K161" s="81" t="s">
        <v>41</v>
      </c>
      <c r="L161" s="81" t="s">
        <v>5</v>
      </c>
      <c r="M161" s="81" t="s">
        <v>1</v>
      </c>
      <c r="N161" s="81" t="s">
        <v>41</v>
      </c>
    </row>
    <row r="162" spans="1:14" ht="21.75" customHeight="1" x14ac:dyDescent="0.25">
      <c r="A162" s="78">
        <v>2329</v>
      </c>
      <c r="B162" s="79">
        <v>45341</v>
      </c>
      <c r="C162" s="80" t="s">
        <v>41</v>
      </c>
      <c r="D162" s="80" t="s">
        <v>7</v>
      </c>
      <c r="E162" s="80" t="s">
        <v>41</v>
      </c>
      <c r="F162" s="81">
        <v>5</v>
      </c>
      <c r="G162" s="81" t="s">
        <v>41</v>
      </c>
      <c r="H162" s="82">
        <v>45345</v>
      </c>
      <c r="I162" s="81">
        <v>3</v>
      </c>
      <c r="J162" s="82">
        <v>45349</v>
      </c>
      <c r="K162" s="81" t="s">
        <v>3</v>
      </c>
      <c r="L162" s="81" t="s">
        <v>41</v>
      </c>
      <c r="M162" s="81" t="s">
        <v>1</v>
      </c>
      <c r="N162" s="81" t="s">
        <v>41</v>
      </c>
    </row>
    <row r="163" spans="1:14" ht="21.75" customHeight="1" x14ac:dyDescent="0.25">
      <c r="A163" s="78">
        <v>2627</v>
      </c>
      <c r="B163" s="79">
        <v>45341</v>
      </c>
      <c r="C163" s="80" t="s">
        <v>41</v>
      </c>
      <c r="D163" s="80" t="s">
        <v>7</v>
      </c>
      <c r="E163" s="80" t="s">
        <v>41</v>
      </c>
      <c r="F163" s="81">
        <v>5</v>
      </c>
      <c r="G163" s="81" t="s">
        <v>41</v>
      </c>
      <c r="H163" s="82">
        <v>45345</v>
      </c>
      <c r="I163" s="81">
        <v>3</v>
      </c>
      <c r="J163" s="82">
        <v>45349</v>
      </c>
      <c r="K163" s="81" t="s">
        <v>3</v>
      </c>
      <c r="L163" s="81" t="s">
        <v>41</v>
      </c>
      <c r="M163" s="81" t="s">
        <v>41</v>
      </c>
      <c r="N163" s="81" t="s">
        <v>41</v>
      </c>
    </row>
    <row r="164" spans="1:14" ht="21.75" customHeight="1" x14ac:dyDescent="0.25">
      <c r="A164" s="78">
        <v>3132</v>
      </c>
      <c r="B164" s="79">
        <v>45341</v>
      </c>
      <c r="C164" s="80" t="s">
        <v>41</v>
      </c>
      <c r="D164" s="80" t="s">
        <v>7</v>
      </c>
      <c r="E164" s="80" t="s">
        <v>41</v>
      </c>
      <c r="F164" s="81">
        <v>5</v>
      </c>
      <c r="G164" s="81" t="s">
        <v>41</v>
      </c>
      <c r="H164" s="82">
        <v>45345</v>
      </c>
      <c r="I164" s="81">
        <v>3</v>
      </c>
      <c r="J164" s="82">
        <v>45349</v>
      </c>
      <c r="K164" s="81" t="s">
        <v>41</v>
      </c>
      <c r="L164" s="81" t="s">
        <v>41</v>
      </c>
      <c r="M164" s="81" t="s">
        <v>41</v>
      </c>
      <c r="N164" s="81" t="s">
        <v>4</v>
      </c>
    </row>
    <row r="165" spans="1:14" ht="21.75" customHeight="1" x14ac:dyDescent="0.25">
      <c r="A165" s="78">
        <v>2943</v>
      </c>
      <c r="B165" s="79">
        <v>45341</v>
      </c>
      <c r="C165" s="80" t="s">
        <v>41</v>
      </c>
      <c r="D165" s="80" t="s">
        <v>7</v>
      </c>
      <c r="E165" s="80" t="s">
        <v>41</v>
      </c>
      <c r="F165" s="81">
        <v>3</v>
      </c>
      <c r="G165" s="81" t="s">
        <v>41</v>
      </c>
      <c r="H165" s="82">
        <v>45343</v>
      </c>
      <c r="I165" s="81">
        <v>3</v>
      </c>
      <c r="J165" s="82">
        <v>45353</v>
      </c>
      <c r="K165" s="81" t="s">
        <v>41</v>
      </c>
      <c r="L165" s="81" t="s">
        <v>41</v>
      </c>
      <c r="M165" s="81" t="s">
        <v>41</v>
      </c>
      <c r="N165" s="81" t="s">
        <v>4</v>
      </c>
    </row>
    <row r="166" spans="1:14" ht="21.75" customHeight="1" x14ac:dyDescent="0.25">
      <c r="A166" s="78">
        <v>2478</v>
      </c>
      <c r="B166" s="79">
        <v>45342</v>
      </c>
      <c r="C166" s="80" t="s">
        <v>41</v>
      </c>
      <c r="D166" s="80" t="s">
        <v>84</v>
      </c>
      <c r="E166" s="80" t="s">
        <v>41</v>
      </c>
      <c r="F166" s="81">
        <v>5</v>
      </c>
      <c r="G166" s="81" t="s">
        <v>41</v>
      </c>
      <c r="H166" s="82">
        <v>45346</v>
      </c>
      <c r="I166" s="81">
        <v>9</v>
      </c>
      <c r="J166" s="82">
        <v>45350</v>
      </c>
      <c r="K166" s="81" t="s">
        <v>3</v>
      </c>
      <c r="L166" s="81" t="s">
        <v>5</v>
      </c>
      <c r="M166" s="81" t="s">
        <v>1</v>
      </c>
      <c r="N166" s="81" t="s">
        <v>4</v>
      </c>
    </row>
    <row r="167" spans="1:14" ht="21.75" customHeight="1" x14ac:dyDescent="0.25">
      <c r="A167" s="78">
        <v>2561</v>
      </c>
      <c r="B167" s="79">
        <v>45647</v>
      </c>
      <c r="C167" s="80" t="s">
        <v>41</v>
      </c>
      <c r="D167" s="80" t="s">
        <v>91</v>
      </c>
      <c r="E167" s="80" t="s">
        <v>41</v>
      </c>
      <c r="F167" s="81">
        <v>5</v>
      </c>
      <c r="G167" s="81" t="s">
        <v>41</v>
      </c>
      <c r="H167" s="82">
        <v>45651</v>
      </c>
      <c r="I167" s="81">
        <v>3</v>
      </c>
      <c r="J167" s="82">
        <v>45655</v>
      </c>
      <c r="K167" s="81" t="s">
        <v>3</v>
      </c>
      <c r="L167" s="81" t="s">
        <v>5</v>
      </c>
      <c r="M167" s="81" t="s">
        <v>1</v>
      </c>
      <c r="N167" s="81" t="s">
        <v>4</v>
      </c>
    </row>
    <row r="168" spans="1:14" ht="21.75" customHeight="1" x14ac:dyDescent="0.25">
      <c r="A168" s="78">
        <v>2627</v>
      </c>
      <c r="B168" s="79">
        <v>45343</v>
      </c>
      <c r="C168" s="80" t="s">
        <v>41</v>
      </c>
      <c r="D168" s="80" t="s">
        <v>91</v>
      </c>
      <c r="E168" s="80" t="s">
        <v>41</v>
      </c>
      <c r="F168" s="81">
        <v>5</v>
      </c>
      <c r="G168" s="81" t="s">
        <v>41</v>
      </c>
      <c r="H168" s="82">
        <v>45347</v>
      </c>
      <c r="I168" s="81">
        <v>3</v>
      </c>
      <c r="J168" s="82">
        <v>45351</v>
      </c>
      <c r="K168" s="81" t="s">
        <v>3</v>
      </c>
      <c r="L168" s="81" t="s">
        <v>41</v>
      </c>
      <c r="M168" s="81" t="s">
        <v>41</v>
      </c>
      <c r="N168" s="81" t="s">
        <v>41</v>
      </c>
    </row>
    <row r="169" spans="1:14" ht="21.75" customHeight="1" x14ac:dyDescent="0.25">
      <c r="A169" s="78">
        <v>3466</v>
      </c>
      <c r="B169" s="79">
        <v>45344</v>
      </c>
      <c r="C169" s="80" t="s">
        <v>41</v>
      </c>
      <c r="D169" s="80" t="s">
        <v>7</v>
      </c>
      <c r="E169" s="80" t="s">
        <v>41</v>
      </c>
      <c r="F169" s="81">
        <v>3</v>
      </c>
      <c r="G169" s="81" t="s">
        <v>41</v>
      </c>
      <c r="H169" s="82">
        <v>45346</v>
      </c>
      <c r="I169" s="81">
        <v>3</v>
      </c>
      <c r="J169" s="82">
        <v>45350</v>
      </c>
      <c r="K169" s="81" t="s">
        <v>41</v>
      </c>
      <c r="L169" s="81" t="s">
        <v>5</v>
      </c>
      <c r="M169" s="81" t="s">
        <v>1</v>
      </c>
      <c r="N169" s="81" t="s">
        <v>4</v>
      </c>
    </row>
    <row r="170" spans="1:14" ht="21.75" customHeight="1" x14ac:dyDescent="0.25">
      <c r="A170" s="78">
        <v>3319</v>
      </c>
      <c r="B170" s="79">
        <v>45344</v>
      </c>
      <c r="C170" s="80" t="s">
        <v>41</v>
      </c>
      <c r="D170" s="80" t="s">
        <v>7</v>
      </c>
      <c r="E170" s="80" t="s">
        <v>41</v>
      </c>
      <c r="F170" s="81">
        <v>5</v>
      </c>
      <c r="G170" s="81" t="s">
        <v>41</v>
      </c>
      <c r="H170" s="82">
        <v>45348</v>
      </c>
      <c r="I170" s="81">
        <v>3</v>
      </c>
      <c r="J170" s="82">
        <v>45352</v>
      </c>
      <c r="K170" s="81" t="s">
        <v>41</v>
      </c>
      <c r="L170" s="81" t="s">
        <v>5</v>
      </c>
      <c r="M170" s="81" t="s">
        <v>41</v>
      </c>
      <c r="N170" s="81" t="s">
        <v>4</v>
      </c>
    </row>
    <row r="171" spans="1:14" ht="21.75" customHeight="1" x14ac:dyDescent="0.25">
      <c r="A171" s="78">
        <v>909</v>
      </c>
      <c r="B171" s="79">
        <v>45344</v>
      </c>
      <c r="C171" s="80" t="s">
        <v>41</v>
      </c>
      <c r="D171" s="80" t="s">
        <v>7</v>
      </c>
      <c r="E171" s="80" t="s">
        <v>41</v>
      </c>
      <c r="F171" s="81">
        <v>5</v>
      </c>
      <c r="G171" s="81" t="s">
        <v>41</v>
      </c>
      <c r="H171" s="82">
        <v>45348</v>
      </c>
      <c r="I171" s="81">
        <v>3</v>
      </c>
      <c r="J171" s="82">
        <v>45352</v>
      </c>
      <c r="K171" s="81" t="s">
        <v>3</v>
      </c>
      <c r="L171" s="81" t="s">
        <v>41</v>
      </c>
      <c r="M171" s="81" t="s">
        <v>1</v>
      </c>
      <c r="N171" s="81" t="s">
        <v>4</v>
      </c>
    </row>
    <row r="172" spans="1:14" ht="21.75" customHeight="1" x14ac:dyDescent="0.25">
      <c r="A172" s="78">
        <v>3452</v>
      </c>
      <c r="B172" s="79">
        <v>45344</v>
      </c>
      <c r="C172" s="80" t="s">
        <v>41</v>
      </c>
      <c r="D172" s="80" t="s">
        <v>7</v>
      </c>
      <c r="E172" s="80" t="s">
        <v>41</v>
      </c>
      <c r="F172" s="81">
        <v>5</v>
      </c>
      <c r="G172" s="81" t="s">
        <v>41</v>
      </c>
      <c r="H172" s="82">
        <v>45348</v>
      </c>
      <c r="I172" s="81">
        <v>3</v>
      </c>
      <c r="J172" s="82">
        <v>45352</v>
      </c>
      <c r="K172" s="81" t="s">
        <v>41</v>
      </c>
      <c r="L172" s="81" t="s">
        <v>41</v>
      </c>
      <c r="M172" s="81" t="s">
        <v>1</v>
      </c>
      <c r="N172" s="81" t="s">
        <v>41</v>
      </c>
    </row>
    <row r="173" spans="1:14" ht="21.75" customHeight="1" x14ac:dyDescent="0.25">
      <c r="A173" s="78">
        <v>3694</v>
      </c>
      <c r="B173" s="79">
        <v>45345</v>
      </c>
      <c r="C173" s="80" t="s">
        <v>41</v>
      </c>
      <c r="D173" s="80" t="s">
        <v>7</v>
      </c>
      <c r="E173" s="80" t="s">
        <v>41</v>
      </c>
      <c r="F173" s="81">
        <v>5</v>
      </c>
      <c r="G173" s="81" t="s">
        <v>41</v>
      </c>
      <c r="H173" s="82">
        <v>45349</v>
      </c>
      <c r="I173" s="81">
        <v>3</v>
      </c>
      <c r="J173" s="82">
        <v>45359</v>
      </c>
      <c r="K173" s="81" t="s">
        <v>41</v>
      </c>
      <c r="L173" s="81" t="s">
        <v>41</v>
      </c>
      <c r="M173" s="81" t="s">
        <v>1</v>
      </c>
      <c r="N173" s="81" t="s">
        <v>41</v>
      </c>
    </row>
    <row r="174" spans="1:14" ht="21.75" customHeight="1" x14ac:dyDescent="0.25">
      <c r="A174" s="78">
        <v>2310</v>
      </c>
      <c r="B174" s="79">
        <v>45345</v>
      </c>
      <c r="C174" s="80" t="s">
        <v>41</v>
      </c>
      <c r="D174" s="80" t="s">
        <v>84</v>
      </c>
      <c r="E174" s="80" t="s">
        <v>41</v>
      </c>
      <c r="F174" s="81">
        <v>5</v>
      </c>
      <c r="G174" s="81" t="s">
        <v>41</v>
      </c>
      <c r="H174" s="82">
        <v>45349</v>
      </c>
      <c r="I174" s="81">
        <v>9</v>
      </c>
      <c r="J174" s="82">
        <v>45353</v>
      </c>
      <c r="K174" s="81" t="s">
        <v>41</v>
      </c>
      <c r="L174" s="81" t="s">
        <v>5</v>
      </c>
      <c r="M174" s="81" t="s">
        <v>41</v>
      </c>
      <c r="N174" s="81" t="s">
        <v>41</v>
      </c>
    </row>
    <row r="175" spans="1:14" ht="21.75" customHeight="1" x14ac:dyDescent="0.25">
      <c r="A175" s="78">
        <v>2105</v>
      </c>
      <c r="B175" s="79">
        <v>45345</v>
      </c>
      <c r="C175" s="80" t="s">
        <v>41</v>
      </c>
      <c r="D175" s="80" t="s">
        <v>91</v>
      </c>
      <c r="E175" s="80" t="s">
        <v>41</v>
      </c>
      <c r="F175" s="81">
        <v>5</v>
      </c>
      <c r="G175" s="81" t="s">
        <v>41</v>
      </c>
      <c r="H175" s="82">
        <v>45349</v>
      </c>
      <c r="I175" s="81">
        <v>3</v>
      </c>
      <c r="J175" s="82">
        <v>45353</v>
      </c>
      <c r="K175" s="81" t="s">
        <v>3</v>
      </c>
      <c r="L175" s="81" t="s">
        <v>41</v>
      </c>
      <c r="M175" s="81" t="s">
        <v>41</v>
      </c>
      <c r="N175" s="81" t="s">
        <v>41</v>
      </c>
    </row>
    <row r="176" spans="1:14" ht="21.75" customHeight="1" x14ac:dyDescent="0.25">
      <c r="A176" s="78">
        <v>2321</v>
      </c>
      <c r="B176" s="79">
        <v>45345</v>
      </c>
      <c r="C176" s="80" t="s">
        <v>41</v>
      </c>
      <c r="D176" s="80" t="s">
        <v>85</v>
      </c>
      <c r="E176" s="80" t="s">
        <v>41</v>
      </c>
      <c r="F176" s="81">
        <v>5</v>
      </c>
      <c r="G176" s="81" t="s">
        <v>41</v>
      </c>
      <c r="H176" s="82">
        <v>45349</v>
      </c>
      <c r="I176" s="81">
        <v>3</v>
      </c>
      <c r="J176" s="82">
        <v>45353</v>
      </c>
      <c r="K176" s="81" t="s">
        <v>41</v>
      </c>
      <c r="L176" s="81" t="s">
        <v>5</v>
      </c>
      <c r="M176" s="81" t="s">
        <v>41</v>
      </c>
      <c r="N176" s="81" t="s">
        <v>41</v>
      </c>
    </row>
    <row r="177" spans="1:14" ht="21.75" customHeight="1" x14ac:dyDescent="0.25">
      <c r="A177" s="78">
        <v>1181</v>
      </c>
      <c r="B177" s="79">
        <v>45345</v>
      </c>
      <c r="C177" s="80" t="s">
        <v>41</v>
      </c>
      <c r="D177" s="80" t="s">
        <v>7</v>
      </c>
      <c r="E177" s="80" t="s">
        <v>41</v>
      </c>
      <c r="F177" s="81">
        <v>5</v>
      </c>
      <c r="G177" s="81" t="s">
        <v>41</v>
      </c>
      <c r="H177" s="82">
        <v>45349</v>
      </c>
      <c r="I177" s="81">
        <v>3</v>
      </c>
      <c r="J177" s="82">
        <v>45353</v>
      </c>
      <c r="K177" s="81" t="s">
        <v>41</v>
      </c>
      <c r="L177" s="81" t="s">
        <v>5</v>
      </c>
      <c r="M177" s="81" t="s">
        <v>41</v>
      </c>
      <c r="N177" s="81" t="s">
        <v>41</v>
      </c>
    </row>
    <row r="178" spans="1:14" ht="21.75" customHeight="1" x14ac:dyDescent="0.25">
      <c r="A178" s="78">
        <v>2821</v>
      </c>
      <c r="B178" s="79">
        <v>45345</v>
      </c>
      <c r="C178" s="80" t="s">
        <v>41</v>
      </c>
      <c r="D178" s="80" t="s">
        <v>7</v>
      </c>
      <c r="E178" s="80" t="s">
        <v>41</v>
      </c>
      <c r="F178" s="81">
        <v>5</v>
      </c>
      <c r="G178" s="81" t="s">
        <v>41</v>
      </c>
      <c r="H178" s="82">
        <v>45349</v>
      </c>
      <c r="I178" s="81">
        <v>3</v>
      </c>
      <c r="J178" s="82">
        <v>45359</v>
      </c>
      <c r="K178" s="81" t="s">
        <v>41</v>
      </c>
      <c r="L178" s="81" t="s">
        <v>5</v>
      </c>
      <c r="M178" s="81" t="s">
        <v>41</v>
      </c>
      <c r="N178" s="81" t="s">
        <v>41</v>
      </c>
    </row>
    <row r="179" spans="1:14" ht="21.75" customHeight="1" x14ac:dyDescent="0.25">
      <c r="A179" s="78">
        <v>2599</v>
      </c>
      <c r="B179" s="79">
        <v>45345</v>
      </c>
      <c r="C179" s="80" t="s">
        <v>41</v>
      </c>
      <c r="D179" s="80" t="s">
        <v>84</v>
      </c>
      <c r="E179" s="80" t="s">
        <v>41</v>
      </c>
      <c r="F179" s="81">
        <v>5</v>
      </c>
      <c r="G179" s="81" t="s">
        <v>41</v>
      </c>
      <c r="H179" s="82">
        <v>45349</v>
      </c>
      <c r="I179" s="81">
        <v>9</v>
      </c>
      <c r="J179" s="82">
        <v>45359</v>
      </c>
      <c r="K179" s="81" t="s">
        <v>41</v>
      </c>
      <c r="L179" s="81" t="s">
        <v>5</v>
      </c>
      <c r="M179" s="81" t="s">
        <v>1</v>
      </c>
      <c r="N179" s="81" t="s">
        <v>41</v>
      </c>
    </row>
    <row r="180" spans="1:14" ht="21.75" customHeight="1" x14ac:dyDescent="0.25">
      <c r="A180" s="78">
        <v>2329</v>
      </c>
      <c r="B180" s="79">
        <v>45345</v>
      </c>
      <c r="C180" s="80" t="s">
        <v>41</v>
      </c>
      <c r="D180" s="80" t="s">
        <v>84</v>
      </c>
      <c r="E180" s="80" t="s">
        <v>41</v>
      </c>
      <c r="F180" s="81">
        <v>5</v>
      </c>
      <c r="G180" s="81" t="s">
        <v>41</v>
      </c>
      <c r="H180" s="82">
        <v>45349</v>
      </c>
      <c r="I180" s="81">
        <v>9</v>
      </c>
      <c r="J180" s="82">
        <v>45353</v>
      </c>
      <c r="K180" s="81" t="s">
        <v>3</v>
      </c>
      <c r="L180" s="81" t="s">
        <v>41</v>
      </c>
      <c r="M180" s="81" t="s">
        <v>1</v>
      </c>
      <c r="N180" s="81" t="s">
        <v>41</v>
      </c>
    </row>
    <row r="181" spans="1:14" ht="21.75" customHeight="1" x14ac:dyDescent="0.25">
      <c r="A181" s="78">
        <v>2949</v>
      </c>
      <c r="B181" s="79">
        <v>45345</v>
      </c>
      <c r="C181" s="80" t="s">
        <v>41</v>
      </c>
      <c r="D181" s="80" t="s">
        <v>85</v>
      </c>
      <c r="E181" s="80" t="s">
        <v>41</v>
      </c>
      <c r="F181" s="81">
        <v>5</v>
      </c>
      <c r="G181" s="81" t="s">
        <v>41</v>
      </c>
      <c r="H181" s="82">
        <v>45349</v>
      </c>
      <c r="I181" s="81">
        <v>3</v>
      </c>
      <c r="J181" s="82">
        <v>45353</v>
      </c>
      <c r="K181" s="81" t="s">
        <v>41</v>
      </c>
      <c r="L181" s="81" t="s">
        <v>5</v>
      </c>
      <c r="M181" s="81" t="s">
        <v>1</v>
      </c>
      <c r="N181" s="81" t="s">
        <v>41</v>
      </c>
    </row>
    <row r="182" spans="1:14" ht="21.75" customHeight="1" x14ac:dyDescent="0.25">
      <c r="A182" s="78">
        <v>2740</v>
      </c>
      <c r="B182" s="79">
        <v>45346</v>
      </c>
      <c r="C182" s="80" t="s">
        <v>41</v>
      </c>
      <c r="D182" s="80" t="s">
        <v>7</v>
      </c>
      <c r="E182" s="80" t="s">
        <v>41</v>
      </c>
      <c r="F182" s="81">
        <v>5</v>
      </c>
      <c r="G182" s="81" t="s">
        <v>41</v>
      </c>
      <c r="H182" s="82">
        <v>45350</v>
      </c>
      <c r="I182" s="81">
        <v>3</v>
      </c>
      <c r="J182" s="82">
        <v>45354</v>
      </c>
      <c r="K182" s="81" t="s">
        <v>3</v>
      </c>
      <c r="L182" s="81" t="s">
        <v>41</v>
      </c>
      <c r="M182" s="81" t="s">
        <v>41</v>
      </c>
      <c r="N182" s="81" t="s">
        <v>4</v>
      </c>
    </row>
    <row r="183" spans="1:14" ht="21.75" customHeight="1" x14ac:dyDescent="0.25">
      <c r="A183" s="78">
        <v>3493</v>
      </c>
      <c r="B183" s="79">
        <v>45346</v>
      </c>
      <c r="C183" s="80" t="s">
        <v>41</v>
      </c>
      <c r="D183" s="80" t="s">
        <v>85</v>
      </c>
      <c r="E183" s="80" t="s">
        <v>41</v>
      </c>
      <c r="F183" s="81">
        <v>5</v>
      </c>
      <c r="G183" s="81" t="s">
        <v>41</v>
      </c>
      <c r="H183" s="82">
        <v>45350</v>
      </c>
      <c r="I183" s="81">
        <v>3</v>
      </c>
      <c r="J183" s="82">
        <v>45354</v>
      </c>
      <c r="K183" s="81" t="s">
        <v>3</v>
      </c>
      <c r="L183" s="81" t="s">
        <v>41</v>
      </c>
      <c r="M183" s="81" t="s">
        <v>41</v>
      </c>
      <c r="N183" s="81" t="s">
        <v>41</v>
      </c>
    </row>
    <row r="184" spans="1:14" ht="21.75" customHeight="1" x14ac:dyDescent="0.25">
      <c r="A184" s="78">
        <v>3166</v>
      </c>
      <c r="B184" s="79">
        <v>45346</v>
      </c>
      <c r="C184" s="80" t="s">
        <v>41</v>
      </c>
      <c r="D184" s="80" t="s">
        <v>85</v>
      </c>
      <c r="E184" s="80" t="s">
        <v>41</v>
      </c>
      <c r="F184" s="81">
        <v>5</v>
      </c>
      <c r="G184" s="81" t="s">
        <v>41</v>
      </c>
      <c r="H184" s="82">
        <v>45350</v>
      </c>
      <c r="I184" s="81">
        <v>3</v>
      </c>
      <c r="J184" s="82">
        <v>45354</v>
      </c>
      <c r="K184" s="81" t="s">
        <v>3</v>
      </c>
      <c r="L184" s="81" t="s">
        <v>41</v>
      </c>
      <c r="M184" s="81" t="s">
        <v>41</v>
      </c>
      <c r="N184" s="81" t="s">
        <v>41</v>
      </c>
    </row>
    <row r="185" spans="1:14" ht="21.75" customHeight="1" x14ac:dyDescent="0.25">
      <c r="A185" s="78">
        <v>2274</v>
      </c>
      <c r="B185" s="79">
        <v>45346</v>
      </c>
      <c r="C185" s="80" t="s">
        <v>41</v>
      </c>
      <c r="D185" s="80" t="s">
        <v>85</v>
      </c>
      <c r="E185" s="80" t="s">
        <v>41</v>
      </c>
      <c r="F185" s="81">
        <v>5</v>
      </c>
      <c r="G185" s="81" t="s">
        <v>41</v>
      </c>
      <c r="H185" s="82">
        <v>45350</v>
      </c>
      <c r="I185" s="81">
        <v>3</v>
      </c>
      <c r="J185" s="82">
        <v>45360</v>
      </c>
      <c r="K185" s="81" t="s">
        <v>41</v>
      </c>
      <c r="L185" s="81" t="s">
        <v>5</v>
      </c>
      <c r="M185" s="81" t="s">
        <v>41</v>
      </c>
      <c r="N185" s="81" t="s">
        <v>41</v>
      </c>
    </row>
    <row r="186" spans="1:14" ht="21.75" customHeight="1" x14ac:dyDescent="0.25">
      <c r="A186" s="78">
        <v>2638</v>
      </c>
      <c r="B186" s="79">
        <v>45347</v>
      </c>
      <c r="C186" s="80" t="s">
        <v>41</v>
      </c>
      <c r="D186" s="80" t="s">
        <v>84</v>
      </c>
      <c r="E186" s="80" t="s">
        <v>41</v>
      </c>
      <c r="F186" s="81">
        <v>5</v>
      </c>
      <c r="G186" s="81" t="s">
        <v>41</v>
      </c>
      <c r="H186" s="82">
        <v>45351</v>
      </c>
      <c r="I186" s="81">
        <v>9</v>
      </c>
      <c r="J186" s="82">
        <v>45361</v>
      </c>
      <c r="K186" s="81" t="s">
        <v>3</v>
      </c>
      <c r="L186" s="81" t="s">
        <v>41</v>
      </c>
      <c r="M186" s="81" t="s">
        <v>1</v>
      </c>
      <c r="N186" s="81" t="s">
        <v>41</v>
      </c>
    </row>
    <row r="187" spans="1:14" ht="21.75" customHeight="1" x14ac:dyDescent="0.25">
      <c r="A187" s="78">
        <v>1915</v>
      </c>
      <c r="B187" s="79">
        <v>45347</v>
      </c>
      <c r="C187" s="80" t="s">
        <v>41</v>
      </c>
      <c r="D187" s="80" t="s">
        <v>84</v>
      </c>
      <c r="E187" s="80" t="s">
        <v>41</v>
      </c>
      <c r="F187" s="81">
        <v>5</v>
      </c>
      <c r="G187" s="81" t="s">
        <v>41</v>
      </c>
      <c r="H187" s="82">
        <v>45351</v>
      </c>
      <c r="I187" s="81">
        <v>9</v>
      </c>
      <c r="J187" s="82">
        <v>45355</v>
      </c>
      <c r="K187" s="81" t="s">
        <v>41</v>
      </c>
      <c r="L187" s="81" t="s">
        <v>5</v>
      </c>
      <c r="M187" s="81" t="s">
        <v>41</v>
      </c>
      <c r="N187" s="81" t="s">
        <v>41</v>
      </c>
    </row>
    <row r="188" spans="1:14" ht="21.75" customHeight="1" x14ac:dyDescent="0.25">
      <c r="A188" s="78">
        <v>3387</v>
      </c>
      <c r="B188" s="79">
        <v>45347</v>
      </c>
      <c r="C188" s="80" t="s">
        <v>41</v>
      </c>
      <c r="D188" s="80" t="s">
        <v>7</v>
      </c>
      <c r="E188" s="80" t="s">
        <v>41</v>
      </c>
      <c r="F188" s="81">
        <v>5</v>
      </c>
      <c r="G188" s="81" t="s">
        <v>41</v>
      </c>
      <c r="H188" s="82">
        <v>45351</v>
      </c>
      <c r="I188" s="81">
        <v>3</v>
      </c>
      <c r="J188" s="82">
        <v>45355</v>
      </c>
      <c r="K188" s="81" t="s">
        <v>41</v>
      </c>
      <c r="L188" s="81" t="s">
        <v>5</v>
      </c>
      <c r="M188" s="81" t="s">
        <v>1</v>
      </c>
      <c r="N188" s="81" t="s">
        <v>41</v>
      </c>
    </row>
    <row r="189" spans="1:14" ht="21.75" customHeight="1" x14ac:dyDescent="0.25">
      <c r="A189" s="78">
        <v>3062</v>
      </c>
      <c r="B189" s="79">
        <v>45347</v>
      </c>
      <c r="C189" s="80" t="s">
        <v>41</v>
      </c>
      <c r="D189" s="80" t="s">
        <v>7</v>
      </c>
      <c r="E189" s="80" t="s">
        <v>41</v>
      </c>
      <c r="F189" s="81">
        <v>5</v>
      </c>
      <c r="G189" s="81" t="s">
        <v>41</v>
      </c>
      <c r="H189" s="82">
        <v>45351</v>
      </c>
      <c r="I189" s="81">
        <v>3</v>
      </c>
      <c r="J189" s="82">
        <v>45355</v>
      </c>
      <c r="K189" s="81" t="s">
        <v>41</v>
      </c>
      <c r="L189" s="81" t="s">
        <v>41</v>
      </c>
      <c r="M189" s="81" t="s">
        <v>1</v>
      </c>
      <c r="N189" s="81" t="s">
        <v>41</v>
      </c>
    </row>
    <row r="190" spans="1:14" ht="21.75" customHeight="1" x14ac:dyDescent="0.25">
      <c r="A190" s="78">
        <v>3687</v>
      </c>
      <c r="B190" s="79">
        <v>45348</v>
      </c>
      <c r="C190" s="80" t="s">
        <v>41</v>
      </c>
      <c r="D190" s="80" t="s">
        <v>7</v>
      </c>
      <c r="E190" s="80" t="s">
        <v>41</v>
      </c>
      <c r="F190" s="81">
        <v>5</v>
      </c>
      <c r="G190" s="81" t="s">
        <v>41</v>
      </c>
      <c r="H190" s="82">
        <v>45352</v>
      </c>
      <c r="I190" s="81">
        <v>3</v>
      </c>
      <c r="J190" s="82">
        <v>45356</v>
      </c>
      <c r="K190" s="81" t="s">
        <v>41</v>
      </c>
      <c r="L190" s="81" t="s">
        <v>41</v>
      </c>
      <c r="M190" s="81" t="s">
        <v>41</v>
      </c>
      <c r="N190" s="81" t="s">
        <v>4</v>
      </c>
    </row>
    <row r="191" spans="1:14" ht="21.75" customHeight="1" x14ac:dyDescent="0.25">
      <c r="A191" s="78">
        <v>2561</v>
      </c>
      <c r="B191" s="79">
        <v>45349</v>
      </c>
      <c r="C191" s="80" t="s">
        <v>41</v>
      </c>
      <c r="D191" s="80" t="s">
        <v>85</v>
      </c>
      <c r="E191" s="80" t="s">
        <v>41</v>
      </c>
      <c r="F191" s="81">
        <v>5</v>
      </c>
      <c r="G191" s="81" t="s">
        <v>41</v>
      </c>
      <c r="H191" s="82">
        <v>45353</v>
      </c>
      <c r="I191" s="81">
        <v>3</v>
      </c>
      <c r="J191" s="82">
        <v>45357</v>
      </c>
      <c r="K191" s="81" t="s">
        <v>3</v>
      </c>
      <c r="L191" s="81" t="s">
        <v>5</v>
      </c>
      <c r="M191" s="81" t="s">
        <v>1</v>
      </c>
      <c r="N191" s="81" t="s">
        <v>4</v>
      </c>
    </row>
    <row r="192" spans="1:14" ht="21.75" customHeight="1" x14ac:dyDescent="0.25">
      <c r="A192" s="78">
        <v>2301</v>
      </c>
      <c r="B192" s="79">
        <v>45349</v>
      </c>
      <c r="C192" s="80" t="s">
        <v>41</v>
      </c>
      <c r="D192" s="80" t="s">
        <v>85</v>
      </c>
      <c r="E192" s="80" t="s">
        <v>41</v>
      </c>
      <c r="F192" s="81">
        <v>5</v>
      </c>
      <c r="G192" s="81" t="s">
        <v>41</v>
      </c>
      <c r="H192" s="82">
        <v>45353</v>
      </c>
      <c r="I192" s="81">
        <v>3</v>
      </c>
      <c r="J192" s="82">
        <v>45357</v>
      </c>
      <c r="K192" s="81" t="s">
        <v>3</v>
      </c>
      <c r="L192" s="81" t="s">
        <v>41</v>
      </c>
      <c r="M192" s="81" t="s">
        <v>1</v>
      </c>
      <c r="N192" s="81" t="s">
        <v>41</v>
      </c>
    </row>
    <row r="193" spans="1:14" ht="21.75" customHeight="1" x14ac:dyDescent="0.25">
      <c r="A193" s="78">
        <v>3007</v>
      </c>
      <c r="B193" s="79">
        <v>45349</v>
      </c>
      <c r="C193" s="80" t="s">
        <v>41</v>
      </c>
      <c r="D193" s="80" t="s">
        <v>91</v>
      </c>
      <c r="E193" s="80" t="s">
        <v>41</v>
      </c>
      <c r="F193" s="81">
        <v>5</v>
      </c>
      <c r="G193" s="81" t="s">
        <v>41</v>
      </c>
      <c r="H193" s="82">
        <v>45353</v>
      </c>
      <c r="I193" s="81">
        <v>3</v>
      </c>
      <c r="J193" s="82">
        <v>45363</v>
      </c>
      <c r="K193" s="81" t="s">
        <v>41</v>
      </c>
      <c r="L193" s="81" t="s">
        <v>41</v>
      </c>
      <c r="M193" s="81" t="s">
        <v>1</v>
      </c>
      <c r="N193" s="81" t="s">
        <v>41</v>
      </c>
    </row>
    <row r="194" spans="1:14" ht="21.75" customHeight="1" x14ac:dyDescent="0.25">
      <c r="A194" s="78">
        <v>909</v>
      </c>
      <c r="B194" s="79">
        <v>45349</v>
      </c>
      <c r="C194" s="80" t="s">
        <v>41</v>
      </c>
      <c r="D194" s="80" t="s">
        <v>84</v>
      </c>
      <c r="E194" s="80" t="s">
        <v>41</v>
      </c>
      <c r="F194" s="81">
        <v>2</v>
      </c>
      <c r="G194" s="81" t="s">
        <v>41</v>
      </c>
      <c r="H194" s="82">
        <v>45350</v>
      </c>
      <c r="I194" s="81">
        <v>9</v>
      </c>
      <c r="J194" s="82">
        <v>45354</v>
      </c>
      <c r="K194" s="81" t="s">
        <v>3</v>
      </c>
      <c r="L194" s="81" t="s">
        <v>41</v>
      </c>
      <c r="M194" s="81" t="s">
        <v>1</v>
      </c>
      <c r="N194" s="81" t="s">
        <v>4</v>
      </c>
    </row>
    <row r="195" spans="1:14" ht="21.75" customHeight="1" x14ac:dyDescent="0.25">
      <c r="A195" s="78">
        <v>3980</v>
      </c>
      <c r="B195" s="79">
        <v>45349</v>
      </c>
      <c r="C195" s="80" t="s">
        <v>41</v>
      </c>
      <c r="D195" s="80" t="s">
        <v>91</v>
      </c>
      <c r="E195" s="80" t="s">
        <v>41</v>
      </c>
      <c r="F195" s="81">
        <v>5</v>
      </c>
      <c r="G195" s="81" t="s">
        <v>41</v>
      </c>
      <c r="H195" s="82">
        <v>45353</v>
      </c>
      <c r="I195" s="81">
        <v>3</v>
      </c>
      <c r="J195" s="82">
        <v>45357</v>
      </c>
      <c r="K195" s="81" t="s">
        <v>3</v>
      </c>
      <c r="L195" s="81" t="s">
        <v>41</v>
      </c>
      <c r="M195" s="81" t="s">
        <v>41</v>
      </c>
      <c r="N195" s="81" t="s">
        <v>41</v>
      </c>
    </row>
    <row r="196" spans="1:14" ht="21.75" customHeight="1" x14ac:dyDescent="0.25">
      <c r="A196" s="78">
        <v>3158</v>
      </c>
      <c r="B196" s="79">
        <v>45349</v>
      </c>
      <c r="C196" s="80" t="s">
        <v>41</v>
      </c>
      <c r="D196" s="80" t="s">
        <v>7</v>
      </c>
      <c r="E196" s="80" t="s">
        <v>41</v>
      </c>
      <c r="F196" s="81">
        <v>5</v>
      </c>
      <c r="G196" s="81" t="s">
        <v>41</v>
      </c>
      <c r="H196" s="82">
        <v>45353</v>
      </c>
      <c r="I196" s="81">
        <v>3</v>
      </c>
      <c r="J196" s="82">
        <v>45357</v>
      </c>
      <c r="K196" s="81" t="s">
        <v>3</v>
      </c>
      <c r="L196" s="81" t="s">
        <v>41</v>
      </c>
      <c r="M196" s="81" t="s">
        <v>41</v>
      </c>
      <c r="N196" s="81" t="s">
        <v>41</v>
      </c>
    </row>
    <row r="197" spans="1:14" ht="21.75" customHeight="1" x14ac:dyDescent="0.25">
      <c r="A197" s="78">
        <v>3254</v>
      </c>
      <c r="B197" s="79">
        <v>45349</v>
      </c>
      <c r="C197" s="80" t="s">
        <v>41</v>
      </c>
      <c r="D197" s="80" t="s">
        <v>7</v>
      </c>
      <c r="E197" s="80" t="s">
        <v>41</v>
      </c>
      <c r="F197" s="81">
        <v>5</v>
      </c>
      <c r="G197" s="81" t="s">
        <v>41</v>
      </c>
      <c r="H197" s="82">
        <v>45353</v>
      </c>
      <c r="I197" s="81">
        <v>3</v>
      </c>
      <c r="J197" s="82">
        <v>45358</v>
      </c>
      <c r="K197" s="81" t="s">
        <v>41</v>
      </c>
      <c r="L197" s="81" t="s">
        <v>41</v>
      </c>
      <c r="M197" s="81" t="s">
        <v>41</v>
      </c>
      <c r="N197" s="81" t="s">
        <v>4</v>
      </c>
    </row>
    <row r="198" spans="1:14" ht="21.75" customHeight="1" x14ac:dyDescent="0.25">
      <c r="A198" s="78">
        <v>830</v>
      </c>
      <c r="B198" s="79">
        <v>45350</v>
      </c>
      <c r="C198" s="80" t="s">
        <v>41</v>
      </c>
      <c r="D198" s="80" t="s">
        <v>43</v>
      </c>
      <c r="E198" s="80" t="s">
        <v>41</v>
      </c>
      <c r="F198" s="81">
        <v>5</v>
      </c>
      <c r="G198" s="81" t="s">
        <v>41</v>
      </c>
      <c r="H198" s="82">
        <v>45354</v>
      </c>
      <c r="I198" s="81">
        <v>4</v>
      </c>
      <c r="J198" s="82">
        <v>45359</v>
      </c>
      <c r="K198" s="81" t="s">
        <v>3</v>
      </c>
      <c r="L198" s="81" t="s">
        <v>5</v>
      </c>
      <c r="M198" s="81" t="s">
        <v>1</v>
      </c>
      <c r="N198" s="81" t="s">
        <v>41</v>
      </c>
    </row>
    <row r="199" spans="1:14" ht="21.75" customHeight="1" x14ac:dyDescent="0.25">
      <c r="A199" s="78">
        <v>3493</v>
      </c>
      <c r="B199" s="79">
        <v>45350</v>
      </c>
      <c r="C199" s="80" t="s">
        <v>41</v>
      </c>
      <c r="D199" s="80" t="s">
        <v>43</v>
      </c>
      <c r="E199" s="80" t="s">
        <v>41</v>
      </c>
      <c r="F199" s="81">
        <v>5</v>
      </c>
      <c r="G199" s="81" t="s">
        <v>41</v>
      </c>
      <c r="H199" s="82">
        <v>45354</v>
      </c>
      <c r="I199" s="81">
        <v>4</v>
      </c>
      <c r="J199" s="82">
        <v>45359</v>
      </c>
      <c r="K199" s="81" t="s">
        <v>41</v>
      </c>
      <c r="L199" s="81" t="s">
        <v>41</v>
      </c>
      <c r="M199" s="81" t="s">
        <v>1</v>
      </c>
      <c r="N199" s="81" t="s">
        <v>41</v>
      </c>
    </row>
    <row r="200" spans="1:14" ht="21.75" customHeight="1" x14ac:dyDescent="0.25">
      <c r="A200" s="78">
        <v>2889</v>
      </c>
      <c r="B200" s="79">
        <v>45350</v>
      </c>
      <c r="C200" s="80" t="s">
        <v>41</v>
      </c>
      <c r="D200" s="80" t="s">
        <v>43</v>
      </c>
      <c r="E200" s="80" t="s">
        <v>41</v>
      </c>
      <c r="F200" s="81">
        <v>5</v>
      </c>
      <c r="G200" s="81" t="s">
        <v>41</v>
      </c>
      <c r="H200" s="82">
        <v>45354</v>
      </c>
      <c r="I200" s="81">
        <v>4</v>
      </c>
      <c r="J200" s="82">
        <v>45359</v>
      </c>
      <c r="K200" s="81" t="s">
        <v>41</v>
      </c>
      <c r="L200" s="81" t="s">
        <v>5</v>
      </c>
      <c r="M200" s="81" t="s">
        <v>1</v>
      </c>
      <c r="N200" s="81" t="s">
        <v>4</v>
      </c>
    </row>
    <row r="201" spans="1:14" ht="21.75" customHeight="1" x14ac:dyDescent="0.25">
      <c r="A201" s="78">
        <v>2267</v>
      </c>
      <c r="B201" s="79">
        <v>45350</v>
      </c>
      <c r="C201" s="80" t="s">
        <v>41</v>
      </c>
      <c r="D201" s="80" t="s">
        <v>43</v>
      </c>
      <c r="E201" s="80" t="s">
        <v>41</v>
      </c>
      <c r="F201" s="81">
        <v>5</v>
      </c>
      <c r="G201" s="81" t="s">
        <v>41</v>
      </c>
      <c r="H201" s="82">
        <v>45354</v>
      </c>
      <c r="I201" s="81">
        <v>4</v>
      </c>
      <c r="J201" s="82">
        <v>45358</v>
      </c>
      <c r="K201" s="81" t="s">
        <v>3</v>
      </c>
      <c r="L201" s="81" t="s">
        <v>5</v>
      </c>
      <c r="M201" s="81" t="s">
        <v>1</v>
      </c>
      <c r="N201" s="81" t="s">
        <v>4</v>
      </c>
    </row>
    <row r="202" spans="1:14" ht="21.75" customHeight="1" x14ac:dyDescent="0.25">
      <c r="A202" s="78">
        <v>2337</v>
      </c>
      <c r="B202" s="79">
        <v>45350</v>
      </c>
      <c r="C202" s="80" t="s">
        <v>41</v>
      </c>
      <c r="D202" s="80" t="s">
        <v>7</v>
      </c>
      <c r="E202" s="80" t="s">
        <v>41</v>
      </c>
      <c r="F202" s="81">
        <v>5</v>
      </c>
      <c r="G202" s="81" t="s">
        <v>41</v>
      </c>
      <c r="H202" s="82">
        <v>45354</v>
      </c>
      <c r="I202" s="81">
        <v>3</v>
      </c>
      <c r="J202" s="82">
        <v>45359</v>
      </c>
      <c r="K202" s="81" t="s">
        <v>41</v>
      </c>
      <c r="L202" s="81" t="s">
        <v>5</v>
      </c>
      <c r="M202" s="81" t="s">
        <v>41</v>
      </c>
      <c r="N202" s="81" t="s">
        <v>41</v>
      </c>
    </row>
    <row r="203" spans="1:14" ht="21.75" customHeight="1" x14ac:dyDescent="0.25">
      <c r="A203" s="78">
        <v>3694</v>
      </c>
      <c r="B203" s="79">
        <v>45350</v>
      </c>
      <c r="C203" s="80" t="s">
        <v>41</v>
      </c>
      <c r="D203" s="80" t="s">
        <v>43</v>
      </c>
      <c r="E203" s="80" t="s">
        <v>41</v>
      </c>
      <c r="F203" s="81">
        <v>5</v>
      </c>
      <c r="G203" s="81" t="s">
        <v>41</v>
      </c>
      <c r="H203" s="82">
        <v>45354</v>
      </c>
      <c r="I203" s="81">
        <v>4</v>
      </c>
      <c r="J203" s="82">
        <v>45358</v>
      </c>
      <c r="K203" s="81" t="s">
        <v>41</v>
      </c>
      <c r="L203" s="81" t="s">
        <v>41</v>
      </c>
      <c r="M203" s="81" t="s">
        <v>1</v>
      </c>
      <c r="N203" s="81" t="s">
        <v>41</v>
      </c>
    </row>
    <row r="204" spans="1:14" ht="21.75" customHeight="1" x14ac:dyDescent="0.25">
      <c r="A204" s="78">
        <v>2599</v>
      </c>
      <c r="B204" s="79">
        <v>45351</v>
      </c>
      <c r="C204" s="80" t="s">
        <v>41</v>
      </c>
      <c r="D204" s="80" t="s">
        <v>91</v>
      </c>
      <c r="E204" s="80" t="s">
        <v>41</v>
      </c>
      <c r="F204" s="81">
        <v>5</v>
      </c>
      <c r="G204" s="81" t="s">
        <v>41</v>
      </c>
      <c r="H204" s="82">
        <v>45355</v>
      </c>
      <c r="I204" s="81">
        <v>3</v>
      </c>
      <c r="J204" s="82">
        <v>45360</v>
      </c>
      <c r="K204" s="81" t="s">
        <v>41</v>
      </c>
      <c r="L204" s="81" t="s">
        <v>5</v>
      </c>
      <c r="M204" s="81" t="s">
        <v>41</v>
      </c>
      <c r="N204" s="81" t="s">
        <v>41</v>
      </c>
    </row>
    <row r="205" spans="1:14" ht="21.75" customHeight="1" x14ac:dyDescent="0.25">
      <c r="A205" s="78">
        <v>2301</v>
      </c>
      <c r="B205" s="79">
        <v>45351</v>
      </c>
      <c r="C205" s="80" t="s">
        <v>41</v>
      </c>
      <c r="D205" s="80" t="s">
        <v>43</v>
      </c>
      <c r="E205" s="80" t="s">
        <v>41</v>
      </c>
      <c r="F205" s="81">
        <v>5</v>
      </c>
      <c r="G205" s="81" t="s">
        <v>41</v>
      </c>
      <c r="H205" s="82">
        <v>45355</v>
      </c>
      <c r="I205" s="81">
        <v>4</v>
      </c>
      <c r="J205" s="82">
        <v>45360</v>
      </c>
      <c r="K205" s="81" t="s">
        <v>3</v>
      </c>
      <c r="L205" s="81" t="s">
        <v>41</v>
      </c>
      <c r="M205" s="81" t="s">
        <v>1</v>
      </c>
      <c r="N205" s="81" t="s">
        <v>41</v>
      </c>
    </row>
    <row r="206" spans="1:14" ht="21.75" customHeight="1" x14ac:dyDescent="0.25">
      <c r="A206" s="78">
        <v>2561</v>
      </c>
      <c r="B206" s="79">
        <v>45351</v>
      </c>
      <c r="C206" s="80" t="s">
        <v>41</v>
      </c>
      <c r="D206" s="80" t="s">
        <v>43</v>
      </c>
      <c r="E206" s="80" t="s">
        <v>41</v>
      </c>
      <c r="F206" s="81">
        <v>5</v>
      </c>
      <c r="G206" s="81" t="s">
        <v>41</v>
      </c>
      <c r="H206" s="82">
        <v>45355</v>
      </c>
      <c r="I206" s="81">
        <v>4</v>
      </c>
      <c r="J206" s="82">
        <v>45360</v>
      </c>
      <c r="K206" s="81" t="s">
        <v>3</v>
      </c>
      <c r="L206" s="81" t="s">
        <v>5</v>
      </c>
      <c r="M206" s="81" t="s">
        <v>1</v>
      </c>
      <c r="N206" s="81" t="s">
        <v>4</v>
      </c>
    </row>
    <row r="207" spans="1:14" ht="21.75" customHeight="1" x14ac:dyDescent="0.25">
      <c r="A207" s="78">
        <v>2405</v>
      </c>
      <c r="B207" s="79">
        <v>45351</v>
      </c>
      <c r="C207" s="80" t="s">
        <v>41</v>
      </c>
      <c r="D207" s="80" t="s">
        <v>43</v>
      </c>
      <c r="E207" s="80" t="s">
        <v>41</v>
      </c>
      <c r="F207" s="81">
        <v>5</v>
      </c>
      <c r="G207" s="81" t="s">
        <v>41</v>
      </c>
      <c r="H207" s="82">
        <v>45355</v>
      </c>
      <c r="I207" s="81">
        <v>4</v>
      </c>
      <c r="J207" s="82">
        <v>45359</v>
      </c>
      <c r="K207" s="81" t="s">
        <v>3</v>
      </c>
      <c r="L207" s="81" t="s">
        <v>41</v>
      </c>
      <c r="M207" s="81" t="s">
        <v>1</v>
      </c>
      <c r="N207" s="81" t="s">
        <v>41</v>
      </c>
    </row>
    <row r="208" spans="1:14" ht="21.75" customHeight="1" x14ac:dyDescent="0.25">
      <c r="A208" s="78">
        <v>2523</v>
      </c>
      <c r="B208" s="79">
        <v>45351</v>
      </c>
      <c r="C208" s="80" t="s">
        <v>41</v>
      </c>
      <c r="D208" s="80" t="s">
        <v>7</v>
      </c>
      <c r="E208" s="80" t="s">
        <v>41</v>
      </c>
      <c r="F208" s="81">
        <v>5</v>
      </c>
      <c r="G208" s="81" t="s">
        <v>41</v>
      </c>
      <c r="H208" s="82">
        <v>45355</v>
      </c>
      <c r="I208" s="81">
        <v>3</v>
      </c>
      <c r="J208" s="82">
        <v>45359</v>
      </c>
      <c r="K208" s="81" t="s">
        <v>41</v>
      </c>
      <c r="L208" s="81" t="s">
        <v>5</v>
      </c>
      <c r="M208" s="81" t="s">
        <v>41</v>
      </c>
      <c r="N208" s="81" t="s">
        <v>41</v>
      </c>
    </row>
    <row r="209" spans="1:14" ht="21.75" customHeight="1" x14ac:dyDescent="0.25">
      <c r="A209" s="78">
        <v>3436</v>
      </c>
      <c r="B209" s="79">
        <v>45352</v>
      </c>
      <c r="C209" s="80" t="s">
        <v>41</v>
      </c>
      <c r="D209" s="80" t="s">
        <v>7</v>
      </c>
      <c r="E209" s="80" t="s">
        <v>41</v>
      </c>
      <c r="F209" s="81">
        <v>5</v>
      </c>
      <c r="G209" s="81" t="s">
        <v>41</v>
      </c>
      <c r="H209" s="82">
        <v>45356</v>
      </c>
      <c r="I209" s="81">
        <v>3</v>
      </c>
      <c r="J209" s="82">
        <v>45360</v>
      </c>
      <c r="K209" s="81" t="s">
        <v>41</v>
      </c>
      <c r="L209" s="81" t="s">
        <v>5</v>
      </c>
      <c r="M209" s="81" t="s">
        <v>41</v>
      </c>
      <c r="N209" s="81" t="s">
        <v>41</v>
      </c>
    </row>
    <row r="210" spans="1:14" ht="21.75" customHeight="1" x14ac:dyDescent="0.25">
      <c r="A210" s="78">
        <v>2584</v>
      </c>
      <c r="B210" s="79">
        <v>45352</v>
      </c>
      <c r="C210" s="80" t="s">
        <v>41</v>
      </c>
      <c r="D210" s="80" t="s">
        <v>7</v>
      </c>
      <c r="E210" s="80" t="s">
        <v>41</v>
      </c>
      <c r="F210" s="81">
        <v>5</v>
      </c>
      <c r="G210" s="81" t="s">
        <v>41</v>
      </c>
      <c r="H210" s="82">
        <v>45356</v>
      </c>
      <c r="I210" s="81">
        <v>3</v>
      </c>
      <c r="J210" s="82">
        <v>45360</v>
      </c>
      <c r="K210" s="81" t="s">
        <v>3</v>
      </c>
      <c r="L210" s="81" t="s">
        <v>41</v>
      </c>
      <c r="M210" s="81" t="s">
        <v>41</v>
      </c>
      <c r="N210" s="81" t="s">
        <v>41</v>
      </c>
    </row>
    <row r="211" spans="1:14" ht="21.75" customHeight="1" x14ac:dyDescent="0.25">
      <c r="A211" s="78">
        <v>3131</v>
      </c>
      <c r="B211" s="79">
        <v>45352</v>
      </c>
      <c r="C211" s="80" t="s">
        <v>41</v>
      </c>
      <c r="D211" s="80" t="s">
        <v>7</v>
      </c>
      <c r="E211" s="80" t="s">
        <v>41</v>
      </c>
      <c r="F211" s="81">
        <v>5</v>
      </c>
      <c r="G211" s="81" t="s">
        <v>41</v>
      </c>
      <c r="H211" s="82">
        <v>45356</v>
      </c>
      <c r="I211" s="81">
        <v>3</v>
      </c>
      <c r="J211" s="82">
        <v>45360</v>
      </c>
      <c r="K211" s="81" t="s">
        <v>41</v>
      </c>
      <c r="L211" s="81" t="s">
        <v>5</v>
      </c>
      <c r="M211" s="81" t="s">
        <v>41</v>
      </c>
      <c r="N211" s="81" t="s">
        <v>41</v>
      </c>
    </row>
    <row r="212" spans="1:14" ht="21.75" customHeight="1" x14ac:dyDescent="0.25">
      <c r="A212" s="78">
        <v>2116</v>
      </c>
      <c r="B212" s="79">
        <v>45352</v>
      </c>
      <c r="C212" s="80" t="s">
        <v>41</v>
      </c>
      <c r="D212" s="80" t="s">
        <v>7</v>
      </c>
      <c r="E212" s="80" t="s">
        <v>41</v>
      </c>
      <c r="F212" s="81">
        <v>5</v>
      </c>
      <c r="G212" s="81" t="s">
        <v>41</v>
      </c>
      <c r="H212" s="82">
        <v>45356</v>
      </c>
      <c r="I212" s="81">
        <v>3</v>
      </c>
      <c r="J212" s="82">
        <v>45360</v>
      </c>
      <c r="K212" s="81" t="s">
        <v>41</v>
      </c>
      <c r="L212" s="81" t="s">
        <v>5</v>
      </c>
      <c r="M212" s="81" t="s">
        <v>1</v>
      </c>
      <c r="N212" s="81" t="s">
        <v>4</v>
      </c>
    </row>
    <row r="213" spans="1:14" ht="21.75" customHeight="1" x14ac:dyDescent="0.25">
      <c r="A213" s="78">
        <v>909</v>
      </c>
      <c r="B213" s="79">
        <v>45352</v>
      </c>
      <c r="C213" s="80" t="s">
        <v>41</v>
      </c>
      <c r="D213" s="80" t="s">
        <v>7</v>
      </c>
      <c r="E213" s="80" t="s">
        <v>41</v>
      </c>
      <c r="F213" s="81">
        <v>5</v>
      </c>
      <c r="G213" s="81" t="s">
        <v>41</v>
      </c>
      <c r="H213" s="82">
        <v>45356</v>
      </c>
      <c r="I213" s="81">
        <v>3</v>
      </c>
      <c r="J213" s="82">
        <v>45361</v>
      </c>
      <c r="K213" s="81" t="s">
        <v>3</v>
      </c>
      <c r="L213" s="81" t="s">
        <v>5</v>
      </c>
      <c r="M213" s="81" t="s">
        <v>1</v>
      </c>
      <c r="N213" s="81" t="s">
        <v>4</v>
      </c>
    </row>
    <row r="214" spans="1:14" ht="21.75" customHeight="1" x14ac:dyDescent="0.25">
      <c r="A214" s="78">
        <v>3319</v>
      </c>
      <c r="B214" s="79">
        <v>45352</v>
      </c>
      <c r="C214" s="80" t="s">
        <v>41</v>
      </c>
      <c r="D214" s="80" t="s">
        <v>43</v>
      </c>
      <c r="E214" s="80" t="s">
        <v>41</v>
      </c>
      <c r="F214" s="81">
        <v>5</v>
      </c>
      <c r="G214" s="81" t="s">
        <v>41</v>
      </c>
      <c r="H214" s="82">
        <v>45356</v>
      </c>
      <c r="I214" s="81">
        <v>4</v>
      </c>
      <c r="J214" s="82">
        <v>45361</v>
      </c>
      <c r="K214" s="81" t="s">
        <v>41</v>
      </c>
      <c r="L214" s="81" t="s">
        <v>5</v>
      </c>
      <c r="M214" s="81" t="s">
        <v>41</v>
      </c>
      <c r="N214" s="81" t="s">
        <v>4</v>
      </c>
    </row>
    <row r="215" spans="1:14" ht="21.75" customHeight="1" x14ac:dyDescent="0.25">
      <c r="A215" s="78">
        <v>2478</v>
      </c>
      <c r="B215" s="79">
        <v>45352</v>
      </c>
      <c r="C215" s="80" t="s">
        <v>41</v>
      </c>
      <c r="D215" s="80" t="s">
        <v>43</v>
      </c>
      <c r="E215" s="80" t="s">
        <v>41</v>
      </c>
      <c r="F215" s="81">
        <v>5</v>
      </c>
      <c r="G215" s="81" t="s">
        <v>41</v>
      </c>
      <c r="H215" s="82">
        <v>45356</v>
      </c>
      <c r="I215" s="81">
        <v>4</v>
      </c>
      <c r="J215" s="82">
        <v>45361</v>
      </c>
      <c r="K215" s="81" t="s">
        <v>41</v>
      </c>
      <c r="L215" s="81" t="s">
        <v>5</v>
      </c>
      <c r="M215" s="81" t="s">
        <v>41</v>
      </c>
      <c r="N215" s="81" t="s">
        <v>4</v>
      </c>
    </row>
    <row r="216" spans="1:14" ht="21.75" customHeight="1" x14ac:dyDescent="0.25">
      <c r="A216" s="78">
        <v>3387</v>
      </c>
      <c r="B216" s="79">
        <v>45352</v>
      </c>
      <c r="C216" s="80" t="s">
        <v>41</v>
      </c>
      <c r="D216" s="80" t="s">
        <v>43</v>
      </c>
      <c r="E216" s="80" t="s">
        <v>41</v>
      </c>
      <c r="F216" s="81">
        <v>5</v>
      </c>
      <c r="G216" s="81" t="s">
        <v>41</v>
      </c>
      <c r="H216" s="82">
        <v>45356</v>
      </c>
      <c r="I216" s="81">
        <v>4</v>
      </c>
      <c r="J216" s="82">
        <v>45360</v>
      </c>
      <c r="K216" s="81" t="s">
        <v>3</v>
      </c>
      <c r="L216" s="81" t="s">
        <v>41</v>
      </c>
      <c r="M216" s="81" t="s">
        <v>1</v>
      </c>
      <c r="N216" s="81" t="s">
        <v>41</v>
      </c>
    </row>
    <row r="217" spans="1:14" ht="21.75" customHeight="1" x14ac:dyDescent="0.25">
      <c r="A217" s="78">
        <v>2752</v>
      </c>
      <c r="B217" s="79">
        <v>45352</v>
      </c>
      <c r="C217" s="80" t="s">
        <v>41</v>
      </c>
      <c r="D217" s="80" t="s">
        <v>7</v>
      </c>
      <c r="E217" s="80" t="s">
        <v>41</v>
      </c>
      <c r="F217" s="81">
        <v>5</v>
      </c>
      <c r="G217" s="81" t="s">
        <v>41</v>
      </c>
      <c r="H217" s="82">
        <v>45356</v>
      </c>
      <c r="I217" s="81">
        <v>3</v>
      </c>
      <c r="J217" s="82">
        <v>45360</v>
      </c>
      <c r="K217" s="81" t="s">
        <v>41</v>
      </c>
      <c r="L217" s="81" t="s">
        <v>41</v>
      </c>
      <c r="M217" s="81" t="s">
        <v>1</v>
      </c>
      <c r="N217" s="81" t="s">
        <v>41</v>
      </c>
    </row>
    <row r="218" spans="1:14" ht="21.75" customHeight="1" x14ac:dyDescent="0.25">
      <c r="A218" s="78">
        <v>3586</v>
      </c>
      <c r="B218" s="79">
        <v>45352</v>
      </c>
      <c r="C218" s="80" t="s">
        <v>41</v>
      </c>
      <c r="D218" s="80" t="s">
        <v>7</v>
      </c>
      <c r="E218" s="80" t="s">
        <v>41</v>
      </c>
      <c r="F218" s="81">
        <v>5</v>
      </c>
      <c r="G218" s="81" t="s">
        <v>41</v>
      </c>
      <c r="H218" s="82">
        <v>45356</v>
      </c>
      <c r="I218" s="81">
        <v>3</v>
      </c>
      <c r="J218" s="82">
        <v>45360</v>
      </c>
      <c r="K218" s="81" t="s">
        <v>41</v>
      </c>
      <c r="L218" s="81" t="s">
        <v>41</v>
      </c>
      <c r="M218" s="81" t="s">
        <v>1</v>
      </c>
      <c r="N218" s="81" t="s">
        <v>41</v>
      </c>
    </row>
    <row r="219" spans="1:14" ht="21.75" customHeight="1" x14ac:dyDescent="0.25">
      <c r="A219" s="78">
        <v>3132</v>
      </c>
      <c r="B219" s="79">
        <v>45353</v>
      </c>
      <c r="C219" s="80" t="s">
        <v>41</v>
      </c>
      <c r="D219" s="80" t="s">
        <v>7</v>
      </c>
      <c r="E219" s="80" t="s">
        <v>41</v>
      </c>
      <c r="F219" s="81">
        <v>5</v>
      </c>
      <c r="G219" s="81" t="s">
        <v>41</v>
      </c>
      <c r="H219" s="82">
        <v>45357</v>
      </c>
      <c r="I219" s="81">
        <v>3</v>
      </c>
      <c r="J219" s="82">
        <v>45361</v>
      </c>
      <c r="K219" s="81" t="s">
        <v>41</v>
      </c>
      <c r="L219" s="81" t="s">
        <v>41</v>
      </c>
      <c r="M219" s="81" t="s">
        <v>41</v>
      </c>
      <c r="N219" s="81" t="s">
        <v>4</v>
      </c>
    </row>
    <row r="220" spans="1:14" ht="21.75" customHeight="1" x14ac:dyDescent="0.25">
      <c r="A220" s="78">
        <v>1036</v>
      </c>
      <c r="B220" s="79">
        <v>45354</v>
      </c>
      <c r="C220" s="80" t="s">
        <v>41</v>
      </c>
      <c r="D220" s="80" t="s">
        <v>7</v>
      </c>
      <c r="E220" s="80" t="s">
        <v>41</v>
      </c>
      <c r="F220" s="81">
        <v>5</v>
      </c>
      <c r="G220" s="81" t="s">
        <v>41</v>
      </c>
      <c r="H220" s="82">
        <v>45358</v>
      </c>
      <c r="I220" s="81">
        <v>3</v>
      </c>
      <c r="J220" s="82">
        <v>45362</v>
      </c>
      <c r="K220" s="81" t="s">
        <v>41</v>
      </c>
      <c r="L220" s="81" t="s">
        <v>41</v>
      </c>
      <c r="M220" s="81" t="s">
        <v>41</v>
      </c>
      <c r="N220" s="81" t="s">
        <v>4</v>
      </c>
    </row>
    <row r="221" spans="1:14" ht="21.75" customHeight="1" x14ac:dyDescent="0.25">
      <c r="A221" s="78">
        <v>2933</v>
      </c>
      <c r="B221" s="79">
        <v>45354</v>
      </c>
      <c r="C221" s="80" t="s">
        <v>41</v>
      </c>
      <c r="D221" s="80" t="s">
        <v>91</v>
      </c>
      <c r="E221" s="80" t="s">
        <v>41</v>
      </c>
      <c r="F221" s="81">
        <v>5</v>
      </c>
      <c r="G221" s="81" t="s">
        <v>41</v>
      </c>
      <c r="H221" s="82">
        <v>45358</v>
      </c>
      <c r="I221" s="81">
        <v>3</v>
      </c>
      <c r="J221" s="82">
        <v>45362</v>
      </c>
      <c r="K221" s="81" t="s">
        <v>41</v>
      </c>
      <c r="L221" s="81" t="s">
        <v>41</v>
      </c>
      <c r="M221" s="81" t="s">
        <v>1</v>
      </c>
      <c r="N221" s="81" t="s">
        <v>41</v>
      </c>
    </row>
    <row r="222" spans="1:14" ht="21.75" customHeight="1" x14ac:dyDescent="0.25">
      <c r="A222" s="78">
        <v>3007</v>
      </c>
      <c r="B222" s="79">
        <v>45354</v>
      </c>
      <c r="C222" s="80" t="s">
        <v>41</v>
      </c>
      <c r="D222" s="80" t="s">
        <v>91</v>
      </c>
      <c r="E222" s="80" t="s">
        <v>41</v>
      </c>
      <c r="F222" s="81">
        <v>5</v>
      </c>
      <c r="G222" s="81" t="s">
        <v>41</v>
      </c>
      <c r="H222" s="82">
        <v>45358</v>
      </c>
      <c r="I222" s="81">
        <v>3</v>
      </c>
      <c r="J222" s="82">
        <v>45363</v>
      </c>
      <c r="K222" s="81" t="s">
        <v>3</v>
      </c>
      <c r="L222" s="81" t="s">
        <v>5</v>
      </c>
      <c r="M222" s="81" t="s">
        <v>1</v>
      </c>
      <c r="N222" s="81" t="s">
        <v>4</v>
      </c>
    </row>
    <row r="223" spans="1:14" ht="21.75" customHeight="1" x14ac:dyDescent="0.25">
      <c r="A223" s="78">
        <v>3272</v>
      </c>
      <c r="B223" s="79">
        <v>45355</v>
      </c>
      <c r="C223" s="80" t="s">
        <v>41</v>
      </c>
      <c r="D223" s="80" t="s">
        <v>43</v>
      </c>
      <c r="E223" s="80" t="s">
        <v>41</v>
      </c>
      <c r="F223" s="81">
        <v>5</v>
      </c>
      <c r="G223" s="81" t="s">
        <v>41</v>
      </c>
      <c r="H223" s="82">
        <v>45359</v>
      </c>
      <c r="I223" s="81">
        <v>4</v>
      </c>
      <c r="J223" s="82">
        <v>45363</v>
      </c>
      <c r="K223" s="81" t="s">
        <v>41</v>
      </c>
      <c r="L223" s="81" t="s">
        <v>5</v>
      </c>
      <c r="M223" s="81" t="s">
        <v>41</v>
      </c>
      <c r="N223" s="81" t="s">
        <v>41</v>
      </c>
    </row>
    <row r="224" spans="1:14" ht="21.75" customHeight="1" x14ac:dyDescent="0.25">
      <c r="A224" s="78">
        <v>3131</v>
      </c>
      <c r="B224" s="79">
        <v>45355</v>
      </c>
      <c r="C224" s="80" t="s">
        <v>41</v>
      </c>
      <c r="D224" s="80" t="s">
        <v>91</v>
      </c>
      <c r="E224" s="80" t="s">
        <v>41</v>
      </c>
      <c r="F224" s="81">
        <v>5</v>
      </c>
      <c r="G224" s="81" t="s">
        <v>41</v>
      </c>
      <c r="H224" s="82">
        <v>45359</v>
      </c>
      <c r="I224" s="81">
        <v>3</v>
      </c>
      <c r="J224" s="82">
        <v>45363</v>
      </c>
      <c r="K224" s="81" t="s">
        <v>3</v>
      </c>
      <c r="L224" s="81" t="s">
        <v>5</v>
      </c>
      <c r="M224" s="81" t="s">
        <v>1</v>
      </c>
      <c r="N224" s="81" t="s">
        <v>4</v>
      </c>
    </row>
    <row r="225" spans="1:14" ht="21.75" customHeight="1" x14ac:dyDescent="0.25">
      <c r="A225" s="78">
        <v>2740</v>
      </c>
      <c r="B225" s="79">
        <v>45356</v>
      </c>
      <c r="C225" s="80" t="s">
        <v>41</v>
      </c>
      <c r="D225" s="80" t="s">
        <v>91</v>
      </c>
      <c r="E225" s="80" t="s">
        <v>41</v>
      </c>
      <c r="F225" s="81">
        <v>5</v>
      </c>
      <c r="G225" s="81" t="s">
        <v>41</v>
      </c>
      <c r="H225" s="82">
        <v>45360</v>
      </c>
      <c r="I225" s="81">
        <v>3</v>
      </c>
      <c r="J225" s="82">
        <v>45364</v>
      </c>
      <c r="K225" s="81" t="s">
        <v>3</v>
      </c>
      <c r="L225" s="81" t="s">
        <v>5</v>
      </c>
      <c r="M225" s="81" t="s">
        <v>1</v>
      </c>
      <c r="N225" s="81" t="s">
        <v>4</v>
      </c>
    </row>
    <row r="226" spans="1:14" ht="21.75" customHeight="1" x14ac:dyDescent="0.25">
      <c r="A226" s="78">
        <v>3177</v>
      </c>
      <c r="B226" s="79">
        <v>45356</v>
      </c>
      <c r="C226" s="80" t="s">
        <v>41</v>
      </c>
      <c r="D226" s="80" t="s">
        <v>7</v>
      </c>
      <c r="E226" s="80" t="s">
        <v>41</v>
      </c>
      <c r="F226" s="81">
        <v>5</v>
      </c>
      <c r="G226" s="81" t="s">
        <v>41</v>
      </c>
      <c r="H226" s="82">
        <v>45360</v>
      </c>
      <c r="I226" s="81">
        <v>3</v>
      </c>
      <c r="J226" s="82">
        <v>45364</v>
      </c>
      <c r="K226" s="81" t="s">
        <v>41</v>
      </c>
      <c r="L226" s="81" t="s">
        <v>41</v>
      </c>
      <c r="M226" s="81" t="s">
        <v>41</v>
      </c>
      <c r="N226" s="81" t="s">
        <v>4</v>
      </c>
    </row>
    <row r="227" spans="1:14" ht="21.75" customHeight="1" x14ac:dyDescent="0.25">
      <c r="A227" s="78">
        <v>2248</v>
      </c>
      <c r="B227" s="79">
        <v>45357</v>
      </c>
      <c r="C227" s="80" t="s">
        <v>41</v>
      </c>
      <c r="D227" s="80" t="s">
        <v>7</v>
      </c>
      <c r="E227" s="80" t="s">
        <v>41</v>
      </c>
      <c r="F227" s="81">
        <v>5</v>
      </c>
      <c r="G227" s="81" t="s">
        <v>41</v>
      </c>
      <c r="H227" s="82">
        <v>45361</v>
      </c>
      <c r="I227" s="81">
        <v>3</v>
      </c>
      <c r="J227" s="82">
        <v>45365</v>
      </c>
      <c r="K227" s="81" t="s">
        <v>41</v>
      </c>
      <c r="L227" s="81" t="s">
        <v>5</v>
      </c>
      <c r="M227" s="81" t="s">
        <v>41</v>
      </c>
      <c r="N227" s="81" t="s">
        <v>41</v>
      </c>
    </row>
    <row r="228" spans="1:14" ht="21.75" customHeight="1" x14ac:dyDescent="0.25">
      <c r="A228" s="78">
        <v>2861</v>
      </c>
      <c r="B228" s="79">
        <v>45357</v>
      </c>
      <c r="C228" s="80" t="s">
        <v>41</v>
      </c>
      <c r="D228" s="80" t="s">
        <v>7</v>
      </c>
      <c r="E228" s="80" t="s">
        <v>41</v>
      </c>
      <c r="F228" s="81">
        <v>5</v>
      </c>
      <c r="G228" s="81" t="s">
        <v>41</v>
      </c>
      <c r="H228" s="82">
        <v>45361</v>
      </c>
      <c r="I228" s="81">
        <v>3</v>
      </c>
      <c r="J228" s="82">
        <v>45371</v>
      </c>
      <c r="K228" s="81" t="s">
        <v>3</v>
      </c>
      <c r="L228" s="81" t="s">
        <v>41</v>
      </c>
      <c r="M228" s="81" t="s">
        <v>41</v>
      </c>
      <c r="N228" s="81" t="s">
        <v>41</v>
      </c>
    </row>
    <row r="229" spans="1:14" ht="21.75" customHeight="1" x14ac:dyDescent="0.25">
      <c r="A229" s="78">
        <v>3131</v>
      </c>
      <c r="B229" s="79">
        <v>45358</v>
      </c>
      <c r="C229" s="80" t="s">
        <v>41</v>
      </c>
      <c r="D229" s="80" t="s">
        <v>92</v>
      </c>
      <c r="E229" s="80" t="s">
        <v>41</v>
      </c>
      <c r="F229" s="81">
        <v>5</v>
      </c>
      <c r="G229" s="81" t="s">
        <v>41</v>
      </c>
      <c r="H229" s="82">
        <v>45362</v>
      </c>
      <c r="I229" s="81">
        <v>9</v>
      </c>
      <c r="J229" s="82">
        <v>45372</v>
      </c>
      <c r="K229" s="81" t="s">
        <v>41</v>
      </c>
      <c r="L229" s="81" t="s">
        <v>5</v>
      </c>
      <c r="M229" s="81" t="s">
        <v>41</v>
      </c>
      <c r="N229" s="81" t="s">
        <v>41</v>
      </c>
    </row>
    <row r="230" spans="1:14" ht="21.75" customHeight="1" x14ac:dyDescent="0.25">
      <c r="A230" s="78">
        <v>2752</v>
      </c>
      <c r="B230" s="79">
        <v>45358</v>
      </c>
      <c r="C230" s="80" t="s">
        <v>41</v>
      </c>
      <c r="D230" s="80" t="s">
        <v>92</v>
      </c>
      <c r="E230" s="80" t="s">
        <v>41</v>
      </c>
      <c r="F230" s="81">
        <v>5</v>
      </c>
      <c r="G230" s="81" t="s">
        <v>41</v>
      </c>
      <c r="H230" s="82">
        <v>45362</v>
      </c>
      <c r="I230" s="81">
        <v>9</v>
      </c>
      <c r="J230" s="82">
        <v>45372</v>
      </c>
      <c r="K230" s="81" t="s">
        <v>41</v>
      </c>
      <c r="L230" s="81" t="s">
        <v>5</v>
      </c>
      <c r="M230" s="81" t="s">
        <v>1</v>
      </c>
      <c r="N230" s="81" t="s">
        <v>4</v>
      </c>
    </row>
    <row r="231" spans="1:14" ht="21.75" customHeight="1" x14ac:dyDescent="0.25">
      <c r="A231" s="78">
        <v>2267</v>
      </c>
      <c r="B231" s="79">
        <v>45358</v>
      </c>
      <c r="C231" s="80" t="s">
        <v>41</v>
      </c>
      <c r="D231" s="80" t="s">
        <v>92</v>
      </c>
      <c r="E231" s="80" t="s">
        <v>41</v>
      </c>
      <c r="F231" s="81">
        <v>5</v>
      </c>
      <c r="G231" s="81" t="s">
        <v>41</v>
      </c>
      <c r="H231" s="82">
        <v>45362</v>
      </c>
      <c r="I231" s="81">
        <v>9</v>
      </c>
      <c r="J231" s="82">
        <v>45372</v>
      </c>
      <c r="K231" s="81" t="s">
        <v>3</v>
      </c>
      <c r="L231" s="81" t="s">
        <v>5</v>
      </c>
      <c r="M231" s="81" t="s">
        <v>1</v>
      </c>
      <c r="N231" s="81" t="s">
        <v>4</v>
      </c>
    </row>
    <row r="232" spans="1:14" ht="21.75" customHeight="1" x14ac:dyDescent="0.25">
      <c r="A232" s="78">
        <v>2949</v>
      </c>
      <c r="B232" s="79">
        <v>45358</v>
      </c>
      <c r="C232" s="80" t="s">
        <v>41</v>
      </c>
      <c r="D232" s="80" t="s">
        <v>92</v>
      </c>
      <c r="E232" s="80" t="s">
        <v>41</v>
      </c>
      <c r="F232" s="81">
        <v>5</v>
      </c>
      <c r="G232" s="81" t="s">
        <v>41</v>
      </c>
      <c r="H232" s="82">
        <v>45362</v>
      </c>
      <c r="I232" s="81">
        <v>9</v>
      </c>
      <c r="J232" s="82">
        <v>45372</v>
      </c>
      <c r="K232" s="81" t="s">
        <v>3</v>
      </c>
      <c r="L232" s="81" t="s">
        <v>5</v>
      </c>
      <c r="M232" s="81" t="s">
        <v>41</v>
      </c>
      <c r="N232" s="81" t="s">
        <v>41</v>
      </c>
    </row>
    <row r="233" spans="1:14" ht="21.75" customHeight="1" x14ac:dyDescent="0.25">
      <c r="A233" s="78">
        <v>2321</v>
      </c>
      <c r="B233" s="79">
        <v>45358</v>
      </c>
      <c r="C233" s="80" t="s">
        <v>41</v>
      </c>
      <c r="D233" s="80" t="s">
        <v>92</v>
      </c>
      <c r="E233" s="80" t="s">
        <v>41</v>
      </c>
      <c r="F233" s="81">
        <v>5</v>
      </c>
      <c r="G233" s="81" t="s">
        <v>41</v>
      </c>
      <c r="H233" s="82">
        <v>45362</v>
      </c>
      <c r="I233" s="81">
        <v>9</v>
      </c>
      <c r="J233" s="82">
        <v>45372</v>
      </c>
      <c r="K233" s="81" t="s">
        <v>3</v>
      </c>
      <c r="L233" s="81" t="s">
        <v>5</v>
      </c>
      <c r="M233" s="81" t="s">
        <v>1</v>
      </c>
      <c r="N233" s="81" t="s">
        <v>4</v>
      </c>
    </row>
    <row r="234" spans="1:14" ht="21.75" customHeight="1" x14ac:dyDescent="0.25">
      <c r="A234" s="78">
        <v>2116</v>
      </c>
      <c r="B234" s="79">
        <v>45358</v>
      </c>
      <c r="C234" s="80" t="s">
        <v>41</v>
      </c>
      <c r="D234" s="80" t="s">
        <v>92</v>
      </c>
      <c r="E234" s="80" t="s">
        <v>41</v>
      </c>
      <c r="F234" s="81">
        <v>5</v>
      </c>
      <c r="G234" s="81" t="s">
        <v>41</v>
      </c>
      <c r="H234" s="82">
        <v>45362</v>
      </c>
      <c r="I234" s="81">
        <v>9</v>
      </c>
      <c r="J234" s="82">
        <v>45372</v>
      </c>
      <c r="K234" s="81" t="s">
        <v>41</v>
      </c>
      <c r="L234" s="81" t="s">
        <v>5</v>
      </c>
      <c r="M234" s="81" t="s">
        <v>41</v>
      </c>
      <c r="N234" s="81" t="s">
        <v>41</v>
      </c>
    </row>
    <row r="235" spans="1:14" ht="21.75" customHeight="1" x14ac:dyDescent="0.25">
      <c r="A235" s="78">
        <v>3493</v>
      </c>
      <c r="B235" s="79">
        <v>45358</v>
      </c>
      <c r="C235" s="80" t="s">
        <v>41</v>
      </c>
      <c r="D235" s="80" t="s">
        <v>92</v>
      </c>
      <c r="E235" s="80" t="s">
        <v>41</v>
      </c>
      <c r="F235" s="81">
        <v>5</v>
      </c>
      <c r="G235" s="81" t="s">
        <v>41</v>
      </c>
      <c r="H235" s="82">
        <v>45362</v>
      </c>
      <c r="I235" s="81">
        <v>9</v>
      </c>
      <c r="J235" s="82">
        <v>45366</v>
      </c>
      <c r="K235" s="81" t="s">
        <v>3</v>
      </c>
      <c r="L235" s="81" t="s">
        <v>41</v>
      </c>
      <c r="M235" s="81" t="s">
        <v>41</v>
      </c>
      <c r="N235" s="81" t="s">
        <v>41</v>
      </c>
    </row>
    <row r="236" spans="1:14" ht="21.75" customHeight="1" x14ac:dyDescent="0.25">
      <c r="A236" s="78">
        <v>3254</v>
      </c>
      <c r="B236" s="79">
        <v>45358</v>
      </c>
      <c r="C236" s="80" t="s">
        <v>41</v>
      </c>
      <c r="D236" s="80" t="s">
        <v>91</v>
      </c>
      <c r="E236" s="80" t="s">
        <v>41</v>
      </c>
      <c r="F236" s="81">
        <v>5</v>
      </c>
      <c r="G236" s="81" t="s">
        <v>41</v>
      </c>
      <c r="H236" s="82">
        <v>45362</v>
      </c>
      <c r="I236" s="81">
        <v>3</v>
      </c>
      <c r="J236" s="82">
        <v>45366</v>
      </c>
      <c r="K236" s="81" t="s">
        <v>41</v>
      </c>
      <c r="L236" s="81" t="s">
        <v>41</v>
      </c>
      <c r="M236" s="81" t="s">
        <v>41</v>
      </c>
      <c r="N236" s="81" t="s">
        <v>4</v>
      </c>
    </row>
    <row r="237" spans="1:14" ht="21.75" customHeight="1" x14ac:dyDescent="0.25">
      <c r="A237" s="78">
        <v>2409</v>
      </c>
      <c r="B237" s="79">
        <v>45358</v>
      </c>
      <c r="C237" s="80" t="s">
        <v>41</v>
      </c>
      <c r="D237" s="80" t="s">
        <v>91</v>
      </c>
      <c r="E237" s="80" t="s">
        <v>41</v>
      </c>
      <c r="F237" s="81">
        <v>5</v>
      </c>
      <c r="G237" s="81" t="s">
        <v>41</v>
      </c>
      <c r="H237" s="82">
        <v>45362</v>
      </c>
      <c r="I237" s="81">
        <v>3</v>
      </c>
      <c r="J237" s="82">
        <v>45367</v>
      </c>
      <c r="K237" s="81" t="s">
        <v>41</v>
      </c>
      <c r="L237" s="81" t="s">
        <v>5</v>
      </c>
      <c r="M237" s="81" t="s">
        <v>41</v>
      </c>
      <c r="N237" s="81" t="s">
        <v>4</v>
      </c>
    </row>
    <row r="238" spans="1:14" ht="21.75" customHeight="1" x14ac:dyDescent="0.25">
      <c r="A238" s="78">
        <v>3061</v>
      </c>
      <c r="B238" s="79">
        <v>45360</v>
      </c>
      <c r="C238" s="80" t="s">
        <v>41</v>
      </c>
      <c r="D238" s="80" t="s">
        <v>43</v>
      </c>
      <c r="E238" s="80" t="s">
        <v>41</v>
      </c>
      <c r="F238" s="81">
        <v>8</v>
      </c>
      <c r="G238" s="81" t="s">
        <v>41</v>
      </c>
      <c r="H238" s="82">
        <v>45367</v>
      </c>
      <c r="I238" s="81">
        <v>4</v>
      </c>
      <c r="J238" s="82">
        <v>45372</v>
      </c>
      <c r="K238" s="81" t="s">
        <v>3</v>
      </c>
      <c r="L238" s="81" t="s">
        <v>41</v>
      </c>
      <c r="M238" s="81" t="s">
        <v>41</v>
      </c>
      <c r="N238" s="81" t="s">
        <v>41</v>
      </c>
    </row>
    <row r="239" spans="1:14" ht="21.75" customHeight="1" x14ac:dyDescent="0.25">
      <c r="A239" s="78">
        <v>3466</v>
      </c>
      <c r="B239" s="79">
        <v>45360</v>
      </c>
      <c r="C239" s="80" t="s">
        <v>41</v>
      </c>
      <c r="D239" s="80" t="s">
        <v>43</v>
      </c>
      <c r="E239" s="80" t="s">
        <v>41</v>
      </c>
      <c r="F239" s="81">
        <v>8</v>
      </c>
      <c r="G239" s="81" t="s">
        <v>41</v>
      </c>
      <c r="H239" s="82">
        <v>45367</v>
      </c>
      <c r="I239" s="81">
        <v>4</v>
      </c>
      <c r="J239" s="82">
        <v>45372</v>
      </c>
      <c r="K239" s="81" t="s">
        <v>41</v>
      </c>
      <c r="L239" s="81" t="s">
        <v>5</v>
      </c>
      <c r="M239" s="81" t="s">
        <v>41</v>
      </c>
      <c r="N239" s="81" t="s">
        <v>4</v>
      </c>
    </row>
    <row r="240" spans="1:14" ht="21.75" customHeight="1" x14ac:dyDescent="0.25">
      <c r="A240" s="78">
        <v>2803</v>
      </c>
      <c r="B240" s="79">
        <v>45360</v>
      </c>
      <c r="C240" s="80" t="s">
        <v>41</v>
      </c>
      <c r="D240" s="80" t="s">
        <v>43</v>
      </c>
      <c r="E240" s="80" t="s">
        <v>41</v>
      </c>
      <c r="F240" s="81">
        <v>8</v>
      </c>
      <c r="G240" s="81" t="s">
        <v>41</v>
      </c>
      <c r="H240" s="82">
        <v>45367</v>
      </c>
      <c r="I240" s="81">
        <v>4</v>
      </c>
      <c r="J240" s="82">
        <v>45372</v>
      </c>
      <c r="K240" s="81" t="s">
        <v>41</v>
      </c>
      <c r="L240" s="81" t="s">
        <v>5</v>
      </c>
      <c r="M240" s="81" t="s">
        <v>41</v>
      </c>
      <c r="N240" s="81" t="s">
        <v>4</v>
      </c>
    </row>
    <row r="241" spans="1:14" ht="21.75" customHeight="1" x14ac:dyDescent="0.25">
      <c r="A241" s="78">
        <v>2618</v>
      </c>
      <c r="B241" s="79">
        <v>45360</v>
      </c>
      <c r="C241" s="80" t="s">
        <v>41</v>
      </c>
      <c r="D241" s="80" t="s">
        <v>43</v>
      </c>
      <c r="E241" s="80" t="s">
        <v>41</v>
      </c>
      <c r="F241" s="81">
        <v>8</v>
      </c>
      <c r="G241" s="81" t="s">
        <v>41</v>
      </c>
      <c r="H241" s="82">
        <v>45367</v>
      </c>
      <c r="I241" s="81">
        <v>4</v>
      </c>
      <c r="J241" s="82">
        <v>45372</v>
      </c>
      <c r="K241" s="81" t="s">
        <v>41</v>
      </c>
      <c r="L241" s="81" t="s">
        <v>5</v>
      </c>
      <c r="M241" s="81" t="s">
        <v>41</v>
      </c>
      <c r="N241" s="81" t="s">
        <v>41</v>
      </c>
    </row>
    <row r="242" spans="1:14" ht="21.75" customHeight="1" x14ac:dyDescent="0.25">
      <c r="A242" s="78">
        <v>3158</v>
      </c>
      <c r="B242" s="79">
        <v>45360</v>
      </c>
      <c r="C242" s="80" t="s">
        <v>41</v>
      </c>
      <c r="D242" s="80" t="s">
        <v>43</v>
      </c>
      <c r="E242" s="80" t="s">
        <v>41</v>
      </c>
      <c r="F242" s="81">
        <v>8</v>
      </c>
      <c r="G242" s="81" t="s">
        <v>41</v>
      </c>
      <c r="H242" s="82">
        <v>45367</v>
      </c>
      <c r="I242" s="81">
        <v>4</v>
      </c>
      <c r="J242" s="82">
        <v>45372</v>
      </c>
      <c r="K242" s="81" t="s">
        <v>3</v>
      </c>
      <c r="L242" s="81" t="s">
        <v>41</v>
      </c>
      <c r="M242" s="81" t="s">
        <v>41</v>
      </c>
      <c r="N242" s="81" t="s">
        <v>41</v>
      </c>
    </row>
    <row r="243" spans="1:14" ht="21.75" customHeight="1" x14ac:dyDescent="0.25">
      <c r="A243" s="78">
        <v>830</v>
      </c>
      <c r="B243" s="79">
        <v>45360</v>
      </c>
      <c r="C243" s="80" t="s">
        <v>41</v>
      </c>
      <c r="D243" s="80" t="s">
        <v>43</v>
      </c>
      <c r="E243" s="80" t="s">
        <v>41</v>
      </c>
      <c r="F243" s="81">
        <v>8</v>
      </c>
      <c r="G243" s="81" t="s">
        <v>41</v>
      </c>
      <c r="H243" s="82">
        <v>45367</v>
      </c>
      <c r="I243" s="81">
        <v>4</v>
      </c>
      <c r="J243" s="82">
        <v>45372</v>
      </c>
      <c r="K243" s="81" t="s">
        <v>3</v>
      </c>
      <c r="L243" s="81" t="s">
        <v>41</v>
      </c>
      <c r="M243" s="81" t="s">
        <v>41</v>
      </c>
      <c r="N243" s="81" t="s">
        <v>41</v>
      </c>
    </row>
    <row r="244" spans="1:14" ht="21.75" customHeight="1" x14ac:dyDescent="0.25">
      <c r="A244" s="78">
        <v>3387</v>
      </c>
      <c r="B244" s="79">
        <v>45360</v>
      </c>
      <c r="C244" s="80" t="s">
        <v>41</v>
      </c>
      <c r="D244" s="80" t="s">
        <v>43</v>
      </c>
      <c r="E244" s="80" t="s">
        <v>41</v>
      </c>
      <c r="F244" s="81">
        <v>8</v>
      </c>
      <c r="G244" s="81" t="s">
        <v>41</v>
      </c>
      <c r="H244" s="82">
        <v>45367</v>
      </c>
      <c r="I244" s="81">
        <v>4</v>
      </c>
      <c r="J244" s="82">
        <v>45377</v>
      </c>
      <c r="K244" s="81" t="s">
        <v>3</v>
      </c>
      <c r="L244" s="81" t="s">
        <v>41</v>
      </c>
      <c r="M244" s="81" t="s">
        <v>41</v>
      </c>
      <c r="N244" s="81" t="s">
        <v>41</v>
      </c>
    </row>
    <row r="245" spans="1:14" ht="21.75" customHeight="1" x14ac:dyDescent="0.25">
      <c r="A245" s="78">
        <v>2218</v>
      </c>
      <c r="B245" s="79">
        <v>45360</v>
      </c>
      <c r="C245" s="80" t="s">
        <v>41</v>
      </c>
      <c r="D245" s="80" t="s">
        <v>92</v>
      </c>
      <c r="E245" s="80" t="s">
        <v>41</v>
      </c>
      <c r="F245" s="81">
        <v>5</v>
      </c>
      <c r="G245" s="81" t="s">
        <v>41</v>
      </c>
      <c r="H245" s="82">
        <v>45364</v>
      </c>
      <c r="I245" s="81">
        <v>9</v>
      </c>
      <c r="J245" s="82">
        <v>45374</v>
      </c>
      <c r="K245" s="81" t="s">
        <v>3</v>
      </c>
      <c r="L245" s="81" t="s">
        <v>41</v>
      </c>
      <c r="M245" s="81" t="s">
        <v>41</v>
      </c>
      <c r="N245" s="81" t="s">
        <v>41</v>
      </c>
    </row>
    <row r="246" spans="1:14" ht="21.75" customHeight="1" x14ac:dyDescent="0.25">
      <c r="A246" s="78">
        <v>1181</v>
      </c>
      <c r="B246" s="79">
        <v>45360</v>
      </c>
      <c r="C246" s="80" t="s">
        <v>41</v>
      </c>
      <c r="D246" s="80" t="s">
        <v>92</v>
      </c>
      <c r="E246" s="80" t="s">
        <v>41</v>
      </c>
      <c r="F246" s="81">
        <v>5</v>
      </c>
      <c r="G246" s="81" t="s">
        <v>41</v>
      </c>
      <c r="H246" s="82">
        <v>45364</v>
      </c>
      <c r="I246" s="81">
        <v>9</v>
      </c>
      <c r="J246" s="82">
        <v>45368</v>
      </c>
      <c r="K246" s="81" t="s">
        <v>41</v>
      </c>
      <c r="L246" s="81" t="s">
        <v>5</v>
      </c>
      <c r="M246" s="81" t="s">
        <v>41</v>
      </c>
      <c r="N246" s="81" t="s">
        <v>41</v>
      </c>
    </row>
    <row r="247" spans="1:14" ht="21.75" customHeight="1" x14ac:dyDescent="0.25">
      <c r="A247" s="78">
        <v>148</v>
      </c>
      <c r="B247" s="79">
        <v>45360</v>
      </c>
      <c r="C247" s="80" t="s">
        <v>41</v>
      </c>
      <c r="D247" s="80" t="s">
        <v>7</v>
      </c>
      <c r="E247" s="80" t="s">
        <v>41</v>
      </c>
      <c r="F247" s="81">
        <v>5</v>
      </c>
      <c r="G247" s="81" t="s">
        <v>41</v>
      </c>
      <c r="H247" s="82">
        <v>45364</v>
      </c>
      <c r="I247" s="81">
        <v>3</v>
      </c>
      <c r="J247" s="82">
        <v>45368</v>
      </c>
      <c r="K247" s="81" t="s">
        <v>3</v>
      </c>
      <c r="L247" s="81" t="s">
        <v>5</v>
      </c>
      <c r="M247" s="81" t="s">
        <v>1</v>
      </c>
      <c r="N247" s="81" t="s">
        <v>41</v>
      </c>
    </row>
    <row r="248" spans="1:14" ht="21.75" customHeight="1" x14ac:dyDescent="0.25">
      <c r="A248" s="78">
        <v>3980</v>
      </c>
      <c r="B248" s="79">
        <v>45360</v>
      </c>
      <c r="C248" s="80" t="s">
        <v>41</v>
      </c>
      <c r="D248" s="80" t="s">
        <v>7</v>
      </c>
      <c r="E248" s="80" t="s">
        <v>41</v>
      </c>
      <c r="F248" s="81">
        <v>5</v>
      </c>
      <c r="G248" s="81" t="s">
        <v>41</v>
      </c>
      <c r="H248" s="82">
        <v>45364</v>
      </c>
      <c r="I248" s="81">
        <v>3</v>
      </c>
      <c r="J248" s="82">
        <v>45368</v>
      </c>
      <c r="K248" s="81" t="s">
        <v>3</v>
      </c>
      <c r="L248" s="81" t="s">
        <v>5</v>
      </c>
      <c r="M248" s="81" t="s">
        <v>1</v>
      </c>
      <c r="N248" s="81" t="s">
        <v>41</v>
      </c>
    </row>
    <row r="249" spans="1:14" ht="21.75" customHeight="1" x14ac:dyDescent="0.25">
      <c r="A249" s="78">
        <v>2568</v>
      </c>
      <c r="B249" s="79">
        <v>45363</v>
      </c>
      <c r="C249" s="80" t="s">
        <v>41</v>
      </c>
      <c r="D249" s="80" t="s">
        <v>7</v>
      </c>
      <c r="E249" s="80" t="s">
        <v>41</v>
      </c>
      <c r="F249" s="81">
        <v>5</v>
      </c>
      <c r="G249" s="81" t="s">
        <v>41</v>
      </c>
      <c r="H249" s="82">
        <v>45367</v>
      </c>
      <c r="I249" s="81">
        <v>3</v>
      </c>
      <c r="J249" s="82">
        <v>45371</v>
      </c>
      <c r="K249" s="81" t="s">
        <v>41</v>
      </c>
      <c r="L249" s="81" t="s">
        <v>5</v>
      </c>
      <c r="M249" s="81" t="s">
        <v>41</v>
      </c>
      <c r="N249" s="81" t="s">
        <v>4</v>
      </c>
    </row>
    <row r="250" spans="1:14" ht="21.75" customHeight="1" x14ac:dyDescent="0.25">
      <c r="A250" s="78">
        <v>2564</v>
      </c>
      <c r="B250" s="79">
        <v>45363</v>
      </c>
      <c r="C250" s="80" t="s">
        <v>41</v>
      </c>
      <c r="D250" s="80" t="s">
        <v>7</v>
      </c>
      <c r="E250" s="80" t="s">
        <v>41</v>
      </c>
      <c r="F250" s="81">
        <v>5</v>
      </c>
      <c r="G250" s="81" t="s">
        <v>41</v>
      </c>
      <c r="H250" s="82">
        <v>45367</v>
      </c>
      <c r="I250" s="81">
        <v>3</v>
      </c>
      <c r="J250" s="82">
        <v>45371</v>
      </c>
      <c r="K250" s="81" t="s">
        <v>41</v>
      </c>
      <c r="L250" s="81" t="s">
        <v>41</v>
      </c>
      <c r="M250" s="81" t="s">
        <v>1</v>
      </c>
      <c r="N250" s="81" t="s">
        <v>41</v>
      </c>
    </row>
    <row r="251" spans="1:14" ht="21.75" customHeight="1" x14ac:dyDescent="0.25">
      <c r="A251" s="78">
        <v>2494</v>
      </c>
      <c r="B251" s="79">
        <v>45363</v>
      </c>
      <c r="C251" s="80" t="s">
        <v>41</v>
      </c>
      <c r="D251" s="80" t="s">
        <v>50</v>
      </c>
      <c r="E251" s="80" t="s">
        <v>41</v>
      </c>
      <c r="F251" s="81">
        <v>5</v>
      </c>
      <c r="G251" s="81" t="s">
        <v>41</v>
      </c>
      <c r="H251" s="82">
        <v>45367</v>
      </c>
      <c r="I251" s="81">
        <v>3</v>
      </c>
      <c r="J251" s="82">
        <v>45371</v>
      </c>
      <c r="K251" s="81" t="s">
        <v>41</v>
      </c>
      <c r="L251" s="81" t="s">
        <v>5</v>
      </c>
      <c r="M251" s="81" t="s">
        <v>41</v>
      </c>
      <c r="N251" s="81" t="s">
        <v>41</v>
      </c>
    </row>
    <row r="252" spans="1:14" ht="21.75" customHeight="1" x14ac:dyDescent="0.25">
      <c r="A252" s="78">
        <v>1845</v>
      </c>
      <c r="B252" s="79">
        <v>45363</v>
      </c>
      <c r="C252" s="80" t="s">
        <v>41</v>
      </c>
      <c r="D252" s="80" t="s">
        <v>7</v>
      </c>
      <c r="E252" s="80" t="s">
        <v>41</v>
      </c>
      <c r="F252" s="81">
        <v>5</v>
      </c>
      <c r="G252" s="81" t="s">
        <v>41</v>
      </c>
      <c r="H252" s="82">
        <v>45367</v>
      </c>
      <c r="I252" s="81">
        <v>3</v>
      </c>
      <c r="J252" s="82">
        <v>45371</v>
      </c>
      <c r="K252" s="81" t="s">
        <v>3</v>
      </c>
      <c r="L252" s="81" t="s">
        <v>41</v>
      </c>
      <c r="M252" s="81" t="s">
        <v>1</v>
      </c>
      <c r="N252" s="81" t="s">
        <v>4</v>
      </c>
    </row>
    <row r="253" spans="1:14" ht="21.75" customHeight="1" x14ac:dyDescent="0.25">
      <c r="A253" s="78">
        <v>3817</v>
      </c>
      <c r="B253" s="79">
        <v>45363</v>
      </c>
      <c r="C253" s="80" t="s">
        <v>41</v>
      </c>
      <c r="D253" s="80" t="s">
        <v>7</v>
      </c>
      <c r="E253" s="80" t="s">
        <v>41</v>
      </c>
      <c r="F253" s="81">
        <v>5</v>
      </c>
      <c r="G253" s="81" t="s">
        <v>41</v>
      </c>
      <c r="H253" s="82">
        <v>45367</v>
      </c>
      <c r="I253" s="81">
        <v>3</v>
      </c>
      <c r="J253" s="82">
        <v>45371</v>
      </c>
      <c r="K253" s="81" t="s">
        <v>41</v>
      </c>
      <c r="L253" s="81" t="s">
        <v>41</v>
      </c>
      <c r="M253" s="81" t="s">
        <v>41</v>
      </c>
      <c r="N253" s="81" t="s">
        <v>4</v>
      </c>
    </row>
    <row r="254" spans="1:14" ht="21.75" customHeight="1" x14ac:dyDescent="0.25">
      <c r="A254" s="78">
        <v>3466</v>
      </c>
      <c r="B254" s="79">
        <v>45364</v>
      </c>
      <c r="C254" s="80" t="s">
        <v>41</v>
      </c>
      <c r="D254" s="80" t="s">
        <v>7</v>
      </c>
      <c r="E254" s="80" t="s">
        <v>41</v>
      </c>
      <c r="F254" s="81">
        <v>5</v>
      </c>
      <c r="G254" s="81" t="s">
        <v>41</v>
      </c>
      <c r="H254" s="82">
        <v>45368</v>
      </c>
      <c r="I254" s="81">
        <v>3</v>
      </c>
      <c r="J254" s="82">
        <v>45373</v>
      </c>
      <c r="K254" s="81" t="s">
        <v>41</v>
      </c>
      <c r="L254" s="81" t="s">
        <v>41</v>
      </c>
      <c r="M254" s="81" t="s">
        <v>1</v>
      </c>
      <c r="N254" s="81" t="s">
        <v>41</v>
      </c>
    </row>
    <row r="255" spans="1:14" ht="21.75" customHeight="1" x14ac:dyDescent="0.25">
      <c r="A255" s="78">
        <v>1036</v>
      </c>
      <c r="B255" s="79">
        <v>45364</v>
      </c>
      <c r="C255" s="80" t="s">
        <v>41</v>
      </c>
      <c r="D255" s="80" t="s">
        <v>43</v>
      </c>
      <c r="E255" s="80" t="s">
        <v>41</v>
      </c>
      <c r="F255" s="81">
        <v>8</v>
      </c>
      <c r="G255" s="81" t="s">
        <v>41</v>
      </c>
      <c r="H255" s="82">
        <v>45371</v>
      </c>
      <c r="I255" s="81">
        <v>4</v>
      </c>
      <c r="J255" s="82">
        <v>45375</v>
      </c>
      <c r="K255" s="81" t="s">
        <v>3</v>
      </c>
      <c r="L255" s="81" t="s">
        <v>5</v>
      </c>
      <c r="M255" s="81" t="s">
        <v>1</v>
      </c>
      <c r="N255" s="81" t="s">
        <v>4</v>
      </c>
    </row>
    <row r="256" spans="1:14" ht="21.75" customHeight="1" x14ac:dyDescent="0.25">
      <c r="A256" s="78">
        <v>2949</v>
      </c>
      <c r="B256" s="79">
        <v>45365</v>
      </c>
      <c r="C256" s="80" t="s">
        <v>41</v>
      </c>
      <c r="D256" s="80" t="s">
        <v>7</v>
      </c>
      <c r="E256" s="80" t="s">
        <v>41</v>
      </c>
      <c r="F256" s="81">
        <v>5</v>
      </c>
      <c r="G256" s="81" t="s">
        <v>41</v>
      </c>
      <c r="H256" s="82">
        <v>45369</v>
      </c>
      <c r="I256" s="81">
        <v>3</v>
      </c>
      <c r="J256" s="82">
        <v>45373</v>
      </c>
      <c r="K256" s="81" t="s">
        <v>41</v>
      </c>
      <c r="L256" s="81" t="s">
        <v>5</v>
      </c>
      <c r="M256" s="81" t="s">
        <v>41</v>
      </c>
      <c r="N256" s="81" t="s">
        <v>41</v>
      </c>
    </row>
    <row r="257" spans="1:14" ht="21.75" customHeight="1" x14ac:dyDescent="0.25">
      <c r="A257" s="78">
        <v>3347</v>
      </c>
      <c r="B257" s="79">
        <v>45365</v>
      </c>
      <c r="C257" s="80" t="s">
        <v>41</v>
      </c>
      <c r="D257" s="80" t="s">
        <v>7</v>
      </c>
      <c r="E257" s="80" t="s">
        <v>41</v>
      </c>
      <c r="F257" s="81">
        <v>5</v>
      </c>
      <c r="G257" s="81" t="s">
        <v>41</v>
      </c>
      <c r="H257" s="82">
        <v>45369</v>
      </c>
      <c r="I257" s="81">
        <v>3</v>
      </c>
      <c r="J257" s="82">
        <v>45373</v>
      </c>
      <c r="K257" s="81" t="s">
        <v>41</v>
      </c>
      <c r="L257" s="81" t="s">
        <v>41</v>
      </c>
      <c r="M257" s="81" t="s">
        <v>1</v>
      </c>
      <c r="N257" s="81" t="s">
        <v>41</v>
      </c>
    </row>
    <row r="258" spans="1:14" ht="21.75" customHeight="1" x14ac:dyDescent="0.25">
      <c r="A258" s="78">
        <v>3186</v>
      </c>
      <c r="B258" s="79">
        <v>45366</v>
      </c>
      <c r="C258" s="80" t="s">
        <v>41</v>
      </c>
      <c r="D258" s="80" t="s">
        <v>7</v>
      </c>
      <c r="E258" s="80" t="s">
        <v>41</v>
      </c>
      <c r="F258" s="81">
        <v>5</v>
      </c>
      <c r="G258" s="81" t="s">
        <v>41</v>
      </c>
      <c r="H258" s="82">
        <v>45370</v>
      </c>
      <c r="I258" s="81">
        <v>3</v>
      </c>
      <c r="J258" s="82">
        <v>45374</v>
      </c>
      <c r="K258" s="81" t="s">
        <v>41</v>
      </c>
      <c r="L258" s="81" t="s">
        <v>41</v>
      </c>
      <c r="M258" s="81" t="s">
        <v>1</v>
      </c>
      <c r="N258" s="81" t="s">
        <v>41</v>
      </c>
    </row>
    <row r="259" spans="1:14" ht="21.75" customHeight="1" x14ac:dyDescent="0.25">
      <c r="A259" s="78">
        <v>1804</v>
      </c>
      <c r="B259" s="79">
        <v>45367</v>
      </c>
      <c r="C259" s="80" t="s">
        <v>41</v>
      </c>
      <c r="D259" s="80" t="s">
        <v>7</v>
      </c>
      <c r="E259" s="80" t="s">
        <v>41</v>
      </c>
      <c r="F259" s="81">
        <v>5</v>
      </c>
      <c r="G259" s="81" t="s">
        <v>41</v>
      </c>
      <c r="H259" s="82">
        <v>45371</v>
      </c>
      <c r="I259" s="81">
        <v>3</v>
      </c>
      <c r="J259" s="82">
        <v>45375</v>
      </c>
      <c r="K259" s="81" t="s">
        <v>3</v>
      </c>
      <c r="L259" s="81" t="s">
        <v>5</v>
      </c>
      <c r="M259" s="81" t="s">
        <v>1</v>
      </c>
      <c r="N259" s="81" t="s">
        <v>4</v>
      </c>
    </row>
    <row r="260" spans="1:14" ht="21.75" customHeight="1" x14ac:dyDescent="0.25">
      <c r="A260" s="78">
        <v>2984</v>
      </c>
      <c r="B260" s="79">
        <v>45367</v>
      </c>
      <c r="C260" s="80" t="s">
        <v>41</v>
      </c>
      <c r="D260" s="80" t="s">
        <v>7</v>
      </c>
      <c r="E260" s="80" t="s">
        <v>41</v>
      </c>
      <c r="F260" s="81">
        <v>5</v>
      </c>
      <c r="G260" s="81" t="s">
        <v>41</v>
      </c>
      <c r="H260" s="82">
        <v>45371</v>
      </c>
      <c r="I260" s="81">
        <v>3</v>
      </c>
      <c r="J260" s="82">
        <v>45376</v>
      </c>
      <c r="K260" s="81" t="s">
        <v>3</v>
      </c>
      <c r="L260" s="81" t="s">
        <v>41</v>
      </c>
      <c r="M260" s="81" t="s">
        <v>41</v>
      </c>
      <c r="N260" s="81" t="s">
        <v>4</v>
      </c>
    </row>
    <row r="261" spans="1:14" ht="21.75" customHeight="1" x14ac:dyDescent="0.25">
      <c r="A261" s="78">
        <v>2568</v>
      </c>
      <c r="B261" s="79">
        <v>45368</v>
      </c>
      <c r="C261" s="80" t="s">
        <v>41</v>
      </c>
      <c r="D261" s="80" t="s">
        <v>43</v>
      </c>
      <c r="E261" s="80" t="s">
        <v>41</v>
      </c>
      <c r="F261" s="81">
        <v>8</v>
      </c>
      <c r="G261" s="81" t="s">
        <v>41</v>
      </c>
      <c r="H261" s="82">
        <v>45375</v>
      </c>
      <c r="I261" s="81">
        <v>4</v>
      </c>
      <c r="J261" s="82">
        <v>45380</v>
      </c>
      <c r="K261" s="81" t="s">
        <v>41</v>
      </c>
      <c r="L261" s="81" t="s">
        <v>41</v>
      </c>
      <c r="M261" s="81" t="s">
        <v>1</v>
      </c>
      <c r="N261" s="81" t="s">
        <v>41</v>
      </c>
    </row>
    <row r="262" spans="1:14" ht="21.75" customHeight="1" x14ac:dyDescent="0.25">
      <c r="A262" s="78">
        <v>3177</v>
      </c>
      <c r="B262" s="79">
        <v>45368</v>
      </c>
      <c r="C262" s="80" t="s">
        <v>41</v>
      </c>
      <c r="D262" s="80" t="s">
        <v>43</v>
      </c>
      <c r="E262" s="80" t="s">
        <v>41</v>
      </c>
      <c r="F262" s="81">
        <v>8</v>
      </c>
      <c r="G262" s="81" t="s">
        <v>41</v>
      </c>
      <c r="H262" s="82">
        <v>45375</v>
      </c>
      <c r="I262" s="81">
        <v>4</v>
      </c>
      <c r="J262" s="82">
        <v>45379</v>
      </c>
      <c r="K262" s="81" t="s">
        <v>41</v>
      </c>
      <c r="L262" s="81" t="s">
        <v>5</v>
      </c>
      <c r="M262" s="81" t="s">
        <v>1</v>
      </c>
      <c r="N262" s="81" t="s">
        <v>41</v>
      </c>
    </row>
    <row r="263" spans="1:14" ht="21.75" customHeight="1" x14ac:dyDescent="0.25">
      <c r="A263" s="78">
        <v>3117</v>
      </c>
      <c r="B263" s="79">
        <v>45369</v>
      </c>
      <c r="C263" s="80" t="s">
        <v>41</v>
      </c>
      <c r="D263" s="80" t="s">
        <v>22</v>
      </c>
      <c r="E263" s="80" t="s">
        <v>41</v>
      </c>
      <c r="F263" s="81">
        <v>5</v>
      </c>
      <c r="G263" s="81" t="s">
        <v>41</v>
      </c>
      <c r="H263" s="82">
        <v>45373</v>
      </c>
      <c r="I263" s="81">
        <v>3</v>
      </c>
      <c r="J263" s="82">
        <v>45378</v>
      </c>
      <c r="K263" s="81" t="s">
        <v>3</v>
      </c>
      <c r="L263" s="81" t="s">
        <v>41</v>
      </c>
      <c r="M263" s="81" t="s">
        <v>1</v>
      </c>
      <c r="N263" s="81" t="s">
        <v>41</v>
      </c>
    </row>
    <row r="264" spans="1:14" ht="21.75" customHeight="1" x14ac:dyDescent="0.25">
      <c r="A264" s="78">
        <v>2116</v>
      </c>
      <c r="B264" s="79">
        <v>45369</v>
      </c>
      <c r="C264" s="80" t="s">
        <v>41</v>
      </c>
      <c r="D264" s="80" t="s">
        <v>43</v>
      </c>
      <c r="E264" s="80" t="s">
        <v>41</v>
      </c>
      <c r="F264" s="81">
        <v>8</v>
      </c>
      <c r="G264" s="81" t="s">
        <v>41</v>
      </c>
      <c r="H264" s="82">
        <v>45376</v>
      </c>
      <c r="I264" s="81">
        <v>4</v>
      </c>
      <c r="J264" s="82">
        <v>45381</v>
      </c>
      <c r="K264" s="81" t="s">
        <v>41</v>
      </c>
      <c r="L264" s="81" t="s">
        <v>5</v>
      </c>
      <c r="M264" s="81" t="s">
        <v>1</v>
      </c>
      <c r="N264" s="81" t="s">
        <v>4</v>
      </c>
    </row>
    <row r="265" spans="1:14" ht="21.75" customHeight="1" x14ac:dyDescent="0.25">
      <c r="A265" s="78">
        <v>3436</v>
      </c>
      <c r="B265" s="79">
        <v>45369</v>
      </c>
      <c r="C265" s="80" t="s">
        <v>41</v>
      </c>
      <c r="D265" s="80" t="s">
        <v>43</v>
      </c>
      <c r="E265" s="80" t="s">
        <v>41</v>
      </c>
      <c r="F265" s="81">
        <v>8</v>
      </c>
      <c r="G265" s="81" t="s">
        <v>41</v>
      </c>
      <c r="H265" s="82">
        <v>45376</v>
      </c>
      <c r="I265" s="81">
        <v>4</v>
      </c>
      <c r="J265" s="82">
        <v>45380</v>
      </c>
      <c r="K265" s="81" t="s">
        <v>41</v>
      </c>
      <c r="L265" s="81" t="s">
        <v>5</v>
      </c>
      <c r="M265" s="81" t="s">
        <v>41</v>
      </c>
      <c r="N265" s="81" t="s">
        <v>4</v>
      </c>
    </row>
    <row r="266" spans="1:14" ht="21.75" customHeight="1" x14ac:dyDescent="0.25">
      <c r="A266" s="78">
        <v>3350</v>
      </c>
      <c r="B266" s="79">
        <v>45370</v>
      </c>
      <c r="C266" s="80" t="s">
        <v>41</v>
      </c>
      <c r="D266" s="80" t="s">
        <v>7</v>
      </c>
      <c r="E266" s="80" t="s">
        <v>41</v>
      </c>
      <c r="F266" s="81">
        <v>5</v>
      </c>
      <c r="G266" s="81" t="s">
        <v>41</v>
      </c>
      <c r="H266" s="82">
        <v>45374</v>
      </c>
      <c r="I266" s="81">
        <v>3</v>
      </c>
      <c r="J266" s="82">
        <v>45378</v>
      </c>
      <c r="K266" s="81" t="s">
        <v>41</v>
      </c>
      <c r="L266" s="81" t="s">
        <v>41</v>
      </c>
      <c r="M266" s="81" t="s">
        <v>1</v>
      </c>
      <c r="N266" s="81" t="s">
        <v>41</v>
      </c>
    </row>
    <row r="267" spans="1:14" ht="21.75" customHeight="1" x14ac:dyDescent="0.25">
      <c r="A267" s="78">
        <v>3452</v>
      </c>
      <c r="B267" s="79">
        <v>45370</v>
      </c>
      <c r="C267" s="80" t="s">
        <v>41</v>
      </c>
      <c r="D267" s="80" t="s">
        <v>7</v>
      </c>
      <c r="E267" s="80" t="s">
        <v>41</v>
      </c>
      <c r="F267" s="81">
        <v>5</v>
      </c>
      <c r="G267" s="81" t="s">
        <v>41</v>
      </c>
      <c r="H267" s="82">
        <v>45374</v>
      </c>
      <c r="I267" s="81">
        <v>3</v>
      </c>
      <c r="J267" s="82">
        <v>45378</v>
      </c>
      <c r="K267" s="81" t="s">
        <v>41</v>
      </c>
      <c r="L267" s="81" t="s">
        <v>41</v>
      </c>
      <c r="M267" s="81" t="s">
        <v>1</v>
      </c>
      <c r="N267" s="81" t="s">
        <v>41</v>
      </c>
    </row>
    <row r="268" spans="1:14" ht="21.75" customHeight="1" x14ac:dyDescent="0.25">
      <c r="A268" s="78">
        <v>3254</v>
      </c>
      <c r="B268" s="79">
        <v>45370</v>
      </c>
      <c r="C268" s="80" t="s">
        <v>41</v>
      </c>
      <c r="D268" s="80" t="s">
        <v>7</v>
      </c>
      <c r="E268" s="80" t="s">
        <v>41</v>
      </c>
      <c r="F268" s="81">
        <v>5</v>
      </c>
      <c r="G268" s="81" t="s">
        <v>41</v>
      </c>
      <c r="H268" s="82">
        <v>45374</v>
      </c>
      <c r="I268" s="81">
        <v>3</v>
      </c>
      <c r="J268" s="82">
        <v>45378</v>
      </c>
      <c r="K268" s="81" t="s">
        <v>41</v>
      </c>
      <c r="L268" s="81" t="s">
        <v>41</v>
      </c>
      <c r="M268" s="81" t="s">
        <v>1</v>
      </c>
      <c r="N268" s="81" t="s">
        <v>41</v>
      </c>
    </row>
    <row r="269" spans="1:14" ht="21.75" customHeight="1" x14ac:dyDescent="0.25">
      <c r="A269" s="78">
        <v>1144</v>
      </c>
      <c r="B269" s="79">
        <v>45370</v>
      </c>
      <c r="C269" s="80" t="s">
        <v>41</v>
      </c>
      <c r="D269" s="80" t="s">
        <v>7</v>
      </c>
      <c r="E269" s="80" t="s">
        <v>41</v>
      </c>
      <c r="F269" s="81">
        <v>5</v>
      </c>
      <c r="G269" s="81" t="s">
        <v>41</v>
      </c>
      <c r="H269" s="82">
        <v>45374</v>
      </c>
      <c r="I269" s="81">
        <v>3</v>
      </c>
      <c r="J269" s="82">
        <v>45378</v>
      </c>
      <c r="K269" s="81" t="s">
        <v>41</v>
      </c>
      <c r="L269" s="81" t="s">
        <v>5</v>
      </c>
      <c r="M269" s="81" t="s">
        <v>41</v>
      </c>
      <c r="N269" s="81" t="s">
        <v>41</v>
      </c>
    </row>
    <row r="270" spans="1:14" ht="21.75" customHeight="1" x14ac:dyDescent="0.25">
      <c r="A270" s="78">
        <v>148</v>
      </c>
      <c r="B270" s="79">
        <v>45370</v>
      </c>
      <c r="C270" s="80" t="s">
        <v>41</v>
      </c>
      <c r="D270" s="80" t="s">
        <v>7</v>
      </c>
      <c r="E270" s="80" t="s">
        <v>41</v>
      </c>
      <c r="F270" s="81">
        <v>5</v>
      </c>
      <c r="G270" s="81" t="s">
        <v>41</v>
      </c>
      <c r="H270" s="82">
        <v>45374</v>
      </c>
      <c r="I270" s="81">
        <v>3</v>
      </c>
      <c r="J270" s="82">
        <v>45378</v>
      </c>
      <c r="K270" s="81" t="s">
        <v>41</v>
      </c>
      <c r="L270" s="81" t="s">
        <v>41</v>
      </c>
      <c r="M270" s="81" t="s">
        <v>1</v>
      </c>
      <c r="N270" s="81" t="s">
        <v>4</v>
      </c>
    </row>
    <row r="271" spans="1:14" ht="21.75" customHeight="1" x14ac:dyDescent="0.25">
      <c r="A271" s="78">
        <v>2523</v>
      </c>
      <c r="B271" s="79">
        <v>45371</v>
      </c>
      <c r="C271" s="80" t="s">
        <v>41</v>
      </c>
      <c r="D271" s="80" t="s">
        <v>7</v>
      </c>
      <c r="E271" s="80" t="s">
        <v>41</v>
      </c>
      <c r="F271" s="81">
        <v>5</v>
      </c>
      <c r="G271" s="81" t="s">
        <v>41</v>
      </c>
      <c r="H271" s="82">
        <v>45375</v>
      </c>
      <c r="I271" s="81">
        <v>3</v>
      </c>
      <c r="J271" s="82">
        <v>45379</v>
      </c>
      <c r="K271" s="81" t="s">
        <v>41</v>
      </c>
      <c r="L271" s="81" t="s">
        <v>5</v>
      </c>
      <c r="M271" s="81" t="s">
        <v>41</v>
      </c>
      <c r="N271" s="81" t="s">
        <v>41</v>
      </c>
    </row>
    <row r="272" spans="1:14" ht="21.75" customHeight="1" x14ac:dyDescent="0.25">
      <c r="A272" s="78">
        <v>2564</v>
      </c>
      <c r="B272" s="79">
        <v>45371</v>
      </c>
      <c r="C272" s="80" t="s">
        <v>41</v>
      </c>
      <c r="D272" s="80" t="s">
        <v>22</v>
      </c>
      <c r="E272" s="80" t="s">
        <v>41</v>
      </c>
      <c r="F272" s="81">
        <v>5</v>
      </c>
      <c r="G272" s="81" t="s">
        <v>41</v>
      </c>
      <c r="H272" s="82">
        <v>45375</v>
      </c>
      <c r="I272" s="81">
        <v>3</v>
      </c>
      <c r="J272" s="82">
        <v>45379</v>
      </c>
      <c r="K272" s="81" t="s">
        <v>41</v>
      </c>
      <c r="L272" s="81" t="s">
        <v>41</v>
      </c>
      <c r="M272" s="81" t="s">
        <v>1</v>
      </c>
      <c r="N272" s="81" t="s">
        <v>41</v>
      </c>
    </row>
    <row r="273" spans="1:14" ht="21.75" customHeight="1" x14ac:dyDescent="0.25">
      <c r="A273" s="78">
        <v>1845</v>
      </c>
      <c r="B273" s="79">
        <v>45371</v>
      </c>
      <c r="C273" s="80" t="s">
        <v>41</v>
      </c>
      <c r="D273" s="80" t="s">
        <v>22</v>
      </c>
      <c r="E273" s="80" t="s">
        <v>41</v>
      </c>
      <c r="F273" s="81">
        <v>5</v>
      </c>
      <c r="G273" s="81" t="s">
        <v>41</v>
      </c>
      <c r="H273" s="82">
        <v>45375</v>
      </c>
      <c r="I273" s="81">
        <v>3</v>
      </c>
      <c r="J273" s="82">
        <v>45379</v>
      </c>
      <c r="K273" s="81" t="s">
        <v>3</v>
      </c>
      <c r="L273" s="81" t="s">
        <v>5</v>
      </c>
      <c r="M273" s="81" t="s">
        <v>1</v>
      </c>
      <c r="N273" s="81" t="s">
        <v>4</v>
      </c>
    </row>
    <row r="274" spans="1:14" ht="21.75" customHeight="1" x14ac:dyDescent="0.25">
      <c r="A274" s="78">
        <v>3347</v>
      </c>
      <c r="B274" s="79">
        <v>45372</v>
      </c>
      <c r="C274" s="80" t="s">
        <v>41</v>
      </c>
      <c r="D274" s="80" t="s">
        <v>22</v>
      </c>
      <c r="E274" s="80" t="s">
        <v>41</v>
      </c>
      <c r="F274" s="81">
        <v>5</v>
      </c>
      <c r="G274" s="81" t="s">
        <v>41</v>
      </c>
      <c r="H274" s="82">
        <v>45376</v>
      </c>
      <c r="I274" s="81">
        <v>3</v>
      </c>
      <c r="J274" s="82">
        <v>45380</v>
      </c>
      <c r="K274" s="81" t="s">
        <v>41</v>
      </c>
      <c r="L274" s="81" t="s">
        <v>41</v>
      </c>
      <c r="M274" s="81" t="s">
        <v>41</v>
      </c>
      <c r="N274" s="81" t="s">
        <v>4</v>
      </c>
    </row>
    <row r="275" spans="1:14" ht="21.75" customHeight="1" x14ac:dyDescent="0.25">
      <c r="A275" s="78">
        <v>3466</v>
      </c>
      <c r="B275" s="79">
        <v>45372</v>
      </c>
      <c r="C275" s="80" t="s">
        <v>41</v>
      </c>
      <c r="D275" s="80" t="s">
        <v>22</v>
      </c>
      <c r="E275" s="80" t="s">
        <v>41</v>
      </c>
      <c r="F275" s="81">
        <v>5</v>
      </c>
      <c r="G275" s="81" t="s">
        <v>41</v>
      </c>
      <c r="H275" s="82">
        <v>45376</v>
      </c>
      <c r="I275" s="81">
        <v>3</v>
      </c>
      <c r="J275" s="82">
        <v>45380</v>
      </c>
      <c r="K275" s="81" t="s">
        <v>41</v>
      </c>
      <c r="L275" s="81" t="s">
        <v>41</v>
      </c>
      <c r="M275" s="81" t="s">
        <v>41</v>
      </c>
      <c r="N275" s="81" t="s">
        <v>4</v>
      </c>
    </row>
    <row r="276" spans="1:14" ht="21.75" customHeight="1" x14ac:dyDescent="0.25">
      <c r="A276" s="78">
        <v>3111</v>
      </c>
      <c r="B276" s="79">
        <v>45372</v>
      </c>
      <c r="C276" s="80" t="s">
        <v>41</v>
      </c>
      <c r="D276" s="80" t="s">
        <v>7</v>
      </c>
      <c r="E276" s="80" t="s">
        <v>41</v>
      </c>
      <c r="F276" s="81">
        <v>5</v>
      </c>
      <c r="G276" s="81" t="s">
        <v>41</v>
      </c>
      <c r="H276" s="82">
        <v>45376</v>
      </c>
      <c r="I276" s="81">
        <v>3</v>
      </c>
      <c r="J276" s="82">
        <v>45380</v>
      </c>
      <c r="K276" s="81" t="s">
        <v>41</v>
      </c>
      <c r="L276" s="81" t="s">
        <v>5</v>
      </c>
      <c r="M276" s="81" t="s">
        <v>41</v>
      </c>
      <c r="N276" s="81" t="s">
        <v>41</v>
      </c>
    </row>
    <row r="277" spans="1:14" ht="21.75" customHeight="1" x14ac:dyDescent="0.25">
      <c r="A277" s="78">
        <v>3791</v>
      </c>
      <c r="B277" s="79">
        <v>45372</v>
      </c>
      <c r="C277" s="80" t="s">
        <v>41</v>
      </c>
      <c r="D277" s="80" t="s">
        <v>7</v>
      </c>
      <c r="E277" s="80" t="s">
        <v>41</v>
      </c>
      <c r="F277" s="81">
        <v>5</v>
      </c>
      <c r="G277" s="81" t="s">
        <v>41</v>
      </c>
      <c r="H277" s="82">
        <v>45376</v>
      </c>
      <c r="I277" s="81">
        <v>3</v>
      </c>
      <c r="J277" s="82">
        <v>45380</v>
      </c>
      <c r="K277" s="81" t="s">
        <v>3</v>
      </c>
      <c r="L277" s="81" t="s">
        <v>41</v>
      </c>
      <c r="M277" s="81" t="s">
        <v>41</v>
      </c>
      <c r="N277" s="81" t="s">
        <v>41</v>
      </c>
    </row>
    <row r="278" spans="1:14" ht="21.75" customHeight="1" x14ac:dyDescent="0.25">
      <c r="A278" s="78">
        <v>2246</v>
      </c>
      <c r="B278" s="79">
        <v>45373</v>
      </c>
      <c r="C278" s="80" t="s">
        <v>41</v>
      </c>
      <c r="D278" s="80" t="s">
        <v>7</v>
      </c>
      <c r="E278" s="80" t="s">
        <v>41</v>
      </c>
      <c r="F278" s="81">
        <v>5</v>
      </c>
      <c r="G278" s="81" t="s">
        <v>41</v>
      </c>
      <c r="H278" s="82">
        <v>45377</v>
      </c>
      <c r="I278" s="81">
        <v>3</v>
      </c>
      <c r="J278" s="82">
        <v>45381</v>
      </c>
      <c r="K278" s="81" t="s">
        <v>3</v>
      </c>
      <c r="L278" s="81" t="s">
        <v>41</v>
      </c>
      <c r="M278" s="81" t="s">
        <v>1</v>
      </c>
      <c r="N278" s="81" t="s">
        <v>4</v>
      </c>
    </row>
    <row r="279" spans="1:14" ht="21.75" customHeight="1" x14ac:dyDescent="0.25">
      <c r="A279" s="78">
        <v>2327</v>
      </c>
      <c r="B279" s="79">
        <v>45373</v>
      </c>
      <c r="C279" s="80" t="s">
        <v>41</v>
      </c>
      <c r="D279" s="80" t="s">
        <v>7</v>
      </c>
      <c r="E279" s="80" t="s">
        <v>41</v>
      </c>
      <c r="F279" s="81">
        <v>5</v>
      </c>
      <c r="G279" s="81" t="s">
        <v>41</v>
      </c>
      <c r="H279" s="82">
        <v>45377</v>
      </c>
      <c r="I279" s="81">
        <v>3</v>
      </c>
      <c r="J279" s="82">
        <v>45381</v>
      </c>
      <c r="K279" s="81" t="s">
        <v>3</v>
      </c>
      <c r="L279" s="81" t="s">
        <v>5</v>
      </c>
      <c r="M279" s="81" t="s">
        <v>41</v>
      </c>
      <c r="N279" s="81" t="s">
        <v>41</v>
      </c>
    </row>
    <row r="280" spans="1:14" ht="21.75" customHeight="1" x14ac:dyDescent="0.25">
      <c r="A280" s="78">
        <v>830</v>
      </c>
      <c r="B280" s="79">
        <v>45373</v>
      </c>
      <c r="C280" s="80" t="s">
        <v>41</v>
      </c>
      <c r="D280" s="80" t="s">
        <v>7</v>
      </c>
      <c r="E280" s="80" t="s">
        <v>41</v>
      </c>
      <c r="F280" s="81">
        <v>5</v>
      </c>
      <c r="G280" s="81" t="s">
        <v>41</v>
      </c>
      <c r="H280" s="82">
        <v>45377</v>
      </c>
      <c r="I280" s="81">
        <v>3</v>
      </c>
      <c r="J280" s="82">
        <v>45381</v>
      </c>
      <c r="K280" s="81" t="s">
        <v>3</v>
      </c>
      <c r="L280" s="81" t="s">
        <v>5</v>
      </c>
      <c r="M280" s="81" t="s">
        <v>1</v>
      </c>
      <c r="N280" s="81" t="s">
        <v>4</v>
      </c>
    </row>
    <row r="281" spans="1:14" ht="21.75" customHeight="1" x14ac:dyDescent="0.25">
      <c r="A281" s="78">
        <v>3131</v>
      </c>
      <c r="B281" s="79">
        <v>45373</v>
      </c>
      <c r="C281" s="80" t="s">
        <v>41</v>
      </c>
      <c r="D281" s="80" t="s">
        <v>7</v>
      </c>
      <c r="E281" s="80" t="s">
        <v>41</v>
      </c>
      <c r="F281" s="81">
        <v>5</v>
      </c>
      <c r="G281" s="81" t="s">
        <v>41</v>
      </c>
      <c r="H281" s="82">
        <v>45377</v>
      </c>
      <c r="I281" s="81">
        <v>3</v>
      </c>
      <c r="J281" s="82">
        <v>45381</v>
      </c>
      <c r="K281" s="81" t="s">
        <v>41</v>
      </c>
      <c r="L281" s="81" t="s">
        <v>5</v>
      </c>
      <c r="M281" s="81" t="s">
        <v>41</v>
      </c>
      <c r="N281" s="81" t="s">
        <v>4</v>
      </c>
    </row>
    <row r="282" spans="1:14" ht="21.75" customHeight="1" x14ac:dyDescent="0.25">
      <c r="A282" s="78">
        <v>2899</v>
      </c>
      <c r="B282" s="79">
        <v>45373</v>
      </c>
      <c r="C282" s="80" t="s">
        <v>41</v>
      </c>
      <c r="D282" s="80" t="s">
        <v>7</v>
      </c>
      <c r="E282" s="80" t="s">
        <v>41</v>
      </c>
      <c r="F282" s="81">
        <v>5</v>
      </c>
      <c r="G282" s="81" t="s">
        <v>41</v>
      </c>
      <c r="H282" s="82">
        <v>45377</v>
      </c>
      <c r="I282" s="81">
        <v>3</v>
      </c>
      <c r="J282" s="82">
        <v>45381</v>
      </c>
      <c r="K282" s="81" t="s">
        <v>41</v>
      </c>
      <c r="L282" s="81" t="s">
        <v>5</v>
      </c>
      <c r="M282" s="81" t="s">
        <v>41</v>
      </c>
      <c r="N282" s="81" t="s">
        <v>41</v>
      </c>
    </row>
    <row r="283" spans="1:14" ht="21.75" customHeight="1" x14ac:dyDescent="0.25">
      <c r="A283" s="78">
        <v>2984</v>
      </c>
      <c r="B283" s="79">
        <v>45373</v>
      </c>
      <c r="C283" s="80" t="s">
        <v>41</v>
      </c>
      <c r="D283" s="80" t="s">
        <v>22</v>
      </c>
      <c r="E283" s="80" t="s">
        <v>41</v>
      </c>
      <c r="F283" s="81">
        <v>5</v>
      </c>
      <c r="G283" s="81" t="s">
        <v>41</v>
      </c>
      <c r="H283" s="82">
        <v>45377</v>
      </c>
      <c r="I283" s="81">
        <v>3</v>
      </c>
      <c r="J283" s="82">
        <v>45382</v>
      </c>
      <c r="K283" s="81" t="s">
        <v>3</v>
      </c>
      <c r="L283" s="81" t="s">
        <v>41</v>
      </c>
      <c r="M283" s="81" t="s">
        <v>1</v>
      </c>
      <c r="N283" s="81" t="s">
        <v>41</v>
      </c>
    </row>
    <row r="284" spans="1:14" ht="21.75" customHeight="1" x14ac:dyDescent="0.25">
      <c r="A284" s="78">
        <v>2409</v>
      </c>
      <c r="B284" s="79">
        <v>45373</v>
      </c>
      <c r="C284" s="80" t="s">
        <v>41</v>
      </c>
      <c r="D284" s="80" t="s">
        <v>43</v>
      </c>
      <c r="E284" s="80" t="s">
        <v>41</v>
      </c>
      <c r="F284" s="81">
        <v>5</v>
      </c>
      <c r="G284" s="81" t="s">
        <v>41</v>
      </c>
      <c r="H284" s="82">
        <v>45377</v>
      </c>
      <c r="I284" s="81">
        <v>4</v>
      </c>
      <c r="J284" s="82">
        <v>45381</v>
      </c>
      <c r="K284" s="81" t="s">
        <v>3</v>
      </c>
      <c r="L284" s="81" t="s">
        <v>5</v>
      </c>
      <c r="M284" s="81" t="s">
        <v>41</v>
      </c>
      <c r="N284" s="81" t="s">
        <v>4</v>
      </c>
    </row>
    <row r="285" spans="1:14" ht="21.75" customHeight="1" x14ac:dyDescent="0.25">
      <c r="A285" s="78">
        <v>2692</v>
      </c>
      <c r="B285" s="79">
        <v>45374</v>
      </c>
      <c r="C285" s="80" t="s">
        <v>41</v>
      </c>
      <c r="D285" s="80" t="s">
        <v>7</v>
      </c>
      <c r="E285" s="80" t="s">
        <v>41</v>
      </c>
      <c r="F285" s="81">
        <v>5</v>
      </c>
      <c r="G285" s="81" t="s">
        <v>41</v>
      </c>
      <c r="H285" s="82">
        <v>45378</v>
      </c>
      <c r="I285" s="81">
        <v>3</v>
      </c>
      <c r="J285" s="82">
        <v>45382</v>
      </c>
      <c r="K285" s="81" t="s">
        <v>41</v>
      </c>
      <c r="L285" s="81" t="s">
        <v>41</v>
      </c>
      <c r="M285" s="81" t="s">
        <v>1</v>
      </c>
      <c r="N285" s="81" t="s">
        <v>41</v>
      </c>
    </row>
    <row r="286" spans="1:14" ht="21.75" customHeight="1" x14ac:dyDescent="0.25">
      <c r="A286" s="78">
        <v>3186</v>
      </c>
      <c r="B286" s="79">
        <v>45375</v>
      </c>
      <c r="C286" s="80" t="s">
        <v>41</v>
      </c>
      <c r="D286" s="80" t="s">
        <v>7</v>
      </c>
      <c r="E286" s="80" t="s">
        <v>41</v>
      </c>
      <c r="F286" s="81">
        <v>5</v>
      </c>
      <c r="G286" s="81" t="s">
        <v>41</v>
      </c>
      <c r="H286" s="82">
        <v>45379</v>
      </c>
      <c r="I286" s="81">
        <v>3</v>
      </c>
      <c r="J286" s="82">
        <v>45383</v>
      </c>
      <c r="K286" s="81" t="s">
        <v>41</v>
      </c>
      <c r="L286" s="81" t="s">
        <v>5</v>
      </c>
      <c r="M286" s="81" t="s">
        <v>41</v>
      </c>
      <c r="N286" s="81" t="s">
        <v>41</v>
      </c>
    </row>
    <row r="287" spans="1:14" ht="21.75" customHeight="1" x14ac:dyDescent="0.25">
      <c r="A287" s="78">
        <v>1804</v>
      </c>
      <c r="B287" s="79">
        <v>45375</v>
      </c>
      <c r="C287" s="80" t="s">
        <v>41</v>
      </c>
      <c r="D287" s="80" t="s">
        <v>22</v>
      </c>
      <c r="E287" s="80" t="s">
        <v>41</v>
      </c>
      <c r="F287" s="81">
        <v>5</v>
      </c>
      <c r="G287" s="81" t="s">
        <v>41</v>
      </c>
      <c r="H287" s="82">
        <v>45379</v>
      </c>
      <c r="I287" s="81">
        <v>3</v>
      </c>
      <c r="J287" s="82">
        <v>45389</v>
      </c>
      <c r="K287" s="81" t="s">
        <v>3</v>
      </c>
      <c r="L287" s="81" t="s">
        <v>5</v>
      </c>
      <c r="M287" s="81" t="s">
        <v>1</v>
      </c>
      <c r="N287" s="81" t="s">
        <v>4</v>
      </c>
    </row>
    <row r="288" spans="1:14" ht="21.75" customHeight="1" x14ac:dyDescent="0.25">
      <c r="A288" s="78">
        <v>3117</v>
      </c>
      <c r="B288" s="79">
        <v>45375</v>
      </c>
      <c r="C288" s="80" t="s">
        <v>41</v>
      </c>
      <c r="D288" s="80" t="s">
        <v>40</v>
      </c>
      <c r="E288" s="80" t="s">
        <v>41</v>
      </c>
      <c r="F288" s="81">
        <v>5</v>
      </c>
      <c r="G288" s="81" t="s">
        <v>41</v>
      </c>
      <c r="H288" s="82">
        <v>45379</v>
      </c>
      <c r="I288" s="81">
        <v>9</v>
      </c>
      <c r="J288" s="82">
        <v>45383</v>
      </c>
      <c r="K288" s="81" t="s">
        <v>3</v>
      </c>
      <c r="L288" s="81" t="s">
        <v>41</v>
      </c>
      <c r="M288" s="81" t="s">
        <v>1</v>
      </c>
      <c r="N288" s="81" t="s">
        <v>41</v>
      </c>
    </row>
    <row r="289" spans="1:14" ht="21.75" customHeight="1" x14ac:dyDescent="0.25">
      <c r="A289" s="78">
        <v>2759</v>
      </c>
      <c r="B289" s="79">
        <v>45376</v>
      </c>
      <c r="C289" s="80" t="s">
        <v>41</v>
      </c>
      <c r="D289" s="80" t="s">
        <v>7</v>
      </c>
      <c r="E289" s="80" t="s">
        <v>41</v>
      </c>
      <c r="F289" s="81">
        <v>5</v>
      </c>
      <c r="G289" s="81" t="s">
        <v>41</v>
      </c>
      <c r="H289" s="82">
        <v>45380</v>
      </c>
      <c r="I289" s="81">
        <v>3</v>
      </c>
      <c r="J289" s="82">
        <v>45384</v>
      </c>
      <c r="K289" s="81" t="s">
        <v>41</v>
      </c>
      <c r="L289" s="81" t="s">
        <v>5</v>
      </c>
      <c r="M289" s="81" t="s">
        <v>41</v>
      </c>
      <c r="N289" s="81" t="s">
        <v>41</v>
      </c>
    </row>
    <row r="290" spans="1:14" ht="21.75" customHeight="1" x14ac:dyDescent="0.25">
      <c r="A290" s="78">
        <v>3617</v>
      </c>
      <c r="B290" s="79">
        <v>45376</v>
      </c>
      <c r="C290" s="80" t="s">
        <v>41</v>
      </c>
      <c r="D290" s="80" t="s">
        <v>7</v>
      </c>
      <c r="E290" s="80" t="s">
        <v>41</v>
      </c>
      <c r="F290" s="81">
        <v>5</v>
      </c>
      <c r="G290" s="81" t="s">
        <v>41</v>
      </c>
      <c r="H290" s="82">
        <v>45380</v>
      </c>
      <c r="I290" s="81">
        <v>3</v>
      </c>
      <c r="J290" s="82">
        <v>45384</v>
      </c>
      <c r="K290" s="81" t="s">
        <v>41</v>
      </c>
      <c r="L290" s="81" t="s">
        <v>41</v>
      </c>
      <c r="M290" s="81" t="s">
        <v>1</v>
      </c>
      <c r="N290" s="81" t="s">
        <v>41</v>
      </c>
    </row>
    <row r="291" spans="1:14" ht="21.75" customHeight="1" x14ac:dyDescent="0.25">
      <c r="A291" s="78">
        <v>1652</v>
      </c>
      <c r="B291" s="79">
        <v>45376</v>
      </c>
      <c r="C291" s="80" t="s">
        <v>41</v>
      </c>
      <c r="D291" s="80" t="s">
        <v>7</v>
      </c>
      <c r="E291" s="80" t="s">
        <v>41</v>
      </c>
      <c r="F291" s="81">
        <v>5</v>
      </c>
      <c r="G291" s="81" t="s">
        <v>41</v>
      </c>
      <c r="H291" s="82">
        <v>45380</v>
      </c>
      <c r="I291" s="81">
        <v>3</v>
      </c>
      <c r="J291" s="82">
        <v>45384</v>
      </c>
      <c r="K291" s="81" t="s">
        <v>3</v>
      </c>
      <c r="L291" s="81" t="s">
        <v>41</v>
      </c>
      <c r="M291" s="81" t="s">
        <v>41</v>
      </c>
      <c r="N291" s="81" t="s">
        <v>41</v>
      </c>
    </row>
    <row r="292" spans="1:14" ht="21.75" customHeight="1" x14ac:dyDescent="0.25">
      <c r="A292" s="78">
        <v>2668</v>
      </c>
      <c r="B292" s="79">
        <v>45411</v>
      </c>
      <c r="C292" s="80" t="s">
        <v>41</v>
      </c>
      <c r="D292" s="80" t="s">
        <v>7</v>
      </c>
      <c r="E292" s="80" t="s">
        <v>41</v>
      </c>
      <c r="F292" s="81">
        <v>5</v>
      </c>
      <c r="G292" s="81" t="s">
        <v>41</v>
      </c>
      <c r="H292" s="82">
        <v>45415</v>
      </c>
      <c r="I292" s="81">
        <v>3</v>
      </c>
      <c r="J292" s="82">
        <v>45420</v>
      </c>
      <c r="K292" s="81" t="s">
        <v>41</v>
      </c>
      <c r="L292" s="81" t="s">
        <v>5</v>
      </c>
      <c r="M292" s="81" t="s">
        <v>41</v>
      </c>
      <c r="N292" s="81" t="s">
        <v>4</v>
      </c>
    </row>
    <row r="293" spans="1:14" ht="21.75" customHeight="1" x14ac:dyDescent="0.25">
      <c r="A293" s="78">
        <v>113</v>
      </c>
      <c r="B293" s="79">
        <v>45411</v>
      </c>
      <c r="C293" s="80" t="s">
        <v>41</v>
      </c>
      <c r="D293" s="80" t="s">
        <v>43</v>
      </c>
      <c r="E293" s="80" t="s">
        <v>41</v>
      </c>
      <c r="F293" s="81">
        <v>5</v>
      </c>
      <c r="G293" s="81" t="s">
        <v>41</v>
      </c>
      <c r="H293" s="82">
        <v>45415</v>
      </c>
      <c r="I293" s="81">
        <v>4</v>
      </c>
      <c r="J293" s="82">
        <v>45425</v>
      </c>
      <c r="K293" s="81" t="s">
        <v>3</v>
      </c>
      <c r="L293" s="81" t="s">
        <v>41</v>
      </c>
      <c r="M293" s="81" t="s">
        <v>41</v>
      </c>
      <c r="N293" s="81" t="s">
        <v>41</v>
      </c>
    </row>
    <row r="294" spans="1:14" ht="21.75" customHeight="1" x14ac:dyDescent="0.25">
      <c r="A294" s="78">
        <v>3111</v>
      </c>
      <c r="B294" s="79">
        <v>45411</v>
      </c>
      <c r="C294" s="80" t="s">
        <v>41</v>
      </c>
      <c r="D294" s="80" t="s">
        <v>40</v>
      </c>
      <c r="E294" s="80" t="s">
        <v>41</v>
      </c>
      <c r="F294" s="81">
        <v>5</v>
      </c>
      <c r="G294" s="81" t="s">
        <v>41</v>
      </c>
      <c r="H294" s="82">
        <v>45415</v>
      </c>
      <c r="I294" s="81">
        <v>9</v>
      </c>
      <c r="J294" s="82">
        <v>45425</v>
      </c>
      <c r="K294" s="81" t="s">
        <v>3</v>
      </c>
      <c r="L294" s="81" t="s">
        <v>41</v>
      </c>
      <c r="M294" s="81" t="s">
        <v>41</v>
      </c>
      <c r="N294" s="81" t="s">
        <v>41</v>
      </c>
    </row>
    <row r="295" spans="1:14" ht="21.75" customHeight="1" x14ac:dyDescent="0.25">
      <c r="A295" s="78">
        <v>3381</v>
      </c>
      <c r="B295" s="79">
        <v>45411</v>
      </c>
      <c r="C295" s="80" t="s">
        <v>41</v>
      </c>
      <c r="D295" s="80" t="s">
        <v>92</v>
      </c>
      <c r="E295" s="80" t="s">
        <v>41</v>
      </c>
      <c r="F295" s="81">
        <v>5</v>
      </c>
      <c r="G295" s="81" t="s">
        <v>41</v>
      </c>
      <c r="H295" s="82">
        <v>45415</v>
      </c>
      <c r="I295" s="81">
        <v>9</v>
      </c>
      <c r="J295" s="82">
        <v>45425</v>
      </c>
      <c r="K295" s="81" t="s">
        <v>3</v>
      </c>
      <c r="L295" s="81" t="s">
        <v>5</v>
      </c>
      <c r="M295" s="81" t="s">
        <v>41</v>
      </c>
      <c r="N295" s="81" t="s">
        <v>41</v>
      </c>
    </row>
    <row r="296" spans="1:14" ht="21.75" customHeight="1" x14ac:dyDescent="0.25">
      <c r="A296" s="78">
        <v>3133</v>
      </c>
      <c r="B296" s="79">
        <v>45412</v>
      </c>
      <c r="C296" s="80" t="s">
        <v>41</v>
      </c>
      <c r="D296" s="80" t="s">
        <v>40</v>
      </c>
      <c r="E296" s="80" t="s">
        <v>41</v>
      </c>
      <c r="F296" s="81">
        <v>5</v>
      </c>
      <c r="G296" s="81" t="s">
        <v>41</v>
      </c>
      <c r="H296" s="82">
        <v>45416</v>
      </c>
      <c r="I296" s="81">
        <v>9</v>
      </c>
      <c r="J296" s="82">
        <v>45426</v>
      </c>
      <c r="K296" s="81" t="s">
        <v>41</v>
      </c>
      <c r="L296" s="81" t="s">
        <v>5</v>
      </c>
      <c r="M296" s="81" t="s">
        <v>41</v>
      </c>
      <c r="N296" s="81" t="s">
        <v>4</v>
      </c>
    </row>
    <row r="297" spans="1:14" ht="21.75" customHeight="1" x14ac:dyDescent="0.25">
      <c r="A297" s="78">
        <v>892</v>
      </c>
      <c r="B297" s="79">
        <v>45412</v>
      </c>
      <c r="C297" s="80" t="s">
        <v>41</v>
      </c>
      <c r="D297" s="80" t="s">
        <v>92</v>
      </c>
      <c r="E297" s="80" t="s">
        <v>41</v>
      </c>
      <c r="F297" s="81">
        <v>5</v>
      </c>
      <c r="G297" s="81" t="s">
        <v>41</v>
      </c>
      <c r="H297" s="82">
        <v>45416</v>
      </c>
      <c r="I297" s="81">
        <v>9</v>
      </c>
      <c r="J297" s="82">
        <v>45420</v>
      </c>
      <c r="K297" s="81" t="s">
        <v>3</v>
      </c>
      <c r="L297" s="81" t="s">
        <v>5</v>
      </c>
      <c r="M297" s="81" t="s">
        <v>1</v>
      </c>
      <c r="N297" s="81" t="s">
        <v>4</v>
      </c>
    </row>
    <row r="298" spans="1:14" ht="21.75" customHeight="1" x14ac:dyDescent="0.25">
      <c r="A298" s="78">
        <v>2755</v>
      </c>
      <c r="B298" s="79">
        <v>45412</v>
      </c>
      <c r="C298" s="80" t="s">
        <v>41</v>
      </c>
      <c r="D298" s="80" t="s">
        <v>44</v>
      </c>
      <c r="E298" s="80" t="s">
        <v>41</v>
      </c>
      <c r="F298" s="81">
        <v>5</v>
      </c>
      <c r="G298" s="81" t="s">
        <v>41</v>
      </c>
      <c r="H298" s="82">
        <v>45416</v>
      </c>
      <c r="I298" s="81">
        <v>3</v>
      </c>
      <c r="J298" s="82">
        <v>45420</v>
      </c>
      <c r="K298" s="81" t="s">
        <v>3</v>
      </c>
      <c r="L298" s="81" t="s">
        <v>5</v>
      </c>
      <c r="M298" s="81" t="s">
        <v>41</v>
      </c>
      <c r="N298" s="81" t="s">
        <v>41</v>
      </c>
    </row>
    <row r="299" spans="1:14" ht="21.75" customHeight="1" x14ac:dyDescent="0.25">
      <c r="A299" s="78">
        <v>3944</v>
      </c>
      <c r="B299" s="79">
        <v>45413</v>
      </c>
      <c r="C299" s="80" t="s">
        <v>41</v>
      </c>
      <c r="D299" s="80" t="s">
        <v>7</v>
      </c>
      <c r="E299" s="80" t="s">
        <v>41</v>
      </c>
      <c r="F299" s="81">
        <v>5</v>
      </c>
      <c r="G299" s="81" t="s">
        <v>41</v>
      </c>
      <c r="H299" s="82">
        <v>45417</v>
      </c>
      <c r="I299" s="81">
        <v>3</v>
      </c>
      <c r="J299" s="82">
        <v>45421</v>
      </c>
      <c r="K299" s="81" t="s">
        <v>41</v>
      </c>
      <c r="L299" s="81" t="s">
        <v>41</v>
      </c>
      <c r="M299" s="81" t="s">
        <v>4</v>
      </c>
      <c r="N299" s="81" t="s">
        <v>1</v>
      </c>
    </row>
    <row r="300" spans="1:14" ht="21.75" customHeight="1" x14ac:dyDescent="0.25">
      <c r="A300" s="78">
        <v>3211</v>
      </c>
      <c r="B300" s="79">
        <v>45413</v>
      </c>
      <c r="C300" s="80" t="s">
        <v>41</v>
      </c>
      <c r="D300" s="80" t="s">
        <v>7</v>
      </c>
      <c r="E300" s="80" t="s">
        <v>41</v>
      </c>
      <c r="F300" s="81">
        <v>5</v>
      </c>
      <c r="G300" s="81" t="s">
        <v>41</v>
      </c>
      <c r="H300" s="82">
        <v>45417</v>
      </c>
      <c r="I300" s="81">
        <v>3</v>
      </c>
      <c r="J300" s="82">
        <v>45421</v>
      </c>
      <c r="K300" s="81" t="s">
        <v>3</v>
      </c>
      <c r="L300" s="81" t="s">
        <v>5</v>
      </c>
      <c r="M300" s="81" t="s">
        <v>1</v>
      </c>
      <c r="N300" s="81" t="s">
        <v>4</v>
      </c>
    </row>
    <row r="301" spans="1:14" ht="21.75" customHeight="1" x14ac:dyDescent="0.25">
      <c r="A301" s="78">
        <v>3387</v>
      </c>
      <c r="B301" s="79">
        <v>45414</v>
      </c>
      <c r="C301" s="80" t="s">
        <v>41</v>
      </c>
      <c r="D301" s="80" t="s">
        <v>7</v>
      </c>
      <c r="E301" s="80" t="s">
        <v>41</v>
      </c>
      <c r="F301" s="81">
        <v>5</v>
      </c>
      <c r="G301" s="81" t="s">
        <v>41</v>
      </c>
      <c r="H301" s="82">
        <v>45418</v>
      </c>
      <c r="I301" s="81">
        <v>3</v>
      </c>
      <c r="J301" s="82">
        <v>45423</v>
      </c>
      <c r="K301" s="81" t="s">
        <v>41</v>
      </c>
      <c r="L301" s="81" t="s">
        <v>41</v>
      </c>
      <c r="M301" s="81" t="s">
        <v>1</v>
      </c>
      <c r="N301" s="81" t="s">
        <v>41</v>
      </c>
    </row>
    <row r="302" spans="1:14" ht="21.75" customHeight="1" x14ac:dyDescent="0.25">
      <c r="A302" s="78">
        <v>2922</v>
      </c>
      <c r="B302" s="79">
        <v>45414</v>
      </c>
      <c r="C302" s="80" t="s">
        <v>41</v>
      </c>
      <c r="D302" s="80" t="s">
        <v>43</v>
      </c>
      <c r="E302" s="80" t="s">
        <v>41</v>
      </c>
      <c r="F302" s="81">
        <v>5</v>
      </c>
      <c r="G302" s="81" t="s">
        <v>41</v>
      </c>
      <c r="H302" s="82">
        <v>45418</v>
      </c>
      <c r="I302" s="81">
        <v>4</v>
      </c>
      <c r="J302" s="82">
        <v>45423</v>
      </c>
      <c r="K302" s="81" t="s">
        <v>3</v>
      </c>
      <c r="L302" s="81" t="s">
        <v>41</v>
      </c>
      <c r="M302" s="81" t="s">
        <v>41</v>
      </c>
      <c r="N302" s="81" t="s">
        <v>41</v>
      </c>
    </row>
    <row r="303" spans="1:14" ht="21.75" customHeight="1" x14ac:dyDescent="0.25">
      <c r="A303" s="78">
        <v>1123</v>
      </c>
      <c r="B303" s="79">
        <v>45414</v>
      </c>
      <c r="C303" s="80" t="s">
        <v>41</v>
      </c>
      <c r="D303" s="80" t="s">
        <v>43</v>
      </c>
      <c r="E303" s="80" t="s">
        <v>41</v>
      </c>
      <c r="F303" s="81">
        <v>5</v>
      </c>
      <c r="G303" s="81" t="s">
        <v>41</v>
      </c>
      <c r="H303" s="82">
        <v>45418</v>
      </c>
      <c r="I303" s="81">
        <v>4</v>
      </c>
      <c r="J303" s="82">
        <v>45422</v>
      </c>
      <c r="K303" s="81" t="s">
        <v>41</v>
      </c>
      <c r="L303" s="81" t="s">
        <v>5</v>
      </c>
      <c r="M303" s="81" t="s">
        <v>41</v>
      </c>
      <c r="N303" s="81" t="s">
        <v>41</v>
      </c>
    </row>
    <row r="304" spans="1:14" ht="21.75" customHeight="1" x14ac:dyDescent="0.25">
      <c r="A304" s="78">
        <v>3104</v>
      </c>
      <c r="B304" s="79">
        <v>45414</v>
      </c>
      <c r="C304" s="80" t="s">
        <v>41</v>
      </c>
      <c r="D304" s="80" t="s">
        <v>7</v>
      </c>
      <c r="E304" s="80" t="s">
        <v>41</v>
      </c>
      <c r="F304" s="81">
        <v>5</v>
      </c>
      <c r="G304" s="81" t="s">
        <v>41</v>
      </c>
      <c r="H304" s="82">
        <v>45418</v>
      </c>
      <c r="I304" s="81">
        <v>3</v>
      </c>
      <c r="J304" s="82">
        <v>45422</v>
      </c>
      <c r="K304" s="81" t="s">
        <v>41</v>
      </c>
      <c r="L304" s="81" t="s">
        <v>41</v>
      </c>
      <c r="M304" s="81" t="s">
        <v>41</v>
      </c>
      <c r="N304" s="81" t="s">
        <v>4</v>
      </c>
    </row>
    <row r="305" spans="1:14" ht="21.75" customHeight="1" x14ac:dyDescent="0.25">
      <c r="A305" s="78">
        <v>3653</v>
      </c>
      <c r="B305" s="79">
        <v>45414</v>
      </c>
      <c r="C305" s="80" t="s">
        <v>41</v>
      </c>
      <c r="D305" s="80" t="s">
        <v>7</v>
      </c>
      <c r="E305" s="80" t="s">
        <v>41</v>
      </c>
      <c r="F305" s="81">
        <v>5</v>
      </c>
      <c r="G305" s="81" t="s">
        <v>41</v>
      </c>
      <c r="H305" s="82">
        <v>45418</v>
      </c>
      <c r="I305" s="81">
        <v>3</v>
      </c>
      <c r="J305" s="82">
        <v>45422</v>
      </c>
      <c r="K305" s="81" t="s">
        <v>41</v>
      </c>
      <c r="L305" s="81" t="s">
        <v>41</v>
      </c>
      <c r="M305" s="81" t="s">
        <v>41</v>
      </c>
      <c r="N305" s="81" t="s">
        <v>4</v>
      </c>
    </row>
    <row r="306" spans="1:14" ht="21.75" customHeight="1" x14ac:dyDescent="0.25">
      <c r="A306" s="78">
        <v>2966</v>
      </c>
      <c r="B306" s="79">
        <v>45415</v>
      </c>
      <c r="C306" s="80" t="s">
        <v>41</v>
      </c>
      <c r="D306" s="80" t="s">
        <v>22</v>
      </c>
      <c r="E306" s="80" t="s">
        <v>41</v>
      </c>
      <c r="F306" s="81">
        <v>5</v>
      </c>
      <c r="G306" s="81" t="s">
        <v>41</v>
      </c>
      <c r="H306" s="82">
        <v>45419</v>
      </c>
      <c r="I306" s="81">
        <v>3</v>
      </c>
      <c r="J306" s="82">
        <v>45424</v>
      </c>
      <c r="K306" s="81" t="s">
        <v>3</v>
      </c>
      <c r="L306" s="81" t="s">
        <v>5</v>
      </c>
      <c r="M306" s="81" t="s">
        <v>1</v>
      </c>
      <c r="N306" s="81" t="s">
        <v>4</v>
      </c>
    </row>
    <row r="307" spans="1:14" ht="21.75" customHeight="1" x14ac:dyDescent="0.25">
      <c r="A307" s="78">
        <v>3779</v>
      </c>
      <c r="B307" s="79">
        <v>45415</v>
      </c>
      <c r="C307" s="80" t="s">
        <v>41</v>
      </c>
      <c r="D307" s="80" t="s">
        <v>43</v>
      </c>
      <c r="E307" s="80" t="s">
        <v>41</v>
      </c>
      <c r="F307" s="81">
        <v>5</v>
      </c>
      <c r="G307" s="81" t="s">
        <v>41</v>
      </c>
      <c r="H307" s="82">
        <v>45419</v>
      </c>
      <c r="I307" s="81">
        <v>4</v>
      </c>
      <c r="J307" s="82">
        <v>45424</v>
      </c>
      <c r="K307" s="81" t="s">
        <v>3</v>
      </c>
      <c r="L307" s="81" t="s">
        <v>5</v>
      </c>
      <c r="M307" s="81" t="s">
        <v>1</v>
      </c>
      <c r="N307" s="81" t="s">
        <v>4</v>
      </c>
    </row>
    <row r="308" spans="1:14" ht="21.75" customHeight="1" x14ac:dyDescent="0.25">
      <c r="A308" s="78">
        <v>3906</v>
      </c>
      <c r="B308" s="79">
        <v>45415</v>
      </c>
      <c r="C308" s="80" t="s">
        <v>41</v>
      </c>
      <c r="D308" s="80" t="s">
        <v>43</v>
      </c>
      <c r="E308" s="80" t="s">
        <v>41</v>
      </c>
      <c r="F308" s="81">
        <v>5</v>
      </c>
      <c r="G308" s="81" t="s">
        <v>41</v>
      </c>
      <c r="H308" s="82">
        <v>45419</v>
      </c>
      <c r="I308" s="81">
        <v>4</v>
      </c>
      <c r="J308" s="82">
        <v>45424</v>
      </c>
      <c r="K308" s="81" t="s">
        <v>41</v>
      </c>
      <c r="L308" s="81" t="s">
        <v>5</v>
      </c>
      <c r="M308" s="81" t="s">
        <v>41</v>
      </c>
      <c r="N308" s="81" t="s">
        <v>41</v>
      </c>
    </row>
    <row r="309" spans="1:14" ht="21.75" customHeight="1" x14ac:dyDescent="0.25">
      <c r="A309" s="78">
        <v>3211</v>
      </c>
      <c r="B309" s="79">
        <v>45415</v>
      </c>
      <c r="C309" s="80" t="s">
        <v>41</v>
      </c>
      <c r="D309" s="80" t="s">
        <v>43</v>
      </c>
      <c r="E309" s="80" t="s">
        <v>41</v>
      </c>
      <c r="F309" s="81">
        <v>5</v>
      </c>
      <c r="G309" s="81" t="s">
        <v>41</v>
      </c>
      <c r="H309" s="82">
        <v>45419</v>
      </c>
      <c r="I309" s="81">
        <v>4</v>
      </c>
      <c r="J309" s="82">
        <v>45423</v>
      </c>
      <c r="K309" s="81" t="s">
        <v>3</v>
      </c>
      <c r="L309" s="81" t="s">
        <v>5</v>
      </c>
      <c r="M309" s="81" t="s">
        <v>1</v>
      </c>
      <c r="N309" s="81" t="s">
        <v>4</v>
      </c>
    </row>
    <row r="310" spans="1:14" ht="21.75" customHeight="1" x14ac:dyDescent="0.25">
      <c r="A310" s="78">
        <v>4023</v>
      </c>
      <c r="B310" s="79">
        <v>45416</v>
      </c>
      <c r="C310" s="80" t="s">
        <v>41</v>
      </c>
      <c r="D310" s="80" t="s">
        <v>7</v>
      </c>
      <c r="E310" s="80" t="s">
        <v>41</v>
      </c>
      <c r="F310" s="81">
        <v>5</v>
      </c>
      <c r="G310" s="81" t="s">
        <v>41</v>
      </c>
      <c r="H310" s="82">
        <v>45420</v>
      </c>
      <c r="I310" s="81">
        <v>3</v>
      </c>
      <c r="J310" s="82">
        <v>45424</v>
      </c>
      <c r="K310" s="81" t="s">
        <v>41</v>
      </c>
      <c r="L310" s="81" t="s">
        <v>5</v>
      </c>
      <c r="M310" s="81" t="s">
        <v>1</v>
      </c>
      <c r="N310" s="81" t="s">
        <v>4</v>
      </c>
    </row>
    <row r="311" spans="1:14" ht="21.75" customHeight="1" x14ac:dyDescent="0.25">
      <c r="A311" s="78">
        <v>3111</v>
      </c>
      <c r="B311" s="79">
        <v>45416</v>
      </c>
      <c r="C311" s="80" t="s">
        <v>41</v>
      </c>
      <c r="D311" s="80" t="s">
        <v>7</v>
      </c>
      <c r="E311" s="80" t="s">
        <v>41</v>
      </c>
      <c r="F311" s="81">
        <v>5</v>
      </c>
      <c r="G311" s="81" t="s">
        <v>41</v>
      </c>
      <c r="H311" s="82">
        <v>45420</v>
      </c>
      <c r="I311" s="81">
        <v>3</v>
      </c>
      <c r="J311" s="82">
        <v>45424</v>
      </c>
      <c r="K311" s="81" t="s">
        <v>3</v>
      </c>
      <c r="L311" s="81" t="s">
        <v>41</v>
      </c>
      <c r="M311" s="81" t="s">
        <v>1</v>
      </c>
      <c r="N311" s="81" t="s">
        <v>41</v>
      </c>
    </row>
    <row r="312" spans="1:14" ht="21.75" customHeight="1" x14ac:dyDescent="0.25">
      <c r="A312" s="78">
        <v>2668</v>
      </c>
      <c r="B312" s="79">
        <v>45416</v>
      </c>
      <c r="C312" s="80" t="s">
        <v>41</v>
      </c>
      <c r="D312" s="80" t="s">
        <v>93</v>
      </c>
      <c r="E312" s="80" t="s">
        <v>41</v>
      </c>
      <c r="F312" s="81">
        <v>5</v>
      </c>
      <c r="G312" s="81" t="s">
        <v>41</v>
      </c>
      <c r="H312" s="82">
        <v>45420</v>
      </c>
      <c r="I312" s="81">
        <v>3</v>
      </c>
      <c r="J312" s="82">
        <v>45424</v>
      </c>
      <c r="K312" s="81" t="s">
        <v>41</v>
      </c>
      <c r="L312" s="81" t="s">
        <v>5</v>
      </c>
      <c r="M312" s="81" t="s">
        <v>41</v>
      </c>
      <c r="N312" s="81" t="s">
        <v>4</v>
      </c>
    </row>
    <row r="313" spans="1:14" ht="21.75" customHeight="1" x14ac:dyDescent="0.25">
      <c r="A313" s="78">
        <v>2755</v>
      </c>
      <c r="B313" s="79">
        <v>45416</v>
      </c>
      <c r="C313" s="80" t="s">
        <v>41</v>
      </c>
      <c r="D313" s="80" t="s">
        <v>22</v>
      </c>
      <c r="E313" s="80" t="s">
        <v>41</v>
      </c>
      <c r="F313" s="81">
        <v>5</v>
      </c>
      <c r="G313" s="81" t="s">
        <v>41</v>
      </c>
      <c r="H313" s="82">
        <v>45420</v>
      </c>
      <c r="I313" s="81">
        <v>3</v>
      </c>
      <c r="J313" s="82">
        <v>45424</v>
      </c>
      <c r="K313" s="81" t="s">
        <v>3</v>
      </c>
      <c r="L313" s="81" t="s">
        <v>5</v>
      </c>
      <c r="M313" s="81" t="s">
        <v>41</v>
      </c>
      <c r="N313" s="81" t="s">
        <v>41</v>
      </c>
    </row>
    <row r="314" spans="1:14" ht="21.75" customHeight="1" x14ac:dyDescent="0.25">
      <c r="A314" s="78">
        <v>3381</v>
      </c>
      <c r="B314" s="79">
        <v>45416</v>
      </c>
      <c r="C314" s="80" t="s">
        <v>41</v>
      </c>
      <c r="D314" s="80" t="s">
        <v>7</v>
      </c>
      <c r="E314" s="80" t="s">
        <v>41</v>
      </c>
      <c r="F314" s="81">
        <v>5</v>
      </c>
      <c r="G314" s="81" t="s">
        <v>41</v>
      </c>
      <c r="H314" s="82">
        <v>45420</v>
      </c>
      <c r="I314" s="81">
        <v>3</v>
      </c>
      <c r="J314" s="82">
        <v>45424</v>
      </c>
      <c r="K314" s="81" t="s">
        <v>3</v>
      </c>
      <c r="L314" s="81" t="s">
        <v>5</v>
      </c>
      <c r="M314" s="81" t="s">
        <v>41</v>
      </c>
      <c r="N314" s="81" t="s">
        <v>41</v>
      </c>
    </row>
    <row r="315" spans="1:14" ht="21.75" customHeight="1" x14ac:dyDescent="0.25">
      <c r="A315" s="78">
        <v>3133</v>
      </c>
      <c r="B315" s="79">
        <v>45416</v>
      </c>
      <c r="C315" s="80" t="s">
        <v>41</v>
      </c>
      <c r="D315" s="80" t="s">
        <v>7</v>
      </c>
      <c r="E315" s="80" t="s">
        <v>41</v>
      </c>
      <c r="F315" s="81">
        <v>5</v>
      </c>
      <c r="G315" s="81" t="s">
        <v>41</v>
      </c>
      <c r="H315" s="82">
        <v>45420</v>
      </c>
      <c r="I315" s="81">
        <v>3</v>
      </c>
      <c r="J315" s="82">
        <v>45424</v>
      </c>
      <c r="K315" s="81" t="s">
        <v>41</v>
      </c>
      <c r="L315" s="81" t="s">
        <v>5</v>
      </c>
      <c r="M315" s="81" t="s">
        <v>41</v>
      </c>
      <c r="N315" s="81" t="s">
        <v>4</v>
      </c>
    </row>
    <row r="316" spans="1:14" ht="21.75" customHeight="1" x14ac:dyDescent="0.25">
      <c r="A316" s="78">
        <v>892</v>
      </c>
      <c r="B316" s="79">
        <v>45416</v>
      </c>
      <c r="C316" s="80" t="s">
        <v>41</v>
      </c>
      <c r="D316" s="80" t="s">
        <v>7</v>
      </c>
      <c r="E316" s="80" t="s">
        <v>41</v>
      </c>
      <c r="F316" s="81">
        <v>5</v>
      </c>
      <c r="G316" s="81" t="s">
        <v>41</v>
      </c>
      <c r="H316" s="82">
        <v>45420</v>
      </c>
      <c r="I316" s="81">
        <v>3</v>
      </c>
      <c r="J316" s="82">
        <v>45424</v>
      </c>
      <c r="K316" s="81" t="s">
        <v>3</v>
      </c>
      <c r="L316" s="81" t="s">
        <v>5</v>
      </c>
      <c r="M316" s="81" t="s">
        <v>1</v>
      </c>
      <c r="N316" s="81" t="s">
        <v>4</v>
      </c>
    </row>
    <row r="317" spans="1:14" ht="21.75" customHeight="1" x14ac:dyDescent="0.25">
      <c r="A317" s="78">
        <v>3104</v>
      </c>
      <c r="B317" s="79">
        <v>45417</v>
      </c>
      <c r="C317" s="80" t="s">
        <v>41</v>
      </c>
      <c r="D317" s="80" t="s">
        <v>22</v>
      </c>
      <c r="E317" s="80" t="s">
        <v>41</v>
      </c>
      <c r="F317" s="81">
        <v>5</v>
      </c>
      <c r="G317" s="81" t="s">
        <v>41</v>
      </c>
      <c r="H317" s="82">
        <v>45421</v>
      </c>
      <c r="I317" s="81">
        <v>3</v>
      </c>
      <c r="J317" s="82">
        <v>45425</v>
      </c>
      <c r="K317" s="81" t="s">
        <v>41</v>
      </c>
      <c r="L317" s="81" t="s">
        <v>41</v>
      </c>
      <c r="M317" s="81" t="s">
        <v>41</v>
      </c>
      <c r="N317" s="81" t="s">
        <v>4</v>
      </c>
    </row>
    <row r="318" spans="1:14" ht="21.75" customHeight="1" x14ac:dyDescent="0.25">
      <c r="A318" s="78">
        <v>1867</v>
      </c>
      <c r="B318" s="79">
        <v>45417</v>
      </c>
      <c r="C318" s="80" t="s">
        <v>41</v>
      </c>
      <c r="D318" s="80" t="s">
        <v>7</v>
      </c>
      <c r="E318" s="80" t="s">
        <v>41</v>
      </c>
      <c r="F318" s="81">
        <v>5</v>
      </c>
      <c r="G318" s="81" t="s">
        <v>41</v>
      </c>
      <c r="H318" s="82">
        <v>45421</v>
      </c>
      <c r="I318" s="81">
        <v>3</v>
      </c>
      <c r="J318" s="82">
        <v>45425</v>
      </c>
      <c r="K318" s="81" t="s">
        <v>41</v>
      </c>
      <c r="L318" s="81" t="s">
        <v>41</v>
      </c>
      <c r="M318" s="81" t="s">
        <v>41</v>
      </c>
      <c r="N318" s="81" t="s">
        <v>4</v>
      </c>
    </row>
    <row r="319" spans="1:14" ht="21.75" customHeight="1" x14ac:dyDescent="0.25">
      <c r="A319" s="78">
        <v>4038</v>
      </c>
      <c r="B319" s="79">
        <v>45418</v>
      </c>
      <c r="C319" s="80" t="s">
        <v>41</v>
      </c>
      <c r="D319" s="80" t="s">
        <v>7</v>
      </c>
      <c r="E319" s="80" t="s">
        <v>41</v>
      </c>
      <c r="F319" s="81">
        <v>5</v>
      </c>
      <c r="G319" s="81" t="s">
        <v>41</v>
      </c>
      <c r="H319" s="82">
        <v>45422</v>
      </c>
      <c r="I319" s="81">
        <v>3</v>
      </c>
      <c r="J319" s="82">
        <v>45426</v>
      </c>
      <c r="K319" s="81" t="s">
        <v>3</v>
      </c>
      <c r="L319" s="81" t="s">
        <v>5</v>
      </c>
      <c r="M319" s="81" t="s">
        <v>1</v>
      </c>
      <c r="N319" s="81" t="s">
        <v>4</v>
      </c>
    </row>
    <row r="320" spans="1:14" ht="21.75" customHeight="1" x14ac:dyDescent="0.25">
      <c r="A320" s="78">
        <v>2777</v>
      </c>
      <c r="B320" s="79">
        <v>45418</v>
      </c>
      <c r="C320" s="80" t="s">
        <v>41</v>
      </c>
      <c r="D320" s="80" t="s">
        <v>7</v>
      </c>
      <c r="E320" s="80" t="s">
        <v>41</v>
      </c>
      <c r="F320" s="81">
        <v>5</v>
      </c>
      <c r="G320" s="81" t="s">
        <v>41</v>
      </c>
      <c r="H320" s="82">
        <v>45422</v>
      </c>
      <c r="I320" s="81">
        <v>3</v>
      </c>
      <c r="J320" s="82">
        <v>45426</v>
      </c>
      <c r="K320" s="81" t="s">
        <v>3</v>
      </c>
      <c r="L320" s="81" t="s">
        <v>5</v>
      </c>
      <c r="M320" s="81" t="s">
        <v>41</v>
      </c>
      <c r="N320" s="81" t="s">
        <v>41</v>
      </c>
    </row>
    <row r="321" spans="1:14" ht="21.75" customHeight="1" x14ac:dyDescent="0.25">
      <c r="A321" s="78">
        <v>4069</v>
      </c>
      <c r="B321" s="79">
        <v>45420</v>
      </c>
      <c r="C321" s="80" t="s">
        <v>41</v>
      </c>
      <c r="D321" s="80" t="s">
        <v>7</v>
      </c>
      <c r="E321" s="80" t="s">
        <v>41</v>
      </c>
      <c r="F321" s="81">
        <v>5</v>
      </c>
      <c r="G321" s="81" t="s">
        <v>41</v>
      </c>
      <c r="H321" s="82">
        <v>45424</v>
      </c>
      <c r="I321" s="81">
        <v>3</v>
      </c>
      <c r="J321" s="82">
        <v>45428</v>
      </c>
      <c r="K321" s="81" t="s">
        <v>41</v>
      </c>
      <c r="L321" s="81" t="s">
        <v>41</v>
      </c>
      <c r="M321" s="81" t="s">
        <v>41</v>
      </c>
      <c r="N321" s="81" t="s">
        <v>4</v>
      </c>
    </row>
    <row r="322" spans="1:14" ht="21.75" customHeight="1" x14ac:dyDescent="0.25">
      <c r="A322" s="78">
        <v>1199</v>
      </c>
      <c r="B322" s="79">
        <v>45420</v>
      </c>
      <c r="C322" s="80" t="s">
        <v>41</v>
      </c>
      <c r="D322" s="80" t="s">
        <v>7</v>
      </c>
      <c r="E322" s="80" t="s">
        <v>41</v>
      </c>
      <c r="F322" s="81">
        <v>5</v>
      </c>
      <c r="G322" s="81" t="s">
        <v>41</v>
      </c>
      <c r="H322" s="82">
        <v>45424</v>
      </c>
      <c r="I322" s="81">
        <v>3</v>
      </c>
      <c r="J322" s="82">
        <v>45428</v>
      </c>
      <c r="K322" s="81" t="s">
        <v>41</v>
      </c>
      <c r="L322" s="81" t="s">
        <v>41</v>
      </c>
      <c r="M322" s="81" t="s">
        <v>1</v>
      </c>
      <c r="N322" s="81" t="s">
        <v>41</v>
      </c>
    </row>
    <row r="323" spans="1:14" ht="21.75" customHeight="1" x14ac:dyDescent="0.25">
      <c r="A323" s="78">
        <v>2675</v>
      </c>
      <c r="B323" s="79">
        <v>45420</v>
      </c>
      <c r="C323" s="80" t="s">
        <v>41</v>
      </c>
      <c r="D323" s="80" t="s">
        <v>7</v>
      </c>
      <c r="E323" s="80" t="s">
        <v>41</v>
      </c>
      <c r="F323" s="81">
        <v>5</v>
      </c>
      <c r="G323" s="81" t="s">
        <v>41</v>
      </c>
      <c r="H323" s="82">
        <v>45424</v>
      </c>
      <c r="I323" s="81">
        <v>3</v>
      </c>
      <c r="J323" s="82">
        <v>45428</v>
      </c>
      <c r="K323" s="81" t="s">
        <v>3</v>
      </c>
      <c r="L323" s="81" t="s">
        <v>5</v>
      </c>
      <c r="M323" s="81" t="s">
        <v>41</v>
      </c>
      <c r="N323" s="81" t="s">
        <v>41</v>
      </c>
    </row>
    <row r="324" spans="1:14" ht="21.75" customHeight="1" x14ac:dyDescent="0.25">
      <c r="A324" s="78">
        <v>2523</v>
      </c>
      <c r="B324" s="79">
        <v>45421</v>
      </c>
      <c r="C324" s="80" t="s">
        <v>41</v>
      </c>
      <c r="D324" s="80" t="s">
        <v>7</v>
      </c>
      <c r="E324" s="80" t="s">
        <v>41</v>
      </c>
      <c r="F324" s="81">
        <v>5</v>
      </c>
      <c r="G324" s="81" t="s">
        <v>41</v>
      </c>
      <c r="H324" s="82">
        <v>45425</v>
      </c>
      <c r="I324" s="81">
        <v>3</v>
      </c>
      <c r="J324" s="82">
        <v>45429</v>
      </c>
      <c r="K324" s="81" t="s">
        <v>41</v>
      </c>
      <c r="L324" s="81" t="s">
        <v>5</v>
      </c>
      <c r="M324" s="81" t="s">
        <v>41</v>
      </c>
      <c r="N324" s="81" t="s">
        <v>41</v>
      </c>
    </row>
    <row r="325" spans="1:14" ht="21.75" customHeight="1" x14ac:dyDescent="0.25">
      <c r="A325" s="78">
        <v>3035</v>
      </c>
      <c r="B325" s="79">
        <v>45417</v>
      </c>
      <c r="C325" s="80" t="s">
        <v>41</v>
      </c>
      <c r="D325" s="80" t="s">
        <v>7</v>
      </c>
      <c r="E325" s="80" t="s">
        <v>41</v>
      </c>
      <c r="F325" s="81">
        <v>5</v>
      </c>
      <c r="G325" s="81" t="s">
        <v>41</v>
      </c>
      <c r="H325" s="82">
        <v>45421</v>
      </c>
      <c r="I325" s="81">
        <v>3</v>
      </c>
      <c r="J325" s="82">
        <v>45425</v>
      </c>
      <c r="K325" s="81" t="s">
        <v>41</v>
      </c>
      <c r="L325" s="81" t="s">
        <v>5</v>
      </c>
      <c r="M325" s="81" t="s">
        <v>41</v>
      </c>
      <c r="N325" s="81" t="s">
        <v>41</v>
      </c>
    </row>
    <row r="326" spans="1:14" ht="21.75" customHeight="1" x14ac:dyDescent="0.25">
      <c r="A326" s="78">
        <v>3111</v>
      </c>
      <c r="B326" s="79">
        <v>45421</v>
      </c>
      <c r="C326" s="80" t="s">
        <v>41</v>
      </c>
      <c r="D326" s="80" t="s">
        <v>22</v>
      </c>
      <c r="E326" s="80" t="s">
        <v>41</v>
      </c>
      <c r="F326" s="81">
        <v>5</v>
      </c>
      <c r="G326" s="81" t="s">
        <v>41</v>
      </c>
      <c r="H326" s="82">
        <v>45425</v>
      </c>
      <c r="I326" s="81">
        <v>3</v>
      </c>
      <c r="J326" s="82">
        <v>45429</v>
      </c>
      <c r="K326" s="81" t="s">
        <v>3</v>
      </c>
      <c r="L326" s="81" t="s">
        <v>41</v>
      </c>
      <c r="M326" s="81" t="s">
        <v>1</v>
      </c>
      <c r="N326" s="81" t="s">
        <v>41</v>
      </c>
    </row>
    <row r="327" spans="1:14" ht="21.75" customHeight="1" x14ac:dyDescent="0.25">
      <c r="A327" s="78">
        <v>4023</v>
      </c>
      <c r="B327" s="79">
        <v>45424</v>
      </c>
      <c r="C327" s="80" t="s">
        <v>41</v>
      </c>
      <c r="D327" s="80" t="s">
        <v>7</v>
      </c>
      <c r="E327" s="80" t="s">
        <v>41</v>
      </c>
      <c r="F327" s="81">
        <v>5</v>
      </c>
      <c r="G327" s="81" t="s">
        <v>41</v>
      </c>
      <c r="H327" s="82">
        <v>45428</v>
      </c>
      <c r="I327" s="81">
        <v>3</v>
      </c>
      <c r="J327" s="82">
        <v>45432</v>
      </c>
      <c r="K327" s="81" t="s">
        <v>41</v>
      </c>
      <c r="L327" s="81" t="s">
        <v>41</v>
      </c>
      <c r="M327" s="81" t="s">
        <v>41</v>
      </c>
      <c r="N327" s="81" t="s">
        <v>4</v>
      </c>
    </row>
    <row r="328" spans="1:14" ht="21.75" customHeight="1" x14ac:dyDescent="0.25">
      <c r="A328" s="78">
        <v>2974</v>
      </c>
      <c r="B328" s="79">
        <v>45425</v>
      </c>
      <c r="C328" s="80" t="s">
        <v>41</v>
      </c>
      <c r="D328" s="80" t="s">
        <v>7</v>
      </c>
      <c r="E328" s="80" t="s">
        <v>41</v>
      </c>
      <c r="F328" s="81">
        <v>5</v>
      </c>
      <c r="G328" s="81" t="s">
        <v>41</v>
      </c>
      <c r="H328" s="82">
        <v>45429</v>
      </c>
      <c r="I328" s="81">
        <v>3</v>
      </c>
      <c r="J328" s="82">
        <v>45433</v>
      </c>
      <c r="K328" s="81" t="s">
        <v>41</v>
      </c>
      <c r="L328" s="81" t="s">
        <v>5</v>
      </c>
      <c r="M328" s="81" t="s">
        <v>41</v>
      </c>
      <c r="N328" s="81" t="s">
        <v>4</v>
      </c>
    </row>
    <row r="329" spans="1:14" ht="21.75" customHeight="1" x14ac:dyDescent="0.25">
      <c r="A329" s="78">
        <v>2608</v>
      </c>
      <c r="B329" s="79">
        <v>45427</v>
      </c>
      <c r="C329" s="80" t="s">
        <v>41</v>
      </c>
      <c r="D329" s="80" t="s">
        <v>7</v>
      </c>
      <c r="E329" s="80" t="s">
        <v>41</v>
      </c>
      <c r="F329" s="81">
        <v>5</v>
      </c>
      <c r="G329" s="81" t="s">
        <v>41</v>
      </c>
      <c r="H329" s="82">
        <v>45431</v>
      </c>
      <c r="I329" s="81">
        <v>3</v>
      </c>
      <c r="J329" s="82">
        <v>45435</v>
      </c>
      <c r="K329" s="81" t="s">
        <v>3</v>
      </c>
      <c r="L329" s="81" t="s">
        <v>41</v>
      </c>
      <c r="M329" s="81" t="s">
        <v>41</v>
      </c>
      <c r="N329" s="81" t="s">
        <v>41</v>
      </c>
    </row>
    <row r="330" spans="1:14" ht="21.75" customHeight="1" x14ac:dyDescent="0.25">
      <c r="A330" s="78">
        <v>4094</v>
      </c>
      <c r="B330" s="79">
        <v>45427</v>
      </c>
      <c r="C330" s="80" t="s">
        <v>41</v>
      </c>
      <c r="D330" s="80" t="s">
        <v>7</v>
      </c>
      <c r="E330" s="80" t="s">
        <v>41</v>
      </c>
      <c r="F330" s="81">
        <v>5</v>
      </c>
      <c r="G330" s="81" t="s">
        <v>41</v>
      </c>
      <c r="H330" s="82">
        <v>45431</v>
      </c>
      <c r="I330" s="81">
        <v>3</v>
      </c>
      <c r="J330" s="82">
        <v>45435</v>
      </c>
      <c r="K330" s="81" t="s">
        <v>3</v>
      </c>
      <c r="L330" s="81" t="s">
        <v>41</v>
      </c>
      <c r="M330" s="81" t="s">
        <v>41</v>
      </c>
      <c r="N330" s="81" t="s">
        <v>41</v>
      </c>
    </row>
    <row r="331" spans="1:14" ht="21.75" customHeight="1" x14ac:dyDescent="0.25">
      <c r="A331" s="78">
        <v>3308</v>
      </c>
      <c r="B331" s="79">
        <v>45427</v>
      </c>
      <c r="C331" s="80" t="s">
        <v>41</v>
      </c>
      <c r="D331" s="80" t="s">
        <v>7</v>
      </c>
      <c r="E331" s="80" t="s">
        <v>41</v>
      </c>
      <c r="F331" s="81">
        <v>5</v>
      </c>
      <c r="G331" s="81" t="s">
        <v>41</v>
      </c>
      <c r="H331" s="82">
        <v>45431</v>
      </c>
      <c r="I331" s="81">
        <v>3</v>
      </c>
      <c r="J331" s="82">
        <v>45435</v>
      </c>
      <c r="K331" s="81" t="s">
        <v>3</v>
      </c>
      <c r="L331" s="81" t="s">
        <v>41</v>
      </c>
      <c r="M331" s="81" t="s">
        <v>41</v>
      </c>
      <c r="N331" s="81" t="s">
        <v>41</v>
      </c>
    </row>
    <row r="332" spans="1:14" ht="21.75" customHeight="1" x14ac:dyDescent="0.25">
      <c r="A332" s="78">
        <v>3376</v>
      </c>
      <c r="B332" s="79">
        <v>45427</v>
      </c>
      <c r="C332" s="80" t="s">
        <v>41</v>
      </c>
      <c r="D332" s="80" t="s">
        <v>7</v>
      </c>
      <c r="E332" s="80" t="s">
        <v>41</v>
      </c>
      <c r="F332" s="81">
        <v>5</v>
      </c>
      <c r="G332" s="81" t="s">
        <v>41</v>
      </c>
      <c r="H332" s="82">
        <v>45431</v>
      </c>
      <c r="I332" s="81">
        <v>3</v>
      </c>
      <c r="J332" s="82">
        <v>45435</v>
      </c>
      <c r="K332" s="81" t="s">
        <v>41</v>
      </c>
      <c r="L332" s="81" t="s">
        <v>41</v>
      </c>
      <c r="M332" s="81" t="s">
        <v>41</v>
      </c>
      <c r="N332" s="81" t="s">
        <v>4</v>
      </c>
    </row>
    <row r="333" spans="1:14" ht="21.75" customHeight="1" x14ac:dyDescent="0.25">
      <c r="A333" s="78">
        <v>2440</v>
      </c>
      <c r="B333" s="79">
        <v>45427</v>
      </c>
      <c r="C333" s="80" t="s">
        <v>41</v>
      </c>
      <c r="D333" s="80" t="s">
        <v>7</v>
      </c>
      <c r="E333" s="80" t="s">
        <v>41</v>
      </c>
      <c r="F333" s="81">
        <v>5</v>
      </c>
      <c r="G333" s="81" t="s">
        <v>41</v>
      </c>
      <c r="H333" s="82">
        <v>45431</v>
      </c>
      <c r="I333" s="81">
        <v>3</v>
      </c>
      <c r="J333" s="82">
        <v>45435</v>
      </c>
      <c r="K333" s="81" t="s">
        <v>41</v>
      </c>
      <c r="L333" s="81" t="s">
        <v>5</v>
      </c>
      <c r="M333" s="81" t="s">
        <v>41</v>
      </c>
      <c r="N333" s="81" t="s">
        <v>41</v>
      </c>
    </row>
    <row r="334" spans="1:14" ht="21.75" customHeight="1" x14ac:dyDescent="0.25">
      <c r="A334" s="78">
        <v>3449</v>
      </c>
      <c r="B334" s="79">
        <v>45427</v>
      </c>
      <c r="C334" s="80" t="s">
        <v>41</v>
      </c>
      <c r="D334" s="80" t="s">
        <v>7</v>
      </c>
      <c r="E334" s="80" t="s">
        <v>41</v>
      </c>
      <c r="F334" s="81">
        <v>5</v>
      </c>
      <c r="G334" s="81" t="s">
        <v>41</v>
      </c>
      <c r="H334" s="82">
        <v>45431</v>
      </c>
      <c r="I334" s="81">
        <v>3</v>
      </c>
      <c r="J334" s="82">
        <v>45435</v>
      </c>
      <c r="K334" s="81" t="s">
        <v>3</v>
      </c>
      <c r="L334" s="81" t="s">
        <v>41</v>
      </c>
      <c r="M334" s="81" t="s">
        <v>41</v>
      </c>
      <c r="N334" s="81" t="s">
        <v>41</v>
      </c>
    </row>
    <row r="335" spans="1:14" ht="21.75" customHeight="1" x14ac:dyDescent="0.25">
      <c r="A335" s="78">
        <v>2777</v>
      </c>
      <c r="B335" s="79">
        <v>45427</v>
      </c>
      <c r="C335" s="80" t="s">
        <v>41</v>
      </c>
      <c r="D335" s="80" t="s">
        <v>14</v>
      </c>
      <c r="E335" s="80" t="s">
        <v>41</v>
      </c>
      <c r="F335" s="81">
        <v>5</v>
      </c>
      <c r="G335" s="81" t="s">
        <v>41</v>
      </c>
      <c r="H335" s="82">
        <v>45431</v>
      </c>
      <c r="I335" s="81">
        <v>3</v>
      </c>
      <c r="J335" s="82">
        <v>45435</v>
      </c>
      <c r="K335" s="81" t="s">
        <v>3</v>
      </c>
      <c r="L335" s="81" t="s">
        <v>5</v>
      </c>
      <c r="M335" s="81" t="s">
        <v>41</v>
      </c>
      <c r="N335" s="81" t="s">
        <v>41</v>
      </c>
    </row>
    <row r="336" spans="1:14" ht="21.75" customHeight="1" x14ac:dyDescent="0.25">
      <c r="A336" s="78">
        <v>3211</v>
      </c>
      <c r="B336" s="79">
        <v>45427</v>
      </c>
      <c r="C336" s="80" t="s">
        <v>41</v>
      </c>
      <c r="D336" s="80" t="s">
        <v>22</v>
      </c>
      <c r="E336" s="80" t="s">
        <v>41</v>
      </c>
      <c r="F336" s="81">
        <v>5</v>
      </c>
      <c r="G336" s="81" t="s">
        <v>41</v>
      </c>
      <c r="H336" s="82">
        <v>45431</v>
      </c>
      <c r="I336" s="81">
        <v>3</v>
      </c>
      <c r="J336" s="82">
        <v>45436</v>
      </c>
      <c r="K336" s="81" t="s">
        <v>3</v>
      </c>
      <c r="L336" s="81" t="s">
        <v>5</v>
      </c>
      <c r="M336" s="81" t="s">
        <v>1</v>
      </c>
      <c r="N336" s="81" t="s">
        <v>4</v>
      </c>
    </row>
    <row r="337" spans="1:14" ht="21.75" customHeight="1" x14ac:dyDescent="0.25">
      <c r="A337" s="78">
        <v>2755</v>
      </c>
      <c r="B337" s="79">
        <v>45427</v>
      </c>
      <c r="C337" s="80" t="s">
        <v>41</v>
      </c>
      <c r="D337" s="80" t="s">
        <v>43</v>
      </c>
      <c r="E337" s="80" t="s">
        <v>41</v>
      </c>
      <c r="F337" s="81">
        <v>5</v>
      </c>
      <c r="G337" s="81" t="s">
        <v>41</v>
      </c>
      <c r="H337" s="82">
        <v>45431</v>
      </c>
      <c r="I337" s="81">
        <v>4</v>
      </c>
      <c r="J337" s="82">
        <v>45435</v>
      </c>
      <c r="K337" s="81" t="s">
        <v>3</v>
      </c>
      <c r="L337" s="81" t="s">
        <v>5</v>
      </c>
      <c r="M337" s="81" t="s">
        <v>1</v>
      </c>
      <c r="N337" s="81" t="s">
        <v>4</v>
      </c>
    </row>
    <row r="338" spans="1:14" ht="21.75" customHeight="1" x14ac:dyDescent="0.25">
      <c r="A338" s="78">
        <v>2974</v>
      </c>
      <c r="B338" s="79">
        <v>45427</v>
      </c>
      <c r="C338" s="80" t="s">
        <v>41</v>
      </c>
      <c r="D338" s="80" t="s">
        <v>22</v>
      </c>
      <c r="E338" s="80" t="s">
        <v>41</v>
      </c>
      <c r="F338" s="81">
        <v>5</v>
      </c>
      <c r="G338" s="81" t="s">
        <v>41</v>
      </c>
      <c r="H338" s="82">
        <v>45431</v>
      </c>
      <c r="I338" s="81">
        <v>3</v>
      </c>
      <c r="J338" s="82">
        <v>45435</v>
      </c>
      <c r="K338" s="81" t="s">
        <v>41</v>
      </c>
      <c r="L338" s="81" t="s">
        <v>5</v>
      </c>
      <c r="M338" s="81" t="s">
        <v>41</v>
      </c>
      <c r="N338" s="81" t="s">
        <v>4</v>
      </c>
    </row>
    <row r="339" spans="1:14" ht="21.75" customHeight="1" x14ac:dyDescent="0.25">
      <c r="A339" s="78">
        <v>2248</v>
      </c>
      <c r="B339" s="79">
        <v>45428</v>
      </c>
      <c r="C339" s="80" t="s">
        <v>41</v>
      </c>
      <c r="D339" s="80" t="s">
        <v>7</v>
      </c>
      <c r="E339" s="80" t="s">
        <v>41</v>
      </c>
      <c r="F339" s="81">
        <v>5</v>
      </c>
      <c r="G339" s="81" t="s">
        <v>41</v>
      </c>
      <c r="H339" s="82">
        <v>45432</v>
      </c>
      <c r="I339" s="81">
        <v>3</v>
      </c>
      <c r="J339" s="82">
        <v>45436</v>
      </c>
      <c r="K339" s="81" t="s">
        <v>41</v>
      </c>
      <c r="L339" s="81" t="s">
        <v>5</v>
      </c>
      <c r="M339" s="81" t="s">
        <v>41</v>
      </c>
      <c r="N339" s="81" t="s">
        <v>41</v>
      </c>
    </row>
    <row r="340" spans="1:14" ht="21.75" customHeight="1" x14ac:dyDescent="0.25">
      <c r="A340" s="78">
        <v>3672</v>
      </c>
      <c r="B340" s="79">
        <v>45428</v>
      </c>
      <c r="C340" s="80" t="s">
        <v>41</v>
      </c>
      <c r="D340" s="80" t="s">
        <v>7</v>
      </c>
      <c r="E340" s="80" t="s">
        <v>41</v>
      </c>
      <c r="F340" s="81">
        <v>5</v>
      </c>
      <c r="G340" s="81" t="s">
        <v>41</v>
      </c>
      <c r="H340" s="82">
        <v>45432</v>
      </c>
      <c r="I340" s="81">
        <v>3</v>
      </c>
      <c r="J340" s="82">
        <v>45436</v>
      </c>
      <c r="K340" s="81" t="s">
        <v>3</v>
      </c>
      <c r="L340" s="81" t="s">
        <v>41</v>
      </c>
      <c r="M340" s="81" t="s">
        <v>41</v>
      </c>
      <c r="N340" s="81" t="s">
        <v>41</v>
      </c>
    </row>
    <row r="341" spans="1:14" ht="21.75" customHeight="1" x14ac:dyDescent="0.25">
      <c r="A341" s="78">
        <v>652</v>
      </c>
      <c r="B341" s="79">
        <v>45429</v>
      </c>
      <c r="C341" s="80" t="s">
        <v>41</v>
      </c>
      <c r="D341" s="80" t="s">
        <v>44</v>
      </c>
      <c r="E341" s="80" t="s">
        <v>41</v>
      </c>
      <c r="F341" s="81">
        <v>5</v>
      </c>
      <c r="G341" s="81" t="s">
        <v>41</v>
      </c>
      <c r="H341" s="82">
        <v>45433</v>
      </c>
      <c r="I341" s="81">
        <v>3</v>
      </c>
      <c r="J341" s="82">
        <v>45437</v>
      </c>
      <c r="K341" s="81" t="s">
        <v>41</v>
      </c>
      <c r="L341" s="81" t="s">
        <v>41</v>
      </c>
      <c r="M341" s="81" t="s">
        <v>1</v>
      </c>
      <c r="N341" s="81" t="s">
        <v>41</v>
      </c>
    </row>
    <row r="342" spans="1:14" ht="21.75" customHeight="1" x14ac:dyDescent="0.25">
      <c r="A342" s="78">
        <v>4094</v>
      </c>
      <c r="B342" s="79">
        <v>45429</v>
      </c>
      <c r="C342" s="80" t="s">
        <v>41</v>
      </c>
      <c r="D342" s="80" t="s">
        <v>22</v>
      </c>
      <c r="E342" s="80" t="s">
        <v>41</v>
      </c>
      <c r="F342" s="81">
        <v>5</v>
      </c>
      <c r="G342" s="81" t="s">
        <v>41</v>
      </c>
      <c r="H342" s="82">
        <v>45433</v>
      </c>
      <c r="I342" s="81">
        <v>3</v>
      </c>
      <c r="J342" s="82">
        <v>45437</v>
      </c>
      <c r="K342" s="81" t="s">
        <v>3</v>
      </c>
      <c r="L342" s="81" t="s">
        <v>41</v>
      </c>
      <c r="M342" s="81" t="s">
        <v>41</v>
      </c>
      <c r="N342" s="81" t="s">
        <v>41</v>
      </c>
    </row>
    <row r="343" spans="1:14" ht="21.75" customHeight="1" x14ac:dyDescent="0.25">
      <c r="A343" s="78">
        <v>3305</v>
      </c>
      <c r="B343" s="79">
        <v>45429</v>
      </c>
      <c r="C343" s="80" t="s">
        <v>41</v>
      </c>
      <c r="D343" s="80" t="s">
        <v>44</v>
      </c>
      <c r="E343" s="80" t="s">
        <v>41</v>
      </c>
      <c r="F343" s="81">
        <v>5</v>
      </c>
      <c r="G343" s="81" t="s">
        <v>41</v>
      </c>
      <c r="H343" s="82">
        <v>45433</v>
      </c>
      <c r="I343" s="81">
        <v>3</v>
      </c>
      <c r="J343" s="82">
        <v>45443</v>
      </c>
      <c r="K343" s="81" t="s">
        <v>41</v>
      </c>
      <c r="L343" s="81" t="s">
        <v>41</v>
      </c>
      <c r="M343" s="81" t="s">
        <v>41</v>
      </c>
      <c r="N343" s="81" t="s">
        <v>4</v>
      </c>
    </row>
    <row r="344" spans="1:14" ht="21.75" customHeight="1" x14ac:dyDescent="0.25">
      <c r="A344" s="78">
        <v>4094</v>
      </c>
      <c r="B344" s="79">
        <v>45430</v>
      </c>
      <c r="C344" s="80" t="s">
        <v>41</v>
      </c>
      <c r="D344" s="80" t="s">
        <v>40</v>
      </c>
      <c r="E344" s="80" t="s">
        <v>41</v>
      </c>
      <c r="F344" s="81">
        <v>5</v>
      </c>
      <c r="G344" s="81" t="s">
        <v>41</v>
      </c>
      <c r="H344" s="82">
        <v>45434</v>
      </c>
      <c r="I344" s="81">
        <v>9</v>
      </c>
      <c r="J344" s="82">
        <v>45438</v>
      </c>
      <c r="K344" s="81" t="s">
        <v>3</v>
      </c>
      <c r="L344" s="81" t="s">
        <v>41</v>
      </c>
      <c r="M344" s="81" t="s">
        <v>41</v>
      </c>
      <c r="N344" s="81" t="s">
        <v>41</v>
      </c>
    </row>
    <row r="345" spans="1:14" ht="21.75" customHeight="1" x14ac:dyDescent="0.25">
      <c r="A345" s="78">
        <v>4038</v>
      </c>
      <c r="B345" s="79">
        <v>45430</v>
      </c>
      <c r="C345" s="80" t="s">
        <v>41</v>
      </c>
      <c r="D345" s="80" t="s">
        <v>22</v>
      </c>
      <c r="E345" s="80" t="s">
        <v>41</v>
      </c>
      <c r="F345" s="81">
        <v>5</v>
      </c>
      <c r="G345" s="81" t="s">
        <v>41</v>
      </c>
      <c r="H345" s="82">
        <v>45434</v>
      </c>
      <c r="I345" s="81">
        <v>3</v>
      </c>
      <c r="J345" s="82">
        <v>45438</v>
      </c>
      <c r="K345" s="81" t="s">
        <v>3</v>
      </c>
      <c r="L345" s="81" t="s">
        <v>5</v>
      </c>
      <c r="M345" s="81" t="s">
        <v>1</v>
      </c>
      <c r="N345" s="81" t="s">
        <v>4</v>
      </c>
    </row>
    <row r="346" spans="1:14" ht="21.75" customHeight="1" x14ac:dyDescent="0.25">
      <c r="A346" s="78">
        <v>3917</v>
      </c>
      <c r="B346" s="79">
        <v>45430</v>
      </c>
      <c r="C346" s="80" t="s">
        <v>41</v>
      </c>
      <c r="D346" s="80" t="s">
        <v>22</v>
      </c>
      <c r="E346" s="80" t="s">
        <v>41</v>
      </c>
      <c r="F346" s="81">
        <v>5</v>
      </c>
      <c r="G346" s="81" t="s">
        <v>41</v>
      </c>
      <c r="H346" s="82">
        <v>45434</v>
      </c>
      <c r="I346" s="81">
        <v>3</v>
      </c>
      <c r="J346" s="82">
        <v>45438</v>
      </c>
      <c r="K346" s="81" t="s">
        <v>41</v>
      </c>
      <c r="L346" s="81" t="s">
        <v>5</v>
      </c>
      <c r="M346" s="81" t="s">
        <v>41</v>
      </c>
      <c r="N346" s="81" t="s">
        <v>41</v>
      </c>
    </row>
    <row r="347" spans="1:14" ht="21.75" customHeight="1" x14ac:dyDescent="0.25">
      <c r="A347" s="78">
        <v>4122</v>
      </c>
      <c r="B347" s="79">
        <v>45431</v>
      </c>
      <c r="C347" s="80" t="s">
        <v>41</v>
      </c>
      <c r="D347" s="80" t="s">
        <v>7</v>
      </c>
      <c r="E347" s="80" t="s">
        <v>41</v>
      </c>
      <c r="F347" s="81">
        <v>5</v>
      </c>
      <c r="G347" s="81" t="s">
        <v>41</v>
      </c>
      <c r="H347" s="82">
        <v>45435</v>
      </c>
      <c r="I347" s="81">
        <v>3</v>
      </c>
      <c r="J347" s="82">
        <v>45439</v>
      </c>
      <c r="K347" s="81" t="s">
        <v>41</v>
      </c>
      <c r="L347" s="81" t="s">
        <v>5</v>
      </c>
      <c r="M347" s="81" t="s">
        <v>41</v>
      </c>
      <c r="N347" s="81" t="s">
        <v>41</v>
      </c>
    </row>
    <row r="348" spans="1:14" ht="21.75" customHeight="1" x14ac:dyDescent="0.25">
      <c r="A348" s="78">
        <v>3503</v>
      </c>
      <c r="B348" s="79">
        <v>45431</v>
      </c>
      <c r="C348" s="80" t="s">
        <v>41</v>
      </c>
      <c r="D348" s="80" t="s">
        <v>7</v>
      </c>
      <c r="E348" s="80" t="s">
        <v>41</v>
      </c>
      <c r="F348" s="81">
        <v>5</v>
      </c>
      <c r="G348" s="81" t="s">
        <v>41</v>
      </c>
      <c r="H348" s="82">
        <v>45435</v>
      </c>
      <c r="I348" s="81">
        <v>3</v>
      </c>
      <c r="J348" s="82">
        <v>45439</v>
      </c>
      <c r="K348" s="81" t="s">
        <v>41</v>
      </c>
      <c r="L348" s="81" t="s">
        <v>41</v>
      </c>
      <c r="M348" s="81" t="s">
        <v>1</v>
      </c>
      <c r="N348" s="81" t="s">
        <v>41</v>
      </c>
    </row>
    <row r="349" spans="1:14" ht="21.75" customHeight="1" x14ac:dyDescent="0.25">
      <c r="A349" s="78">
        <v>3977</v>
      </c>
      <c r="B349" s="79">
        <v>45431</v>
      </c>
      <c r="C349" s="80" t="s">
        <v>41</v>
      </c>
      <c r="D349" s="80" t="s">
        <v>44</v>
      </c>
      <c r="E349" s="80" t="s">
        <v>41</v>
      </c>
      <c r="F349" s="81">
        <v>5</v>
      </c>
      <c r="G349" s="81" t="s">
        <v>41</v>
      </c>
      <c r="H349" s="82">
        <v>45435</v>
      </c>
      <c r="I349" s="81">
        <v>3</v>
      </c>
      <c r="J349" s="82">
        <v>45439</v>
      </c>
      <c r="K349" s="81" t="s">
        <v>41</v>
      </c>
      <c r="L349" s="81" t="s">
        <v>41</v>
      </c>
      <c r="M349" s="81" t="s">
        <v>41</v>
      </c>
      <c r="N349" s="81" t="s">
        <v>4</v>
      </c>
    </row>
    <row r="350" spans="1:14" ht="21.75" customHeight="1" x14ac:dyDescent="0.25">
      <c r="A350" s="78">
        <v>3319</v>
      </c>
      <c r="B350" s="79">
        <v>45433</v>
      </c>
      <c r="C350" s="80" t="s">
        <v>41</v>
      </c>
      <c r="D350" s="80" t="s">
        <v>94</v>
      </c>
      <c r="E350" s="80" t="s">
        <v>41</v>
      </c>
      <c r="F350" s="81">
        <v>5</v>
      </c>
      <c r="G350" s="81" t="s">
        <v>41</v>
      </c>
      <c r="H350" s="82">
        <v>45437</v>
      </c>
      <c r="I350" s="81">
        <v>3</v>
      </c>
      <c r="J350" s="82">
        <v>45441</v>
      </c>
      <c r="K350" s="81" t="s">
        <v>3</v>
      </c>
      <c r="L350" s="81" t="s">
        <v>41</v>
      </c>
      <c r="M350" s="81" t="s">
        <v>41</v>
      </c>
      <c r="N350" s="81" t="s">
        <v>41</v>
      </c>
    </row>
    <row r="351" spans="1:14" ht="21.75" customHeight="1" x14ac:dyDescent="0.25">
      <c r="A351" s="78">
        <v>2054</v>
      </c>
      <c r="B351" s="79">
        <v>45433</v>
      </c>
      <c r="C351" s="80" t="s">
        <v>41</v>
      </c>
      <c r="D351" s="80" t="s">
        <v>7</v>
      </c>
      <c r="E351" s="80" t="s">
        <v>41</v>
      </c>
      <c r="F351" s="81">
        <v>5</v>
      </c>
      <c r="G351" s="81" t="s">
        <v>41</v>
      </c>
      <c r="H351" s="82">
        <v>45437</v>
      </c>
      <c r="I351" s="81">
        <v>3</v>
      </c>
      <c r="J351" s="82">
        <v>45444</v>
      </c>
      <c r="K351" s="81" t="s">
        <v>3</v>
      </c>
      <c r="L351" s="81" t="s">
        <v>41</v>
      </c>
      <c r="M351" s="81" t="s">
        <v>1</v>
      </c>
      <c r="N351" s="81" t="s">
        <v>41</v>
      </c>
    </row>
    <row r="352" spans="1:14" ht="21.75" customHeight="1" x14ac:dyDescent="0.25">
      <c r="A352" s="78">
        <v>3211</v>
      </c>
      <c r="B352" s="79">
        <v>45433</v>
      </c>
      <c r="C352" s="80" t="s">
        <v>41</v>
      </c>
      <c r="D352" s="80" t="s">
        <v>45</v>
      </c>
      <c r="E352" s="80" t="s">
        <v>41</v>
      </c>
      <c r="F352" s="81">
        <v>5</v>
      </c>
      <c r="G352" s="81" t="s">
        <v>41</v>
      </c>
      <c r="H352" s="82">
        <v>45437</v>
      </c>
      <c r="I352" s="81">
        <v>6</v>
      </c>
      <c r="J352" s="82">
        <v>45444</v>
      </c>
      <c r="K352" s="81" t="s">
        <v>3</v>
      </c>
      <c r="L352" s="81" t="s">
        <v>5</v>
      </c>
      <c r="M352" s="81" t="s">
        <v>41</v>
      </c>
      <c r="N352" s="81" t="s">
        <v>41</v>
      </c>
    </row>
    <row r="353" spans="1:14" ht="21.75" customHeight="1" x14ac:dyDescent="0.25">
      <c r="A353" s="78">
        <v>2755</v>
      </c>
      <c r="B353" s="79">
        <v>45433</v>
      </c>
      <c r="C353" s="80" t="s">
        <v>41</v>
      </c>
      <c r="D353" s="80" t="s">
        <v>45</v>
      </c>
      <c r="E353" s="80" t="s">
        <v>41</v>
      </c>
      <c r="F353" s="81">
        <v>5</v>
      </c>
      <c r="G353" s="81" t="s">
        <v>41</v>
      </c>
      <c r="H353" s="82">
        <v>45437</v>
      </c>
      <c r="I353" s="81">
        <v>6</v>
      </c>
      <c r="J353" s="82">
        <v>45444</v>
      </c>
      <c r="K353" s="81" t="s">
        <v>41</v>
      </c>
      <c r="L353" s="81" t="s">
        <v>5</v>
      </c>
      <c r="M353" s="81" t="s">
        <v>41</v>
      </c>
      <c r="N353" s="81" t="s">
        <v>41</v>
      </c>
    </row>
    <row r="354" spans="1:14" ht="21.75" customHeight="1" x14ac:dyDescent="0.25">
      <c r="A354" s="78">
        <v>2974</v>
      </c>
      <c r="B354" s="79">
        <v>45433</v>
      </c>
      <c r="C354" s="80" t="s">
        <v>41</v>
      </c>
      <c r="D354" s="80" t="s">
        <v>45</v>
      </c>
      <c r="E354" s="80" t="s">
        <v>41</v>
      </c>
      <c r="F354" s="81">
        <v>5</v>
      </c>
      <c r="G354" s="81" t="s">
        <v>41</v>
      </c>
      <c r="H354" s="82">
        <v>45437</v>
      </c>
      <c r="I354" s="81">
        <v>6</v>
      </c>
      <c r="J354" s="82">
        <v>45444</v>
      </c>
      <c r="K354" s="81" t="s">
        <v>41</v>
      </c>
      <c r="L354" s="81" t="s">
        <v>41</v>
      </c>
      <c r="M354" s="81" t="s">
        <v>1</v>
      </c>
      <c r="N354" s="81" t="s">
        <v>4</v>
      </c>
    </row>
    <row r="355" spans="1:14" ht="21.75" customHeight="1" x14ac:dyDescent="0.25">
      <c r="A355" s="78">
        <v>3111</v>
      </c>
      <c r="B355" s="79">
        <v>45433</v>
      </c>
      <c r="C355" s="80" t="s">
        <v>41</v>
      </c>
      <c r="D355" s="80" t="s">
        <v>45</v>
      </c>
      <c r="E355" s="80" t="s">
        <v>41</v>
      </c>
      <c r="F355" s="81">
        <v>5</v>
      </c>
      <c r="G355" s="81" t="s">
        <v>41</v>
      </c>
      <c r="H355" s="82">
        <v>45437</v>
      </c>
      <c r="I355" s="81">
        <v>6</v>
      </c>
      <c r="J355" s="82">
        <v>45444</v>
      </c>
      <c r="K355" s="81" t="s">
        <v>41</v>
      </c>
      <c r="L355" s="81" t="s">
        <v>41</v>
      </c>
      <c r="M355" s="81" t="s">
        <v>1</v>
      </c>
      <c r="N355" s="81" t="s">
        <v>41</v>
      </c>
    </row>
    <row r="356" spans="1:14" ht="21.75" customHeight="1" x14ac:dyDescent="0.25">
      <c r="A356" s="78">
        <v>2905</v>
      </c>
      <c r="B356" s="79">
        <v>45433</v>
      </c>
      <c r="C356" s="80" t="s">
        <v>41</v>
      </c>
      <c r="D356" s="80" t="s">
        <v>45</v>
      </c>
      <c r="E356" s="80" t="s">
        <v>41</v>
      </c>
      <c r="F356" s="81">
        <v>5</v>
      </c>
      <c r="G356" s="81" t="s">
        <v>41</v>
      </c>
      <c r="H356" s="82">
        <v>45437</v>
      </c>
      <c r="I356" s="81">
        <v>6</v>
      </c>
      <c r="J356" s="82">
        <v>45444</v>
      </c>
      <c r="K356" s="81" t="s">
        <v>41</v>
      </c>
      <c r="L356" s="81" t="s">
        <v>41</v>
      </c>
      <c r="M356" s="81" t="s">
        <v>41</v>
      </c>
      <c r="N356" s="81" t="s">
        <v>4</v>
      </c>
    </row>
    <row r="357" spans="1:14" ht="21.75" customHeight="1" x14ac:dyDescent="0.25">
      <c r="A357" s="78">
        <v>3308</v>
      </c>
      <c r="B357" s="79">
        <v>45433</v>
      </c>
      <c r="C357" s="80" t="s">
        <v>41</v>
      </c>
      <c r="D357" s="80" t="s">
        <v>45</v>
      </c>
      <c r="E357" s="80" t="s">
        <v>41</v>
      </c>
      <c r="F357" s="81">
        <v>5</v>
      </c>
      <c r="G357" s="81" t="s">
        <v>41</v>
      </c>
      <c r="H357" s="82">
        <v>45437</v>
      </c>
      <c r="I357" s="81">
        <v>6</v>
      </c>
      <c r="J357" s="82">
        <v>45441</v>
      </c>
      <c r="K357" s="81" t="s">
        <v>3</v>
      </c>
      <c r="L357" s="81" t="s">
        <v>41</v>
      </c>
      <c r="M357" s="81" t="s">
        <v>41</v>
      </c>
      <c r="N357" s="81" t="s">
        <v>41</v>
      </c>
    </row>
    <row r="358" spans="1:14" ht="21.75" customHeight="1" x14ac:dyDescent="0.25">
      <c r="A358" s="78">
        <v>1306</v>
      </c>
      <c r="B358" s="79">
        <v>45434</v>
      </c>
      <c r="C358" s="80" t="s">
        <v>41</v>
      </c>
      <c r="D358" s="80" t="s">
        <v>44</v>
      </c>
      <c r="E358" s="80" t="s">
        <v>41</v>
      </c>
      <c r="F358" s="81">
        <v>5</v>
      </c>
      <c r="G358" s="81" t="s">
        <v>41</v>
      </c>
      <c r="H358" s="82">
        <v>45438</v>
      </c>
      <c r="I358" s="81">
        <v>3</v>
      </c>
      <c r="J358" s="82">
        <v>45442</v>
      </c>
      <c r="K358" s="81" t="s">
        <v>3</v>
      </c>
      <c r="L358" s="81" t="s">
        <v>41</v>
      </c>
      <c r="M358" s="81" t="s">
        <v>1</v>
      </c>
      <c r="N358" s="81" t="s">
        <v>4</v>
      </c>
    </row>
    <row r="359" spans="1:14" ht="21.75" customHeight="1" x14ac:dyDescent="0.25">
      <c r="A359" s="78">
        <v>3319</v>
      </c>
      <c r="B359" s="79">
        <v>45435</v>
      </c>
      <c r="C359" s="80" t="s">
        <v>41</v>
      </c>
      <c r="D359" s="80" t="s">
        <v>22</v>
      </c>
      <c r="E359" s="80" t="s">
        <v>41</v>
      </c>
      <c r="F359" s="81">
        <v>5</v>
      </c>
      <c r="G359" s="81" t="s">
        <v>41</v>
      </c>
      <c r="H359" s="82">
        <v>45439</v>
      </c>
      <c r="I359" s="81">
        <v>3</v>
      </c>
      <c r="J359" s="82">
        <v>45443</v>
      </c>
      <c r="K359" s="81" t="s">
        <v>3</v>
      </c>
      <c r="L359" s="81" t="s">
        <v>41</v>
      </c>
      <c r="M359" s="81" t="s">
        <v>41</v>
      </c>
      <c r="N359" s="81" t="s">
        <v>41</v>
      </c>
    </row>
    <row r="360" spans="1:14" ht="21.75" customHeight="1" x14ac:dyDescent="0.25">
      <c r="A360" s="78">
        <v>4019</v>
      </c>
      <c r="B360" s="79">
        <v>45436</v>
      </c>
      <c r="C360" s="80" t="s">
        <v>41</v>
      </c>
      <c r="D360" s="80" t="s">
        <v>44</v>
      </c>
      <c r="E360" s="80" t="s">
        <v>41</v>
      </c>
      <c r="F360" s="81">
        <v>5</v>
      </c>
      <c r="G360" s="81" t="s">
        <v>41</v>
      </c>
      <c r="H360" s="82">
        <v>45440</v>
      </c>
      <c r="I360" s="81">
        <v>3</v>
      </c>
      <c r="J360" s="82">
        <v>45450</v>
      </c>
      <c r="K360" s="81" t="s">
        <v>3</v>
      </c>
      <c r="L360" s="81" t="s">
        <v>41</v>
      </c>
      <c r="M360" s="81" t="s">
        <v>41</v>
      </c>
      <c r="N360" s="81" t="s">
        <v>41</v>
      </c>
    </row>
    <row r="361" spans="1:14" ht="21.75" customHeight="1" x14ac:dyDescent="0.25">
      <c r="A361" s="78">
        <v>3019</v>
      </c>
      <c r="B361" s="79">
        <v>45436</v>
      </c>
      <c r="C361" s="80" t="s">
        <v>41</v>
      </c>
      <c r="D361" s="80" t="s">
        <v>40</v>
      </c>
      <c r="E361" s="80" t="s">
        <v>41</v>
      </c>
      <c r="F361" s="81">
        <v>5</v>
      </c>
      <c r="G361" s="81" t="s">
        <v>41</v>
      </c>
      <c r="H361" s="82">
        <v>45440</v>
      </c>
      <c r="I361" s="81">
        <v>9</v>
      </c>
      <c r="J361" s="82">
        <v>45444</v>
      </c>
      <c r="K361" s="81" t="s">
        <v>41</v>
      </c>
      <c r="L361" s="81" t="s">
        <v>41</v>
      </c>
      <c r="M361" s="81" t="s">
        <v>41</v>
      </c>
      <c r="N361" s="81" t="s">
        <v>4</v>
      </c>
    </row>
    <row r="362" spans="1:14" ht="21.75" customHeight="1" x14ac:dyDescent="0.25">
      <c r="A362" s="78">
        <v>3288</v>
      </c>
      <c r="B362" s="79">
        <v>45436</v>
      </c>
      <c r="C362" s="80" t="s">
        <v>41</v>
      </c>
      <c r="D362" s="80" t="s">
        <v>44</v>
      </c>
      <c r="E362" s="80" t="s">
        <v>41</v>
      </c>
      <c r="F362" s="81">
        <v>5</v>
      </c>
      <c r="G362" s="81" t="s">
        <v>41</v>
      </c>
      <c r="H362" s="82">
        <v>45440</v>
      </c>
      <c r="I362" s="81">
        <v>3</v>
      </c>
      <c r="J362" s="82">
        <v>45444</v>
      </c>
      <c r="K362" s="81" t="s">
        <v>3</v>
      </c>
      <c r="L362" s="81" t="s">
        <v>5</v>
      </c>
      <c r="M362" s="81" t="s">
        <v>41</v>
      </c>
      <c r="N362" s="81" t="s">
        <v>41</v>
      </c>
    </row>
    <row r="363" spans="1:14" ht="21.75" customHeight="1" x14ac:dyDescent="0.25">
      <c r="A363" s="78">
        <v>2141</v>
      </c>
      <c r="B363" s="79">
        <v>45436</v>
      </c>
      <c r="C363" s="80" t="s">
        <v>41</v>
      </c>
      <c r="D363" s="80" t="s">
        <v>44</v>
      </c>
      <c r="E363" s="80" t="s">
        <v>41</v>
      </c>
      <c r="F363" s="81">
        <v>5</v>
      </c>
      <c r="G363" s="81" t="s">
        <v>41</v>
      </c>
      <c r="H363" s="82">
        <v>45440</v>
      </c>
      <c r="I363" s="81">
        <v>3</v>
      </c>
      <c r="J363" s="82">
        <v>45444</v>
      </c>
      <c r="K363" s="81" t="s">
        <v>3</v>
      </c>
      <c r="L363" s="81" t="s">
        <v>5</v>
      </c>
      <c r="M363" s="81" t="s">
        <v>41</v>
      </c>
      <c r="N363" s="81" t="s">
        <v>41</v>
      </c>
    </row>
    <row r="364" spans="1:14" ht="21.75" customHeight="1" x14ac:dyDescent="0.25">
      <c r="A364" s="78">
        <v>3042</v>
      </c>
      <c r="B364" s="79">
        <v>45436</v>
      </c>
      <c r="C364" s="80" t="s">
        <v>41</v>
      </c>
      <c r="D364" s="80" t="s">
        <v>44</v>
      </c>
      <c r="E364" s="80" t="s">
        <v>41</v>
      </c>
      <c r="F364" s="81">
        <v>5</v>
      </c>
      <c r="G364" s="81" t="s">
        <v>41</v>
      </c>
      <c r="H364" s="82">
        <v>45440</v>
      </c>
      <c r="I364" s="81">
        <v>3</v>
      </c>
      <c r="J364" s="82">
        <v>45444</v>
      </c>
      <c r="K364" s="81" t="s">
        <v>3</v>
      </c>
      <c r="L364" s="81" t="s">
        <v>41</v>
      </c>
      <c r="M364" s="81" t="s">
        <v>41</v>
      </c>
      <c r="N364" s="81" t="s">
        <v>41</v>
      </c>
    </row>
    <row r="365" spans="1:14" ht="21.75" customHeight="1" x14ac:dyDescent="0.25">
      <c r="A365" s="78">
        <v>2627</v>
      </c>
      <c r="B365" s="79">
        <v>45436</v>
      </c>
      <c r="C365" s="80" t="s">
        <v>41</v>
      </c>
      <c r="D365" s="80" t="s">
        <v>44</v>
      </c>
      <c r="E365" s="80" t="s">
        <v>41</v>
      </c>
      <c r="F365" s="81">
        <v>5</v>
      </c>
      <c r="G365" s="81" t="s">
        <v>41</v>
      </c>
      <c r="H365" s="82">
        <v>45440</v>
      </c>
      <c r="I365" s="81">
        <v>3</v>
      </c>
      <c r="J365" s="82">
        <v>45444</v>
      </c>
      <c r="K365" s="81" t="s">
        <v>3</v>
      </c>
      <c r="L365" s="81" t="s">
        <v>5</v>
      </c>
      <c r="M365" s="81" t="s">
        <v>41</v>
      </c>
      <c r="N365" s="81" t="s">
        <v>41</v>
      </c>
    </row>
    <row r="366" spans="1:14" ht="21.75" customHeight="1" x14ac:dyDescent="0.25">
      <c r="A366" s="78">
        <v>875</v>
      </c>
      <c r="B366" s="79">
        <v>45436</v>
      </c>
      <c r="C366" s="80" t="s">
        <v>41</v>
      </c>
      <c r="D366" s="80" t="s">
        <v>44</v>
      </c>
      <c r="E366" s="80" t="s">
        <v>41</v>
      </c>
      <c r="F366" s="81">
        <v>5</v>
      </c>
      <c r="G366" s="81" t="s">
        <v>41</v>
      </c>
      <c r="H366" s="82">
        <v>45440</v>
      </c>
      <c r="I366" s="81">
        <v>3</v>
      </c>
      <c r="J366" s="82">
        <v>45444</v>
      </c>
      <c r="K366" s="81" t="s">
        <v>3</v>
      </c>
      <c r="L366" s="81" t="s">
        <v>41</v>
      </c>
      <c r="M366" s="81" t="s">
        <v>1</v>
      </c>
      <c r="N366" s="81" t="s">
        <v>41</v>
      </c>
    </row>
    <row r="367" spans="1:14" ht="21.75" customHeight="1" x14ac:dyDescent="0.25">
      <c r="A367" s="78">
        <v>1187</v>
      </c>
      <c r="B367" s="79">
        <v>45437</v>
      </c>
      <c r="C367" s="80" t="s">
        <v>41</v>
      </c>
      <c r="D367" s="80" t="s">
        <v>44</v>
      </c>
      <c r="E367" s="80" t="s">
        <v>41</v>
      </c>
      <c r="F367" s="81">
        <v>5</v>
      </c>
      <c r="G367" s="81" t="s">
        <v>41</v>
      </c>
      <c r="H367" s="82">
        <v>45441</v>
      </c>
      <c r="I367" s="81">
        <v>3</v>
      </c>
      <c r="J367" s="82">
        <v>45445</v>
      </c>
      <c r="K367" s="81" t="s">
        <v>41</v>
      </c>
      <c r="L367" s="81" t="s">
        <v>41</v>
      </c>
      <c r="M367" s="81" t="s">
        <v>1</v>
      </c>
      <c r="N367" s="81" t="s">
        <v>41</v>
      </c>
    </row>
    <row r="368" spans="1:14" ht="21.75" customHeight="1" x14ac:dyDescent="0.25">
      <c r="A368" s="78">
        <v>3305</v>
      </c>
      <c r="B368" s="79">
        <v>45437</v>
      </c>
      <c r="C368" s="80" t="s">
        <v>41</v>
      </c>
      <c r="D368" s="80" t="s">
        <v>22</v>
      </c>
      <c r="E368" s="80" t="s">
        <v>41</v>
      </c>
      <c r="F368" s="81">
        <v>5</v>
      </c>
      <c r="G368" s="81" t="s">
        <v>41</v>
      </c>
      <c r="H368" s="82">
        <v>45441</v>
      </c>
      <c r="I368" s="81">
        <v>3</v>
      </c>
      <c r="J368" s="82">
        <v>45445</v>
      </c>
      <c r="K368" s="81" t="s">
        <v>41</v>
      </c>
      <c r="L368" s="81" t="s">
        <v>41</v>
      </c>
      <c r="M368" s="81" t="s">
        <v>41</v>
      </c>
      <c r="N368" s="81" t="s">
        <v>4</v>
      </c>
    </row>
    <row r="369" spans="1:14" ht="21.75" customHeight="1" x14ac:dyDescent="0.25">
      <c r="A369" s="78">
        <v>892</v>
      </c>
      <c r="B369" s="79">
        <v>45438</v>
      </c>
      <c r="C369" s="80" t="s">
        <v>41</v>
      </c>
      <c r="D369" s="80" t="s">
        <v>44</v>
      </c>
      <c r="E369" s="80" t="s">
        <v>41</v>
      </c>
      <c r="F369" s="81">
        <v>5</v>
      </c>
      <c r="G369" s="81" t="s">
        <v>41</v>
      </c>
      <c r="H369" s="82">
        <v>45442</v>
      </c>
      <c r="I369" s="81">
        <v>3</v>
      </c>
      <c r="J369" s="82">
        <v>45446</v>
      </c>
      <c r="K369" s="81" t="s">
        <v>3</v>
      </c>
      <c r="L369" s="81" t="s">
        <v>5</v>
      </c>
      <c r="M369" s="81" t="s">
        <v>1</v>
      </c>
      <c r="N369" s="81" t="s">
        <v>4</v>
      </c>
    </row>
    <row r="370" spans="1:14" ht="21.75" customHeight="1" x14ac:dyDescent="0.25">
      <c r="A370" s="78">
        <v>3672</v>
      </c>
      <c r="B370" s="79">
        <v>45439</v>
      </c>
      <c r="C370" s="80" t="s">
        <v>41</v>
      </c>
      <c r="D370" s="80" t="s">
        <v>44</v>
      </c>
      <c r="E370" s="80" t="s">
        <v>41</v>
      </c>
      <c r="F370" s="81">
        <v>5</v>
      </c>
      <c r="G370" s="81" t="s">
        <v>41</v>
      </c>
      <c r="H370" s="82">
        <v>45443</v>
      </c>
      <c r="I370" s="81">
        <v>3</v>
      </c>
      <c r="J370" s="82">
        <v>45447</v>
      </c>
      <c r="K370" s="81" t="s">
        <v>3</v>
      </c>
      <c r="L370" s="81" t="s">
        <v>41</v>
      </c>
      <c r="M370" s="81" t="s">
        <v>1</v>
      </c>
      <c r="N370" s="81" t="s">
        <v>41</v>
      </c>
    </row>
    <row r="371" spans="1:14" ht="21.75" customHeight="1" x14ac:dyDescent="0.25">
      <c r="A371" s="78">
        <v>2906</v>
      </c>
      <c r="B371" s="79">
        <v>45440</v>
      </c>
      <c r="C371" s="80" t="s">
        <v>41</v>
      </c>
      <c r="D371" s="80" t="s">
        <v>44</v>
      </c>
      <c r="E371" s="80" t="s">
        <v>41</v>
      </c>
      <c r="F371" s="81">
        <v>5</v>
      </c>
      <c r="G371" s="81" t="s">
        <v>41</v>
      </c>
      <c r="H371" s="82">
        <v>45444</v>
      </c>
      <c r="I371" s="81">
        <v>3</v>
      </c>
      <c r="J371" s="82">
        <v>45451</v>
      </c>
      <c r="K371" s="81" t="s">
        <v>41</v>
      </c>
      <c r="L371" s="81" t="s">
        <v>41</v>
      </c>
      <c r="M371" s="81" t="s">
        <v>41</v>
      </c>
      <c r="N371" s="81" t="s">
        <v>4</v>
      </c>
    </row>
    <row r="372" spans="1:14" ht="21.75" customHeight="1" x14ac:dyDescent="0.25">
      <c r="A372" s="78">
        <v>202</v>
      </c>
      <c r="B372" s="79">
        <v>45440</v>
      </c>
      <c r="C372" s="80" t="s">
        <v>41</v>
      </c>
      <c r="D372" s="80" t="s">
        <v>45</v>
      </c>
      <c r="E372" s="80" t="s">
        <v>41</v>
      </c>
      <c r="F372" s="81">
        <v>5</v>
      </c>
      <c r="G372" s="81" t="s">
        <v>41</v>
      </c>
      <c r="H372" s="82">
        <v>45444</v>
      </c>
      <c r="I372" s="81">
        <v>6</v>
      </c>
      <c r="J372" s="82">
        <v>45451</v>
      </c>
      <c r="K372" s="81" t="s">
        <v>41</v>
      </c>
      <c r="L372" s="81" t="s">
        <v>5</v>
      </c>
      <c r="M372" s="81" t="s">
        <v>41</v>
      </c>
      <c r="N372" s="81" t="s">
        <v>41</v>
      </c>
    </row>
    <row r="373" spans="1:14" ht="21.75" customHeight="1" x14ac:dyDescent="0.25">
      <c r="A373" s="78">
        <v>2152</v>
      </c>
      <c r="B373" s="79">
        <v>45440</v>
      </c>
      <c r="C373" s="80" t="s">
        <v>41</v>
      </c>
      <c r="D373" s="80" t="s">
        <v>45</v>
      </c>
      <c r="E373" s="80" t="s">
        <v>41</v>
      </c>
      <c r="F373" s="81">
        <v>5</v>
      </c>
      <c r="G373" s="81" t="s">
        <v>41</v>
      </c>
      <c r="H373" s="82">
        <v>45444</v>
      </c>
      <c r="I373" s="81">
        <v>6</v>
      </c>
      <c r="J373" s="82">
        <v>45448</v>
      </c>
      <c r="K373" s="81" t="s">
        <v>41</v>
      </c>
      <c r="L373" s="81" t="s">
        <v>41</v>
      </c>
      <c r="M373" s="81" t="s">
        <v>1</v>
      </c>
      <c r="N373" s="81" t="s">
        <v>4</v>
      </c>
    </row>
    <row r="374" spans="1:14" ht="21.75" customHeight="1" x14ac:dyDescent="0.25">
      <c r="A374" s="78">
        <v>3239</v>
      </c>
      <c r="B374" s="79">
        <v>45440</v>
      </c>
      <c r="C374" s="80" t="s">
        <v>41</v>
      </c>
      <c r="D374" s="80" t="s">
        <v>44</v>
      </c>
      <c r="E374" s="80" t="s">
        <v>41</v>
      </c>
      <c r="F374" s="81">
        <v>5</v>
      </c>
      <c r="G374" s="81" t="s">
        <v>41</v>
      </c>
      <c r="H374" s="82">
        <v>45444</v>
      </c>
      <c r="I374" s="81">
        <v>3</v>
      </c>
      <c r="J374" s="82">
        <v>45454</v>
      </c>
      <c r="K374" s="81" t="s">
        <v>41</v>
      </c>
      <c r="L374" s="81" t="s">
        <v>5</v>
      </c>
      <c r="M374" s="81" t="s">
        <v>1</v>
      </c>
      <c r="N374" s="81" t="s">
        <v>4</v>
      </c>
    </row>
    <row r="375" spans="1:14" ht="21.75" customHeight="1" x14ac:dyDescent="0.25">
      <c r="A375" s="78">
        <v>3449</v>
      </c>
      <c r="B375" s="79">
        <v>45440</v>
      </c>
      <c r="C375" s="80" t="s">
        <v>41</v>
      </c>
      <c r="D375" s="80" t="s">
        <v>40</v>
      </c>
      <c r="E375" s="80" t="s">
        <v>41</v>
      </c>
      <c r="F375" s="81">
        <v>5</v>
      </c>
      <c r="G375" s="81" t="s">
        <v>41</v>
      </c>
      <c r="H375" s="82">
        <v>45444</v>
      </c>
      <c r="I375" s="81">
        <v>9</v>
      </c>
      <c r="J375" s="82">
        <v>45448</v>
      </c>
      <c r="K375" s="81" t="s">
        <v>3</v>
      </c>
      <c r="L375" s="81" t="s">
        <v>41</v>
      </c>
      <c r="M375" s="81" t="s">
        <v>41</v>
      </c>
      <c r="N375" s="81" t="s">
        <v>41</v>
      </c>
    </row>
    <row r="376" spans="1:14" ht="21.75" customHeight="1" x14ac:dyDescent="0.25">
      <c r="A376" s="78">
        <v>3004</v>
      </c>
      <c r="B376" s="79">
        <v>45440</v>
      </c>
      <c r="C376" s="80" t="s">
        <v>41</v>
      </c>
      <c r="D376" s="80" t="s">
        <v>44</v>
      </c>
      <c r="E376" s="80" t="s">
        <v>41</v>
      </c>
      <c r="F376" s="81">
        <v>5</v>
      </c>
      <c r="G376" s="81" t="s">
        <v>41</v>
      </c>
      <c r="H376" s="82">
        <v>45444</v>
      </c>
      <c r="I376" s="81">
        <v>3</v>
      </c>
      <c r="J376" s="82">
        <v>45448</v>
      </c>
      <c r="K376" s="81" t="s">
        <v>41</v>
      </c>
      <c r="L376" s="81" t="s">
        <v>41</v>
      </c>
      <c r="M376" s="81" t="s">
        <v>41</v>
      </c>
      <c r="N376" s="81" t="s">
        <v>4</v>
      </c>
    </row>
    <row r="377" spans="1:14" ht="21.75" customHeight="1" x14ac:dyDescent="0.25">
      <c r="A377" s="78">
        <v>1859</v>
      </c>
      <c r="B377" s="79">
        <v>45441</v>
      </c>
      <c r="C377" s="80" t="s">
        <v>41</v>
      </c>
      <c r="D377" s="80" t="s">
        <v>44</v>
      </c>
      <c r="E377" s="80" t="s">
        <v>41</v>
      </c>
      <c r="F377" s="81">
        <v>5</v>
      </c>
      <c r="G377" s="81" t="s">
        <v>41</v>
      </c>
      <c r="H377" s="82">
        <v>45445</v>
      </c>
      <c r="I377" s="81">
        <v>3</v>
      </c>
      <c r="J377" s="82">
        <v>45449</v>
      </c>
      <c r="K377" s="81" t="s">
        <v>3</v>
      </c>
      <c r="L377" s="81" t="s">
        <v>41</v>
      </c>
      <c r="M377" s="81" t="s">
        <v>41</v>
      </c>
      <c r="N377" s="81" t="s">
        <v>41</v>
      </c>
    </row>
    <row r="378" spans="1:14" ht="21.75" customHeight="1" x14ac:dyDescent="0.25">
      <c r="A378" s="78">
        <v>3319</v>
      </c>
      <c r="B378" s="79">
        <v>45442</v>
      </c>
      <c r="C378" s="80" t="s">
        <v>41</v>
      </c>
      <c r="D378" s="80" t="s">
        <v>22</v>
      </c>
      <c r="E378" s="80" t="s">
        <v>41</v>
      </c>
      <c r="F378" s="81">
        <v>5</v>
      </c>
      <c r="G378" s="81" t="s">
        <v>41</v>
      </c>
      <c r="H378" s="82">
        <v>45446</v>
      </c>
      <c r="I378" s="81">
        <v>3</v>
      </c>
      <c r="J378" s="82">
        <v>45453</v>
      </c>
      <c r="K378" s="81" t="s">
        <v>3</v>
      </c>
      <c r="L378" s="81" t="s">
        <v>41</v>
      </c>
      <c r="M378" s="81" t="s">
        <v>41</v>
      </c>
      <c r="N378" s="81" t="s">
        <v>41</v>
      </c>
    </row>
    <row r="379" spans="1:14" ht="21.75" customHeight="1" x14ac:dyDescent="0.25">
      <c r="A379" s="78">
        <v>3305</v>
      </c>
      <c r="B379" s="79">
        <v>45442</v>
      </c>
      <c r="C379" s="80" t="s">
        <v>41</v>
      </c>
      <c r="D379" s="80" t="s">
        <v>45</v>
      </c>
      <c r="E379" s="80" t="s">
        <v>41</v>
      </c>
      <c r="F379" s="81">
        <v>5</v>
      </c>
      <c r="G379" s="81" t="s">
        <v>41</v>
      </c>
      <c r="H379" s="82">
        <v>45446</v>
      </c>
      <c r="I379" s="81">
        <v>6</v>
      </c>
      <c r="J379" s="82">
        <v>45453</v>
      </c>
      <c r="K379" s="81" t="s">
        <v>41</v>
      </c>
      <c r="L379" s="81" t="s">
        <v>5</v>
      </c>
      <c r="M379" s="81" t="s">
        <v>41</v>
      </c>
      <c r="N379" s="81" t="s">
        <v>4</v>
      </c>
    </row>
    <row r="380" spans="1:14" ht="21.75" customHeight="1" x14ac:dyDescent="0.25">
      <c r="A380" s="78">
        <v>2668</v>
      </c>
      <c r="B380" s="79">
        <v>45443</v>
      </c>
      <c r="C380" s="80" t="s">
        <v>41</v>
      </c>
      <c r="D380" s="80" t="s">
        <v>45</v>
      </c>
      <c r="E380" s="80" t="s">
        <v>41</v>
      </c>
      <c r="F380" s="81">
        <v>5</v>
      </c>
      <c r="G380" s="81" t="s">
        <v>41</v>
      </c>
      <c r="H380" s="82">
        <v>45447</v>
      </c>
      <c r="I380" s="81">
        <v>6</v>
      </c>
      <c r="J380" s="82">
        <v>45451</v>
      </c>
      <c r="K380" s="81" t="s">
        <v>3</v>
      </c>
      <c r="L380" s="81" t="s">
        <v>5</v>
      </c>
      <c r="M380" s="81" t="s">
        <v>1</v>
      </c>
      <c r="N380" s="81" t="s">
        <v>4</v>
      </c>
    </row>
    <row r="381" spans="1:14" ht="21.75" customHeight="1" x14ac:dyDescent="0.25">
      <c r="A381" s="78">
        <v>3452</v>
      </c>
      <c r="B381" s="79">
        <v>45443</v>
      </c>
      <c r="C381" s="80" t="s">
        <v>41</v>
      </c>
      <c r="D381" s="80" t="s">
        <v>44</v>
      </c>
      <c r="E381" s="80" t="s">
        <v>41</v>
      </c>
      <c r="F381" s="81">
        <v>5</v>
      </c>
      <c r="G381" s="81" t="s">
        <v>41</v>
      </c>
      <c r="H381" s="82">
        <v>45447</v>
      </c>
      <c r="I381" s="81">
        <v>3</v>
      </c>
      <c r="J381" s="82">
        <v>45451</v>
      </c>
      <c r="K381" s="81" t="s">
        <v>41</v>
      </c>
      <c r="L381" s="81" t="s">
        <v>41</v>
      </c>
      <c r="M381" s="81" t="s">
        <v>41</v>
      </c>
      <c r="N381" s="81" t="s">
        <v>4</v>
      </c>
    </row>
    <row r="382" spans="1:14" ht="21.75" customHeight="1" x14ac:dyDescent="0.25">
      <c r="A382" s="78">
        <v>3848</v>
      </c>
      <c r="B382" s="79">
        <v>45443</v>
      </c>
      <c r="C382" s="80" t="s">
        <v>41</v>
      </c>
      <c r="D382" s="80" t="s">
        <v>44</v>
      </c>
      <c r="E382" s="80" t="s">
        <v>41</v>
      </c>
      <c r="F382" s="81">
        <v>5</v>
      </c>
      <c r="G382" s="81" t="s">
        <v>41</v>
      </c>
      <c r="H382" s="82">
        <v>45447</v>
      </c>
      <c r="I382" s="81">
        <v>3</v>
      </c>
      <c r="J382" s="82">
        <v>45451</v>
      </c>
      <c r="K382" s="81" t="s">
        <v>41</v>
      </c>
      <c r="L382" s="81" t="s">
        <v>5</v>
      </c>
      <c r="M382" s="81" t="s">
        <v>41</v>
      </c>
      <c r="N382" s="81" t="s">
        <v>41</v>
      </c>
    </row>
    <row r="383" spans="1:14" ht="21.75" customHeight="1" x14ac:dyDescent="0.25">
      <c r="A383" s="78">
        <v>3061</v>
      </c>
      <c r="B383" s="79">
        <v>45443</v>
      </c>
      <c r="C383" s="80" t="s">
        <v>41</v>
      </c>
      <c r="D383" s="80" t="s">
        <v>44</v>
      </c>
      <c r="E383" s="80" t="s">
        <v>41</v>
      </c>
      <c r="F383" s="81">
        <v>5</v>
      </c>
      <c r="G383" s="81" t="s">
        <v>41</v>
      </c>
      <c r="H383" s="82">
        <v>45447</v>
      </c>
      <c r="I383" s="81">
        <v>3</v>
      </c>
      <c r="J383" s="82">
        <v>45457</v>
      </c>
      <c r="K383" s="81" t="s">
        <v>3</v>
      </c>
      <c r="L383" s="81" t="s">
        <v>41</v>
      </c>
      <c r="M383" s="81" t="s">
        <v>41</v>
      </c>
      <c r="N383" s="81" t="s">
        <v>41</v>
      </c>
    </row>
    <row r="384" spans="1:14" ht="21.75" customHeight="1" x14ac:dyDescent="0.25">
      <c r="A384" s="78">
        <v>2952</v>
      </c>
      <c r="B384" s="79">
        <v>45443</v>
      </c>
      <c r="C384" s="80" t="s">
        <v>41</v>
      </c>
      <c r="D384" s="80" t="s">
        <v>40</v>
      </c>
      <c r="E384" s="80" t="s">
        <v>41</v>
      </c>
      <c r="F384" s="81">
        <v>5</v>
      </c>
      <c r="G384" s="81" t="s">
        <v>41</v>
      </c>
      <c r="H384" s="82">
        <v>45447</v>
      </c>
      <c r="I384" s="81">
        <v>9</v>
      </c>
      <c r="J384" s="82">
        <v>45451</v>
      </c>
      <c r="K384" s="81" t="s">
        <v>41</v>
      </c>
      <c r="L384" s="81" t="s">
        <v>41</v>
      </c>
      <c r="M384" s="81" t="s">
        <v>41</v>
      </c>
      <c r="N384" s="81" t="s">
        <v>4</v>
      </c>
    </row>
    <row r="385" spans="1:14" ht="21.75" customHeight="1" x14ac:dyDescent="0.25">
      <c r="A385" s="78">
        <v>1659</v>
      </c>
      <c r="B385" s="79">
        <v>45444</v>
      </c>
      <c r="C385" s="80" t="s">
        <v>41</v>
      </c>
      <c r="D385" s="80" t="s">
        <v>44</v>
      </c>
      <c r="E385" s="80" t="s">
        <v>41</v>
      </c>
      <c r="F385" s="81">
        <v>5</v>
      </c>
      <c r="G385" s="81" t="s">
        <v>41</v>
      </c>
      <c r="H385" s="82">
        <v>45448</v>
      </c>
      <c r="I385" s="81">
        <v>3</v>
      </c>
      <c r="J385" s="82">
        <v>45452</v>
      </c>
      <c r="K385" s="81" t="s">
        <v>3</v>
      </c>
      <c r="L385" s="81" t="s">
        <v>41</v>
      </c>
      <c r="M385" s="81" t="s">
        <v>41</v>
      </c>
      <c r="N385" s="81" t="s">
        <v>41</v>
      </c>
    </row>
    <row r="386" spans="1:14" ht="21.75" customHeight="1" x14ac:dyDescent="0.25">
      <c r="A386" s="78">
        <v>3391</v>
      </c>
      <c r="B386" s="79">
        <v>45444</v>
      </c>
      <c r="C386" s="80" t="s">
        <v>41</v>
      </c>
      <c r="D386" s="80" t="s">
        <v>44</v>
      </c>
      <c r="E386" s="80" t="s">
        <v>41</v>
      </c>
      <c r="F386" s="81">
        <v>5</v>
      </c>
      <c r="G386" s="81" t="s">
        <v>41</v>
      </c>
      <c r="H386" s="82">
        <v>45448</v>
      </c>
      <c r="I386" s="81">
        <v>3</v>
      </c>
      <c r="J386" s="82">
        <v>45452</v>
      </c>
      <c r="K386" s="81" t="s">
        <v>41</v>
      </c>
      <c r="L386" s="81" t="s">
        <v>41</v>
      </c>
      <c r="M386" s="81" t="s">
        <v>1</v>
      </c>
      <c r="N386" s="81" t="s">
        <v>41</v>
      </c>
    </row>
    <row r="387" spans="1:14" ht="21.75" customHeight="1" x14ac:dyDescent="0.25">
      <c r="A387" s="78">
        <v>2568</v>
      </c>
      <c r="B387" s="79">
        <v>45445</v>
      </c>
      <c r="C387" s="80" t="s">
        <v>41</v>
      </c>
      <c r="D387" s="80" t="s">
        <v>44</v>
      </c>
      <c r="E387" s="80" t="s">
        <v>41</v>
      </c>
      <c r="F387" s="81">
        <v>5</v>
      </c>
      <c r="G387" s="81" t="s">
        <v>41</v>
      </c>
      <c r="H387" s="82">
        <v>45449</v>
      </c>
      <c r="I387" s="81">
        <v>3</v>
      </c>
      <c r="J387" s="82">
        <v>45453</v>
      </c>
      <c r="K387" s="81" t="s">
        <v>41</v>
      </c>
      <c r="L387" s="81" t="s">
        <v>5</v>
      </c>
      <c r="M387" s="81" t="s">
        <v>41</v>
      </c>
      <c r="N387" s="81" t="s">
        <v>4</v>
      </c>
    </row>
    <row r="388" spans="1:14" ht="21.75" customHeight="1" x14ac:dyDescent="0.25">
      <c r="A388" s="78">
        <v>2502</v>
      </c>
      <c r="B388" s="79">
        <v>45446</v>
      </c>
      <c r="C388" s="80" t="s">
        <v>41</v>
      </c>
      <c r="D388" s="80" t="s">
        <v>22</v>
      </c>
      <c r="E388" s="80" t="s">
        <v>41</v>
      </c>
      <c r="F388" s="81">
        <v>5</v>
      </c>
      <c r="G388" s="81" t="s">
        <v>41</v>
      </c>
      <c r="H388" s="82">
        <v>45450</v>
      </c>
      <c r="I388" s="81">
        <v>3</v>
      </c>
      <c r="J388" s="82">
        <v>45454</v>
      </c>
      <c r="K388" s="81" t="s">
        <v>3</v>
      </c>
      <c r="L388" s="81" t="s">
        <v>41</v>
      </c>
      <c r="M388" s="81" t="s">
        <v>1</v>
      </c>
      <c r="N388" s="81" t="s">
        <v>41</v>
      </c>
    </row>
    <row r="389" spans="1:14" ht="21.75" customHeight="1" x14ac:dyDescent="0.25">
      <c r="A389" s="78">
        <v>3288</v>
      </c>
      <c r="B389" s="79">
        <v>45446</v>
      </c>
      <c r="C389" s="80" t="s">
        <v>41</v>
      </c>
      <c r="D389" s="80" t="s">
        <v>22</v>
      </c>
      <c r="E389" s="80" t="s">
        <v>41</v>
      </c>
      <c r="F389" s="81">
        <v>5</v>
      </c>
      <c r="G389" s="81" t="s">
        <v>41</v>
      </c>
      <c r="H389" s="82">
        <v>45450</v>
      </c>
      <c r="I389" s="81">
        <v>3</v>
      </c>
      <c r="J389" s="82">
        <v>45454</v>
      </c>
      <c r="K389" s="81" t="s">
        <v>3</v>
      </c>
      <c r="L389" s="81" t="s">
        <v>5</v>
      </c>
      <c r="M389" s="81" t="s">
        <v>41</v>
      </c>
      <c r="N389" s="81" t="s">
        <v>41</v>
      </c>
    </row>
    <row r="390" spans="1:14" ht="21.75" customHeight="1" x14ac:dyDescent="0.25">
      <c r="A390" s="78">
        <v>2906</v>
      </c>
      <c r="B390" s="79">
        <v>45446</v>
      </c>
      <c r="C390" s="80" t="s">
        <v>41</v>
      </c>
      <c r="D390" s="80" t="s">
        <v>22</v>
      </c>
      <c r="E390" s="80" t="s">
        <v>41</v>
      </c>
      <c r="F390" s="81">
        <v>5</v>
      </c>
      <c r="G390" s="81" t="s">
        <v>41</v>
      </c>
      <c r="H390" s="82">
        <v>45450</v>
      </c>
      <c r="I390" s="81">
        <v>3</v>
      </c>
      <c r="J390" s="82">
        <v>45454</v>
      </c>
      <c r="K390" s="81" t="s">
        <v>41</v>
      </c>
      <c r="L390" s="81" t="s">
        <v>41</v>
      </c>
      <c r="M390" s="81" t="s">
        <v>1</v>
      </c>
      <c r="N390" s="81" t="s">
        <v>4</v>
      </c>
    </row>
    <row r="391" spans="1:14" ht="21.75" customHeight="1" x14ac:dyDescent="0.25">
      <c r="A391" s="78">
        <v>2627</v>
      </c>
      <c r="B391" s="79">
        <v>45446</v>
      </c>
      <c r="C391" s="80" t="s">
        <v>41</v>
      </c>
      <c r="D391" s="80" t="s">
        <v>22</v>
      </c>
      <c r="E391" s="80" t="s">
        <v>41</v>
      </c>
      <c r="F391" s="81">
        <v>5</v>
      </c>
      <c r="G391" s="81" t="s">
        <v>41</v>
      </c>
      <c r="H391" s="82">
        <v>45450</v>
      </c>
      <c r="I391" s="81">
        <v>3</v>
      </c>
      <c r="J391" s="82">
        <v>45454</v>
      </c>
      <c r="K391" s="81" t="s">
        <v>3</v>
      </c>
      <c r="L391" s="81" t="s">
        <v>5</v>
      </c>
      <c r="M391" s="81" t="s">
        <v>1</v>
      </c>
      <c r="N391" s="81" t="s">
        <v>4</v>
      </c>
    </row>
    <row r="392" spans="1:14" ht="21.75" customHeight="1" x14ac:dyDescent="0.25">
      <c r="A392" s="78">
        <v>3848</v>
      </c>
      <c r="B392" s="79">
        <v>45446</v>
      </c>
      <c r="C392" s="80" t="s">
        <v>41</v>
      </c>
      <c r="D392" s="80" t="s">
        <v>22</v>
      </c>
      <c r="E392" s="80" t="s">
        <v>41</v>
      </c>
      <c r="F392" s="81">
        <v>5</v>
      </c>
      <c r="G392" s="81" t="s">
        <v>41</v>
      </c>
      <c r="H392" s="82">
        <v>45450</v>
      </c>
      <c r="I392" s="81">
        <v>3</v>
      </c>
      <c r="J392" s="82">
        <v>45455</v>
      </c>
      <c r="K392" s="81" t="s">
        <v>41</v>
      </c>
      <c r="L392" s="81" t="s">
        <v>5</v>
      </c>
      <c r="M392" s="81" t="s">
        <v>41</v>
      </c>
      <c r="N392" s="81" t="s">
        <v>41</v>
      </c>
    </row>
    <row r="393" spans="1:14" ht="21.75" customHeight="1" x14ac:dyDescent="0.25">
      <c r="A393" s="78">
        <v>3319</v>
      </c>
      <c r="B393" s="79">
        <v>45446</v>
      </c>
      <c r="C393" s="80" t="s">
        <v>41</v>
      </c>
      <c r="D393" s="80" t="s">
        <v>43</v>
      </c>
      <c r="E393" s="80" t="s">
        <v>41</v>
      </c>
      <c r="F393" s="81">
        <v>5</v>
      </c>
      <c r="G393" s="81" t="s">
        <v>41</v>
      </c>
      <c r="H393" s="82">
        <v>45450</v>
      </c>
      <c r="I393" s="81">
        <v>4</v>
      </c>
      <c r="J393" s="82">
        <v>45455</v>
      </c>
      <c r="K393" s="81" t="s">
        <v>3</v>
      </c>
      <c r="L393" s="81" t="s">
        <v>41</v>
      </c>
      <c r="M393" s="81" t="s">
        <v>41</v>
      </c>
      <c r="N393" s="81" t="s">
        <v>41</v>
      </c>
    </row>
    <row r="394" spans="1:14" ht="21.75" customHeight="1" x14ac:dyDescent="0.25">
      <c r="A394" s="78">
        <v>2152</v>
      </c>
      <c r="B394" s="79">
        <v>45446</v>
      </c>
      <c r="C394" s="80" t="s">
        <v>41</v>
      </c>
      <c r="D394" s="80" t="s">
        <v>43</v>
      </c>
      <c r="E394" s="80" t="s">
        <v>41</v>
      </c>
      <c r="F394" s="81">
        <v>5</v>
      </c>
      <c r="G394" s="81" t="s">
        <v>41</v>
      </c>
      <c r="H394" s="82">
        <v>45450</v>
      </c>
      <c r="I394" s="81">
        <v>4</v>
      </c>
      <c r="J394" s="82">
        <v>45460</v>
      </c>
      <c r="K394" s="81" t="s">
        <v>41</v>
      </c>
      <c r="L394" s="81" t="s">
        <v>41</v>
      </c>
      <c r="M394" s="81" t="s">
        <v>1</v>
      </c>
      <c r="N394" s="81" t="s">
        <v>4</v>
      </c>
    </row>
    <row r="395" spans="1:14" ht="21.75" customHeight="1" x14ac:dyDescent="0.25">
      <c r="A395" s="78">
        <v>3452</v>
      </c>
      <c r="B395" s="79">
        <v>45447</v>
      </c>
      <c r="C395" s="80" t="s">
        <v>41</v>
      </c>
      <c r="D395" s="80" t="s">
        <v>40</v>
      </c>
      <c r="E395" s="80" t="s">
        <v>41</v>
      </c>
      <c r="F395" s="81">
        <v>5</v>
      </c>
      <c r="G395" s="81" t="s">
        <v>41</v>
      </c>
      <c r="H395" s="82">
        <v>45451</v>
      </c>
      <c r="I395" s="81">
        <v>9</v>
      </c>
      <c r="J395" s="82">
        <v>45461</v>
      </c>
      <c r="K395" s="81" t="s">
        <v>41</v>
      </c>
      <c r="L395" s="81" t="s">
        <v>41</v>
      </c>
      <c r="M395" s="81" t="s">
        <v>41</v>
      </c>
      <c r="N395" s="81" t="s">
        <v>4</v>
      </c>
    </row>
    <row r="396" spans="1:14" ht="21.75" customHeight="1" x14ac:dyDescent="0.25">
      <c r="A396" s="78">
        <v>3848</v>
      </c>
      <c r="B396" s="79">
        <v>45447</v>
      </c>
      <c r="C396" s="80" t="s">
        <v>41</v>
      </c>
      <c r="D396" s="80" t="s">
        <v>40</v>
      </c>
      <c r="E396" s="80" t="s">
        <v>41</v>
      </c>
      <c r="F396" s="81">
        <v>5</v>
      </c>
      <c r="G396" s="81" t="s">
        <v>41</v>
      </c>
      <c r="H396" s="82">
        <v>45451</v>
      </c>
      <c r="I396" s="81">
        <v>9</v>
      </c>
      <c r="J396" s="82">
        <v>45455</v>
      </c>
      <c r="K396" s="81" t="s">
        <v>41</v>
      </c>
      <c r="L396" s="81" t="s">
        <v>5</v>
      </c>
      <c r="M396" s="81" t="s">
        <v>41</v>
      </c>
      <c r="N396" s="81" t="s">
        <v>41</v>
      </c>
    </row>
    <row r="397" spans="1:14" ht="21.75" customHeight="1" x14ac:dyDescent="0.25">
      <c r="A397" s="78">
        <v>1859</v>
      </c>
      <c r="B397" s="79">
        <v>45447</v>
      </c>
      <c r="C397" s="80" t="s">
        <v>41</v>
      </c>
      <c r="D397" s="80" t="s">
        <v>22</v>
      </c>
      <c r="E397" s="80" t="s">
        <v>41</v>
      </c>
      <c r="F397" s="81">
        <v>5</v>
      </c>
      <c r="G397" s="81" t="s">
        <v>41</v>
      </c>
      <c r="H397" s="82">
        <v>45451</v>
      </c>
      <c r="I397" s="81">
        <v>3</v>
      </c>
      <c r="J397" s="82">
        <v>45461</v>
      </c>
      <c r="K397" s="81" t="s">
        <v>3</v>
      </c>
      <c r="L397" s="81" t="s">
        <v>41</v>
      </c>
      <c r="M397" s="81" t="s">
        <v>41</v>
      </c>
      <c r="N397" s="81" t="s">
        <v>41</v>
      </c>
    </row>
    <row r="398" spans="1:14" ht="21.75" customHeight="1" x14ac:dyDescent="0.25">
      <c r="A398" s="78">
        <v>2152</v>
      </c>
      <c r="B398" s="79">
        <v>45447</v>
      </c>
      <c r="C398" s="80" t="s">
        <v>41</v>
      </c>
      <c r="D398" s="80" t="s">
        <v>40</v>
      </c>
      <c r="E398" s="80" t="s">
        <v>41</v>
      </c>
      <c r="F398" s="81">
        <v>5</v>
      </c>
      <c r="G398" s="81" t="s">
        <v>41</v>
      </c>
      <c r="H398" s="82">
        <v>45451</v>
      </c>
      <c r="I398" s="81">
        <v>9</v>
      </c>
      <c r="J398" s="82">
        <v>45456</v>
      </c>
      <c r="K398" s="81" t="s">
        <v>41</v>
      </c>
      <c r="L398" s="81" t="s">
        <v>41</v>
      </c>
      <c r="M398" s="81" t="s">
        <v>1</v>
      </c>
      <c r="N398" s="81" t="s">
        <v>4</v>
      </c>
    </row>
    <row r="399" spans="1:14" ht="21.75" customHeight="1" x14ac:dyDescent="0.25">
      <c r="A399" s="78">
        <v>3069</v>
      </c>
      <c r="B399" s="79">
        <v>45448</v>
      </c>
      <c r="C399" s="80" t="s">
        <v>41</v>
      </c>
      <c r="D399" s="80" t="s">
        <v>43</v>
      </c>
      <c r="E399" s="80" t="s">
        <v>41</v>
      </c>
      <c r="F399" s="81">
        <v>5</v>
      </c>
      <c r="G399" s="81" t="s">
        <v>41</v>
      </c>
      <c r="H399" s="82">
        <v>45452</v>
      </c>
      <c r="I399" s="81">
        <v>4</v>
      </c>
      <c r="J399" s="82">
        <v>45457</v>
      </c>
      <c r="K399" s="81" t="s">
        <v>3</v>
      </c>
      <c r="L399" s="81" t="s">
        <v>41</v>
      </c>
      <c r="M399" s="81" t="s">
        <v>41</v>
      </c>
      <c r="N399" s="81" t="s">
        <v>41</v>
      </c>
    </row>
    <row r="400" spans="1:14" ht="21.75" customHeight="1" x14ac:dyDescent="0.25">
      <c r="A400" s="78">
        <v>2627</v>
      </c>
      <c r="B400" s="79">
        <v>45448</v>
      </c>
      <c r="C400" s="80" t="s">
        <v>41</v>
      </c>
      <c r="D400" s="80" t="s">
        <v>43</v>
      </c>
      <c r="E400" s="80" t="s">
        <v>41</v>
      </c>
      <c r="F400" s="81">
        <v>5</v>
      </c>
      <c r="G400" s="81" t="s">
        <v>41</v>
      </c>
      <c r="H400" s="82">
        <v>45452</v>
      </c>
      <c r="I400" s="81">
        <v>4</v>
      </c>
      <c r="J400" s="82">
        <v>45457</v>
      </c>
      <c r="K400" s="81" t="s">
        <v>3</v>
      </c>
      <c r="L400" s="81" t="s">
        <v>5</v>
      </c>
      <c r="M400" s="81" t="s">
        <v>1</v>
      </c>
      <c r="N400" s="81" t="s">
        <v>4</v>
      </c>
    </row>
    <row r="401" spans="1:14" ht="21.75" customHeight="1" x14ac:dyDescent="0.25">
      <c r="A401" s="78">
        <v>2906</v>
      </c>
      <c r="B401" s="79">
        <v>45448</v>
      </c>
      <c r="C401" s="80" t="s">
        <v>41</v>
      </c>
      <c r="D401" s="80" t="s">
        <v>43</v>
      </c>
      <c r="E401" s="80" t="s">
        <v>41</v>
      </c>
      <c r="F401" s="81">
        <v>5</v>
      </c>
      <c r="G401" s="81" t="s">
        <v>41</v>
      </c>
      <c r="H401" s="82">
        <v>45452</v>
      </c>
      <c r="I401" s="81">
        <v>4</v>
      </c>
      <c r="J401" s="82">
        <v>45456</v>
      </c>
      <c r="K401" s="81" t="s">
        <v>41</v>
      </c>
      <c r="L401" s="81" t="s">
        <v>41</v>
      </c>
      <c r="M401" s="81" t="s">
        <v>41</v>
      </c>
      <c r="N401" s="81" t="s">
        <v>4</v>
      </c>
    </row>
    <row r="402" spans="1:14" ht="21.75" customHeight="1" x14ac:dyDescent="0.25">
      <c r="A402" s="78">
        <v>186</v>
      </c>
      <c r="B402" s="79">
        <v>45449</v>
      </c>
      <c r="C402" s="80" t="s">
        <v>41</v>
      </c>
      <c r="D402" s="80" t="s">
        <v>44</v>
      </c>
      <c r="E402" s="80" t="s">
        <v>41</v>
      </c>
      <c r="F402" s="81">
        <v>5</v>
      </c>
      <c r="G402" s="81" t="s">
        <v>41</v>
      </c>
      <c r="H402" s="82">
        <v>45453</v>
      </c>
      <c r="I402" s="81">
        <v>3</v>
      </c>
      <c r="J402" s="82">
        <v>45457</v>
      </c>
      <c r="K402" s="81" t="s">
        <v>41</v>
      </c>
      <c r="L402" s="81" t="s">
        <v>5</v>
      </c>
      <c r="M402" s="81" t="s">
        <v>41</v>
      </c>
      <c r="N402" s="81" t="s">
        <v>4</v>
      </c>
    </row>
    <row r="403" spans="1:14" ht="21.75" customHeight="1" x14ac:dyDescent="0.25">
      <c r="A403" s="78">
        <v>3308</v>
      </c>
      <c r="B403" s="79">
        <v>45449</v>
      </c>
      <c r="C403" s="80" t="s">
        <v>41</v>
      </c>
      <c r="D403" s="80" t="s">
        <v>44</v>
      </c>
      <c r="E403" s="80" t="s">
        <v>41</v>
      </c>
      <c r="F403" s="81">
        <v>5</v>
      </c>
      <c r="G403" s="81" t="s">
        <v>41</v>
      </c>
      <c r="H403" s="82">
        <v>45453</v>
      </c>
      <c r="I403" s="81">
        <v>3</v>
      </c>
      <c r="J403" s="82">
        <v>45457</v>
      </c>
      <c r="K403" s="81" t="s">
        <v>41</v>
      </c>
      <c r="L403" s="81" t="s">
        <v>5</v>
      </c>
      <c r="M403" s="81" t="s">
        <v>41</v>
      </c>
      <c r="N403" s="81" t="s">
        <v>4</v>
      </c>
    </row>
    <row r="404" spans="1:14" ht="21.75" customHeight="1" x14ac:dyDescent="0.25">
      <c r="A404" s="78">
        <v>2770</v>
      </c>
      <c r="B404" s="79">
        <v>45449</v>
      </c>
      <c r="C404" s="80" t="s">
        <v>41</v>
      </c>
      <c r="D404" s="80" t="s">
        <v>44</v>
      </c>
      <c r="E404" s="80" t="s">
        <v>41</v>
      </c>
      <c r="F404" s="81">
        <v>5</v>
      </c>
      <c r="G404" s="81" t="s">
        <v>41</v>
      </c>
      <c r="H404" s="82">
        <v>45453</v>
      </c>
      <c r="I404" s="81">
        <v>3</v>
      </c>
      <c r="J404" s="82">
        <v>45457</v>
      </c>
      <c r="K404" s="81" t="s">
        <v>3</v>
      </c>
      <c r="L404" s="81" t="s">
        <v>5</v>
      </c>
      <c r="M404" s="81" t="s">
        <v>41</v>
      </c>
      <c r="N404" s="81" t="s">
        <v>4</v>
      </c>
    </row>
    <row r="405" spans="1:14" ht="21.75" customHeight="1" x14ac:dyDescent="0.25">
      <c r="A405" s="78">
        <v>3482</v>
      </c>
      <c r="B405" s="79">
        <v>45449</v>
      </c>
      <c r="C405" s="80" t="s">
        <v>41</v>
      </c>
      <c r="D405" s="80" t="s">
        <v>44</v>
      </c>
      <c r="E405" s="80" t="s">
        <v>41</v>
      </c>
      <c r="F405" s="81">
        <v>5</v>
      </c>
      <c r="G405" s="81" t="s">
        <v>41</v>
      </c>
      <c r="H405" s="82">
        <v>45453</v>
      </c>
      <c r="I405" s="81">
        <v>3</v>
      </c>
      <c r="J405" s="82">
        <v>45457</v>
      </c>
      <c r="K405" s="81" t="s">
        <v>41</v>
      </c>
      <c r="L405" s="81" t="s">
        <v>5</v>
      </c>
      <c r="M405" s="81" t="s">
        <v>41</v>
      </c>
      <c r="N405" s="81" t="s">
        <v>41</v>
      </c>
    </row>
    <row r="406" spans="1:14" ht="21.75" customHeight="1" x14ac:dyDescent="0.25">
      <c r="A406" s="78">
        <v>2141</v>
      </c>
      <c r="B406" s="79">
        <v>45449</v>
      </c>
      <c r="C406" s="80" t="s">
        <v>41</v>
      </c>
      <c r="D406" s="80" t="s">
        <v>44</v>
      </c>
      <c r="E406" s="80" t="s">
        <v>41</v>
      </c>
      <c r="F406" s="81">
        <v>5</v>
      </c>
      <c r="G406" s="81" t="s">
        <v>41</v>
      </c>
      <c r="H406" s="82">
        <v>45453</v>
      </c>
      <c r="I406" s="81">
        <v>3</v>
      </c>
      <c r="J406" s="82">
        <v>45458</v>
      </c>
      <c r="K406" s="81" t="s">
        <v>3</v>
      </c>
      <c r="L406" s="81" t="s">
        <v>5</v>
      </c>
      <c r="M406" s="81" t="s">
        <v>1</v>
      </c>
      <c r="N406" s="81" t="s">
        <v>41</v>
      </c>
    </row>
    <row r="407" spans="1:14" ht="21.75" customHeight="1" x14ac:dyDescent="0.25">
      <c r="A407" s="78">
        <v>2062</v>
      </c>
      <c r="B407" s="79">
        <v>45449</v>
      </c>
      <c r="C407" s="80" t="s">
        <v>41</v>
      </c>
      <c r="D407" s="80" t="s">
        <v>43</v>
      </c>
      <c r="E407" s="80" t="s">
        <v>41</v>
      </c>
      <c r="F407" s="81">
        <v>5</v>
      </c>
      <c r="G407" s="81" t="s">
        <v>41</v>
      </c>
      <c r="H407" s="82">
        <v>45453</v>
      </c>
      <c r="I407" s="81">
        <v>4</v>
      </c>
      <c r="J407" s="82">
        <v>45457</v>
      </c>
      <c r="K407" s="81" t="s">
        <v>41</v>
      </c>
      <c r="L407" s="81" t="s">
        <v>5</v>
      </c>
      <c r="M407" s="81" t="s">
        <v>41</v>
      </c>
      <c r="N407" s="81" t="s">
        <v>4</v>
      </c>
    </row>
    <row r="408" spans="1:14" ht="21.75" customHeight="1" x14ac:dyDescent="0.25">
      <c r="A408" s="78">
        <v>2440</v>
      </c>
      <c r="B408" s="79">
        <v>45450</v>
      </c>
      <c r="C408" s="80" t="s">
        <v>41</v>
      </c>
      <c r="D408" s="80" t="s">
        <v>44</v>
      </c>
      <c r="E408" s="80" t="s">
        <v>41</v>
      </c>
      <c r="F408" s="81">
        <v>5</v>
      </c>
      <c r="G408" s="81" t="s">
        <v>41</v>
      </c>
      <c r="H408" s="82">
        <v>45454</v>
      </c>
      <c r="I408" s="81">
        <v>3</v>
      </c>
      <c r="J408" s="82">
        <v>45461</v>
      </c>
      <c r="K408" s="81" t="s">
        <v>41</v>
      </c>
      <c r="L408" s="81" t="s">
        <v>5</v>
      </c>
      <c r="M408" s="81" t="s">
        <v>41</v>
      </c>
      <c r="N408" s="81" t="s">
        <v>41</v>
      </c>
    </row>
    <row r="409" spans="1:14" ht="21.75" customHeight="1" x14ac:dyDescent="0.25">
      <c r="A409" s="78">
        <v>3007</v>
      </c>
      <c r="B409" s="79">
        <v>45450</v>
      </c>
      <c r="C409" s="80" t="s">
        <v>41</v>
      </c>
      <c r="D409" s="80" t="s">
        <v>45</v>
      </c>
      <c r="E409" s="80" t="s">
        <v>41</v>
      </c>
      <c r="F409" s="81">
        <v>5</v>
      </c>
      <c r="G409" s="81" t="s">
        <v>41</v>
      </c>
      <c r="H409" s="82">
        <v>45454</v>
      </c>
      <c r="I409" s="81">
        <v>6</v>
      </c>
      <c r="J409" s="82">
        <v>45461</v>
      </c>
      <c r="K409" s="81" t="s">
        <v>3</v>
      </c>
      <c r="L409" s="81" t="s">
        <v>5</v>
      </c>
      <c r="M409" s="81" t="s">
        <v>1</v>
      </c>
      <c r="N409" s="81" t="s">
        <v>4</v>
      </c>
    </row>
    <row r="410" spans="1:14" ht="21.75" customHeight="1" x14ac:dyDescent="0.25">
      <c r="A410" s="78">
        <v>3432</v>
      </c>
      <c r="B410" s="79">
        <v>45450</v>
      </c>
      <c r="C410" s="80" t="s">
        <v>41</v>
      </c>
      <c r="D410" s="80" t="s">
        <v>45</v>
      </c>
      <c r="E410" s="80" t="s">
        <v>41</v>
      </c>
      <c r="F410" s="81">
        <v>5</v>
      </c>
      <c r="G410" s="81" t="s">
        <v>41</v>
      </c>
      <c r="H410" s="82">
        <v>45454</v>
      </c>
      <c r="I410" s="81">
        <v>6</v>
      </c>
      <c r="J410" s="82">
        <v>45461</v>
      </c>
      <c r="K410" s="81" t="s">
        <v>41</v>
      </c>
      <c r="L410" s="81" t="s">
        <v>5</v>
      </c>
      <c r="M410" s="81" t="s">
        <v>41</v>
      </c>
      <c r="N410" s="81" t="s">
        <v>41</v>
      </c>
    </row>
    <row r="411" spans="1:14" ht="21.75" customHeight="1" x14ac:dyDescent="0.25">
      <c r="A411" s="78">
        <v>3449</v>
      </c>
      <c r="B411" s="79">
        <v>45450</v>
      </c>
      <c r="C411" s="80" t="s">
        <v>41</v>
      </c>
      <c r="D411" s="80" t="s">
        <v>45</v>
      </c>
      <c r="E411" s="80" t="s">
        <v>41</v>
      </c>
      <c r="F411" s="81">
        <v>5</v>
      </c>
      <c r="G411" s="81" t="s">
        <v>41</v>
      </c>
      <c r="H411" s="82">
        <v>45454</v>
      </c>
      <c r="I411" s="81">
        <v>6</v>
      </c>
      <c r="J411" s="82">
        <v>45461</v>
      </c>
      <c r="K411" s="81" t="s">
        <v>3</v>
      </c>
      <c r="L411" s="81" t="s">
        <v>41</v>
      </c>
      <c r="M411" s="81" t="s">
        <v>1</v>
      </c>
      <c r="N411" s="81" t="s">
        <v>41</v>
      </c>
    </row>
    <row r="412" spans="1:14" ht="21.75" customHeight="1" x14ac:dyDescent="0.25">
      <c r="A412" s="78">
        <v>3198</v>
      </c>
      <c r="B412" s="79">
        <v>45450</v>
      </c>
      <c r="C412" s="80" t="s">
        <v>41</v>
      </c>
      <c r="D412" s="80" t="s">
        <v>45</v>
      </c>
      <c r="E412" s="80" t="s">
        <v>41</v>
      </c>
      <c r="F412" s="81">
        <v>5</v>
      </c>
      <c r="G412" s="81" t="s">
        <v>41</v>
      </c>
      <c r="H412" s="82">
        <v>45454</v>
      </c>
      <c r="I412" s="81">
        <v>6</v>
      </c>
      <c r="J412" s="82">
        <v>45461</v>
      </c>
      <c r="K412" s="81" t="s">
        <v>41</v>
      </c>
      <c r="L412" s="81" t="s">
        <v>41</v>
      </c>
      <c r="M412" s="81" t="s">
        <v>1</v>
      </c>
      <c r="N412" s="81" t="s">
        <v>4</v>
      </c>
    </row>
    <row r="413" spans="1:14" ht="21.75" customHeight="1" x14ac:dyDescent="0.25">
      <c r="A413" s="78">
        <v>2982</v>
      </c>
      <c r="B413" s="79">
        <v>45450</v>
      </c>
      <c r="C413" s="80" t="s">
        <v>41</v>
      </c>
      <c r="D413" s="80" t="s">
        <v>45</v>
      </c>
      <c r="E413" s="80" t="s">
        <v>41</v>
      </c>
      <c r="F413" s="81">
        <v>5</v>
      </c>
      <c r="G413" s="81" t="s">
        <v>41</v>
      </c>
      <c r="H413" s="82">
        <v>45454</v>
      </c>
      <c r="I413" s="81">
        <v>6</v>
      </c>
      <c r="J413" s="82">
        <v>45461</v>
      </c>
      <c r="K413" s="81" t="s">
        <v>41</v>
      </c>
      <c r="L413" s="81" t="s">
        <v>5</v>
      </c>
      <c r="M413" s="81" t="s">
        <v>1</v>
      </c>
      <c r="N413" s="81" t="s">
        <v>4</v>
      </c>
    </row>
    <row r="414" spans="1:14" ht="21.75" customHeight="1" x14ac:dyDescent="0.25">
      <c r="A414" s="78">
        <v>1144</v>
      </c>
      <c r="B414" s="79">
        <v>45450</v>
      </c>
      <c r="C414" s="80" t="s">
        <v>41</v>
      </c>
      <c r="D414" s="80" t="s">
        <v>45</v>
      </c>
      <c r="E414" s="80" t="s">
        <v>41</v>
      </c>
      <c r="F414" s="81">
        <v>5</v>
      </c>
      <c r="G414" s="81" t="s">
        <v>41</v>
      </c>
      <c r="H414" s="82">
        <v>45454</v>
      </c>
      <c r="I414" s="81">
        <v>6</v>
      </c>
      <c r="J414" s="82">
        <v>45461</v>
      </c>
      <c r="K414" s="81" t="s">
        <v>3</v>
      </c>
      <c r="L414" s="81" t="s">
        <v>41</v>
      </c>
      <c r="M414" s="81" t="s">
        <v>41</v>
      </c>
      <c r="N414" s="81" t="s">
        <v>4</v>
      </c>
    </row>
    <row r="415" spans="1:14" ht="21.75" customHeight="1" x14ac:dyDescent="0.25">
      <c r="A415" s="78">
        <v>2905</v>
      </c>
      <c r="B415" s="79">
        <v>45450</v>
      </c>
      <c r="C415" s="80" t="s">
        <v>41</v>
      </c>
      <c r="D415" s="80" t="s">
        <v>45</v>
      </c>
      <c r="E415" s="80" t="s">
        <v>41</v>
      </c>
      <c r="F415" s="81">
        <v>5</v>
      </c>
      <c r="G415" s="81" t="s">
        <v>41</v>
      </c>
      <c r="H415" s="82">
        <v>45454</v>
      </c>
      <c r="I415" s="81">
        <v>6</v>
      </c>
      <c r="J415" s="82">
        <v>45461</v>
      </c>
      <c r="K415" s="81" t="s">
        <v>3</v>
      </c>
      <c r="L415" s="81" t="s">
        <v>41</v>
      </c>
      <c r="M415" s="81" t="s">
        <v>41</v>
      </c>
      <c r="N415" s="81" t="s">
        <v>4</v>
      </c>
    </row>
    <row r="416" spans="1:14" ht="21.75" customHeight="1" x14ac:dyDescent="0.25">
      <c r="A416" s="78">
        <v>1066</v>
      </c>
      <c r="B416" s="79">
        <v>45450</v>
      </c>
      <c r="C416" s="80" t="s">
        <v>41</v>
      </c>
      <c r="D416" s="80" t="s">
        <v>45</v>
      </c>
      <c r="E416" s="80" t="s">
        <v>41</v>
      </c>
      <c r="F416" s="81">
        <v>5</v>
      </c>
      <c r="G416" s="81" t="s">
        <v>41</v>
      </c>
      <c r="H416" s="82">
        <v>45454</v>
      </c>
      <c r="I416" s="81">
        <v>6</v>
      </c>
      <c r="J416" s="82">
        <v>45461</v>
      </c>
      <c r="K416" s="81" t="s">
        <v>3</v>
      </c>
      <c r="L416" s="81" t="s">
        <v>41</v>
      </c>
      <c r="M416" s="81" t="s">
        <v>41</v>
      </c>
      <c r="N416" s="81" t="s">
        <v>41</v>
      </c>
    </row>
    <row r="417" spans="1:14" ht="21.75" customHeight="1" x14ac:dyDescent="0.25">
      <c r="A417" s="78">
        <v>1180</v>
      </c>
      <c r="B417" s="79">
        <v>45450</v>
      </c>
      <c r="C417" s="80" t="s">
        <v>41</v>
      </c>
      <c r="D417" s="80" t="s">
        <v>45</v>
      </c>
      <c r="E417" s="80" t="s">
        <v>41</v>
      </c>
      <c r="F417" s="81">
        <v>5</v>
      </c>
      <c r="G417" s="81" t="s">
        <v>41</v>
      </c>
      <c r="H417" s="82">
        <v>45454</v>
      </c>
      <c r="I417" s="81">
        <v>6</v>
      </c>
      <c r="J417" s="82">
        <v>45461</v>
      </c>
      <c r="K417" s="81" t="s">
        <v>41</v>
      </c>
      <c r="L417" s="81" t="s">
        <v>5</v>
      </c>
      <c r="M417" s="81" t="s">
        <v>41</v>
      </c>
      <c r="N417" s="81" t="s">
        <v>4</v>
      </c>
    </row>
    <row r="418" spans="1:14" ht="21.75" customHeight="1" x14ac:dyDescent="0.25">
      <c r="A418" s="78">
        <v>2574</v>
      </c>
      <c r="B418" s="79">
        <v>45450</v>
      </c>
      <c r="C418" s="80" t="s">
        <v>41</v>
      </c>
      <c r="D418" s="80" t="s">
        <v>45</v>
      </c>
      <c r="E418" s="80" t="s">
        <v>41</v>
      </c>
      <c r="F418" s="81">
        <v>5</v>
      </c>
      <c r="G418" s="81" t="s">
        <v>41</v>
      </c>
      <c r="H418" s="82">
        <v>45454</v>
      </c>
      <c r="I418" s="81">
        <v>6</v>
      </c>
      <c r="J418" s="82">
        <v>45461</v>
      </c>
      <c r="K418" s="81" t="s">
        <v>41</v>
      </c>
      <c r="L418" s="81" t="s">
        <v>5</v>
      </c>
      <c r="M418" s="81" t="s">
        <v>41</v>
      </c>
      <c r="N418" s="81" t="s">
        <v>41</v>
      </c>
    </row>
    <row r="419" spans="1:14" ht="21.75" customHeight="1" x14ac:dyDescent="0.25">
      <c r="A419" s="78">
        <v>3621</v>
      </c>
      <c r="B419" s="79">
        <v>45450</v>
      </c>
      <c r="C419" s="80" t="s">
        <v>41</v>
      </c>
      <c r="D419" s="80" t="s">
        <v>45</v>
      </c>
      <c r="E419" s="80" t="s">
        <v>41</v>
      </c>
      <c r="F419" s="81">
        <v>5</v>
      </c>
      <c r="G419" s="81" t="s">
        <v>41</v>
      </c>
      <c r="H419" s="82">
        <v>45454</v>
      </c>
      <c r="I419" s="81">
        <v>6</v>
      </c>
      <c r="J419" s="82">
        <v>45459</v>
      </c>
      <c r="K419" s="81" t="s">
        <v>3</v>
      </c>
      <c r="L419" s="81" t="s">
        <v>41</v>
      </c>
      <c r="M419" s="81" t="s">
        <v>1</v>
      </c>
      <c r="N419" s="81" t="s">
        <v>41</v>
      </c>
    </row>
    <row r="420" spans="1:14" ht="21.75" customHeight="1" x14ac:dyDescent="0.25">
      <c r="A420" s="78">
        <v>3004</v>
      </c>
      <c r="B420" s="79">
        <v>45451</v>
      </c>
      <c r="C420" s="80" t="s">
        <v>41</v>
      </c>
      <c r="D420" s="80" t="s">
        <v>43</v>
      </c>
      <c r="E420" s="80" t="s">
        <v>41</v>
      </c>
      <c r="F420" s="81">
        <v>5</v>
      </c>
      <c r="G420" s="81" t="s">
        <v>41</v>
      </c>
      <c r="H420" s="82">
        <v>45455</v>
      </c>
      <c r="I420" s="81">
        <v>4</v>
      </c>
      <c r="J420" s="82">
        <v>45459</v>
      </c>
      <c r="K420" s="81" t="s">
        <v>41</v>
      </c>
      <c r="L420" s="81" t="s">
        <v>41</v>
      </c>
      <c r="M420" s="81" t="s">
        <v>41</v>
      </c>
      <c r="N420" s="81" t="s">
        <v>4</v>
      </c>
    </row>
    <row r="421" spans="1:14" ht="21.75" customHeight="1" x14ac:dyDescent="0.25">
      <c r="A421" s="78">
        <v>3699</v>
      </c>
      <c r="B421" s="79">
        <v>45452</v>
      </c>
      <c r="C421" s="80" t="s">
        <v>41</v>
      </c>
      <c r="D421" s="80" t="s">
        <v>44</v>
      </c>
      <c r="E421" s="80" t="s">
        <v>41</v>
      </c>
      <c r="F421" s="81">
        <v>5</v>
      </c>
      <c r="G421" s="81" t="s">
        <v>41</v>
      </c>
      <c r="H421" s="82">
        <v>45456</v>
      </c>
      <c r="I421" s="81">
        <v>3</v>
      </c>
      <c r="J421" s="82">
        <v>45460</v>
      </c>
      <c r="K421" s="81" t="s">
        <v>3</v>
      </c>
      <c r="L421" s="81" t="s">
        <v>41</v>
      </c>
      <c r="M421" s="81" t="s">
        <v>41</v>
      </c>
      <c r="N421" s="81" t="s">
        <v>41</v>
      </c>
    </row>
    <row r="422" spans="1:14" ht="21.75" customHeight="1" x14ac:dyDescent="0.25">
      <c r="A422" s="78">
        <v>4082</v>
      </c>
      <c r="B422" s="79">
        <v>45452</v>
      </c>
      <c r="C422" s="80" t="s">
        <v>41</v>
      </c>
      <c r="D422" s="80" t="s">
        <v>44</v>
      </c>
      <c r="E422" s="80" t="s">
        <v>41</v>
      </c>
      <c r="F422" s="81">
        <v>5</v>
      </c>
      <c r="G422" s="81" t="s">
        <v>41</v>
      </c>
      <c r="H422" s="82">
        <v>45456</v>
      </c>
      <c r="I422" s="81">
        <v>3</v>
      </c>
      <c r="J422" s="82">
        <v>45460</v>
      </c>
      <c r="K422" s="81" t="s">
        <v>3</v>
      </c>
      <c r="L422" s="81" t="s">
        <v>5</v>
      </c>
      <c r="M422" s="81" t="s">
        <v>1</v>
      </c>
      <c r="N422" s="81" t="s">
        <v>4</v>
      </c>
    </row>
    <row r="423" spans="1:14" ht="21.75" customHeight="1" x14ac:dyDescent="0.25">
      <c r="A423" s="78">
        <v>3054</v>
      </c>
      <c r="B423" s="79">
        <v>45452</v>
      </c>
      <c r="C423" s="80" t="s">
        <v>41</v>
      </c>
      <c r="D423" s="80" t="s">
        <v>44</v>
      </c>
      <c r="E423" s="80" t="s">
        <v>41</v>
      </c>
      <c r="F423" s="81">
        <v>5</v>
      </c>
      <c r="G423" s="81" t="s">
        <v>41</v>
      </c>
      <c r="H423" s="82">
        <v>45456</v>
      </c>
      <c r="I423" s="81">
        <v>3</v>
      </c>
      <c r="J423" s="82">
        <v>45460</v>
      </c>
      <c r="K423" s="81" t="s">
        <v>3</v>
      </c>
      <c r="L423" s="81" t="s">
        <v>5</v>
      </c>
      <c r="M423" s="81" t="s">
        <v>41</v>
      </c>
      <c r="N423" s="81" t="s">
        <v>41</v>
      </c>
    </row>
    <row r="424" spans="1:14" ht="21.75" customHeight="1" x14ac:dyDescent="0.25">
      <c r="A424" s="78">
        <v>2054</v>
      </c>
      <c r="B424" s="79">
        <v>45453</v>
      </c>
      <c r="C424" s="80" t="s">
        <v>41</v>
      </c>
      <c r="D424" s="80" t="s">
        <v>44</v>
      </c>
      <c r="E424" s="80" t="s">
        <v>41</v>
      </c>
      <c r="F424" s="81">
        <v>5</v>
      </c>
      <c r="G424" s="81" t="s">
        <v>41</v>
      </c>
      <c r="H424" s="82">
        <v>45457</v>
      </c>
      <c r="I424" s="81">
        <v>3</v>
      </c>
      <c r="J424" s="82">
        <v>45467</v>
      </c>
      <c r="K424" s="81" t="s">
        <v>3</v>
      </c>
      <c r="L424" s="81" t="s">
        <v>5</v>
      </c>
      <c r="M424" s="81" t="s">
        <v>1</v>
      </c>
      <c r="N424" s="81" t="s">
        <v>4</v>
      </c>
    </row>
    <row r="425" spans="1:14" ht="21.75" customHeight="1" x14ac:dyDescent="0.25">
      <c r="A425" s="78">
        <v>3054</v>
      </c>
      <c r="B425" s="79">
        <v>45454</v>
      </c>
      <c r="C425" s="80" t="s">
        <v>41</v>
      </c>
      <c r="D425" s="80" t="s">
        <v>40</v>
      </c>
      <c r="E425" s="80" t="s">
        <v>41</v>
      </c>
      <c r="F425" s="81">
        <v>5</v>
      </c>
      <c r="G425" s="81" t="s">
        <v>41</v>
      </c>
      <c r="H425" s="82">
        <v>45458</v>
      </c>
      <c r="I425" s="81">
        <v>9</v>
      </c>
      <c r="J425" s="82">
        <v>45468</v>
      </c>
      <c r="K425" s="81" t="s">
        <v>3</v>
      </c>
      <c r="L425" s="81" t="s">
        <v>5</v>
      </c>
      <c r="M425" s="81" t="s">
        <v>41</v>
      </c>
      <c r="N425" s="81" t="s">
        <v>41</v>
      </c>
    </row>
    <row r="426" spans="1:14" ht="21.75" customHeight="1" x14ac:dyDescent="0.25">
      <c r="A426" s="78">
        <v>2905</v>
      </c>
      <c r="B426" s="79">
        <v>45454</v>
      </c>
      <c r="C426" s="80" t="s">
        <v>41</v>
      </c>
      <c r="D426" s="80" t="s">
        <v>40</v>
      </c>
      <c r="E426" s="80" t="s">
        <v>41</v>
      </c>
      <c r="F426" s="81">
        <v>5</v>
      </c>
      <c r="G426" s="81" t="s">
        <v>41</v>
      </c>
      <c r="H426" s="82">
        <v>45458</v>
      </c>
      <c r="I426" s="81">
        <v>9</v>
      </c>
      <c r="J426" s="82">
        <v>45463</v>
      </c>
      <c r="K426" s="81" t="s">
        <v>41</v>
      </c>
      <c r="L426" s="81" t="s">
        <v>41</v>
      </c>
      <c r="M426" s="81" t="s">
        <v>41</v>
      </c>
      <c r="N426" s="81" t="s">
        <v>4</v>
      </c>
    </row>
    <row r="427" spans="1:14" ht="21.75" customHeight="1" x14ac:dyDescent="0.25">
      <c r="A427" s="78">
        <v>4082</v>
      </c>
      <c r="B427" s="79">
        <v>45454</v>
      </c>
      <c r="C427" s="80" t="s">
        <v>41</v>
      </c>
      <c r="D427" s="80" t="s">
        <v>43</v>
      </c>
      <c r="E427" s="80" t="s">
        <v>41</v>
      </c>
      <c r="F427" s="81">
        <v>5</v>
      </c>
      <c r="G427" s="81" t="s">
        <v>41</v>
      </c>
      <c r="H427" s="82">
        <v>45458</v>
      </c>
      <c r="I427" s="81">
        <v>4</v>
      </c>
      <c r="J427" s="82">
        <v>45462</v>
      </c>
      <c r="K427" s="81" t="s">
        <v>3</v>
      </c>
      <c r="L427" s="81" t="s">
        <v>5</v>
      </c>
      <c r="M427" s="81" t="s">
        <v>1</v>
      </c>
      <c r="N427" s="81" t="s">
        <v>4</v>
      </c>
    </row>
    <row r="428" spans="1:14" ht="21.75" customHeight="1" x14ac:dyDescent="0.25">
      <c r="A428" s="78">
        <v>3300</v>
      </c>
      <c r="B428" s="79">
        <v>45455</v>
      </c>
      <c r="C428" s="80" t="s">
        <v>41</v>
      </c>
      <c r="D428" s="80" t="s">
        <v>44</v>
      </c>
      <c r="E428" s="80" t="s">
        <v>41</v>
      </c>
      <c r="F428" s="81">
        <v>5</v>
      </c>
      <c r="G428" s="81" t="s">
        <v>41</v>
      </c>
      <c r="H428" s="82">
        <v>45459</v>
      </c>
      <c r="I428" s="81">
        <v>3</v>
      </c>
      <c r="J428" s="82">
        <v>45465</v>
      </c>
      <c r="K428" s="81" t="s">
        <v>41</v>
      </c>
      <c r="L428" s="81" t="s">
        <v>5</v>
      </c>
      <c r="M428" s="81" t="s">
        <v>41</v>
      </c>
      <c r="N428" s="81" t="s">
        <v>41</v>
      </c>
    </row>
    <row r="429" spans="1:14" ht="21.75" customHeight="1" x14ac:dyDescent="0.25">
      <c r="A429" s="78">
        <v>2906</v>
      </c>
      <c r="B429" s="79">
        <v>45455</v>
      </c>
      <c r="C429" s="80" t="s">
        <v>41</v>
      </c>
      <c r="D429" s="80" t="s">
        <v>95</v>
      </c>
      <c r="E429" s="80" t="s">
        <v>41</v>
      </c>
      <c r="F429" s="81">
        <v>5</v>
      </c>
      <c r="G429" s="81" t="s">
        <v>41</v>
      </c>
      <c r="H429" s="82">
        <v>45459</v>
      </c>
      <c r="I429" s="81">
        <v>5</v>
      </c>
      <c r="J429" s="82">
        <v>45465</v>
      </c>
      <c r="K429" s="81" t="s">
        <v>41</v>
      </c>
      <c r="L429" s="81" t="s">
        <v>41</v>
      </c>
      <c r="M429" s="81" t="s">
        <v>41</v>
      </c>
      <c r="N429" s="81" t="s">
        <v>4</v>
      </c>
    </row>
    <row r="430" spans="1:14" ht="21.75" customHeight="1" x14ac:dyDescent="0.25">
      <c r="A430" s="78">
        <v>3198</v>
      </c>
      <c r="B430" s="79">
        <v>45455</v>
      </c>
      <c r="C430" s="80" t="s">
        <v>41</v>
      </c>
      <c r="D430" s="80" t="s">
        <v>95</v>
      </c>
      <c r="E430" s="80" t="s">
        <v>41</v>
      </c>
      <c r="F430" s="81">
        <v>5</v>
      </c>
      <c r="G430" s="81" t="s">
        <v>41</v>
      </c>
      <c r="H430" s="82">
        <v>45459</v>
      </c>
      <c r="I430" s="81">
        <v>5</v>
      </c>
      <c r="J430" s="82">
        <v>45465</v>
      </c>
      <c r="K430" s="81" t="s">
        <v>41</v>
      </c>
      <c r="L430" s="81" t="s">
        <v>41</v>
      </c>
      <c r="M430" s="81" t="s">
        <v>1</v>
      </c>
      <c r="N430" s="81" t="s">
        <v>4</v>
      </c>
    </row>
    <row r="431" spans="1:14" ht="21.75" customHeight="1" x14ac:dyDescent="0.25">
      <c r="A431" s="78">
        <v>3007</v>
      </c>
      <c r="B431" s="79">
        <v>45455</v>
      </c>
      <c r="C431" s="80" t="s">
        <v>41</v>
      </c>
      <c r="D431" s="80" t="s">
        <v>95</v>
      </c>
      <c r="E431" s="80" t="s">
        <v>41</v>
      </c>
      <c r="F431" s="81">
        <v>5</v>
      </c>
      <c r="G431" s="81" t="s">
        <v>41</v>
      </c>
      <c r="H431" s="82">
        <v>45459</v>
      </c>
      <c r="I431" s="81">
        <v>5</v>
      </c>
      <c r="J431" s="82">
        <v>45465</v>
      </c>
      <c r="K431" s="81" t="s">
        <v>3</v>
      </c>
      <c r="L431" s="81" t="s">
        <v>41</v>
      </c>
      <c r="M431" s="81" t="s">
        <v>1</v>
      </c>
      <c r="N431" s="81" t="s">
        <v>4</v>
      </c>
    </row>
    <row r="432" spans="1:14" ht="21.75" customHeight="1" x14ac:dyDescent="0.25">
      <c r="A432" s="78">
        <v>2770</v>
      </c>
      <c r="B432" s="79">
        <v>45455</v>
      </c>
      <c r="C432" s="80" t="s">
        <v>41</v>
      </c>
      <c r="D432" s="80" t="s">
        <v>95</v>
      </c>
      <c r="E432" s="80" t="s">
        <v>41</v>
      </c>
      <c r="F432" s="81">
        <v>5</v>
      </c>
      <c r="G432" s="81" t="s">
        <v>41</v>
      </c>
      <c r="H432" s="82">
        <v>45459</v>
      </c>
      <c r="I432" s="81">
        <v>5</v>
      </c>
      <c r="J432" s="82">
        <v>45465</v>
      </c>
      <c r="K432" s="81" t="s">
        <v>41</v>
      </c>
      <c r="L432" s="81" t="s">
        <v>5</v>
      </c>
      <c r="M432" s="81" t="s">
        <v>41</v>
      </c>
      <c r="N432" s="81" t="s">
        <v>41</v>
      </c>
    </row>
    <row r="433" spans="1:14" ht="21.75" customHeight="1" x14ac:dyDescent="0.25">
      <c r="A433" s="78">
        <v>2440</v>
      </c>
      <c r="B433" s="79">
        <v>45455</v>
      </c>
      <c r="C433" s="80" t="s">
        <v>41</v>
      </c>
      <c r="D433" s="80" t="s">
        <v>95</v>
      </c>
      <c r="E433" s="80" t="s">
        <v>41</v>
      </c>
      <c r="F433" s="81">
        <v>5</v>
      </c>
      <c r="G433" s="81" t="s">
        <v>41</v>
      </c>
      <c r="H433" s="82">
        <v>45459</v>
      </c>
      <c r="I433" s="81">
        <v>5</v>
      </c>
      <c r="J433" s="82">
        <v>45465</v>
      </c>
      <c r="K433" s="81" t="s">
        <v>41</v>
      </c>
      <c r="L433" s="81" t="s">
        <v>5</v>
      </c>
      <c r="M433" s="81" t="s">
        <v>41</v>
      </c>
      <c r="N433" s="81" t="s">
        <v>41</v>
      </c>
    </row>
    <row r="434" spans="1:14" ht="21.75" customHeight="1" x14ac:dyDescent="0.25">
      <c r="A434" s="78">
        <v>2982</v>
      </c>
      <c r="B434" s="79">
        <v>45455</v>
      </c>
      <c r="C434" s="80" t="s">
        <v>41</v>
      </c>
      <c r="D434" s="80" t="s">
        <v>95</v>
      </c>
      <c r="E434" s="80" t="s">
        <v>41</v>
      </c>
      <c r="F434" s="81">
        <v>5</v>
      </c>
      <c r="G434" s="81" t="s">
        <v>41</v>
      </c>
      <c r="H434" s="82">
        <v>45459</v>
      </c>
      <c r="I434" s="81">
        <v>5</v>
      </c>
      <c r="J434" s="82">
        <v>45465</v>
      </c>
      <c r="K434" s="81" t="s">
        <v>41</v>
      </c>
      <c r="L434" s="81" t="s">
        <v>5</v>
      </c>
      <c r="M434" s="81" t="s">
        <v>41</v>
      </c>
      <c r="N434" s="81" t="s">
        <v>4</v>
      </c>
    </row>
    <row r="435" spans="1:14" ht="21.75" customHeight="1" x14ac:dyDescent="0.25">
      <c r="A435" s="78">
        <v>3004</v>
      </c>
      <c r="B435" s="79">
        <v>45455</v>
      </c>
      <c r="C435" s="80" t="s">
        <v>41</v>
      </c>
      <c r="D435" s="80" t="s">
        <v>95</v>
      </c>
      <c r="E435" s="80" t="s">
        <v>41</v>
      </c>
      <c r="F435" s="81">
        <v>5</v>
      </c>
      <c r="G435" s="81" t="s">
        <v>41</v>
      </c>
      <c r="H435" s="82">
        <v>45459</v>
      </c>
      <c r="I435" s="81">
        <v>5</v>
      </c>
      <c r="J435" s="82">
        <v>45465</v>
      </c>
      <c r="K435" s="81" t="s">
        <v>41</v>
      </c>
      <c r="L435" s="81" t="s">
        <v>41</v>
      </c>
      <c r="M435" s="81" t="s">
        <v>41</v>
      </c>
      <c r="N435" s="81" t="s">
        <v>4</v>
      </c>
    </row>
    <row r="436" spans="1:14" ht="21.75" customHeight="1" x14ac:dyDescent="0.25">
      <c r="A436" s="78">
        <v>2054</v>
      </c>
      <c r="B436" s="79">
        <v>45455</v>
      </c>
      <c r="C436" s="80" t="s">
        <v>41</v>
      </c>
      <c r="D436" s="80" t="s">
        <v>95</v>
      </c>
      <c r="E436" s="80" t="s">
        <v>41</v>
      </c>
      <c r="F436" s="81">
        <v>5</v>
      </c>
      <c r="G436" s="81" t="s">
        <v>41</v>
      </c>
      <c r="H436" s="82">
        <v>45459</v>
      </c>
      <c r="I436" s="81">
        <v>5</v>
      </c>
      <c r="J436" s="82">
        <v>45465</v>
      </c>
      <c r="K436" s="81" t="s">
        <v>3</v>
      </c>
      <c r="L436" s="81" t="s">
        <v>5</v>
      </c>
      <c r="M436" s="81" t="s">
        <v>1</v>
      </c>
      <c r="N436" s="81" t="s">
        <v>4</v>
      </c>
    </row>
    <row r="437" spans="1:14" ht="21.75" customHeight="1" x14ac:dyDescent="0.25">
      <c r="A437" s="78">
        <v>2141</v>
      </c>
      <c r="B437" s="79">
        <v>45456</v>
      </c>
      <c r="C437" s="80" t="s">
        <v>41</v>
      </c>
      <c r="D437" s="80" t="s">
        <v>95</v>
      </c>
      <c r="E437" s="80" t="s">
        <v>41</v>
      </c>
      <c r="F437" s="81">
        <v>5</v>
      </c>
      <c r="G437" s="81" t="s">
        <v>41</v>
      </c>
      <c r="H437" s="82">
        <v>45460</v>
      </c>
      <c r="I437" s="81">
        <v>5</v>
      </c>
      <c r="J437" s="82">
        <v>45466</v>
      </c>
      <c r="K437" s="81" t="s">
        <v>3</v>
      </c>
      <c r="L437" s="81" t="s">
        <v>5</v>
      </c>
      <c r="M437" s="81" t="s">
        <v>1</v>
      </c>
      <c r="N437" s="81" t="s">
        <v>4</v>
      </c>
    </row>
    <row r="438" spans="1:14" ht="21.75" customHeight="1" x14ac:dyDescent="0.25">
      <c r="A438" s="78">
        <v>3288</v>
      </c>
      <c r="B438" s="79">
        <v>45456</v>
      </c>
      <c r="C438" s="80" t="s">
        <v>41</v>
      </c>
      <c r="D438" s="80" t="s">
        <v>95</v>
      </c>
      <c r="E438" s="80" t="s">
        <v>41</v>
      </c>
      <c r="F438" s="81">
        <v>5</v>
      </c>
      <c r="G438" s="81" t="s">
        <v>41</v>
      </c>
      <c r="H438" s="82">
        <v>45460</v>
      </c>
      <c r="I438" s="81">
        <v>5</v>
      </c>
      <c r="J438" s="82">
        <v>45466</v>
      </c>
      <c r="K438" s="81" t="s">
        <v>3</v>
      </c>
      <c r="L438" s="81" t="s">
        <v>5</v>
      </c>
      <c r="M438" s="81" t="s">
        <v>41</v>
      </c>
      <c r="N438" s="81" t="s">
        <v>41</v>
      </c>
    </row>
    <row r="439" spans="1:14" ht="21.75" customHeight="1" x14ac:dyDescent="0.25">
      <c r="A439" s="78">
        <v>3452</v>
      </c>
      <c r="B439" s="79">
        <v>45456</v>
      </c>
      <c r="C439" s="80" t="s">
        <v>41</v>
      </c>
      <c r="D439" s="80" t="s">
        <v>95</v>
      </c>
      <c r="E439" s="80" t="s">
        <v>41</v>
      </c>
      <c r="F439" s="81">
        <v>5</v>
      </c>
      <c r="G439" s="81" t="s">
        <v>41</v>
      </c>
      <c r="H439" s="82">
        <v>45460</v>
      </c>
      <c r="I439" s="81">
        <v>5</v>
      </c>
      <c r="J439" s="82">
        <v>45466</v>
      </c>
      <c r="K439" s="81" t="s">
        <v>41</v>
      </c>
      <c r="L439" s="81" t="s">
        <v>41</v>
      </c>
      <c r="M439" s="81" t="s">
        <v>41</v>
      </c>
      <c r="N439" s="81" t="s">
        <v>4</v>
      </c>
    </row>
    <row r="440" spans="1:14" ht="21.75" customHeight="1" x14ac:dyDescent="0.25">
      <c r="A440" s="78">
        <v>3848</v>
      </c>
      <c r="B440" s="79">
        <v>45456</v>
      </c>
      <c r="C440" s="80" t="s">
        <v>41</v>
      </c>
      <c r="D440" s="80" t="s">
        <v>95</v>
      </c>
      <c r="E440" s="80" t="s">
        <v>41</v>
      </c>
      <c r="F440" s="81">
        <v>5</v>
      </c>
      <c r="G440" s="81" t="s">
        <v>41</v>
      </c>
      <c r="H440" s="82">
        <v>45460</v>
      </c>
      <c r="I440" s="81">
        <v>5</v>
      </c>
      <c r="J440" s="82">
        <v>45466</v>
      </c>
      <c r="K440" s="81" t="s">
        <v>41</v>
      </c>
      <c r="L440" s="81" t="s">
        <v>5</v>
      </c>
      <c r="M440" s="81" t="s">
        <v>41</v>
      </c>
      <c r="N440" s="81" t="s">
        <v>4</v>
      </c>
    </row>
    <row r="441" spans="1:14" ht="21.75" customHeight="1" x14ac:dyDescent="0.25">
      <c r="A441" s="78">
        <v>1144</v>
      </c>
      <c r="B441" s="79">
        <v>45456</v>
      </c>
      <c r="C441" s="80" t="s">
        <v>41</v>
      </c>
      <c r="D441" s="80" t="s">
        <v>95</v>
      </c>
      <c r="E441" s="80" t="s">
        <v>41</v>
      </c>
      <c r="F441" s="81">
        <v>5</v>
      </c>
      <c r="G441" s="81" t="s">
        <v>41</v>
      </c>
      <c r="H441" s="82">
        <v>45460</v>
      </c>
      <c r="I441" s="81">
        <v>5</v>
      </c>
      <c r="J441" s="82">
        <v>45466</v>
      </c>
      <c r="K441" s="81" t="s">
        <v>3</v>
      </c>
      <c r="L441" s="81" t="s">
        <v>41</v>
      </c>
      <c r="M441" s="81" t="s">
        <v>41</v>
      </c>
      <c r="N441" s="81" t="s">
        <v>4</v>
      </c>
    </row>
    <row r="442" spans="1:14" ht="21.75" customHeight="1" x14ac:dyDescent="0.25">
      <c r="A442" s="78">
        <v>2152</v>
      </c>
      <c r="B442" s="79">
        <v>45456</v>
      </c>
      <c r="C442" s="80" t="s">
        <v>41</v>
      </c>
      <c r="D442" s="80" t="s">
        <v>95</v>
      </c>
      <c r="E442" s="80" t="s">
        <v>41</v>
      </c>
      <c r="F442" s="81">
        <v>5</v>
      </c>
      <c r="G442" s="81" t="s">
        <v>41</v>
      </c>
      <c r="H442" s="82">
        <v>45460</v>
      </c>
      <c r="I442" s="81">
        <v>5</v>
      </c>
      <c r="J442" s="82">
        <v>45466</v>
      </c>
      <c r="K442" s="81" t="s">
        <v>41</v>
      </c>
      <c r="L442" s="81" t="s">
        <v>41</v>
      </c>
      <c r="M442" s="81" t="s">
        <v>1</v>
      </c>
      <c r="N442" s="81" t="s">
        <v>41</v>
      </c>
    </row>
    <row r="443" spans="1:14" ht="21.75" customHeight="1" x14ac:dyDescent="0.25">
      <c r="A443" s="78">
        <v>3319</v>
      </c>
      <c r="B443" s="79">
        <v>45456</v>
      </c>
      <c r="C443" s="80" t="s">
        <v>41</v>
      </c>
      <c r="D443" s="80" t="s">
        <v>95</v>
      </c>
      <c r="E443" s="80" t="s">
        <v>41</v>
      </c>
      <c r="F443" s="81">
        <v>5</v>
      </c>
      <c r="G443" s="81" t="s">
        <v>41</v>
      </c>
      <c r="H443" s="82">
        <v>45460</v>
      </c>
      <c r="I443" s="81">
        <v>5</v>
      </c>
      <c r="J443" s="82">
        <v>45464</v>
      </c>
      <c r="K443" s="81" t="s">
        <v>3</v>
      </c>
      <c r="L443" s="81" t="s">
        <v>41</v>
      </c>
      <c r="M443" s="81" t="s">
        <v>41</v>
      </c>
      <c r="N443" s="81" t="s">
        <v>41</v>
      </c>
    </row>
    <row r="444" spans="1:14" ht="21.75" customHeight="1" x14ac:dyDescent="0.25">
      <c r="A444" s="78">
        <v>1851</v>
      </c>
      <c r="B444" s="79">
        <v>45457</v>
      </c>
      <c r="C444" s="80" t="s">
        <v>41</v>
      </c>
      <c r="D444" s="80" t="s">
        <v>44</v>
      </c>
      <c r="E444" s="80" t="s">
        <v>41</v>
      </c>
      <c r="F444" s="81">
        <v>5</v>
      </c>
      <c r="G444" s="81" t="s">
        <v>41</v>
      </c>
      <c r="H444" s="82">
        <v>45461</v>
      </c>
      <c r="I444" s="81">
        <v>3</v>
      </c>
      <c r="J444" s="82">
        <v>45468</v>
      </c>
      <c r="K444" s="81" t="s">
        <v>41</v>
      </c>
      <c r="L444" s="81" t="s">
        <v>5</v>
      </c>
      <c r="M444" s="81" t="s">
        <v>1</v>
      </c>
      <c r="N444" s="81" t="s">
        <v>4</v>
      </c>
    </row>
    <row r="445" spans="1:14" ht="21.75" customHeight="1" x14ac:dyDescent="0.25">
      <c r="A445" s="78">
        <v>3116</v>
      </c>
      <c r="B445" s="79">
        <v>45457</v>
      </c>
      <c r="C445" s="80" t="s">
        <v>41</v>
      </c>
      <c r="D445" s="80" t="s">
        <v>45</v>
      </c>
      <c r="E445" s="80" t="s">
        <v>41</v>
      </c>
      <c r="F445" s="81">
        <v>5</v>
      </c>
      <c r="G445" s="81" t="s">
        <v>41</v>
      </c>
      <c r="H445" s="82">
        <v>45461</v>
      </c>
      <c r="I445" s="81">
        <v>6</v>
      </c>
      <c r="J445" s="82">
        <v>45468</v>
      </c>
      <c r="K445" s="81" t="s">
        <v>3</v>
      </c>
      <c r="L445" s="81" t="s">
        <v>41</v>
      </c>
      <c r="M445" s="81" t="s">
        <v>41</v>
      </c>
      <c r="N445" s="81" t="s">
        <v>4</v>
      </c>
    </row>
    <row r="446" spans="1:14" ht="21.75" customHeight="1" x14ac:dyDescent="0.25">
      <c r="A446" s="78">
        <v>2511</v>
      </c>
      <c r="B446" s="79">
        <v>45457</v>
      </c>
      <c r="C446" s="80" t="s">
        <v>41</v>
      </c>
      <c r="D446" s="80" t="s">
        <v>45</v>
      </c>
      <c r="E446" s="80" t="s">
        <v>41</v>
      </c>
      <c r="F446" s="81">
        <v>5</v>
      </c>
      <c r="G446" s="81" t="s">
        <v>41</v>
      </c>
      <c r="H446" s="82">
        <v>45461</v>
      </c>
      <c r="I446" s="81">
        <v>6</v>
      </c>
      <c r="J446" s="82">
        <v>45468</v>
      </c>
      <c r="K446" s="81" t="s">
        <v>41</v>
      </c>
      <c r="L446" s="81" t="s">
        <v>5</v>
      </c>
      <c r="M446" s="81" t="s">
        <v>41</v>
      </c>
      <c r="N446" s="81" t="s">
        <v>41</v>
      </c>
    </row>
    <row r="447" spans="1:14" ht="21.75" customHeight="1" x14ac:dyDescent="0.25">
      <c r="A447" s="78">
        <v>1960</v>
      </c>
      <c r="B447" s="79">
        <v>45457</v>
      </c>
      <c r="C447" s="80" t="s">
        <v>41</v>
      </c>
      <c r="D447" s="80" t="s">
        <v>45</v>
      </c>
      <c r="E447" s="80" t="s">
        <v>41</v>
      </c>
      <c r="F447" s="81">
        <v>5</v>
      </c>
      <c r="G447" s="81" t="s">
        <v>41</v>
      </c>
      <c r="H447" s="82">
        <v>45461</v>
      </c>
      <c r="I447" s="81">
        <v>6</v>
      </c>
      <c r="J447" s="82">
        <v>45468</v>
      </c>
      <c r="K447" s="81" t="s">
        <v>3</v>
      </c>
      <c r="L447" s="81" t="s">
        <v>5</v>
      </c>
      <c r="M447" s="81" t="s">
        <v>1</v>
      </c>
      <c r="N447" s="81" t="s">
        <v>4</v>
      </c>
    </row>
    <row r="448" spans="1:14" ht="21.75" customHeight="1" x14ac:dyDescent="0.25">
      <c r="A448" s="78">
        <v>1231</v>
      </c>
      <c r="B448" s="79">
        <v>45457</v>
      </c>
      <c r="C448" s="80" t="s">
        <v>41</v>
      </c>
      <c r="D448" s="80" t="s">
        <v>45</v>
      </c>
      <c r="E448" s="80" t="s">
        <v>41</v>
      </c>
      <c r="F448" s="81">
        <v>5</v>
      </c>
      <c r="G448" s="81" t="s">
        <v>41</v>
      </c>
      <c r="H448" s="82">
        <v>45461</v>
      </c>
      <c r="I448" s="81">
        <v>6</v>
      </c>
      <c r="J448" s="82">
        <v>45465</v>
      </c>
      <c r="K448" s="81" t="s">
        <v>41</v>
      </c>
      <c r="L448" s="81" t="s">
        <v>41</v>
      </c>
      <c r="M448" s="81" t="s">
        <v>1</v>
      </c>
      <c r="N448" s="81" t="s">
        <v>41</v>
      </c>
    </row>
    <row r="449" spans="1:14" ht="21.75" customHeight="1" x14ac:dyDescent="0.25">
      <c r="A449" s="78">
        <v>3218</v>
      </c>
      <c r="B449" s="79">
        <v>45458</v>
      </c>
      <c r="C449" s="80" t="s">
        <v>41</v>
      </c>
      <c r="D449" s="80" t="s">
        <v>44</v>
      </c>
      <c r="E449" s="80" t="s">
        <v>41</v>
      </c>
      <c r="F449" s="81">
        <v>5</v>
      </c>
      <c r="G449" s="81" t="s">
        <v>41</v>
      </c>
      <c r="H449" s="82">
        <v>45462</v>
      </c>
      <c r="I449" s="81">
        <v>3</v>
      </c>
      <c r="J449" s="82">
        <v>45466</v>
      </c>
      <c r="K449" s="81" t="s">
        <v>41</v>
      </c>
      <c r="L449" s="81" t="s">
        <v>5</v>
      </c>
      <c r="M449" s="81" t="s">
        <v>41</v>
      </c>
      <c r="N449" s="81" t="s">
        <v>41</v>
      </c>
    </row>
    <row r="450" spans="1:14" ht="21.75" customHeight="1" x14ac:dyDescent="0.25">
      <c r="A450" s="78">
        <v>4033</v>
      </c>
      <c r="B450" s="79">
        <v>45458</v>
      </c>
      <c r="C450" s="80" t="s">
        <v>41</v>
      </c>
      <c r="D450" s="80" t="s">
        <v>44</v>
      </c>
      <c r="E450" s="80" t="s">
        <v>41</v>
      </c>
      <c r="F450" s="81">
        <v>5</v>
      </c>
      <c r="G450" s="81" t="s">
        <v>41</v>
      </c>
      <c r="H450" s="82">
        <v>45462</v>
      </c>
      <c r="I450" s="81">
        <v>3</v>
      </c>
      <c r="J450" s="82">
        <v>45468</v>
      </c>
      <c r="K450" s="81" t="s">
        <v>41</v>
      </c>
      <c r="L450" s="81" t="s">
        <v>5</v>
      </c>
      <c r="M450" s="81" t="s">
        <v>41</v>
      </c>
      <c r="N450" s="81" t="s">
        <v>41</v>
      </c>
    </row>
    <row r="451" spans="1:14" ht="21.75" customHeight="1" x14ac:dyDescent="0.25">
      <c r="A451" s="78">
        <v>652</v>
      </c>
      <c r="B451" s="79">
        <v>45458</v>
      </c>
      <c r="C451" s="80" t="s">
        <v>41</v>
      </c>
      <c r="D451" s="80" t="s">
        <v>95</v>
      </c>
      <c r="E451" s="80" t="s">
        <v>41</v>
      </c>
      <c r="F451" s="81">
        <v>5</v>
      </c>
      <c r="G451" s="81" t="s">
        <v>41</v>
      </c>
      <c r="H451" s="82">
        <v>45462</v>
      </c>
      <c r="I451" s="81">
        <v>5</v>
      </c>
      <c r="J451" s="82">
        <v>45468</v>
      </c>
      <c r="K451" s="81" t="s">
        <v>3</v>
      </c>
      <c r="L451" s="81" t="s">
        <v>41</v>
      </c>
      <c r="M451" s="81" t="s">
        <v>41</v>
      </c>
      <c r="N451" s="81" t="s">
        <v>4</v>
      </c>
    </row>
    <row r="452" spans="1:14" ht="21.75" customHeight="1" x14ac:dyDescent="0.25">
      <c r="A452" s="78">
        <v>3739</v>
      </c>
      <c r="B452" s="79">
        <v>45458</v>
      </c>
      <c r="C452" s="80" t="s">
        <v>41</v>
      </c>
      <c r="D452" s="80" t="s">
        <v>95</v>
      </c>
      <c r="E452" s="80" t="s">
        <v>41</v>
      </c>
      <c r="F452" s="81">
        <v>5</v>
      </c>
      <c r="G452" s="81" t="s">
        <v>41</v>
      </c>
      <c r="H452" s="82">
        <v>45462</v>
      </c>
      <c r="I452" s="81">
        <v>5</v>
      </c>
      <c r="J452" s="82">
        <v>45468</v>
      </c>
      <c r="K452" s="81" t="s">
        <v>41</v>
      </c>
      <c r="L452" s="81" t="s">
        <v>5</v>
      </c>
      <c r="M452" s="81" t="s">
        <v>41</v>
      </c>
      <c r="N452" s="81" t="s">
        <v>4</v>
      </c>
    </row>
    <row r="453" spans="1:14" ht="21.75" customHeight="1" x14ac:dyDescent="0.25">
      <c r="A453" s="78">
        <v>2821</v>
      </c>
      <c r="B453" s="79">
        <v>45458</v>
      </c>
      <c r="C453" s="80" t="s">
        <v>41</v>
      </c>
      <c r="D453" s="80" t="s">
        <v>95</v>
      </c>
      <c r="E453" s="80" t="s">
        <v>41</v>
      </c>
      <c r="F453" s="81">
        <v>5</v>
      </c>
      <c r="G453" s="81" t="s">
        <v>41</v>
      </c>
      <c r="H453" s="82">
        <v>45462</v>
      </c>
      <c r="I453" s="81">
        <v>5</v>
      </c>
      <c r="J453" s="82">
        <v>45469</v>
      </c>
      <c r="K453" s="81" t="s">
        <v>41</v>
      </c>
      <c r="L453" s="81" t="s">
        <v>41</v>
      </c>
      <c r="M453" s="81" t="s">
        <v>41</v>
      </c>
      <c r="N453" s="81" t="s">
        <v>4</v>
      </c>
    </row>
    <row r="454" spans="1:14" ht="21.75" customHeight="1" x14ac:dyDescent="0.25">
      <c r="A454" s="78">
        <v>2984</v>
      </c>
      <c r="B454" s="79">
        <v>45458</v>
      </c>
      <c r="C454" s="80" t="s">
        <v>41</v>
      </c>
      <c r="D454" s="80" t="s">
        <v>45</v>
      </c>
      <c r="E454" s="80" t="s">
        <v>41</v>
      </c>
      <c r="F454" s="81">
        <v>5</v>
      </c>
      <c r="G454" s="81" t="s">
        <v>41</v>
      </c>
      <c r="H454" s="82">
        <v>45462</v>
      </c>
      <c r="I454" s="81">
        <v>6</v>
      </c>
      <c r="J454" s="82">
        <v>45468</v>
      </c>
      <c r="K454" s="81" t="s">
        <v>41</v>
      </c>
      <c r="L454" s="81" t="s">
        <v>41</v>
      </c>
      <c r="M454" s="81" t="s">
        <v>1</v>
      </c>
      <c r="N454" s="81" t="s">
        <v>41</v>
      </c>
    </row>
    <row r="455" spans="1:14" ht="21.75" customHeight="1" x14ac:dyDescent="0.25">
      <c r="A455" s="78">
        <v>1149</v>
      </c>
      <c r="B455" s="79">
        <v>45458</v>
      </c>
      <c r="C455" s="80" t="s">
        <v>41</v>
      </c>
      <c r="D455" s="80" t="s">
        <v>95</v>
      </c>
      <c r="E455" s="80" t="s">
        <v>41</v>
      </c>
      <c r="F455" s="81">
        <v>5</v>
      </c>
      <c r="G455" s="81" t="s">
        <v>41</v>
      </c>
      <c r="H455" s="82">
        <v>45462</v>
      </c>
      <c r="I455" s="81">
        <v>5</v>
      </c>
      <c r="J455" s="82">
        <v>45468</v>
      </c>
      <c r="K455" s="81" t="s">
        <v>41</v>
      </c>
      <c r="L455" s="81" t="s">
        <v>41</v>
      </c>
      <c r="M455" s="81" t="s">
        <v>1</v>
      </c>
      <c r="N455" s="81" t="s">
        <v>4</v>
      </c>
    </row>
    <row r="456" spans="1:14" ht="21.75" customHeight="1" x14ac:dyDescent="0.25">
      <c r="A456" s="78">
        <v>3272</v>
      </c>
      <c r="B456" s="79">
        <v>45458</v>
      </c>
      <c r="C456" s="80" t="s">
        <v>41</v>
      </c>
      <c r="D456" s="80" t="s">
        <v>95</v>
      </c>
      <c r="E456" s="80" t="s">
        <v>41</v>
      </c>
      <c r="F456" s="81">
        <v>5</v>
      </c>
      <c r="G456" s="81" t="s">
        <v>41</v>
      </c>
      <c r="H456" s="82">
        <v>45462</v>
      </c>
      <c r="I456" s="81">
        <v>5</v>
      </c>
      <c r="J456" s="82">
        <v>45468</v>
      </c>
      <c r="K456" s="81" t="s">
        <v>3</v>
      </c>
      <c r="L456" s="81" t="s">
        <v>5</v>
      </c>
      <c r="M456" s="81" t="s">
        <v>1</v>
      </c>
      <c r="N456" s="81" t="s">
        <v>4</v>
      </c>
    </row>
    <row r="457" spans="1:14" ht="21.75" customHeight="1" x14ac:dyDescent="0.25">
      <c r="A457" s="78">
        <v>2301</v>
      </c>
      <c r="B457" s="79">
        <v>45458</v>
      </c>
      <c r="C457" s="80" t="s">
        <v>41</v>
      </c>
      <c r="D457" s="80" t="s">
        <v>95</v>
      </c>
      <c r="E457" s="80" t="s">
        <v>41</v>
      </c>
      <c r="F457" s="81">
        <v>5</v>
      </c>
      <c r="G457" s="81" t="s">
        <v>41</v>
      </c>
      <c r="H457" s="82">
        <v>45462</v>
      </c>
      <c r="I457" s="81">
        <v>5</v>
      </c>
      <c r="J457" s="82">
        <v>45468</v>
      </c>
      <c r="K457" s="81" t="s">
        <v>3</v>
      </c>
      <c r="L457" s="81" t="s">
        <v>41</v>
      </c>
      <c r="M457" s="81" t="s">
        <v>1</v>
      </c>
      <c r="N457" s="81" t="s">
        <v>4</v>
      </c>
    </row>
    <row r="458" spans="1:14" ht="21.75" customHeight="1" x14ac:dyDescent="0.25">
      <c r="A458" s="78">
        <v>3493</v>
      </c>
      <c r="B458" s="79">
        <v>45458</v>
      </c>
      <c r="C458" s="80" t="s">
        <v>41</v>
      </c>
      <c r="D458" s="80" t="s">
        <v>95</v>
      </c>
      <c r="E458" s="80" t="s">
        <v>41</v>
      </c>
      <c r="F458" s="81">
        <v>5</v>
      </c>
      <c r="G458" s="81" t="s">
        <v>41</v>
      </c>
      <c r="H458" s="82">
        <v>45462</v>
      </c>
      <c r="I458" s="81">
        <v>5</v>
      </c>
      <c r="J458" s="82">
        <v>45468</v>
      </c>
      <c r="K458" s="81" t="s">
        <v>3</v>
      </c>
      <c r="L458" s="81" t="s">
        <v>5</v>
      </c>
      <c r="M458" s="81" t="s">
        <v>1</v>
      </c>
      <c r="N458" s="81" t="s">
        <v>41</v>
      </c>
    </row>
    <row r="459" spans="1:14" ht="21.75" customHeight="1" x14ac:dyDescent="0.25">
      <c r="A459" s="78">
        <v>2488</v>
      </c>
      <c r="B459" s="79">
        <v>45458</v>
      </c>
      <c r="C459" s="80" t="s">
        <v>41</v>
      </c>
      <c r="D459" s="80" t="s">
        <v>95</v>
      </c>
      <c r="E459" s="80" t="s">
        <v>41</v>
      </c>
      <c r="F459" s="81">
        <v>5</v>
      </c>
      <c r="G459" s="81" t="s">
        <v>41</v>
      </c>
      <c r="H459" s="82">
        <v>45462</v>
      </c>
      <c r="I459" s="81">
        <v>5</v>
      </c>
      <c r="J459" s="82">
        <v>45466</v>
      </c>
      <c r="K459" s="81" t="s">
        <v>3</v>
      </c>
      <c r="L459" s="81" t="s">
        <v>5</v>
      </c>
      <c r="M459" s="81" t="s">
        <v>1</v>
      </c>
      <c r="N459" s="81" t="s">
        <v>4</v>
      </c>
    </row>
    <row r="460" spans="1:14" ht="21.75" customHeight="1" x14ac:dyDescent="0.25">
      <c r="A460" s="78">
        <v>3482</v>
      </c>
      <c r="B460" s="79">
        <v>45460</v>
      </c>
      <c r="C460" s="80" t="s">
        <v>41</v>
      </c>
      <c r="D460" s="80" t="s">
        <v>44</v>
      </c>
      <c r="E460" s="80" t="s">
        <v>41</v>
      </c>
      <c r="F460" s="81">
        <v>5</v>
      </c>
      <c r="G460" s="81" t="s">
        <v>41</v>
      </c>
      <c r="H460" s="82">
        <v>45464</v>
      </c>
      <c r="I460" s="81">
        <v>3</v>
      </c>
      <c r="J460" s="82">
        <v>45468</v>
      </c>
      <c r="K460" s="81" t="s">
        <v>41</v>
      </c>
      <c r="L460" s="81" t="s">
        <v>5</v>
      </c>
      <c r="M460" s="81" t="s">
        <v>41</v>
      </c>
      <c r="N460" s="81" t="s">
        <v>41</v>
      </c>
    </row>
    <row r="461" spans="1:14" ht="21.75" customHeight="1" x14ac:dyDescent="0.25">
      <c r="A461" s="78">
        <v>647</v>
      </c>
      <c r="B461" s="79">
        <v>45460</v>
      </c>
      <c r="C461" s="80" t="s">
        <v>41</v>
      </c>
      <c r="D461" s="80" t="s">
        <v>44</v>
      </c>
      <c r="E461" s="80" t="s">
        <v>41</v>
      </c>
      <c r="F461" s="81">
        <v>5</v>
      </c>
      <c r="G461" s="81" t="s">
        <v>41</v>
      </c>
      <c r="H461" s="82">
        <v>45464</v>
      </c>
      <c r="I461" s="81">
        <v>3</v>
      </c>
      <c r="J461" s="82">
        <v>45468</v>
      </c>
      <c r="K461" s="81" t="s">
        <v>41</v>
      </c>
      <c r="L461" s="81" t="s">
        <v>41</v>
      </c>
      <c r="M461" s="81" t="s">
        <v>41</v>
      </c>
      <c r="N461" s="81" t="s">
        <v>4</v>
      </c>
    </row>
    <row r="462" spans="1:14" ht="21.75" customHeight="1" x14ac:dyDescent="0.25">
      <c r="A462" s="78">
        <v>3656</v>
      </c>
      <c r="B462" s="79">
        <v>45460</v>
      </c>
      <c r="C462" s="80" t="s">
        <v>41</v>
      </c>
      <c r="D462" s="80" t="s">
        <v>44</v>
      </c>
      <c r="E462" s="80" t="s">
        <v>41</v>
      </c>
      <c r="F462" s="81">
        <v>5</v>
      </c>
      <c r="G462" s="81" t="s">
        <v>41</v>
      </c>
      <c r="H462" s="82">
        <v>45464</v>
      </c>
      <c r="I462" s="81">
        <v>3</v>
      </c>
      <c r="J462" s="82">
        <v>45468</v>
      </c>
      <c r="K462" s="81" t="s">
        <v>3</v>
      </c>
      <c r="L462" s="81" t="s">
        <v>5</v>
      </c>
      <c r="M462" s="81" t="s">
        <v>1</v>
      </c>
      <c r="N462" s="81" t="s">
        <v>4</v>
      </c>
    </row>
    <row r="463" spans="1:14" ht="21.75" customHeight="1" x14ac:dyDescent="0.25">
      <c r="A463" s="78">
        <v>3037</v>
      </c>
      <c r="B463" s="79">
        <v>45461</v>
      </c>
      <c r="C463" s="80" t="s">
        <v>41</v>
      </c>
      <c r="D463" s="80" t="s">
        <v>44</v>
      </c>
      <c r="E463" s="80" t="s">
        <v>41</v>
      </c>
      <c r="F463" s="81">
        <v>5</v>
      </c>
      <c r="G463" s="81" t="s">
        <v>41</v>
      </c>
      <c r="H463" s="82">
        <v>45465</v>
      </c>
      <c r="I463" s="81">
        <v>3</v>
      </c>
      <c r="J463" s="82">
        <v>45469</v>
      </c>
      <c r="K463" s="81" t="s">
        <v>3</v>
      </c>
      <c r="L463" s="81" t="s">
        <v>41</v>
      </c>
      <c r="M463" s="81" t="s">
        <v>41</v>
      </c>
      <c r="N463" s="81" t="s">
        <v>41</v>
      </c>
    </row>
    <row r="464" spans="1:14" ht="21.75" customHeight="1" x14ac:dyDescent="0.25">
      <c r="A464" s="78">
        <v>186</v>
      </c>
      <c r="B464" s="79">
        <v>45462</v>
      </c>
      <c r="C464" s="80" t="s">
        <v>41</v>
      </c>
      <c r="D464" s="80" t="s">
        <v>44</v>
      </c>
      <c r="E464" s="80" t="s">
        <v>41</v>
      </c>
      <c r="F464" s="81">
        <v>5</v>
      </c>
      <c r="G464" s="81" t="s">
        <v>41</v>
      </c>
      <c r="H464" s="82">
        <v>45466</v>
      </c>
      <c r="I464" s="81">
        <v>3</v>
      </c>
      <c r="J464" s="82">
        <v>45470</v>
      </c>
      <c r="K464" s="81" t="s">
        <v>41</v>
      </c>
      <c r="L464" s="81" t="s">
        <v>5</v>
      </c>
      <c r="M464" s="81" t="s">
        <v>41</v>
      </c>
      <c r="N464" s="81" t="s">
        <v>4</v>
      </c>
    </row>
    <row r="465" spans="1:14" ht="21.75" customHeight="1" x14ac:dyDescent="0.25">
      <c r="A465" s="78">
        <v>1039</v>
      </c>
      <c r="B465" s="79">
        <v>45462</v>
      </c>
      <c r="C465" s="80" t="s">
        <v>41</v>
      </c>
      <c r="D465" s="80" t="s">
        <v>44</v>
      </c>
      <c r="E465" s="80" t="s">
        <v>41</v>
      </c>
      <c r="F465" s="81">
        <v>5</v>
      </c>
      <c r="G465" s="81" t="s">
        <v>41</v>
      </c>
      <c r="H465" s="82">
        <v>45466</v>
      </c>
      <c r="I465" s="81">
        <v>3</v>
      </c>
      <c r="J465" s="82">
        <v>45470</v>
      </c>
      <c r="K465" s="81" t="s">
        <v>41</v>
      </c>
      <c r="L465" s="81" t="s">
        <v>5</v>
      </c>
      <c r="M465" s="81" t="s">
        <v>41</v>
      </c>
      <c r="N465" s="81" t="s">
        <v>41</v>
      </c>
    </row>
    <row r="466" spans="1:14" ht="21.75" customHeight="1" x14ac:dyDescent="0.25">
      <c r="A466" s="78">
        <v>3308</v>
      </c>
      <c r="B466" s="79">
        <v>45462</v>
      </c>
      <c r="C466" s="80" t="s">
        <v>41</v>
      </c>
      <c r="D466" s="80" t="s">
        <v>44</v>
      </c>
      <c r="E466" s="80" t="s">
        <v>41</v>
      </c>
      <c r="F466" s="81">
        <v>5</v>
      </c>
      <c r="G466" s="81" t="s">
        <v>41</v>
      </c>
      <c r="H466" s="82">
        <v>45466</v>
      </c>
      <c r="I466" s="81">
        <v>3</v>
      </c>
      <c r="J466" s="82">
        <v>45472</v>
      </c>
      <c r="K466" s="81" t="s">
        <v>41</v>
      </c>
      <c r="L466" s="81" t="s">
        <v>5</v>
      </c>
      <c r="M466" s="81" t="s">
        <v>41</v>
      </c>
      <c r="N466" s="81" t="s">
        <v>4</v>
      </c>
    </row>
    <row r="467" spans="1:14" ht="21.75" customHeight="1" x14ac:dyDescent="0.25">
      <c r="A467" s="78">
        <v>3300</v>
      </c>
      <c r="B467" s="79">
        <v>45463</v>
      </c>
      <c r="C467" s="80" t="s">
        <v>41</v>
      </c>
      <c r="D467" s="80" t="s">
        <v>95</v>
      </c>
      <c r="E467" s="80" t="s">
        <v>41</v>
      </c>
      <c r="F467" s="81">
        <v>5</v>
      </c>
      <c r="G467" s="81" t="s">
        <v>41</v>
      </c>
      <c r="H467" s="82">
        <v>45467</v>
      </c>
      <c r="I467" s="81">
        <v>5</v>
      </c>
      <c r="J467" s="82">
        <v>45473</v>
      </c>
      <c r="K467" s="81" t="s">
        <v>41</v>
      </c>
      <c r="L467" s="81" t="s">
        <v>5</v>
      </c>
      <c r="M467" s="81" t="s">
        <v>41</v>
      </c>
      <c r="N467" s="81" t="s">
        <v>41</v>
      </c>
    </row>
    <row r="468" spans="1:14" ht="21.75" customHeight="1" x14ac:dyDescent="0.25">
      <c r="A468" s="78">
        <v>2062</v>
      </c>
      <c r="B468" s="79">
        <v>45463</v>
      </c>
      <c r="C468" s="80" t="s">
        <v>41</v>
      </c>
      <c r="D468" s="80" t="s">
        <v>95</v>
      </c>
      <c r="E468" s="80" t="s">
        <v>41</v>
      </c>
      <c r="F468" s="81">
        <v>5</v>
      </c>
      <c r="G468" s="81" t="s">
        <v>41</v>
      </c>
      <c r="H468" s="82">
        <v>45467</v>
      </c>
      <c r="I468" s="81">
        <v>5</v>
      </c>
      <c r="J468" s="82">
        <v>45473</v>
      </c>
      <c r="K468" s="81" t="s">
        <v>41</v>
      </c>
      <c r="L468" s="81" t="s">
        <v>5</v>
      </c>
      <c r="M468" s="81" t="s">
        <v>41</v>
      </c>
      <c r="N468" s="81" t="s">
        <v>4</v>
      </c>
    </row>
    <row r="469" spans="1:14" ht="21.75" customHeight="1" x14ac:dyDescent="0.25">
      <c r="A469" s="78">
        <v>2054</v>
      </c>
      <c r="B469" s="79">
        <v>45463</v>
      </c>
      <c r="C469" s="80" t="s">
        <v>41</v>
      </c>
      <c r="D469" s="80" t="s">
        <v>95</v>
      </c>
      <c r="E469" s="80" t="s">
        <v>41</v>
      </c>
      <c r="F469" s="81">
        <v>5</v>
      </c>
      <c r="G469" s="81" t="s">
        <v>41</v>
      </c>
      <c r="H469" s="82">
        <v>45467</v>
      </c>
      <c r="I469" s="81">
        <v>5</v>
      </c>
      <c r="J469" s="82">
        <v>45472</v>
      </c>
      <c r="K469" s="81" t="s">
        <v>3</v>
      </c>
      <c r="L469" s="81" t="s">
        <v>5</v>
      </c>
      <c r="M469" s="81" t="s">
        <v>1</v>
      </c>
      <c r="N469" s="81" t="s">
        <v>4</v>
      </c>
    </row>
    <row r="470" spans="1:14" ht="21.75" customHeight="1" x14ac:dyDescent="0.25">
      <c r="A470" s="78">
        <v>2770</v>
      </c>
      <c r="B470" s="79">
        <v>45463</v>
      </c>
      <c r="C470" s="80" t="s">
        <v>41</v>
      </c>
      <c r="D470" s="80" t="s">
        <v>43</v>
      </c>
      <c r="E470" s="80" t="s">
        <v>41</v>
      </c>
      <c r="F470" s="81">
        <v>5</v>
      </c>
      <c r="G470" s="81" t="s">
        <v>41</v>
      </c>
      <c r="H470" s="82">
        <v>45467</v>
      </c>
      <c r="I470" s="81">
        <v>4</v>
      </c>
      <c r="J470" s="82">
        <v>45472</v>
      </c>
      <c r="K470" s="81" t="s">
        <v>41</v>
      </c>
      <c r="L470" s="81" t="s">
        <v>5</v>
      </c>
      <c r="M470" s="81" t="s">
        <v>41</v>
      </c>
      <c r="N470" s="81" t="s">
        <v>41</v>
      </c>
    </row>
    <row r="471" spans="1:14" ht="21.75" customHeight="1" x14ac:dyDescent="0.25">
      <c r="A471" s="78">
        <v>2141</v>
      </c>
      <c r="B471" s="79">
        <v>45463</v>
      </c>
      <c r="C471" s="80" t="s">
        <v>41</v>
      </c>
      <c r="D471" s="80" t="s">
        <v>43</v>
      </c>
      <c r="E471" s="80" t="s">
        <v>41</v>
      </c>
      <c r="F471" s="81">
        <v>5</v>
      </c>
      <c r="G471" s="81" t="s">
        <v>41</v>
      </c>
      <c r="H471" s="82">
        <v>45467</v>
      </c>
      <c r="I471" s="81">
        <v>4</v>
      </c>
      <c r="J471" s="82">
        <v>45471</v>
      </c>
      <c r="K471" s="81" t="s">
        <v>3</v>
      </c>
      <c r="L471" s="81" t="s">
        <v>41</v>
      </c>
      <c r="M471" s="81" t="s">
        <v>41</v>
      </c>
      <c r="N471" s="81" t="s">
        <v>41</v>
      </c>
    </row>
    <row r="472" spans="1:14" ht="21.75" customHeight="1" x14ac:dyDescent="0.25">
      <c r="A472" s="78">
        <v>3452</v>
      </c>
      <c r="B472" s="79">
        <v>45463</v>
      </c>
      <c r="C472" s="80" t="s">
        <v>41</v>
      </c>
      <c r="D472" s="80" t="s">
        <v>44</v>
      </c>
      <c r="E472" s="80" t="s">
        <v>41</v>
      </c>
      <c r="F472" s="81">
        <v>5</v>
      </c>
      <c r="G472" s="81" t="s">
        <v>41</v>
      </c>
      <c r="H472" s="82">
        <v>45467</v>
      </c>
      <c r="I472" s="81">
        <v>3</v>
      </c>
      <c r="J472" s="82">
        <v>45473</v>
      </c>
      <c r="K472" s="81" t="s">
        <v>41</v>
      </c>
      <c r="L472" s="81" t="s">
        <v>41</v>
      </c>
      <c r="M472" s="81" t="s">
        <v>41</v>
      </c>
      <c r="N472" s="81" t="s">
        <v>4</v>
      </c>
    </row>
    <row r="473" spans="1:14" ht="21.75" customHeight="1" x14ac:dyDescent="0.25">
      <c r="A473" s="78">
        <v>2777</v>
      </c>
      <c r="B473" s="79">
        <v>45463</v>
      </c>
      <c r="C473" s="80" t="s">
        <v>41</v>
      </c>
      <c r="D473" s="80" t="s">
        <v>95</v>
      </c>
      <c r="E473" s="80" t="s">
        <v>41</v>
      </c>
      <c r="F473" s="81">
        <v>5</v>
      </c>
      <c r="G473" s="81" t="s">
        <v>41</v>
      </c>
      <c r="H473" s="82">
        <v>45467</v>
      </c>
      <c r="I473" s="81">
        <v>5</v>
      </c>
      <c r="J473" s="82">
        <v>45473</v>
      </c>
      <c r="K473" s="81" t="s">
        <v>3</v>
      </c>
      <c r="L473" s="81" t="s">
        <v>5</v>
      </c>
      <c r="M473" s="81" t="s">
        <v>41</v>
      </c>
      <c r="N473" s="81" t="s">
        <v>41</v>
      </c>
    </row>
    <row r="474" spans="1:14" ht="21.75" customHeight="1" x14ac:dyDescent="0.25">
      <c r="A474" s="78">
        <v>875</v>
      </c>
      <c r="B474" s="79">
        <v>45463</v>
      </c>
      <c r="C474" s="80" t="s">
        <v>41</v>
      </c>
      <c r="D474" s="80" t="s">
        <v>95</v>
      </c>
      <c r="E474" s="80" t="s">
        <v>41</v>
      </c>
      <c r="F474" s="81">
        <v>5</v>
      </c>
      <c r="G474" s="81" t="s">
        <v>41</v>
      </c>
      <c r="H474" s="82">
        <v>45467</v>
      </c>
      <c r="I474" s="81">
        <v>5</v>
      </c>
      <c r="J474" s="82">
        <v>45473</v>
      </c>
      <c r="K474" s="81" t="s">
        <v>3</v>
      </c>
      <c r="L474" s="81" t="s">
        <v>41</v>
      </c>
      <c r="M474" s="81" t="s">
        <v>1</v>
      </c>
      <c r="N474" s="81" t="s">
        <v>41</v>
      </c>
    </row>
    <row r="475" spans="1:14" ht="21.75" customHeight="1" x14ac:dyDescent="0.25">
      <c r="A475" s="78">
        <v>3986</v>
      </c>
      <c r="B475" s="79">
        <v>45463</v>
      </c>
      <c r="C475" s="80" t="s">
        <v>41</v>
      </c>
      <c r="D475" s="80" t="s">
        <v>95</v>
      </c>
      <c r="E475" s="80" t="s">
        <v>41</v>
      </c>
      <c r="F475" s="81">
        <v>5</v>
      </c>
      <c r="G475" s="81" t="s">
        <v>41</v>
      </c>
      <c r="H475" s="82">
        <v>45467</v>
      </c>
      <c r="I475" s="81">
        <v>5</v>
      </c>
      <c r="J475" s="82">
        <v>45473</v>
      </c>
      <c r="K475" s="81" t="s">
        <v>41</v>
      </c>
      <c r="L475" s="81" t="s">
        <v>5</v>
      </c>
      <c r="M475" s="81" t="s">
        <v>41</v>
      </c>
      <c r="N475" s="81" t="s">
        <v>4</v>
      </c>
    </row>
    <row r="476" spans="1:14" ht="21.75" customHeight="1" x14ac:dyDescent="0.25">
      <c r="A476" s="78">
        <v>4062</v>
      </c>
      <c r="B476" s="79">
        <v>45463</v>
      </c>
      <c r="C476" s="80" t="s">
        <v>41</v>
      </c>
      <c r="D476" s="80" t="s">
        <v>95</v>
      </c>
      <c r="E476" s="80" t="s">
        <v>41</v>
      </c>
      <c r="F476" s="81">
        <v>5</v>
      </c>
      <c r="G476" s="81" t="s">
        <v>41</v>
      </c>
      <c r="H476" s="82">
        <v>45467</v>
      </c>
      <c r="I476" s="81">
        <v>5</v>
      </c>
      <c r="J476" s="82">
        <v>45473</v>
      </c>
      <c r="K476" s="81" t="s">
        <v>41</v>
      </c>
      <c r="L476" s="81" t="s">
        <v>5</v>
      </c>
      <c r="M476" s="81" t="s">
        <v>41</v>
      </c>
      <c r="N476" s="81" t="s">
        <v>41</v>
      </c>
    </row>
    <row r="477" spans="1:14" ht="21.75" customHeight="1" x14ac:dyDescent="0.25">
      <c r="A477" s="78">
        <v>964</v>
      </c>
      <c r="B477" s="79">
        <v>45463</v>
      </c>
      <c r="C477" s="80" t="s">
        <v>41</v>
      </c>
      <c r="D477" s="80" t="s">
        <v>95</v>
      </c>
      <c r="E477" s="80" t="s">
        <v>41</v>
      </c>
      <c r="F477" s="81">
        <v>5</v>
      </c>
      <c r="G477" s="81" t="s">
        <v>41</v>
      </c>
      <c r="H477" s="82">
        <v>45467</v>
      </c>
      <c r="I477" s="81">
        <v>5</v>
      </c>
      <c r="J477" s="82">
        <v>45471</v>
      </c>
      <c r="K477" s="81" t="s">
        <v>41</v>
      </c>
      <c r="L477" s="81" t="s">
        <v>5</v>
      </c>
      <c r="M477" s="81" t="s">
        <v>1</v>
      </c>
      <c r="N477" s="81" t="s">
        <v>4</v>
      </c>
    </row>
    <row r="478" spans="1:14" ht="21.75" customHeight="1" x14ac:dyDescent="0.25">
      <c r="A478" s="78">
        <v>3848</v>
      </c>
      <c r="B478" s="79">
        <v>45464</v>
      </c>
      <c r="C478" s="80" t="s">
        <v>41</v>
      </c>
      <c r="D478" s="80" t="s">
        <v>22</v>
      </c>
      <c r="E478" s="80" t="s">
        <v>41</v>
      </c>
      <c r="F478" s="81">
        <v>5</v>
      </c>
      <c r="G478" s="81" t="s">
        <v>41</v>
      </c>
      <c r="H478" s="82">
        <v>45468</v>
      </c>
      <c r="I478" s="81">
        <v>3</v>
      </c>
      <c r="J478" s="82">
        <v>45472</v>
      </c>
      <c r="K478" s="81" t="s">
        <v>41</v>
      </c>
      <c r="L478" s="81" t="s">
        <v>41</v>
      </c>
      <c r="M478" s="81" t="s">
        <v>41</v>
      </c>
      <c r="N478" s="81" t="s">
        <v>4</v>
      </c>
    </row>
    <row r="479" spans="1:14" ht="21.75" customHeight="1" x14ac:dyDescent="0.25">
      <c r="A479" s="78">
        <v>1149</v>
      </c>
      <c r="B479" s="79">
        <v>45464</v>
      </c>
      <c r="C479" s="80" t="s">
        <v>41</v>
      </c>
      <c r="D479" s="80" t="s">
        <v>44</v>
      </c>
      <c r="E479" s="80" t="s">
        <v>41</v>
      </c>
      <c r="F479" s="81">
        <v>3</v>
      </c>
      <c r="G479" s="81" t="s">
        <v>41</v>
      </c>
      <c r="H479" s="82">
        <v>45466</v>
      </c>
      <c r="I479" s="81">
        <v>3</v>
      </c>
      <c r="J479" s="82">
        <v>45470</v>
      </c>
      <c r="K479" s="81" t="s">
        <v>41</v>
      </c>
      <c r="L479" s="81" t="s">
        <v>41</v>
      </c>
      <c r="M479" s="81" t="s">
        <v>1</v>
      </c>
      <c r="N479" s="81" t="s">
        <v>4</v>
      </c>
    </row>
    <row r="480" spans="1:14" ht="21.75" customHeight="1" x14ac:dyDescent="0.25">
      <c r="A480" s="78">
        <v>2329</v>
      </c>
      <c r="B480" s="79">
        <v>45466</v>
      </c>
      <c r="C480" s="80" t="s">
        <v>41</v>
      </c>
      <c r="D480" s="80" t="s">
        <v>44</v>
      </c>
      <c r="E480" s="80" t="s">
        <v>41</v>
      </c>
      <c r="F480" s="81">
        <v>5</v>
      </c>
      <c r="G480" s="81" t="s">
        <v>41</v>
      </c>
      <c r="H480" s="82">
        <v>45470</v>
      </c>
      <c r="I480" s="81">
        <v>3</v>
      </c>
      <c r="J480" s="82">
        <v>45474</v>
      </c>
      <c r="K480" s="81" t="s">
        <v>3</v>
      </c>
      <c r="L480" s="81" t="s">
        <v>5</v>
      </c>
      <c r="M480" s="81" t="s">
        <v>1</v>
      </c>
      <c r="N480" s="81" t="s">
        <v>41</v>
      </c>
    </row>
    <row r="481" spans="1:14" ht="21.75" customHeight="1" x14ac:dyDescent="0.25">
      <c r="A481" s="78">
        <v>647</v>
      </c>
      <c r="B481" s="79">
        <v>45466</v>
      </c>
      <c r="C481" s="80" t="s">
        <v>41</v>
      </c>
      <c r="D481" s="80" t="s">
        <v>44</v>
      </c>
      <c r="E481" s="80" t="s">
        <v>41</v>
      </c>
      <c r="F481" s="81">
        <v>5</v>
      </c>
      <c r="G481" s="81" t="s">
        <v>41</v>
      </c>
      <c r="H481" s="82">
        <v>45470</v>
      </c>
      <c r="I481" s="81">
        <v>3</v>
      </c>
      <c r="J481" s="82">
        <v>45474</v>
      </c>
      <c r="K481" s="81" t="s">
        <v>41</v>
      </c>
      <c r="L481" s="81" t="s">
        <v>41</v>
      </c>
      <c r="M481" s="81" t="s">
        <v>41</v>
      </c>
      <c r="N481" s="81" t="s">
        <v>4</v>
      </c>
    </row>
    <row r="482" spans="1:14" ht="21.75" customHeight="1" x14ac:dyDescent="0.25">
      <c r="A482" s="78">
        <v>113</v>
      </c>
      <c r="B482" s="79">
        <v>45466</v>
      </c>
      <c r="C482" s="80" t="s">
        <v>41</v>
      </c>
      <c r="D482" s="80" t="s">
        <v>44</v>
      </c>
      <c r="E482" s="80" t="s">
        <v>41</v>
      </c>
      <c r="F482" s="81">
        <v>5</v>
      </c>
      <c r="G482" s="81" t="s">
        <v>41</v>
      </c>
      <c r="H482" s="82">
        <v>45470</v>
      </c>
      <c r="I482" s="81">
        <v>3</v>
      </c>
      <c r="J482" s="82">
        <v>45474</v>
      </c>
      <c r="K482" s="81" t="s">
        <v>41</v>
      </c>
      <c r="L482" s="81" t="s">
        <v>5</v>
      </c>
      <c r="M482" s="81" t="s">
        <v>41</v>
      </c>
      <c r="N482" s="81" t="s">
        <v>41</v>
      </c>
    </row>
    <row r="483" spans="1:14" ht="21.75" customHeight="1" x14ac:dyDescent="0.25">
      <c r="A483" s="78">
        <v>88</v>
      </c>
      <c r="B483" s="79">
        <v>45466</v>
      </c>
      <c r="C483" s="80" t="s">
        <v>41</v>
      </c>
      <c r="D483" s="80" t="s">
        <v>44</v>
      </c>
      <c r="E483" s="80" t="s">
        <v>41</v>
      </c>
      <c r="F483" s="81">
        <v>5</v>
      </c>
      <c r="G483" s="81" t="s">
        <v>41</v>
      </c>
      <c r="H483" s="82">
        <v>45470</v>
      </c>
      <c r="I483" s="81">
        <v>3</v>
      </c>
      <c r="J483" s="82">
        <v>45476</v>
      </c>
      <c r="K483" s="81" t="s">
        <v>41</v>
      </c>
      <c r="L483" s="81" t="s">
        <v>41</v>
      </c>
      <c r="M483" s="81" t="s">
        <v>41</v>
      </c>
      <c r="N483" s="81" t="s">
        <v>4</v>
      </c>
    </row>
    <row r="484" spans="1:14" ht="21.75" customHeight="1" x14ac:dyDescent="0.25">
      <c r="A484" s="78">
        <v>3007</v>
      </c>
      <c r="B484" s="79">
        <v>45466</v>
      </c>
      <c r="C484" s="80" t="s">
        <v>41</v>
      </c>
      <c r="D484" s="80" t="s">
        <v>95</v>
      </c>
      <c r="E484" s="80" t="s">
        <v>41</v>
      </c>
      <c r="F484" s="81">
        <v>5</v>
      </c>
      <c r="G484" s="81" t="s">
        <v>41</v>
      </c>
      <c r="H484" s="82">
        <v>45470</v>
      </c>
      <c r="I484" s="81">
        <v>5</v>
      </c>
      <c r="J484" s="82">
        <v>45476</v>
      </c>
      <c r="K484" s="81" t="s">
        <v>41</v>
      </c>
      <c r="L484" s="81" t="s">
        <v>5</v>
      </c>
      <c r="M484" s="81" t="s">
        <v>1</v>
      </c>
      <c r="N484" s="81" t="s">
        <v>41</v>
      </c>
    </row>
    <row r="485" spans="1:14" ht="21.75" customHeight="1" x14ac:dyDescent="0.25">
      <c r="A485" s="78">
        <v>3482</v>
      </c>
      <c r="B485" s="79">
        <v>45466</v>
      </c>
      <c r="C485" s="80" t="s">
        <v>41</v>
      </c>
      <c r="D485" s="80" t="s">
        <v>95</v>
      </c>
      <c r="E485" s="80" t="s">
        <v>41</v>
      </c>
      <c r="F485" s="81">
        <v>5</v>
      </c>
      <c r="G485" s="81" t="s">
        <v>41</v>
      </c>
      <c r="H485" s="82">
        <v>45470</v>
      </c>
      <c r="I485" s="81">
        <v>5</v>
      </c>
      <c r="J485" s="82">
        <v>45476</v>
      </c>
      <c r="K485" s="81" t="s">
        <v>41</v>
      </c>
      <c r="L485" s="81" t="s">
        <v>5</v>
      </c>
      <c r="M485" s="81" t="s">
        <v>41</v>
      </c>
      <c r="N485" s="81" t="s">
        <v>41</v>
      </c>
    </row>
    <row r="486" spans="1:14" ht="21.75" customHeight="1" x14ac:dyDescent="0.25">
      <c r="A486" s="78">
        <v>2152</v>
      </c>
      <c r="B486" s="79">
        <v>45466</v>
      </c>
      <c r="C486" s="80" t="s">
        <v>41</v>
      </c>
      <c r="D486" s="80" t="s">
        <v>95</v>
      </c>
      <c r="E486" s="80" t="s">
        <v>41</v>
      </c>
      <c r="F486" s="81">
        <v>5</v>
      </c>
      <c r="G486" s="81" t="s">
        <v>41</v>
      </c>
      <c r="H486" s="82">
        <v>45470</v>
      </c>
      <c r="I486" s="81">
        <v>5</v>
      </c>
      <c r="J486" s="82">
        <v>45476</v>
      </c>
      <c r="K486" s="81" t="s">
        <v>3</v>
      </c>
      <c r="L486" s="81" t="s">
        <v>5</v>
      </c>
      <c r="M486" s="81" t="s">
        <v>1</v>
      </c>
      <c r="N486" s="81" t="s">
        <v>4</v>
      </c>
    </row>
    <row r="487" spans="1:14" ht="21.75" customHeight="1" x14ac:dyDescent="0.25">
      <c r="A487" s="78">
        <v>3054</v>
      </c>
      <c r="B487" s="79">
        <v>45466</v>
      </c>
      <c r="C487" s="80" t="s">
        <v>41</v>
      </c>
      <c r="D487" s="80" t="s">
        <v>95</v>
      </c>
      <c r="E487" s="80" t="s">
        <v>41</v>
      </c>
      <c r="F487" s="81">
        <v>5</v>
      </c>
      <c r="G487" s="81" t="s">
        <v>41</v>
      </c>
      <c r="H487" s="82">
        <v>45470</v>
      </c>
      <c r="I487" s="81">
        <v>5</v>
      </c>
      <c r="J487" s="82">
        <v>45476</v>
      </c>
      <c r="K487" s="81" t="s">
        <v>41</v>
      </c>
      <c r="L487" s="81" t="s">
        <v>5</v>
      </c>
      <c r="M487" s="81" t="s">
        <v>41</v>
      </c>
      <c r="N487" s="81" t="s">
        <v>41</v>
      </c>
    </row>
    <row r="488" spans="1:14" ht="21.75" customHeight="1" x14ac:dyDescent="0.25">
      <c r="A488" s="78">
        <v>186</v>
      </c>
      <c r="B488" s="79">
        <v>45468</v>
      </c>
      <c r="C488" s="80" t="s">
        <v>41</v>
      </c>
      <c r="D488" s="80" t="s">
        <v>95</v>
      </c>
      <c r="E488" s="80" t="s">
        <v>41</v>
      </c>
      <c r="F488" s="81">
        <v>5</v>
      </c>
      <c r="G488" s="81" t="s">
        <v>41</v>
      </c>
      <c r="H488" s="82">
        <v>45472</v>
      </c>
      <c r="I488" s="81">
        <v>5</v>
      </c>
      <c r="J488" s="82">
        <v>45478</v>
      </c>
      <c r="K488" s="81" t="s">
        <v>41</v>
      </c>
      <c r="L488" s="81" t="s">
        <v>5</v>
      </c>
      <c r="M488" s="81" t="s">
        <v>41</v>
      </c>
      <c r="N488" s="81" t="s">
        <v>41</v>
      </c>
    </row>
    <row r="489" spans="1:14" ht="21.75" customHeight="1" x14ac:dyDescent="0.25">
      <c r="A489" s="78">
        <v>2982</v>
      </c>
      <c r="B489" s="79">
        <v>45468</v>
      </c>
      <c r="C489" s="80" t="s">
        <v>41</v>
      </c>
      <c r="D489" s="80" t="s">
        <v>95</v>
      </c>
      <c r="E489" s="80" t="s">
        <v>41</v>
      </c>
      <c r="F489" s="81">
        <v>5</v>
      </c>
      <c r="G489" s="81" t="s">
        <v>41</v>
      </c>
      <c r="H489" s="82">
        <v>45472</v>
      </c>
      <c r="I489" s="81">
        <v>5</v>
      </c>
      <c r="J489" s="82">
        <v>45478</v>
      </c>
      <c r="K489" s="81" t="s">
        <v>41</v>
      </c>
      <c r="L489" s="81" t="s">
        <v>5</v>
      </c>
      <c r="M489" s="81" t="s">
        <v>1</v>
      </c>
      <c r="N489" s="81" t="s">
        <v>4</v>
      </c>
    </row>
    <row r="490" spans="1:14" ht="21.75" customHeight="1" x14ac:dyDescent="0.25">
      <c r="A490" s="78">
        <v>2638</v>
      </c>
      <c r="B490" s="79">
        <v>45468</v>
      </c>
      <c r="C490" s="80" t="s">
        <v>41</v>
      </c>
      <c r="D490" s="80" t="s">
        <v>95</v>
      </c>
      <c r="E490" s="80" t="s">
        <v>41</v>
      </c>
      <c r="F490" s="81">
        <v>5</v>
      </c>
      <c r="G490" s="81" t="s">
        <v>41</v>
      </c>
      <c r="H490" s="82">
        <v>45472</v>
      </c>
      <c r="I490" s="81">
        <v>5</v>
      </c>
      <c r="J490" s="82">
        <v>45478</v>
      </c>
      <c r="K490" s="81" t="s">
        <v>3</v>
      </c>
      <c r="L490" s="81" t="s">
        <v>41</v>
      </c>
      <c r="M490" s="81" t="s">
        <v>41</v>
      </c>
      <c r="N490" s="81" t="s">
        <v>4</v>
      </c>
    </row>
    <row r="491" spans="1:14" ht="21.75" customHeight="1" x14ac:dyDescent="0.25">
      <c r="A491" s="78">
        <v>2944</v>
      </c>
      <c r="B491" s="79">
        <v>45468</v>
      </c>
      <c r="C491" s="80" t="s">
        <v>41</v>
      </c>
      <c r="D491" s="80" t="s">
        <v>95</v>
      </c>
      <c r="E491" s="80" t="s">
        <v>41</v>
      </c>
      <c r="F491" s="81">
        <v>5</v>
      </c>
      <c r="G491" s="81" t="s">
        <v>41</v>
      </c>
      <c r="H491" s="82">
        <v>45472</v>
      </c>
      <c r="I491" s="81">
        <v>5</v>
      </c>
      <c r="J491" s="82">
        <v>45478</v>
      </c>
      <c r="K491" s="81" t="s">
        <v>41</v>
      </c>
      <c r="L491" s="81" t="s">
        <v>5</v>
      </c>
      <c r="M491" s="81" t="s">
        <v>1</v>
      </c>
      <c r="N491" s="81" t="s">
        <v>41</v>
      </c>
    </row>
    <row r="492" spans="1:14" ht="21.75" customHeight="1" x14ac:dyDescent="0.25">
      <c r="A492" s="78">
        <v>868</v>
      </c>
      <c r="B492" s="79">
        <v>45468</v>
      </c>
      <c r="C492" s="80" t="s">
        <v>41</v>
      </c>
      <c r="D492" s="80" t="s">
        <v>95</v>
      </c>
      <c r="E492" s="80" t="s">
        <v>41</v>
      </c>
      <c r="F492" s="81">
        <v>5</v>
      </c>
      <c r="G492" s="81" t="s">
        <v>41</v>
      </c>
      <c r="H492" s="82">
        <v>45472</v>
      </c>
      <c r="I492" s="81">
        <v>5</v>
      </c>
      <c r="J492" s="82">
        <v>45478</v>
      </c>
      <c r="K492" s="81" t="s">
        <v>41</v>
      </c>
      <c r="L492" s="81" t="s">
        <v>5</v>
      </c>
      <c r="M492" s="81" t="s">
        <v>41</v>
      </c>
      <c r="N492" s="81" t="s">
        <v>41</v>
      </c>
    </row>
    <row r="493" spans="1:14" ht="21.75" customHeight="1" x14ac:dyDescent="0.25">
      <c r="A493" s="78">
        <v>2791</v>
      </c>
      <c r="B493" s="79">
        <v>45468</v>
      </c>
      <c r="C493" s="80" t="s">
        <v>41</v>
      </c>
      <c r="D493" s="80" t="s">
        <v>95</v>
      </c>
      <c r="E493" s="80" t="s">
        <v>41</v>
      </c>
      <c r="F493" s="81">
        <v>5</v>
      </c>
      <c r="G493" s="81" t="s">
        <v>41</v>
      </c>
      <c r="H493" s="82">
        <v>45472</v>
      </c>
      <c r="I493" s="81">
        <v>5</v>
      </c>
      <c r="J493" s="82">
        <v>45478</v>
      </c>
      <c r="K493" s="81" t="s">
        <v>41</v>
      </c>
      <c r="L493" s="81" t="s">
        <v>41</v>
      </c>
      <c r="M493" s="81" t="s">
        <v>41</v>
      </c>
      <c r="N493" s="81" t="s">
        <v>4</v>
      </c>
    </row>
    <row r="494" spans="1:14" ht="21.75" customHeight="1" x14ac:dyDescent="0.25">
      <c r="A494" s="78">
        <v>2504</v>
      </c>
      <c r="B494" s="79">
        <v>45468</v>
      </c>
      <c r="C494" s="80" t="s">
        <v>41</v>
      </c>
      <c r="D494" s="80" t="s">
        <v>95</v>
      </c>
      <c r="E494" s="80" t="s">
        <v>41</v>
      </c>
      <c r="F494" s="81">
        <v>5</v>
      </c>
      <c r="G494" s="81" t="s">
        <v>41</v>
      </c>
      <c r="H494" s="82">
        <v>45472</v>
      </c>
      <c r="I494" s="81">
        <v>5</v>
      </c>
      <c r="J494" s="82">
        <v>45478</v>
      </c>
      <c r="K494" s="81" t="s">
        <v>3</v>
      </c>
      <c r="L494" s="81" t="s">
        <v>41</v>
      </c>
      <c r="M494" s="81" t="s">
        <v>41</v>
      </c>
      <c r="N494" s="81" t="s">
        <v>41</v>
      </c>
    </row>
    <row r="495" spans="1:14" ht="21.75" customHeight="1" x14ac:dyDescent="0.25">
      <c r="A495" s="78">
        <v>3480</v>
      </c>
      <c r="B495" s="79">
        <v>45468</v>
      </c>
      <c r="C495" s="80" t="s">
        <v>41</v>
      </c>
      <c r="D495" s="80" t="s">
        <v>95</v>
      </c>
      <c r="E495" s="80" t="s">
        <v>41</v>
      </c>
      <c r="F495" s="81">
        <v>5</v>
      </c>
      <c r="G495" s="81" t="s">
        <v>41</v>
      </c>
      <c r="H495" s="82">
        <v>45472</v>
      </c>
      <c r="I495" s="81">
        <v>5</v>
      </c>
      <c r="J495" s="82">
        <v>45478</v>
      </c>
      <c r="K495" s="81" t="s">
        <v>3</v>
      </c>
      <c r="L495" s="81" t="s">
        <v>41</v>
      </c>
      <c r="M495" s="81" t="s">
        <v>1</v>
      </c>
      <c r="N495" s="81" t="s">
        <v>41</v>
      </c>
    </row>
    <row r="496" spans="1:14" ht="21.75" customHeight="1" x14ac:dyDescent="0.25">
      <c r="A496" s="78">
        <v>1581</v>
      </c>
      <c r="B496" s="79">
        <v>45468</v>
      </c>
      <c r="C496" s="80" t="s">
        <v>41</v>
      </c>
      <c r="D496" s="80" t="s">
        <v>95</v>
      </c>
      <c r="E496" s="80" t="s">
        <v>41</v>
      </c>
      <c r="F496" s="81">
        <v>5</v>
      </c>
      <c r="G496" s="81" t="s">
        <v>41</v>
      </c>
      <c r="H496" s="82">
        <v>45472</v>
      </c>
      <c r="I496" s="81">
        <v>5</v>
      </c>
      <c r="J496" s="82">
        <v>45478</v>
      </c>
      <c r="K496" s="81" t="s">
        <v>3</v>
      </c>
      <c r="L496" s="81" t="s">
        <v>5</v>
      </c>
      <c r="M496" s="81" t="s">
        <v>1</v>
      </c>
      <c r="N496" s="81" t="s">
        <v>4</v>
      </c>
    </row>
    <row r="497" spans="1:14" ht="21.75" customHeight="1" x14ac:dyDescent="0.25">
      <c r="A497" s="78">
        <v>3399</v>
      </c>
      <c r="B497" s="79">
        <v>45468</v>
      </c>
      <c r="C497" s="80" t="s">
        <v>41</v>
      </c>
      <c r="D497" s="80" t="s">
        <v>95</v>
      </c>
      <c r="E497" s="80" t="s">
        <v>41</v>
      </c>
      <c r="F497" s="81">
        <v>5</v>
      </c>
      <c r="G497" s="81" t="s">
        <v>41</v>
      </c>
      <c r="H497" s="82">
        <v>45472</v>
      </c>
      <c r="I497" s="81">
        <v>5</v>
      </c>
      <c r="J497" s="82">
        <v>45478</v>
      </c>
      <c r="K497" s="81" t="s">
        <v>3</v>
      </c>
      <c r="L497" s="81" t="s">
        <v>41</v>
      </c>
      <c r="M497" s="81" t="s">
        <v>41</v>
      </c>
      <c r="N497" s="81" t="s">
        <v>41</v>
      </c>
    </row>
    <row r="498" spans="1:14" ht="21.75" customHeight="1" x14ac:dyDescent="0.25">
      <c r="A498" s="78">
        <v>3055</v>
      </c>
      <c r="B498" s="79">
        <v>45468</v>
      </c>
      <c r="C498" s="80" t="s">
        <v>41</v>
      </c>
      <c r="D498" s="80" t="s">
        <v>95</v>
      </c>
      <c r="E498" s="80" t="s">
        <v>41</v>
      </c>
      <c r="F498" s="81">
        <v>5</v>
      </c>
      <c r="G498" s="81" t="s">
        <v>41</v>
      </c>
      <c r="H498" s="82">
        <v>45472</v>
      </c>
      <c r="I498" s="81">
        <v>5</v>
      </c>
      <c r="J498" s="82">
        <v>45478</v>
      </c>
      <c r="K498" s="81" t="s">
        <v>41</v>
      </c>
      <c r="L498" s="81" t="s">
        <v>41</v>
      </c>
      <c r="M498" s="81" t="s">
        <v>1</v>
      </c>
      <c r="N498" s="81" t="s">
        <v>4</v>
      </c>
    </row>
    <row r="499" spans="1:14" ht="21.75" customHeight="1" x14ac:dyDescent="0.25">
      <c r="A499" s="78">
        <v>3621</v>
      </c>
      <c r="B499" s="79">
        <v>45468</v>
      </c>
      <c r="C499" s="80" t="s">
        <v>41</v>
      </c>
      <c r="D499" s="80" t="s">
        <v>95</v>
      </c>
      <c r="E499" s="80" t="s">
        <v>41</v>
      </c>
      <c r="F499" s="81">
        <v>5</v>
      </c>
      <c r="G499" s="81" t="s">
        <v>41</v>
      </c>
      <c r="H499" s="82">
        <v>45472</v>
      </c>
      <c r="I499" s="81">
        <v>5</v>
      </c>
      <c r="J499" s="82">
        <v>45476</v>
      </c>
      <c r="K499" s="81" t="s">
        <v>3</v>
      </c>
      <c r="L499" s="81" t="s">
        <v>41</v>
      </c>
      <c r="M499" s="81" t="s">
        <v>1</v>
      </c>
      <c r="N499" s="81" t="s">
        <v>41</v>
      </c>
    </row>
    <row r="500" spans="1:14" ht="21.75" customHeight="1" x14ac:dyDescent="0.25">
      <c r="A500" s="78">
        <v>3848</v>
      </c>
      <c r="B500" s="79">
        <v>45468</v>
      </c>
      <c r="C500" s="80" t="s">
        <v>41</v>
      </c>
      <c r="D500" s="80" t="s">
        <v>22</v>
      </c>
      <c r="E500" s="80" t="s">
        <v>41</v>
      </c>
      <c r="F500" s="81">
        <v>5</v>
      </c>
      <c r="G500" s="81" t="s">
        <v>41</v>
      </c>
      <c r="H500" s="82">
        <v>45472</v>
      </c>
      <c r="I500" s="81">
        <v>3</v>
      </c>
      <c r="J500" s="82">
        <v>45476</v>
      </c>
      <c r="K500" s="81" t="s">
        <v>3</v>
      </c>
      <c r="L500" s="81" t="s">
        <v>5</v>
      </c>
      <c r="M500" s="81" t="s">
        <v>41</v>
      </c>
      <c r="N500" s="81" t="s">
        <v>4</v>
      </c>
    </row>
    <row r="501" spans="1:14" ht="21.75" customHeight="1" x14ac:dyDescent="0.25">
      <c r="A501" s="78">
        <v>3388</v>
      </c>
      <c r="B501" s="79">
        <v>45468</v>
      </c>
      <c r="C501" s="80" t="s">
        <v>41</v>
      </c>
      <c r="D501" s="80" t="s">
        <v>44</v>
      </c>
      <c r="E501" s="80" t="s">
        <v>41</v>
      </c>
      <c r="F501" s="81">
        <v>5</v>
      </c>
      <c r="G501" s="81" t="s">
        <v>41</v>
      </c>
      <c r="H501" s="82">
        <v>45472</v>
      </c>
      <c r="I501" s="81">
        <v>3</v>
      </c>
      <c r="J501" s="82">
        <v>45482</v>
      </c>
      <c r="K501" s="81" t="s">
        <v>41</v>
      </c>
      <c r="L501" s="81" t="s">
        <v>41</v>
      </c>
      <c r="M501" s="81" t="s">
        <v>41</v>
      </c>
      <c r="N501" s="81" t="s">
        <v>4</v>
      </c>
    </row>
    <row r="502" spans="1:14" ht="21.75" customHeight="1" x14ac:dyDescent="0.25">
      <c r="A502" s="78">
        <v>1144</v>
      </c>
      <c r="B502" s="79">
        <v>45468</v>
      </c>
      <c r="C502" s="80" t="s">
        <v>41</v>
      </c>
      <c r="D502" s="80" t="s">
        <v>40</v>
      </c>
      <c r="E502" s="80" t="s">
        <v>41</v>
      </c>
      <c r="F502" s="81">
        <v>5</v>
      </c>
      <c r="G502" s="81" t="s">
        <v>41</v>
      </c>
      <c r="H502" s="82">
        <v>45472</v>
      </c>
      <c r="I502" s="81">
        <v>9</v>
      </c>
      <c r="J502" s="82">
        <v>45478</v>
      </c>
      <c r="K502" s="81" t="s">
        <v>41</v>
      </c>
      <c r="L502" s="81" t="s">
        <v>5</v>
      </c>
      <c r="M502" s="81" t="s">
        <v>1</v>
      </c>
      <c r="N502" s="81" t="s">
        <v>4</v>
      </c>
    </row>
    <row r="503" spans="1:14" ht="21.75" customHeight="1" x14ac:dyDescent="0.25">
      <c r="A503" s="78">
        <v>3871</v>
      </c>
      <c r="B503" s="79">
        <v>45469</v>
      </c>
      <c r="C503" s="80" t="s">
        <v>41</v>
      </c>
      <c r="D503" s="80" t="s">
        <v>95</v>
      </c>
      <c r="E503" s="80" t="s">
        <v>41</v>
      </c>
      <c r="F503" s="81">
        <v>5</v>
      </c>
      <c r="G503" s="81" t="s">
        <v>41</v>
      </c>
      <c r="H503" s="82">
        <v>45473</v>
      </c>
      <c r="I503" s="81">
        <v>5</v>
      </c>
      <c r="J503" s="82">
        <v>45479</v>
      </c>
      <c r="K503" s="81" t="s">
        <v>41</v>
      </c>
      <c r="L503" s="81" t="s">
        <v>5</v>
      </c>
      <c r="M503" s="81" t="s">
        <v>41</v>
      </c>
      <c r="N503" s="81" t="s">
        <v>41</v>
      </c>
    </row>
    <row r="504" spans="1:14" ht="21.75" customHeight="1" x14ac:dyDescent="0.25">
      <c r="A504" s="78">
        <v>3004</v>
      </c>
      <c r="B504" s="79">
        <v>45469</v>
      </c>
      <c r="C504" s="80" t="s">
        <v>41</v>
      </c>
      <c r="D504" s="80" t="s">
        <v>95</v>
      </c>
      <c r="E504" s="80" t="s">
        <v>41</v>
      </c>
      <c r="F504" s="81">
        <v>5</v>
      </c>
      <c r="G504" s="81" t="s">
        <v>41</v>
      </c>
      <c r="H504" s="82">
        <v>45473</v>
      </c>
      <c r="I504" s="81">
        <v>5</v>
      </c>
      <c r="J504" s="82">
        <v>45479</v>
      </c>
      <c r="K504" s="81" t="s">
        <v>3</v>
      </c>
      <c r="L504" s="81" t="s">
        <v>5</v>
      </c>
      <c r="M504" s="81" t="s">
        <v>1</v>
      </c>
      <c r="N504" s="81" t="s">
        <v>4</v>
      </c>
    </row>
    <row r="505" spans="1:14" ht="21.75" customHeight="1" x14ac:dyDescent="0.25">
      <c r="A505" s="78">
        <v>3254</v>
      </c>
      <c r="B505" s="79">
        <v>45469</v>
      </c>
      <c r="C505" s="80" t="s">
        <v>41</v>
      </c>
      <c r="D505" s="80" t="s">
        <v>95</v>
      </c>
      <c r="E505" s="80" t="s">
        <v>41</v>
      </c>
      <c r="F505" s="81">
        <v>5</v>
      </c>
      <c r="G505" s="81" t="s">
        <v>41</v>
      </c>
      <c r="H505" s="82">
        <v>45473</v>
      </c>
      <c r="I505" s="81">
        <v>5</v>
      </c>
      <c r="J505" s="82">
        <v>45479</v>
      </c>
      <c r="K505" s="81" t="s">
        <v>3</v>
      </c>
      <c r="L505" s="81" t="s">
        <v>5</v>
      </c>
      <c r="M505" s="81" t="s">
        <v>41</v>
      </c>
      <c r="N505" s="81" t="s">
        <v>41</v>
      </c>
    </row>
    <row r="506" spans="1:14" ht="21.75" customHeight="1" x14ac:dyDescent="0.25">
      <c r="A506" s="78">
        <v>3300</v>
      </c>
      <c r="B506" s="79">
        <v>45469</v>
      </c>
      <c r="C506" s="80" t="s">
        <v>41</v>
      </c>
      <c r="D506" s="80" t="s">
        <v>95</v>
      </c>
      <c r="E506" s="80" t="s">
        <v>41</v>
      </c>
      <c r="F506" s="81">
        <v>5</v>
      </c>
      <c r="G506" s="81" t="s">
        <v>41</v>
      </c>
      <c r="H506" s="82">
        <v>45473</v>
      </c>
      <c r="I506" s="81">
        <v>5</v>
      </c>
      <c r="J506" s="82">
        <v>45477</v>
      </c>
      <c r="K506" s="81" t="s">
        <v>41</v>
      </c>
      <c r="L506" s="81" t="s">
        <v>5</v>
      </c>
      <c r="M506" s="81" t="s">
        <v>41</v>
      </c>
      <c r="N506" s="81" t="s">
        <v>41</v>
      </c>
    </row>
    <row r="507" spans="1:14" ht="21.75" customHeight="1" x14ac:dyDescent="0.25">
      <c r="A507" s="78">
        <v>1713</v>
      </c>
      <c r="B507" s="79">
        <v>45469</v>
      </c>
      <c r="C507" s="80" t="s">
        <v>41</v>
      </c>
      <c r="D507" s="80" t="s">
        <v>44</v>
      </c>
      <c r="E507" s="80" t="s">
        <v>41</v>
      </c>
      <c r="F507" s="81">
        <v>5</v>
      </c>
      <c r="G507" s="81" t="s">
        <v>41</v>
      </c>
      <c r="H507" s="82">
        <v>45473</v>
      </c>
      <c r="I507" s="81">
        <v>3</v>
      </c>
      <c r="J507" s="82">
        <v>45477</v>
      </c>
      <c r="K507" s="81" t="s">
        <v>41</v>
      </c>
      <c r="L507" s="81" t="s">
        <v>41</v>
      </c>
      <c r="M507" s="81" t="s">
        <v>1</v>
      </c>
      <c r="N507" s="81" t="s">
        <v>41</v>
      </c>
    </row>
    <row r="508" spans="1:14" ht="21.75" customHeight="1" x14ac:dyDescent="0.25">
      <c r="A508" s="78">
        <v>2248</v>
      </c>
      <c r="B508" s="79">
        <v>45470</v>
      </c>
      <c r="C508" s="80" t="s">
        <v>41</v>
      </c>
      <c r="D508" s="80" t="s">
        <v>44</v>
      </c>
      <c r="E508" s="80" t="s">
        <v>41</v>
      </c>
      <c r="F508" s="81">
        <v>5</v>
      </c>
      <c r="G508" s="81" t="s">
        <v>41</v>
      </c>
      <c r="H508" s="82">
        <v>45474</v>
      </c>
      <c r="I508" s="81">
        <v>3</v>
      </c>
      <c r="J508" s="82">
        <v>45478</v>
      </c>
      <c r="K508" s="81" t="s">
        <v>41</v>
      </c>
      <c r="L508" s="81" t="s">
        <v>41</v>
      </c>
      <c r="M508" s="81" t="s">
        <v>41</v>
      </c>
      <c r="N508" s="81" t="s">
        <v>4</v>
      </c>
    </row>
    <row r="509" spans="1:14" ht="21.75" customHeight="1" x14ac:dyDescent="0.25">
      <c r="A509" s="78">
        <v>3155</v>
      </c>
      <c r="B509" s="79">
        <v>45470</v>
      </c>
      <c r="C509" s="80" t="s">
        <v>41</v>
      </c>
      <c r="D509" s="80" t="s">
        <v>44</v>
      </c>
      <c r="E509" s="80" t="s">
        <v>41</v>
      </c>
      <c r="F509" s="81">
        <v>5</v>
      </c>
      <c r="G509" s="81" t="s">
        <v>41</v>
      </c>
      <c r="H509" s="82">
        <v>45474</v>
      </c>
      <c r="I509" s="81">
        <v>3</v>
      </c>
      <c r="J509" s="82">
        <v>45478</v>
      </c>
      <c r="K509" s="81" t="s">
        <v>41</v>
      </c>
      <c r="L509" s="81" t="s">
        <v>5</v>
      </c>
      <c r="M509" s="81" t="s">
        <v>41</v>
      </c>
      <c r="N509" s="81" t="s">
        <v>4</v>
      </c>
    </row>
    <row r="510" spans="1:14" ht="21.75" customHeight="1" x14ac:dyDescent="0.25">
      <c r="A510" s="78">
        <v>873</v>
      </c>
      <c r="B510" s="79">
        <v>45470</v>
      </c>
      <c r="C510" s="80" t="s">
        <v>41</v>
      </c>
      <c r="D510" s="80" t="s">
        <v>44</v>
      </c>
      <c r="E510" s="80" t="s">
        <v>41</v>
      </c>
      <c r="F510" s="81">
        <v>5</v>
      </c>
      <c r="G510" s="81" t="s">
        <v>41</v>
      </c>
      <c r="H510" s="82">
        <v>45474</v>
      </c>
      <c r="I510" s="81">
        <v>3</v>
      </c>
      <c r="J510" s="82">
        <v>45484</v>
      </c>
      <c r="K510" s="81" t="s">
        <v>3</v>
      </c>
      <c r="L510" s="81" t="s">
        <v>41</v>
      </c>
      <c r="M510" s="81" t="s">
        <v>41</v>
      </c>
      <c r="N510" s="81" t="s">
        <v>4</v>
      </c>
    </row>
    <row r="511" spans="1:14" ht="21.75" customHeight="1" x14ac:dyDescent="0.25">
      <c r="A511" s="78">
        <v>647</v>
      </c>
      <c r="B511" s="79">
        <v>45471</v>
      </c>
      <c r="C511" s="80" t="s">
        <v>41</v>
      </c>
      <c r="D511" s="80" t="s">
        <v>40</v>
      </c>
      <c r="E511" s="80" t="s">
        <v>41</v>
      </c>
      <c r="F511" s="81">
        <v>5</v>
      </c>
      <c r="G511" s="81" t="s">
        <v>41</v>
      </c>
      <c r="H511" s="82">
        <v>45475</v>
      </c>
      <c r="I511" s="81">
        <v>9</v>
      </c>
      <c r="J511" s="82">
        <v>45481</v>
      </c>
      <c r="K511" s="81" t="s">
        <v>41</v>
      </c>
      <c r="L511" s="81" t="s">
        <v>41</v>
      </c>
      <c r="M511" s="81" t="s">
        <v>41</v>
      </c>
      <c r="N511" s="81" t="s">
        <v>4</v>
      </c>
    </row>
    <row r="512" spans="1:14" ht="21.75" customHeight="1" x14ac:dyDescent="0.25">
      <c r="A512" s="78">
        <v>964</v>
      </c>
      <c r="B512" s="79">
        <v>45471</v>
      </c>
      <c r="C512" s="80" t="s">
        <v>41</v>
      </c>
      <c r="D512" s="80" t="s">
        <v>95</v>
      </c>
      <c r="E512" s="80" t="s">
        <v>41</v>
      </c>
      <c r="F512" s="81">
        <v>5</v>
      </c>
      <c r="G512" s="81" t="s">
        <v>41</v>
      </c>
      <c r="H512" s="82">
        <v>45475</v>
      </c>
      <c r="I512" s="81">
        <v>5</v>
      </c>
      <c r="J512" s="82">
        <v>45479</v>
      </c>
      <c r="K512" s="81" t="s">
        <v>41</v>
      </c>
      <c r="L512" s="81" t="s">
        <v>5</v>
      </c>
      <c r="M512" s="81" t="s">
        <v>1</v>
      </c>
      <c r="N512" s="81" t="s">
        <v>41</v>
      </c>
    </row>
    <row r="513" spans="1:14" ht="21.75" customHeight="1" x14ac:dyDescent="0.25">
      <c r="A513" s="78">
        <v>3568</v>
      </c>
      <c r="B513" s="79">
        <v>45471</v>
      </c>
      <c r="C513" s="80" t="s">
        <v>41</v>
      </c>
      <c r="D513" s="80" t="s">
        <v>44</v>
      </c>
      <c r="E513" s="80" t="s">
        <v>41</v>
      </c>
      <c r="F513" s="81">
        <v>5</v>
      </c>
      <c r="G513" s="81" t="s">
        <v>41</v>
      </c>
      <c r="H513" s="82">
        <v>45475</v>
      </c>
      <c r="I513" s="81">
        <v>3</v>
      </c>
      <c r="J513" s="82">
        <v>45481</v>
      </c>
      <c r="K513" s="81" t="s">
        <v>3</v>
      </c>
      <c r="L513" s="81" t="s">
        <v>5</v>
      </c>
      <c r="M513" s="81" t="s">
        <v>41</v>
      </c>
      <c r="N513" s="81" t="s">
        <v>41</v>
      </c>
    </row>
    <row r="514" spans="1:14" ht="21.75" customHeight="1" x14ac:dyDescent="0.25">
      <c r="A514" s="78">
        <v>4153</v>
      </c>
      <c r="B514" s="79">
        <v>45471</v>
      </c>
      <c r="C514" s="80" t="s">
        <v>41</v>
      </c>
      <c r="D514" s="80" t="s">
        <v>95</v>
      </c>
      <c r="E514" s="80" t="s">
        <v>41</v>
      </c>
      <c r="F514" s="81">
        <v>5</v>
      </c>
      <c r="G514" s="81" t="s">
        <v>41</v>
      </c>
      <c r="H514" s="82">
        <v>45475</v>
      </c>
      <c r="I514" s="81">
        <v>5</v>
      </c>
      <c r="J514" s="82">
        <v>45481</v>
      </c>
      <c r="K514" s="81" t="s">
        <v>3</v>
      </c>
      <c r="L514" s="81" t="s">
        <v>41</v>
      </c>
      <c r="M514" s="81" t="s">
        <v>41</v>
      </c>
      <c r="N514" s="81" t="s">
        <v>41</v>
      </c>
    </row>
    <row r="515" spans="1:14" ht="21.75" customHeight="1" x14ac:dyDescent="0.25">
      <c r="A515" s="78">
        <v>3661</v>
      </c>
      <c r="B515" s="79">
        <v>45471</v>
      </c>
      <c r="C515" s="80" t="s">
        <v>41</v>
      </c>
      <c r="D515" s="80" t="s">
        <v>95</v>
      </c>
      <c r="E515" s="80" t="s">
        <v>41</v>
      </c>
      <c r="F515" s="81">
        <v>5</v>
      </c>
      <c r="G515" s="81" t="s">
        <v>41</v>
      </c>
      <c r="H515" s="82">
        <v>45475</v>
      </c>
      <c r="I515" s="81">
        <v>5</v>
      </c>
      <c r="J515" s="82">
        <v>45481</v>
      </c>
      <c r="K515" s="81" t="s">
        <v>41</v>
      </c>
      <c r="L515" s="81" t="s">
        <v>41</v>
      </c>
      <c r="M515" s="81" t="s">
        <v>41</v>
      </c>
      <c r="N515" s="81" t="s">
        <v>4</v>
      </c>
    </row>
    <row r="516" spans="1:14" ht="21.75" customHeight="1" x14ac:dyDescent="0.25">
      <c r="A516" s="78">
        <v>1168</v>
      </c>
      <c r="B516" s="79">
        <v>45471</v>
      </c>
      <c r="C516" s="80" t="s">
        <v>41</v>
      </c>
      <c r="D516" s="80" t="s">
        <v>95</v>
      </c>
      <c r="E516" s="80" t="s">
        <v>41</v>
      </c>
      <c r="F516" s="81">
        <v>5</v>
      </c>
      <c r="G516" s="81" t="s">
        <v>41</v>
      </c>
      <c r="H516" s="82">
        <v>45475</v>
      </c>
      <c r="I516" s="81">
        <v>5</v>
      </c>
      <c r="J516" s="82">
        <v>45479</v>
      </c>
      <c r="K516" s="81" t="s">
        <v>41</v>
      </c>
      <c r="L516" s="81" t="s">
        <v>5</v>
      </c>
      <c r="M516" s="81" t="s">
        <v>1</v>
      </c>
      <c r="N516" s="81" t="s">
        <v>4</v>
      </c>
    </row>
    <row r="517" spans="1:14" ht="21.75" customHeight="1" x14ac:dyDescent="0.25">
      <c r="A517" s="78">
        <v>2745</v>
      </c>
      <c r="B517" s="79">
        <v>45472</v>
      </c>
      <c r="C517" s="80" t="s">
        <v>41</v>
      </c>
      <c r="D517" s="80" t="s">
        <v>44</v>
      </c>
      <c r="E517" s="80" t="s">
        <v>41</v>
      </c>
      <c r="F517" s="81">
        <v>5</v>
      </c>
      <c r="G517" s="81" t="s">
        <v>41</v>
      </c>
      <c r="H517" s="82">
        <v>45476</v>
      </c>
      <c r="I517" s="81">
        <v>3</v>
      </c>
      <c r="J517" s="82">
        <v>45480</v>
      </c>
      <c r="K517" s="81" t="s">
        <v>3</v>
      </c>
      <c r="L517" s="81" t="s">
        <v>5</v>
      </c>
      <c r="M517" s="81" t="s">
        <v>41</v>
      </c>
      <c r="N517" s="81" t="s">
        <v>4</v>
      </c>
    </row>
    <row r="518" spans="1:14" ht="21.75" customHeight="1" x14ac:dyDescent="0.25">
      <c r="A518" s="78">
        <v>3482</v>
      </c>
      <c r="B518" s="79">
        <v>45474</v>
      </c>
      <c r="C518" s="80" t="s">
        <v>41</v>
      </c>
      <c r="D518" s="80" t="s">
        <v>44</v>
      </c>
      <c r="E518" s="80" t="s">
        <v>41</v>
      </c>
      <c r="F518" s="81">
        <v>5</v>
      </c>
      <c r="G518" s="81" t="s">
        <v>41</v>
      </c>
      <c r="H518" s="82">
        <v>45478</v>
      </c>
      <c r="I518" s="81">
        <v>3</v>
      </c>
      <c r="J518" s="82">
        <v>45482</v>
      </c>
      <c r="K518" s="81" t="s">
        <v>41</v>
      </c>
      <c r="L518" s="81" t="s">
        <v>5</v>
      </c>
      <c r="M518" s="81" t="s">
        <v>41</v>
      </c>
      <c r="N518" s="81" t="s">
        <v>4</v>
      </c>
    </row>
    <row r="519" spans="1:14" ht="21.75" customHeight="1" x14ac:dyDescent="0.25">
      <c r="A519" s="78">
        <v>118</v>
      </c>
      <c r="B519" s="79">
        <v>45474</v>
      </c>
      <c r="C519" s="80" t="s">
        <v>41</v>
      </c>
      <c r="D519" s="80" t="s">
        <v>44</v>
      </c>
      <c r="E519" s="80" t="s">
        <v>41</v>
      </c>
      <c r="F519" s="81">
        <v>5</v>
      </c>
      <c r="G519" s="81" t="s">
        <v>41</v>
      </c>
      <c r="H519" s="82">
        <v>45478</v>
      </c>
      <c r="I519" s="81">
        <v>3</v>
      </c>
      <c r="J519" s="82">
        <v>45482</v>
      </c>
      <c r="K519" s="81" t="s">
        <v>3</v>
      </c>
      <c r="L519" s="81" t="s">
        <v>5</v>
      </c>
      <c r="M519" s="81" t="s">
        <v>1</v>
      </c>
      <c r="N519" s="81" t="s">
        <v>41</v>
      </c>
    </row>
    <row r="520" spans="1:14" ht="21.75" customHeight="1" x14ac:dyDescent="0.25">
      <c r="A520" s="78">
        <v>3621</v>
      </c>
      <c r="B520" s="79">
        <v>45474</v>
      </c>
      <c r="C520" s="80" t="s">
        <v>41</v>
      </c>
      <c r="D520" s="80" t="s">
        <v>44</v>
      </c>
      <c r="E520" s="80" t="s">
        <v>41</v>
      </c>
      <c r="F520" s="81">
        <v>5</v>
      </c>
      <c r="G520" s="81" t="s">
        <v>41</v>
      </c>
      <c r="H520" s="82">
        <v>45478</v>
      </c>
      <c r="I520" s="81">
        <v>3</v>
      </c>
      <c r="J520" s="82">
        <v>45482</v>
      </c>
      <c r="K520" s="81" t="s">
        <v>41</v>
      </c>
      <c r="L520" s="81" t="s">
        <v>41</v>
      </c>
      <c r="M520" s="81" t="s">
        <v>1</v>
      </c>
      <c r="N520" s="81" t="s">
        <v>41</v>
      </c>
    </row>
    <row r="521" spans="1:14" ht="21.75" customHeight="1" x14ac:dyDescent="0.25">
      <c r="A521" s="78">
        <v>2740</v>
      </c>
      <c r="B521" s="79">
        <v>45474</v>
      </c>
      <c r="C521" s="80" t="s">
        <v>41</v>
      </c>
      <c r="D521" s="80" t="s">
        <v>44</v>
      </c>
      <c r="E521" s="80" t="s">
        <v>41</v>
      </c>
      <c r="F521" s="81">
        <v>5</v>
      </c>
      <c r="G521" s="81" t="s">
        <v>41</v>
      </c>
      <c r="H521" s="82">
        <v>45478</v>
      </c>
      <c r="I521" s="81">
        <v>3</v>
      </c>
      <c r="J521" s="82">
        <v>45482</v>
      </c>
      <c r="K521" s="81" t="s">
        <v>41</v>
      </c>
      <c r="L521" s="81" t="s">
        <v>5</v>
      </c>
      <c r="M521" s="81" t="s">
        <v>41</v>
      </c>
      <c r="N521" s="81" t="s">
        <v>4</v>
      </c>
    </row>
    <row r="522" spans="1:14" ht="21.75" customHeight="1" x14ac:dyDescent="0.25">
      <c r="A522" s="78">
        <v>1216</v>
      </c>
      <c r="B522" s="79">
        <v>45474</v>
      </c>
      <c r="C522" s="80" t="s">
        <v>41</v>
      </c>
      <c r="D522" s="80" t="s">
        <v>44</v>
      </c>
      <c r="E522" s="80" t="s">
        <v>41</v>
      </c>
      <c r="F522" s="81">
        <v>5</v>
      </c>
      <c r="G522" s="81" t="s">
        <v>41</v>
      </c>
      <c r="H522" s="82">
        <v>45478</v>
      </c>
      <c r="I522" s="81">
        <v>3</v>
      </c>
      <c r="J522" s="82">
        <v>45482</v>
      </c>
      <c r="K522" s="81" t="s">
        <v>41</v>
      </c>
      <c r="L522" s="81" t="s">
        <v>5</v>
      </c>
      <c r="M522" s="81" t="s">
        <v>1</v>
      </c>
      <c r="N522" s="81" t="s">
        <v>41</v>
      </c>
    </row>
    <row r="523" spans="1:14" ht="21.75" customHeight="1" x14ac:dyDescent="0.25">
      <c r="A523" s="78">
        <v>2984</v>
      </c>
      <c r="B523" s="79">
        <v>45474</v>
      </c>
      <c r="C523" s="80" t="s">
        <v>41</v>
      </c>
      <c r="D523" s="80" t="s">
        <v>44</v>
      </c>
      <c r="E523" s="80" t="s">
        <v>41</v>
      </c>
      <c r="F523" s="81">
        <v>5</v>
      </c>
      <c r="G523" s="81" t="s">
        <v>41</v>
      </c>
      <c r="H523" s="82">
        <v>45478</v>
      </c>
      <c r="I523" s="81">
        <v>3</v>
      </c>
      <c r="J523" s="82">
        <v>45482</v>
      </c>
      <c r="K523" s="81" t="s">
        <v>41</v>
      </c>
      <c r="L523" s="81" t="s">
        <v>41</v>
      </c>
      <c r="M523" s="81" t="s">
        <v>1</v>
      </c>
      <c r="N523" s="81" t="s">
        <v>41</v>
      </c>
    </row>
    <row r="524" spans="1:14" ht="21.75" customHeight="1" x14ac:dyDescent="0.25">
      <c r="A524" s="78">
        <v>3455</v>
      </c>
      <c r="B524" s="79">
        <v>45476</v>
      </c>
      <c r="C524" s="80" t="s">
        <v>41</v>
      </c>
      <c r="D524" s="80" t="s">
        <v>44</v>
      </c>
      <c r="E524" s="80" t="s">
        <v>41</v>
      </c>
      <c r="F524" s="81">
        <v>5</v>
      </c>
      <c r="G524" s="81" t="s">
        <v>41</v>
      </c>
      <c r="H524" s="82">
        <v>45480</v>
      </c>
      <c r="I524" s="81">
        <v>3</v>
      </c>
      <c r="J524" s="82">
        <v>45484</v>
      </c>
      <c r="K524" s="81" t="s">
        <v>41</v>
      </c>
      <c r="L524" s="81" t="s">
        <v>41</v>
      </c>
      <c r="M524" s="81" t="s">
        <v>41</v>
      </c>
      <c r="N524" s="81" t="s">
        <v>4</v>
      </c>
    </row>
    <row r="525" spans="1:14" ht="21.75" customHeight="1" x14ac:dyDescent="0.25">
      <c r="A525" s="78">
        <v>2225</v>
      </c>
      <c r="B525" s="79">
        <v>45476</v>
      </c>
      <c r="C525" s="80" t="s">
        <v>41</v>
      </c>
      <c r="D525" s="80" t="s">
        <v>44</v>
      </c>
      <c r="E525" s="80" t="s">
        <v>41</v>
      </c>
      <c r="F525" s="81">
        <v>5</v>
      </c>
      <c r="G525" s="81" t="s">
        <v>41</v>
      </c>
      <c r="H525" s="82">
        <v>45480</v>
      </c>
      <c r="I525" s="81">
        <v>3</v>
      </c>
      <c r="J525" s="82">
        <v>45484</v>
      </c>
      <c r="K525" s="81" t="s">
        <v>3</v>
      </c>
      <c r="L525" s="81" t="s">
        <v>41</v>
      </c>
      <c r="M525" s="81" t="s">
        <v>41</v>
      </c>
      <c r="N525" s="81" t="s">
        <v>4</v>
      </c>
    </row>
    <row r="526" spans="1:14" ht="21.75" customHeight="1" x14ac:dyDescent="0.25">
      <c r="A526" s="78">
        <v>2791</v>
      </c>
      <c r="B526" s="79">
        <v>45476</v>
      </c>
      <c r="C526" s="80" t="s">
        <v>41</v>
      </c>
      <c r="D526" s="80" t="s">
        <v>44</v>
      </c>
      <c r="E526" s="80" t="s">
        <v>41</v>
      </c>
      <c r="F526" s="81">
        <v>5</v>
      </c>
      <c r="G526" s="81" t="s">
        <v>41</v>
      </c>
      <c r="H526" s="82">
        <v>45480</v>
      </c>
      <c r="I526" s="81">
        <v>3</v>
      </c>
      <c r="J526" s="82">
        <v>45484</v>
      </c>
      <c r="K526" s="81" t="s">
        <v>41</v>
      </c>
      <c r="L526" s="81" t="s">
        <v>41</v>
      </c>
      <c r="M526" s="81" t="s">
        <v>41</v>
      </c>
      <c r="N526" s="81" t="s">
        <v>4</v>
      </c>
    </row>
    <row r="527" spans="1:14" ht="21.75" customHeight="1" x14ac:dyDescent="0.25">
      <c r="A527" s="78">
        <v>3113</v>
      </c>
      <c r="B527" s="79">
        <v>45476</v>
      </c>
      <c r="C527" s="80" t="s">
        <v>41</v>
      </c>
      <c r="D527" s="80" t="s">
        <v>22</v>
      </c>
      <c r="E527" s="80" t="s">
        <v>41</v>
      </c>
      <c r="F527" s="81">
        <v>5</v>
      </c>
      <c r="G527" s="81" t="s">
        <v>41</v>
      </c>
      <c r="H527" s="82">
        <v>45480</v>
      </c>
      <c r="I527" s="81">
        <v>3</v>
      </c>
      <c r="J527" s="82">
        <v>45484</v>
      </c>
      <c r="K527" s="81" t="s">
        <v>41</v>
      </c>
      <c r="L527" s="81" t="s">
        <v>41</v>
      </c>
      <c r="M527" s="81" t="s">
        <v>41</v>
      </c>
      <c r="N527" s="81" t="s">
        <v>4</v>
      </c>
    </row>
    <row r="528" spans="1:14" ht="21.75" customHeight="1" x14ac:dyDescent="0.25">
      <c r="A528" s="78">
        <v>3562</v>
      </c>
      <c r="B528" s="79">
        <v>45476</v>
      </c>
      <c r="C528" s="80" t="s">
        <v>41</v>
      </c>
      <c r="D528" s="80" t="s">
        <v>22</v>
      </c>
      <c r="E528" s="80" t="s">
        <v>41</v>
      </c>
      <c r="F528" s="81">
        <v>5</v>
      </c>
      <c r="G528" s="81" t="s">
        <v>41</v>
      </c>
      <c r="H528" s="82">
        <v>45480</v>
      </c>
      <c r="I528" s="81">
        <v>3</v>
      </c>
      <c r="J528" s="82">
        <v>45484</v>
      </c>
      <c r="K528" s="81" t="s">
        <v>41</v>
      </c>
      <c r="L528" s="81" t="s">
        <v>5</v>
      </c>
      <c r="M528" s="81" t="s">
        <v>41</v>
      </c>
      <c r="N528" s="81" t="s">
        <v>4</v>
      </c>
    </row>
    <row r="529" spans="1:14" ht="21.75" customHeight="1" x14ac:dyDescent="0.25">
      <c r="A529" s="78">
        <v>3387</v>
      </c>
      <c r="B529" s="79">
        <v>45476</v>
      </c>
      <c r="C529" s="80" t="s">
        <v>41</v>
      </c>
      <c r="D529" s="80" t="s">
        <v>22</v>
      </c>
      <c r="E529" s="80" t="s">
        <v>41</v>
      </c>
      <c r="F529" s="81">
        <v>5</v>
      </c>
      <c r="G529" s="81" t="s">
        <v>41</v>
      </c>
      <c r="H529" s="82">
        <v>45480</v>
      </c>
      <c r="I529" s="81">
        <v>3</v>
      </c>
      <c r="J529" s="82">
        <v>45484</v>
      </c>
      <c r="K529" s="81" t="s">
        <v>41</v>
      </c>
      <c r="L529" s="81" t="s">
        <v>41</v>
      </c>
      <c r="M529" s="81" t="s">
        <v>41</v>
      </c>
      <c r="N529" s="81" t="s">
        <v>4</v>
      </c>
    </row>
    <row r="530" spans="1:14" ht="21.75" customHeight="1" x14ac:dyDescent="0.25">
      <c r="A530" s="78">
        <v>2483</v>
      </c>
      <c r="B530" s="79">
        <v>45476</v>
      </c>
      <c r="C530" s="80" t="s">
        <v>41</v>
      </c>
      <c r="D530" s="80" t="s">
        <v>22</v>
      </c>
      <c r="E530" s="80" t="s">
        <v>41</v>
      </c>
      <c r="F530" s="81">
        <v>5</v>
      </c>
      <c r="G530" s="81" t="s">
        <v>41</v>
      </c>
      <c r="H530" s="82">
        <v>45480</v>
      </c>
      <c r="I530" s="81">
        <v>3</v>
      </c>
      <c r="J530" s="82">
        <v>45490</v>
      </c>
      <c r="K530" s="81" t="s">
        <v>41</v>
      </c>
      <c r="L530" s="81" t="s">
        <v>5</v>
      </c>
      <c r="M530" s="81" t="s">
        <v>41</v>
      </c>
      <c r="N530" s="81" t="s">
        <v>41</v>
      </c>
    </row>
    <row r="531" spans="1:14" ht="21.75" customHeight="1" x14ac:dyDescent="0.25">
      <c r="A531" s="78">
        <v>3155</v>
      </c>
      <c r="B531" s="79">
        <v>45477</v>
      </c>
      <c r="C531" s="80" t="s">
        <v>41</v>
      </c>
      <c r="D531" s="80" t="s">
        <v>40</v>
      </c>
      <c r="E531" s="80" t="s">
        <v>41</v>
      </c>
      <c r="F531" s="81">
        <v>5</v>
      </c>
      <c r="G531" s="81" t="s">
        <v>41</v>
      </c>
      <c r="H531" s="82">
        <v>45481</v>
      </c>
      <c r="I531" s="81">
        <v>9</v>
      </c>
      <c r="J531" s="82">
        <v>45485</v>
      </c>
      <c r="K531" s="81" t="s">
        <v>41</v>
      </c>
      <c r="L531" s="81" t="s">
        <v>41</v>
      </c>
      <c r="M531" s="81" t="s">
        <v>41</v>
      </c>
      <c r="N531" s="81" t="s">
        <v>4</v>
      </c>
    </row>
    <row r="532" spans="1:14" ht="21.75" customHeight="1" x14ac:dyDescent="0.25">
      <c r="A532" s="78">
        <v>2790</v>
      </c>
      <c r="B532" s="79">
        <v>45477</v>
      </c>
      <c r="C532" s="80" t="s">
        <v>41</v>
      </c>
      <c r="D532" s="80" t="s">
        <v>44</v>
      </c>
      <c r="E532" s="80" t="s">
        <v>41</v>
      </c>
      <c r="F532" s="81">
        <v>5</v>
      </c>
      <c r="G532" s="81" t="s">
        <v>41</v>
      </c>
      <c r="H532" s="82">
        <v>45481</v>
      </c>
      <c r="I532" s="81">
        <v>3</v>
      </c>
      <c r="J532" s="82">
        <v>45485</v>
      </c>
      <c r="K532" s="81" t="s">
        <v>3</v>
      </c>
      <c r="L532" s="81" t="s">
        <v>41</v>
      </c>
      <c r="M532" s="81" t="s">
        <v>41</v>
      </c>
      <c r="N532" s="81" t="s">
        <v>41</v>
      </c>
    </row>
    <row r="533" spans="1:14" ht="21.75" customHeight="1" x14ac:dyDescent="0.25">
      <c r="A533" s="78">
        <v>2984</v>
      </c>
      <c r="B533" s="79">
        <v>45477</v>
      </c>
      <c r="C533" s="80" t="s">
        <v>41</v>
      </c>
      <c r="D533" s="80" t="s">
        <v>22</v>
      </c>
      <c r="E533" s="80" t="s">
        <v>41</v>
      </c>
      <c r="F533" s="81">
        <v>5</v>
      </c>
      <c r="G533" s="81" t="s">
        <v>41</v>
      </c>
      <c r="H533" s="82">
        <v>45481</v>
      </c>
      <c r="I533" s="81">
        <v>3</v>
      </c>
      <c r="J533" s="82">
        <v>45485</v>
      </c>
      <c r="K533" s="81" t="s">
        <v>41</v>
      </c>
      <c r="L533" s="81" t="s">
        <v>41</v>
      </c>
      <c r="M533" s="81" t="s">
        <v>1</v>
      </c>
      <c r="N533" s="81" t="s">
        <v>41</v>
      </c>
    </row>
    <row r="534" spans="1:14" ht="21.75" customHeight="1" x14ac:dyDescent="0.25">
      <c r="A534" s="78">
        <v>3621</v>
      </c>
      <c r="B534" s="79">
        <v>45477</v>
      </c>
      <c r="C534" s="80" t="s">
        <v>41</v>
      </c>
      <c r="D534" s="80" t="s">
        <v>44</v>
      </c>
      <c r="E534" s="80" t="s">
        <v>41</v>
      </c>
      <c r="F534" s="81">
        <v>5</v>
      </c>
      <c r="G534" s="81" t="s">
        <v>41</v>
      </c>
      <c r="H534" s="82">
        <v>45481</v>
      </c>
      <c r="I534" s="81">
        <v>3</v>
      </c>
      <c r="J534" s="82">
        <v>45485</v>
      </c>
      <c r="K534" s="81" t="s">
        <v>41</v>
      </c>
      <c r="L534" s="81" t="s">
        <v>41</v>
      </c>
      <c r="M534" s="81" t="s">
        <v>1</v>
      </c>
      <c r="N534" s="81" t="s">
        <v>41</v>
      </c>
    </row>
    <row r="535" spans="1:14" ht="21.75" customHeight="1" x14ac:dyDescent="0.25">
      <c r="A535" s="78">
        <v>3482</v>
      </c>
      <c r="B535" s="79">
        <v>45478</v>
      </c>
      <c r="C535" s="80" t="s">
        <v>41</v>
      </c>
      <c r="D535" s="80" t="s">
        <v>22</v>
      </c>
      <c r="E535" s="80" t="s">
        <v>41</v>
      </c>
      <c r="F535" s="81">
        <v>5</v>
      </c>
      <c r="G535" s="81" t="s">
        <v>41</v>
      </c>
      <c r="H535" s="82">
        <v>45482</v>
      </c>
      <c r="I535" s="81">
        <v>3</v>
      </c>
      <c r="J535" s="82">
        <v>45486</v>
      </c>
      <c r="K535" s="81" t="s">
        <v>41</v>
      </c>
      <c r="L535" s="81" t="s">
        <v>5</v>
      </c>
      <c r="M535" s="81" t="s">
        <v>41</v>
      </c>
      <c r="N535" s="81" t="s">
        <v>4</v>
      </c>
    </row>
    <row r="536" spans="1:14" ht="21.75" customHeight="1" x14ac:dyDescent="0.25">
      <c r="A536" s="78">
        <v>3264</v>
      </c>
      <c r="B536" s="79">
        <v>45478</v>
      </c>
      <c r="C536" s="80" t="s">
        <v>41</v>
      </c>
      <c r="D536" s="80" t="s">
        <v>22</v>
      </c>
      <c r="E536" s="80" t="s">
        <v>41</v>
      </c>
      <c r="F536" s="81">
        <v>5</v>
      </c>
      <c r="G536" s="81" t="s">
        <v>41</v>
      </c>
      <c r="H536" s="82">
        <v>45482</v>
      </c>
      <c r="I536" s="81">
        <v>3</v>
      </c>
      <c r="J536" s="82">
        <v>45488</v>
      </c>
      <c r="K536" s="81" t="s">
        <v>3</v>
      </c>
      <c r="L536" s="81" t="s">
        <v>41</v>
      </c>
      <c r="M536" s="81" t="s">
        <v>41</v>
      </c>
      <c r="N536" s="81" t="s">
        <v>41</v>
      </c>
    </row>
    <row r="537" spans="1:14" ht="21.75" customHeight="1" x14ac:dyDescent="0.25">
      <c r="A537" s="78">
        <v>3568</v>
      </c>
      <c r="B537" s="79">
        <v>45478</v>
      </c>
      <c r="C537" s="80" t="s">
        <v>41</v>
      </c>
      <c r="D537" s="80" t="s">
        <v>95</v>
      </c>
      <c r="E537" s="80" t="s">
        <v>41</v>
      </c>
      <c r="F537" s="81">
        <v>5</v>
      </c>
      <c r="G537" s="81" t="s">
        <v>41</v>
      </c>
      <c r="H537" s="82">
        <v>45482</v>
      </c>
      <c r="I537" s="81">
        <v>5</v>
      </c>
      <c r="J537" s="82">
        <v>45486</v>
      </c>
      <c r="K537" s="81" t="s">
        <v>3</v>
      </c>
      <c r="L537" s="81" t="s">
        <v>5</v>
      </c>
      <c r="M537" s="81" t="s">
        <v>41</v>
      </c>
      <c r="N537" s="81" t="s">
        <v>41</v>
      </c>
    </row>
    <row r="538" spans="1:14" ht="21.75" customHeight="1" x14ac:dyDescent="0.25">
      <c r="A538" s="78">
        <v>4056</v>
      </c>
      <c r="B538" s="79">
        <v>45479</v>
      </c>
      <c r="C538" s="80" t="s">
        <v>41</v>
      </c>
      <c r="D538" s="80" t="s">
        <v>44</v>
      </c>
      <c r="E538" s="80" t="s">
        <v>41</v>
      </c>
      <c r="F538" s="81">
        <v>5</v>
      </c>
      <c r="G538" s="81" t="s">
        <v>41</v>
      </c>
      <c r="H538" s="82">
        <v>45483</v>
      </c>
      <c r="I538" s="81">
        <v>3</v>
      </c>
      <c r="J538" s="82">
        <v>45487</v>
      </c>
      <c r="K538" s="81" t="s">
        <v>41</v>
      </c>
      <c r="L538" s="81" t="s">
        <v>5</v>
      </c>
      <c r="M538" s="81" t="s">
        <v>1</v>
      </c>
      <c r="N538" s="81" t="s">
        <v>4</v>
      </c>
    </row>
    <row r="539" spans="1:14" ht="21.75" customHeight="1" x14ac:dyDescent="0.25">
      <c r="A539" s="78">
        <v>3216</v>
      </c>
      <c r="B539" s="79">
        <v>45479</v>
      </c>
      <c r="C539" s="80" t="s">
        <v>41</v>
      </c>
      <c r="D539" s="80" t="s">
        <v>44</v>
      </c>
      <c r="E539" s="80" t="s">
        <v>41</v>
      </c>
      <c r="F539" s="81">
        <v>5</v>
      </c>
      <c r="G539" s="81" t="s">
        <v>41</v>
      </c>
      <c r="H539" s="82">
        <v>45483</v>
      </c>
      <c r="I539" s="81">
        <v>3</v>
      </c>
      <c r="J539" s="82">
        <v>45487</v>
      </c>
      <c r="K539" s="81" t="s">
        <v>3</v>
      </c>
      <c r="L539" s="81" t="s">
        <v>5</v>
      </c>
      <c r="M539" s="81" t="s">
        <v>41</v>
      </c>
      <c r="N539" s="81" t="s">
        <v>41</v>
      </c>
    </row>
    <row r="540" spans="1:14" ht="21.75" customHeight="1" x14ac:dyDescent="0.25">
      <c r="A540" s="78">
        <v>2928</v>
      </c>
      <c r="B540" s="79">
        <v>45479</v>
      </c>
      <c r="C540" s="80" t="s">
        <v>41</v>
      </c>
      <c r="D540" s="80" t="s">
        <v>44</v>
      </c>
      <c r="E540" s="80" t="s">
        <v>41</v>
      </c>
      <c r="F540" s="81">
        <v>5</v>
      </c>
      <c r="G540" s="81" t="s">
        <v>41</v>
      </c>
      <c r="H540" s="82">
        <v>45483</v>
      </c>
      <c r="I540" s="81">
        <v>3</v>
      </c>
      <c r="J540" s="82">
        <v>45487</v>
      </c>
      <c r="K540" s="81" t="s">
        <v>41</v>
      </c>
      <c r="L540" s="81" t="s">
        <v>5</v>
      </c>
      <c r="M540" s="81" t="s">
        <v>41</v>
      </c>
      <c r="N540" s="81" t="s">
        <v>41</v>
      </c>
    </row>
    <row r="541" spans="1:14" ht="21.75" customHeight="1" x14ac:dyDescent="0.25">
      <c r="A541" s="78">
        <v>3323</v>
      </c>
      <c r="B541" s="79">
        <v>45479</v>
      </c>
      <c r="C541" s="80" t="s">
        <v>41</v>
      </c>
      <c r="D541" s="80" t="s">
        <v>22</v>
      </c>
      <c r="E541" s="80" t="s">
        <v>41</v>
      </c>
      <c r="F541" s="81">
        <v>5</v>
      </c>
      <c r="G541" s="81" t="s">
        <v>41</v>
      </c>
      <c r="H541" s="82">
        <v>45483</v>
      </c>
      <c r="I541" s="81">
        <v>3</v>
      </c>
      <c r="J541" s="82">
        <v>45489</v>
      </c>
      <c r="K541" s="81" t="s">
        <v>3</v>
      </c>
      <c r="L541" s="81" t="s">
        <v>5</v>
      </c>
      <c r="M541" s="81" t="s">
        <v>1</v>
      </c>
      <c r="N541" s="81" t="s">
        <v>4</v>
      </c>
    </row>
    <row r="542" spans="1:14" ht="21.75" customHeight="1" x14ac:dyDescent="0.25">
      <c r="A542" s="78">
        <v>2139</v>
      </c>
      <c r="B542" s="79">
        <v>45479</v>
      </c>
      <c r="C542" s="80" t="s">
        <v>41</v>
      </c>
      <c r="D542" s="80" t="s">
        <v>95</v>
      </c>
      <c r="E542" s="80" t="s">
        <v>41</v>
      </c>
      <c r="F542" s="81">
        <v>5</v>
      </c>
      <c r="G542" s="81" t="s">
        <v>41</v>
      </c>
      <c r="H542" s="82">
        <v>45483</v>
      </c>
      <c r="I542" s="81">
        <v>5</v>
      </c>
      <c r="J542" s="82">
        <v>45489</v>
      </c>
      <c r="K542" s="81" t="s">
        <v>41</v>
      </c>
      <c r="L542" s="81" t="s">
        <v>5</v>
      </c>
      <c r="M542" s="81" t="s">
        <v>41</v>
      </c>
      <c r="N542" s="81" t="s">
        <v>41</v>
      </c>
    </row>
    <row r="543" spans="1:14" ht="21.75" customHeight="1" x14ac:dyDescent="0.25">
      <c r="A543" s="78">
        <v>4089</v>
      </c>
      <c r="B543" s="79">
        <v>45479</v>
      </c>
      <c r="C543" s="80" t="s">
        <v>41</v>
      </c>
      <c r="D543" s="80" t="s">
        <v>95</v>
      </c>
      <c r="E543" s="80" t="s">
        <v>41</v>
      </c>
      <c r="F543" s="81">
        <v>5</v>
      </c>
      <c r="G543" s="81" t="s">
        <v>41</v>
      </c>
      <c r="H543" s="82">
        <v>45483</v>
      </c>
      <c r="I543" s="81">
        <v>5</v>
      </c>
      <c r="J543" s="82">
        <v>45487</v>
      </c>
      <c r="K543" s="81" t="s">
        <v>3</v>
      </c>
      <c r="L543" s="81" t="s">
        <v>41</v>
      </c>
      <c r="M543" s="81" t="s">
        <v>41</v>
      </c>
      <c r="N543" s="81" t="s">
        <v>41</v>
      </c>
    </row>
    <row r="544" spans="1:14" ht="21.75" customHeight="1" x14ac:dyDescent="0.25">
      <c r="A544" s="78">
        <v>3232</v>
      </c>
      <c r="B544" s="79">
        <v>45480</v>
      </c>
      <c r="C544" s="80" t="s">
        <v>41</v>
      </c>
      <c r="D544" s="80" t="s">
        <v>44</v>
      </c>
      <c r="E544" s="80" t="s">
        <v>41</v>
      </c>
      <c r="F544" s="81">
        <v>5</v>
      </c>
      <c r="G544" s="81" t="s">
        <v>41</v>
      </c>
      <c r="H544" s="82">
        <v>45484</v>
      </c>
      <c r="I544" s="81">
        <v>3</v>
      </c>
      <c r="J544" s="82">
        <v>45488</v>
      </c>
      <c r="K544" s="81" t="s">
        <v>41</v>
      </c>
      <c r="L544" s="81" t="s">
        <v>41</v>
      </c>
      <c r="M544" s="81" t="s">
        <v>41</v>
      </c>
      <c r="N544" s="81" t="s">
        <v>4</v>
      </c>
    </row>
    <row r="545" spans="1:14" ht="21.75" customHeight="1" x14ac:dyDescent="0.25">
      <c r="A545" s="78">
        <v>1984</v>
      </c>
      <c r="B545" s="79">
        <v>45480</v>
      </c>
      <c r="C545" s="80" t="s">
        <v>41</v>
      </c>
      <c r="D545" s="80" t="s">
        <v>44</v>
      </c>
      <c r="E545" s="80" t="s">
        <v>41</v>
      </c>
      <c r="F545" s="81">
        <v>5</v>
      </c>
      <c r="G545" s="81" t="s">
        <v>41</v>
      </c>
      <c r="H545" s="82">
        <v>45484</v>
      </c>
      <c r="I545" s="81">
        <v>3</v>
      </c>
      <c r="J545" s="82">
        <v>45488</v>
      </c>
      <c r="K545" s="81" t="s">
        <v>41</v>
      </c>
      <c r="L545" s="81" t="s">
        <v>41</v>
      </c>
      <c r="M545" s="81" t="s">
        <v>1</v>
      </c>
      <c r="N545" s="81" t="s">
        <v>41</v>
      </c>
    </row>
    <row r="546" spans="1:14" ht="21.75" customHeight="1" x14ac:dyDescent="0.25">
      <c r="A546" s="78">
        <v>1180</v>
      </c>
      <c r="B546" s="79">
        <v>45481</v>
      </c>
      <c r="C546" s="80" t="s">
        <v>41</v>
      </c>
      <c r="D546" s="80" t="s">
        <v>44</v>
      </c>
      <c r="E546" s="80" t="s">
        <v>41</v>
      </c>
      <c r="F546" s="81">
        <v>5</v>
      </c>
      <c r="G546" s="81" t="s">
        <v>41</v>
      </c>
      <c r="H546" s="82">
        <v>45485</v>
      </c>
      <c r="I546" s="81">
        <v>3</v>
      </c>
      <c r="J546" s="82">
        <v>45495</v>
      </c>
      <c r="K546" s="81" t="s">
        <v>41</v>
      </c>
      <c r="L546" s="81" t="s">
        <v>41</v>
      </c>
      <c r="M546" s="81" t="s">
        <v>41</v>
      </c>
      <c r="N546" s="81" t="s">
        <v>4</v>
      </c>
    </row>
    <row r="547" spans="1:14" ht="21.75" customHeight="1" x14ac:dyDescent="0.25">
      <c r="A547" s="78">
        <v>186</v>
      </c>
      <c r="B547" s="79">
        <v>45481</v>
      </c>
      <c r="C547" s="80" t="s">
        <v>41</v>
      </c>
      <c r="D547" s="80" t="s">
        <v>40</v>
      </c>
      <c r="E547" s="80" t="s">
        <v>41</v>
      </c>
      <c r="F547" s="81">
        <v>5</v>
      </c>
      <c r="G547" s="81" t="s">
        <v>41</v>
      </c>
      <c r="H547" s="82">
        <v>45485</v>
      </c>
      <c r="I547" s="81">
        <v>9</v>
      </c>
      <c r="J547" s="82">
        <v>45489</v>
      </c>
      <c r="K547" s="81" t="s">
        <v>41</v>
      </c>
      <c r="L547" s="81" t="s">
        <v>5</v>
      </c>
      <c r="M547" s="81" t="s">
        <v>41</v>
      </c>
      <c r="N547" s="81" t="s">
        <v>41</v>
      </c>
    </row>
    <row r="548" spans="1:14" ht="21.75" customHeight="1" x14ac:dyDescent="0.25">
      <c r="A548" s="78">
        <v>2879</v>
      </c>
      <c r="B548" s="79">
        <v>45481</v>
      </c>
      <c r="C548" s="80" t="s">
        <v>41</v>
      </c>
      <c r="D548" s="80" t="s">
        <v>22</v>
      </c>
      <c r="E548" s="80" t="s">
        <v>41</v>
      </c>
      <c r="F548" s="81">
        <v>5</v>
      </c>
      <c r="G548" s="81" t="s">
        <v>41</v>
      </c>
      <c r="H548" s="82">
        <v>45485</v>
      </c>
      <c r="I548" s="81">
        <v>3</v>
      </c>
      <c r="J548" s="82">
        <v>45489</v>
      </c>
      <c r="K548" s="81" t="s">
        <v>41</v>
      </c>
      <c r="L548" s="81" t="s">
        <v>5</v>
      </c>
      <c r="M548" s="81" t="s">
        <v>41</v>
      </c>
      <c r="N548" s="81" t="s">
        <v>41</v>
      </c>
    </row>
    <row r="549" spans="1:14" ht="21.75" customHeight="1" x14ac:dyDescent="0.25">
      <c r="A549" s="78">
        <v>3116</v>
      </c>
      <c r="B549" s="79">
        <v>45481</v>
      </c>
      <c r="C549" s="80" t="s">
        <v>41</v>
      </c>
      <c r="D549" s="80" t="s">
        <v>44</v>
      </c>
      <c r="E549" s="80" t="s">
        <v>41</v>
      </c>
      <c r="F549" s="81">
        <v>5</v>
      </c>
      <c r="G549" s="81" t="s">
        <v>41</v>
      </c>
      <c r="H549" s="82">
        <v>45485</v>
      </c>
      <c r="I549" s="81">
        <v>3</v>
      </c>
      <c r="J549" s="82">
        <v>45489</v>
      </c>
      <c r="K549" s="81" t="s">
        <v>41</v>
      </c>
      <c r="L549" s="81" t="s">
        <v>41</v>
      </c>
      <c r="M549" s="81" t="s">
        <v>41</v>
      </c>
      <c r="N549" s="81" t="s">
        <v>4</v>
      </c>
    </row>
    <row r="550" spans="1:14" ht="21.75" customHeight="1" x14ac:dyDescent="0.25">
      <c r="A550" s="78">
        <v>2511</v>
      </c>
      <c r="B550" s="79">
        <v>45481</v>
      </c>
      <c r="C550" s="80" t="s">
        <v>41</v>
      </c>
      <c r="D550" s="80" t="s">
        <v>22</v>
      </c>
      <c r="E550" s="80" t="s">
        <v>41</v>
      </c>
      <c r="F550" s="81">
        <v>5</v>
      </c>
      <c r="G550" s="81" t="s">
        <v>41</v>
      </c>
      <c r="H550" s="82">
        <v>45485</v>
      </c>
      <c r="I550" s="81">
        <v>3</v>
      </c>
      <c r="J550" s="82">
        <v>45491</v>
      </c>
      <c r="K550" s="81" t="s">
        <v>41</v>
      </c>
      <c r="L550" s="81" t="s">
        <v>5</v>
      </c>
      <c r="M550" s="81" t="s">
        <v>41</v>
      </c>
      <c r="N550" s="81" t="s">
        <v>41</v>
      </c>
    </row>
    <row r="551" spans="1:14" ht="21.75" customHeight="1" x14ac:dyDescent="0.25">
      <c r="A551" s="78">
        <v>2745</v>
      </c>
      <c r="B551" s="79">
        <v>45481</v>
      </c>
      <c r="C551" s="80" t="s">
        <v>41</v>
      </c>
      <c r="D551" s="80" t="s">
        <v>95</v>
      </c>
      <c r="E551" s="80" t="s">
        <v>41</v>
      </c>
      <c r="F551" s="81">
        <v>5</v>
      </c>
      <c r="G551" s="81" t="s">
        <v>41</v>
      </c>
      <c r="H551" s="82">
        <v>45485</v>
      </c>
      <c r="I551" s="81">
        <v>5</v>
      </c>
      <c r="J551" s="82">
        <v>45489</v>
      </c>
      <c r="K551" s="81" t="s">
        <v>3</v>
      </c>
      <c r="L551" s="81" t="s">
        <v>5</v>
      </c>
      <c r="M551" s="81" t="s">
        <v>41</v>
      </c>
      <c r="N551" s="81" t="s">
        <v>4</v>
      </c>
    </row>
    <row r="552" spans="1:14" ht="21.75" customHeight="1" x14ac:dyDescent="0.25">
      <c r="A552" s="78">
        <v>3218</v>
      </c>
      <c r="B552" s="79">
        <v>45481</v>
      </c>
      <c r="C552" s="80" t="s">
        <v>41</v>
      </c>
      <c r="D552" s="80" t="s">
        <v>44</v>
      </c>
      <c r="E552" s="80" t="s">
        <v>41</v>
      </c>
      <c r="F552" s="81">
        <v>5</v>
      </c>
      <c r="G552" s="81" t="s">
        <v>41</v>
      </c>
      <c r="H552" s="82">
        <v>45485</v>
      </c>
      <c r="I552" s="81">
        <v>3</v>
      </c>
      <c r="J552" s="82">
        <v>45489</v>
      </c>
      <c r="K552" s="81" t="s">
        <v>3</v>
      </c>
      <c r="L552" s="81" t="s">
        <v>41</v>
      </c>
      <c r="M552" s="81" t="s">
        <v>41</v>
      </c>
      <c r="N552" s="81" t="s">
        <v>41</v>
      </c>
    </row>
    <row r="553" spans="1:14" ht="21.75" customHeight="1" x14ac:dyDescent="0.25">
      <c r="A553" s="78">
        <v>1659</v>
      </c>
      <c r="B553" s="79">
        <v>45481</v>
      </c>
      <c r="C553" s="80" t="s">
        <v>41</v>
      </c>
      <c r="D553" s="80" t="s">
        <v>44</v>
      </c>
      <c r="E553" s="80" t="s">
        <v>41</v>
      </c>
      <c r="F553" s="81">
        <v>5</v>
      </c>
      <c r="G553" s="81" t="s">
        <v>41</v>
      </c>
      <c r="H553" s="82">
        <v>45485</v>
      </c>
      <c r="I553" s="81">
        <v>3</v>
      </c>
      <c r="J553" s="82">
        <v>45489</v>
      </c>
      <c r="K553" s="81" t="s">
        <v>3</v>
      </c>
      <c r="L553" s="81" t="s">
        <v>41</v>
      </c>
      <c r="M553" s="81" t="s">
        <v>41</v>
      </c>
      <c r="N553" s="81" t="s">
        <v>41</v>
      </c>
    </row>
    <row r="554" spans="1:14" ht="21.75" customHeight="1" x14ac:dyDescent="0.25">
      <c r="A554" s="78">
        <v>3656</v>
      </c>
      <c r="B554" s="79">
        <v>45481</v>
      </c>
      <c r="C554" s="80" t="s">
        <v>41</v>
      </c>
      <c r="D554" s="80" t="s">
        <v>44</v>
      </c>
      <c r="E554" s="80" t="s">
        <v>41</v>
      </c>
      <c r="F554" s="81">
        <v>5</v>
      </c>
      <c r="G554" s="81" t="s">
        <v>41</v>
      </c>
      <c r="H554" s="82">
        <v>45485</v>
      </c>
      <c r="I554" s="81">
        <v>3</v>
      </c>
      <c r="J554" s="82">
        <v>45489</v>
      </c>
      <c r="K554" s="81" t="s">
        <v>3</v>
      </c>
      <c r="L554" s="81" t="s">
        <v>5</v>
      </c>
      <c r="M554" s="81" t="s">
        <v>1</v>
      </c>
      <c r="N554" s="81" t="s">
        <v>4</v>
      </c>
    </row>
    <row r="555" spans="1:14" ht="21.75" customHeight="1" x14ac:dyDescent="0.25">
      <c r="A555" s="78">
        <v>2337</v>
      </c>
      <c r="B555" s="79">
        <v>45481</v>
      </c>
      <c r="C555" s="80" t="s">
        <v>41</v>
      </c>
      <c r="D555" s="80" t="s">
        <v>44</v>
      </c>
      <c r="E555" s="80" t="s">
        <v>41</v>
      </c>
      <c r="F555" s="81">
        <v>5</v>
      </c>
      <c r="G555" s="81" t="s">
        <v>41</v>
      </c>
      <c r="H555" s="82">
        <v>45485</v>
      </c>
      <c r="I555" s="81">
        <v>3</v>
      </c>
      <c r="J555" s="82">
        <v>45489</v>
      </c>
      <c r="K555" s="81" t="s">
        <v>41</v>
      </c>
      <c r="L555" s="81" t="s">
        <v>41</v>
      </c>
      <c r="M555" s="81" t="s">
        <v>1</v>
      </c>
      <c r="N555" s="81" t="s">
        <v>4</v>
      </c>
    </row>
    <row r="556" spans="1:14" ht="21.75" customHeight="1" x14ac:dyDescent="0.25">
      <c r="A556" s="78">
        <v>3980</v>
      </c>
      <c r="B556" s="79">
        <v>45481</v>
      </c>
      <c r="C556" s="80" t="s">
        <v>41</v>
      </c>
      <c r="D556" s="80" t="s">
        <v>44</v>
      </c>
      <c r="E556" s="80" t="s">
        <v>41</v>
      </c>
      <c r="F556" s="81">
        <v>5</v>
      </c>
      <c r="G556" s="81" t="s">
        <v>41</v>
      </c>
      <c r="H556" s="82">
        <v>45485</v>
      </c>
      <c r="I556" s="81">
        <v>3</v>
      </c>
      <c r="J556" s="82">
        <v>45489</v>
      </c>
      <c r="K556" s="81" t="s">
        <v>3</v>
      </c>
      <c r="L556" s="81" t="s">
        <v>41</v>
      </c>
      <c r="M556" s="81" t="s">
        <v>1</v>
      </c>
      <c r="N556" s="81" t="s">
        <v>4</v>
      </c>
    </row>
    <row r="557" spans="1:14" ht="21.75" customHeight="1" x14ac:dyDescent="0.25">
      <c r="A557" s="78">
        <v>3452</v>
      </c>
      <c r="B557" s="79">
        <v>45482</v>
      </c>
      <c r="C557" s="80" t="s">
        <v>41</v>
      </c>
      <c r="D557" s="80" t="s">
        <v>44</v>
      </c>
      <c r="E557" s="80" t="s">
        <v>41</v>
      </c>
      <c r="F557" s="81">
        <v>5</v>
      </c>
      <c r="G557" s="81" t="s">
        <v>41</v>
      </c>
      <c r="H557" s="82">
        <v>45486</v>
      </c>
      <c r="I557" s="81">
        <v>3</v>
      </c>
      <c r="J557" s="82">
        <v>45492</v>
      </c>
      <c r="K557" s="81" t="s">
        <v>3</v>
      </c>
      <c r="L557" s="81" t="s">
        <v>41</v>
      </c>
      <c r="M557" s="81" t="s">
        <v>41</v>
      </c>
      <c r="N557" s="81" t="s">
        <v>41</v>
      </c>
    </row>
    <row r="558" spans="1:14" ht="21.75" customHeight="1" x14ac:dyDescent="0.25">
      <c r="A558" s="78">
        <v>4046</v>
      </c>
      <c r="B558" s="79">
        <v>45482</v>
      </c>
      <c r="C558" s="80" t="s">
        <v>41</v>
      </c>
      <c r="D558" s="80" t="s">
        <v>95</v>
      </c>
      <c r="E558" s="80" t="s">
        <v>41</v>
      </c>
      <c r="F558" s="81">
        <v>5</v>
      </c>
      <c r="G558" s="81" t="s">
        <v>41</v>
      </c>
      <c r="H558" s="82">
        <v>45486</v>
      </c>
      <c r="I558" s="81">
        <v>5</v>
      </c>
      <c r="J558" s="82">
        <v>45492</v>
      </c>
      <c r="K558" s="81" t="s">
        <v>41</v>
      </c>
      <c r="L558" s="81" t="s">
        <v>41</v>
      </c>
      <c r="M558" s="81" t="s">
        <v>41</v>
      </c>
      <c r="N558" s="81" t="s">
        <v>4</v>
      </c>
    </row>
    <row r="559" spans="1:14" ht="21.75" customHeight="1" x14ac:dyDescent="0.25">
      <c r="A559" s="78">
        <v>2668</v>
      </c>
      <c r="B559" s="79">
        <v>45482</v>
      </c>
      <c r="C559" s="80" t="s">
        <v>41</v>
      </c>
      <c r="D559" s="80" t="s">
        <v>95</v>
      </c>
      <c r="E559" s="80" t="s">
        <v>41</v>
      </c>
      <c r="F559" s="81">
        <v>5</v>
      </c>
      <c r="G559" s="81" t="s">
        <v>41</v>
      </c>
      <c r="H559" s="82">
        <v>45486</v>
      </c>
      <c r="I559" s="81">
        <v>5</v>
      </c>
      <c r="J559" s="82">
        <v>45490</v>
      </c>
      <c r="K559" s="81" t="s">
        <v>41</v>
      </c>
      <c r="L559" s="81" t="s">
        <v>5</v>
      </c>
      <c r="M559" s="81" t="s">
        <v>41</v>
      </c>
      <c r="N559" s="81" t="s">
        <v>4</v>
      </c>
    </row>
    <row r="560" spans="1:14" ht="21.75" customHeight="1" x14ac:dyDescent="0.25">
      <c r="A560" s="78">
        <v>2597</v>
      </c>
      <c r="B560" s="79">
        <v>45484</v>
      </c>
      <c r="C560" s="80" t="s">
        <v>41</v>
      </c>
      <c r="D560" s="80" t="s">
        <v>44</v>
      </c>
      <c r="E560" s="80" t="s">
        <v>41</v>
      </c>
      <c r="F560" s="81">
        <v>5</v>
      </c>
      <c r="G560" s="81" t="s">
        <v>41</v>
      </c>
      <c r="H560" s="82">
        <v>45488</v>
      </c>
      <c r="I560" s="81">
        <v>3</v>
      </c>
      <c r="J560" s="82">
        <v>45492</v>
      </c>
      <c r="K560" s="81" t="s">
        <v>3</v>
      </c>
      <c r="L560" s="81" t="s">
        <v>41</v>
      </c>
      <c r="M560" s="81" t="s">
        <v>41</v>
      </c>
      <c r="N560" s="81" t="s">
        <v>41</v>
      </c>
    </row>
    <row r="561" spans="1:14" ht="21.75" customHeight="1" x14ac:dyDescent="0.25">
      <c r="A561" s="78">
        <v>2511</v>
      </c>
      <c r="B561" s="79">
        <v>45484</v>
      </c>
      <c r="C561" s="80" t="s">
        <v>41</v>
      </c>
      <c r="D561" s="80" t="s">
        <v>44</v>
      </c>
      <c r="E561" s="80" t="s">
        <v>41</v>
      </c>
      <c r="F561" s="81">
        <v>5</v>
      </c>
      <c r="G561" s="81" t="s">
        <v>41</v>
      </c>
      <c r="H561" s="82">
        <v>45488</v>
      </c>
      <c r="I561" s="81">
        <v>3</v>
      </c>
      <c r="J561" s="82">
        <v>45492</v>
      </c>
      <c r="K561" s="81" t="s">
        <v>3</v>
      </c>
      <c r="L561" s="81" t="s">
        <v>5</v>
      </c>
      <c r="M561" s="81" t="s">
        <v>41</v>
      </c>
      <c r="N561" s="81" t="s">
        <v>41</v>
      </c>
    </row>
    <row r="562" spans="1:14" ht="21.75" customHeight="1" x14ac:dyDescent="0.25">
      <c r="A562" s="78">
        <v>2928</v>
      </c>
      <c r="B562" s="79">
        <v>45484</v>
      </c>
      <c r="C562" s="80" t="s">
        <v>41</v>
      </c>
      <c r="D562" s="80" t="s">
        <v>44</v>
      </c>
      <c r="E562" s="80" t="s">
        <v>41</v>
      </c>
      <c r="F562" s="81">
        <v>5</v>
      </c>
      <c r="G562" s="81" t="s">
        <v>41</v>
      </c>
      <c r="H562" s="82">
        <v>45488</v>
      </c>
      <c r="I562" s="81">
        <v>3</v>
      </c>
      <c r="J562" s="82">
        <v>45492</v>
      </c>
      <c r="K562" s="81" t="s">
        <v>41</v>
      </c>
      <c r="L562" s="81" t="s">
        <v>5</v>
      </c>
      <c r="M562" s="81" t="s">
        <v>41</v>
      </c>
      <c r="N562" s="81" t="s">
        <v>41</v>
      </c>
    </row>
    <row r="563" spans="1:14" ht="21.75" customHeight="1" x14ac:dyDescent="0.25">
      <c r="A563" s="78">
        <v>2225</v>
      </c>
      <c r="B563" s="79">
        <v>45484</v>
      </c>
      <c r="C563" s="80" t="s">
        <v>41</v>
      </c>
      <c r="D563" s="80" t="s">
        <v>44</v>
      </c>
      <c r="E563" s="80" t="s">
        <v>41</v>
      </c>
      <c r="F563" s="81">
        <v>5</v>
      </c>
      <c r="G563" s="81" t="s">
        <v>41</v>
      </c>
      <c r="H563" s="82">
        <v>45488</v>
      </c>
      <c r="I563" s="81">
        <v>3</v>
      </c>
      <c r="J563" s="82">
        <v>45492</v>
      </c>
      <c r="K563" s="81" t="s">
        <v>41</v>
      </c>
      <c r="L563" s="81" t="s">
        <v>41</v>
      </c>
      <c r="M563" s="81" t="s">
        <v>41</v>
      </c>
      <c r="N563" s="81" t="s">
        <v>4</v>
      </c>
    </row>
    <row r="564" spans="1:14" ht="21.75" customHeight="1" x14ac:dyDescent="0.25">
      <c r="A564" s="78">
        <v>2740</v>
      </c>
      <c r="B564" s="79">
        <v>45484</v>
      </c>
      <c r="C564" s="80" t="s">
        <v>41</v>
      </c>
      <c r="D564" s="80" t="s">
        <v>44</v>
      </c>
      <c r="E564" s="80" t="s">
        <v>41</v>
      </c>
      <c r="F564" s="81">
        <v>5</v>
      </c>
      <c r="G564" s="81" t="s">
        <v>41</v>
      </c>
      <c r="H564" s="82">
        <v>45488</v>
      </c>
      <c r="I564" s="81">
        <v>3</v>
      </c>
      <c r="J564" s="82">
        <v>45492</v>
      </c>
      <c r="K564" s="81" t="s">
        <v>41</v>
      </c>
      <c r="L564" s="81" t="s">
        <v>41</v>
      </c>
      <c r="M564" s="81" t="s">
        <v>41</v>
      </c>
      <c r="N564" s="81" t="s">
        <v>4</v>
      </c>
    </row>
    <row r="565" spans="1:14" ht="21.75" customHeight="1" x14ac:dyDescent="0.25">
      <c r="A565" s="78">
        <v>3155</v>
      </c>
      <c r="B565" s="79">
        <v>45484</v>
      </c>
      <c r="C565" s="80" t="s">
        <v>41</v>
      </c>
      <c r="D565" s="80" t="s">
        <v>22</v>
      </c>
      <c r="E565" s="80" t="s">
        <v>41</v>
      </c>
      <c r="F565" s="81">
        <v>5</v>
      </c>
      <c r="G565" s="81" t="s">
        <v>41</v>
      </c>
      <c r="H565" s="82">
        <v>45488</v>
      </c>
      <c r="I565" s="81">
        <v>3</v>
      </c>
      <c r="J565" s="82">
        <v>45494</v>
      </c>
      <c r="K565" s="81" t="s">
        <v>3</v>
      </c>
      <c r="L565" s="81" t="s">
        <v>5</v>
      </c>
      <c r="M565" s="81" t="s">
        <v>1</v>
      </c>
      <c r="N565" s="81" t="s">
        <v>4</v>
      </c>
    </row>
    <row r="566" spans="1:14" ht="21.75" customHeight="1" x14ac:dyDescent="0.25">
      <c r="A566" s="78">
        <v>1216</v>
      </c>
      <c r="B566" s="79">
        <v>45484</v>
      </c>
      <c r="C566" s="80" t="s">
        <v>41</v>
      </c>
      <c r="D566" s="80" t="s">
        <v>95</v>
      </c>
      <c r="E566" s="80" t="s">
        <v>41</v>
      </c>
      <c r="F566" s="81">
        <v>5</v>
      </c>
      <c r="G566" s="81" t="s">
        <v>41</v>
      </c>
      <c r="H566" s="82">
        <v>45488</v>
      </c>
      <c r="I566" s="81">
        <v>5</v>
      </c>
      <c r="J566" s="82">
        <v>45494</v>
      </c>
      <c r="K566" s="81" t="s">
        <v>3</v>
      </c>
      <c r="L566" s="81" t="s">
        <v>41</v>
      </c>
      <c r="M566" s="81" t="s">
        <v>41</v>
      </c>
      <c r="N566" s="81" t="s">
        <v>41</v>
      </c>
    </row>
    <row r="567" spans="1:14" ht="21.75" customHeight="1" x14ac:dyDescent="0.25">
      <c r="A567" s="78">
        <v>3328</v>
      </c>
      <c r="B567" s="79">
        <v>45484</v>
      </c>
      <c r="C567" s="80" t="s">
        <v>41</v>
      </c>
      <c r="D567" s="80" t="s">
        <v>95</v>
      </c>
      <c r="E567" s="80" t="s">
        <v>41</v>
      </c>
      <c r="F567" s="81">
        <v>5</v>
      </c>
      <c r="G567" s="81" t="s">
        <v>41</v>
      </c>
      <c r="H567" s="82">
        <v>45488</v>
      </c>
      <c r="I567" s="81">
        <v>5</v>
      </c>
      <c r="J567" s="82">
        <v>45494</v>
      </c>
      <c r="K567" s="81" t="s">
        <v>3</v>
      </c>
      <c r="L567" s="81" t="s">
        <v>41</v>
      </c>
      <c r="M567" s="81" t="s">
        <v>41</v>
      </c>
      <c r="N567" s="81" t="s">
        <v>41</v>
      </c>
    </row>
    <row r="568" spans="1:14" ht="21.75" customHeight="1" x14ac:dyDescent="0.25">
      <c r="A568" s="78">
        <v>3356</v>
      </c>
      <c r="B568" s="79">
        <v>45484</v>
      </c>
      <c r="C568" s="80" t="s">
        <v>41</v>
      </c>
      <c r="D568" s="80" t="s">
        <v>95</v>
      </c>
      <c r="E568" s="80" t="s">
        <v>41</v>
      </c>
      <c r="F568" s="81">
        <v>5</v>
      </c>
      <c r="G568" s="81" t="s">
        <v>41</v>
      </c>
      <c r="H568" s="82">
        <v>45488</v>
      </c>
      <c r="I568" s="81">
        <v>5</v>
      </c>
      <c r="J568" s="82">
        <v>45492</v>
      </c>
      <c r="K568" s="81" t="s">
        <v>3</v>
      </c>
      <c r="L568" s="81" t="s">
        <v>41</v>
      </c>
      <c r="M568" s="81" t="s">
        <v>1</v>
      </c>
      <c r="N568" s="81" t="s">
        <v>41</v>
      </c>
    </row>
    <row r="569" spans="1:14" ht="21.75" customHeight="1" x14ac:dyDescent="0.25">
      <c r="A569" s="78">
        <v>2814</v>
      </c>
      <c r="B569" s="79">
        <v>45484</v>
      </c>
      <c r="C569" s="80" t="s">
        <v>41</v>
      </c>
      <c r="D569" s="80" t="s">
        <v>44</v>
      </c>
      <c r="E569" s="80" t="s">
        <v>41</v>
      </c>
      <c r="F569" s="81">
        <v>5</v>
      </c>
      <c r="G569" s="81" t="s">
        <v>41</v>
      </c>
      <c r="H569" s="82">
        <v>45488</v>
      </c>
      <c r="I569" s="81">
        <v>3</v>
      </c>
      <c r="J569" s="82">
        <v>45492</v>
      </c>
      <c r="K569" s="81" t="s">
        <v>41</v>
      </c>
      <c r="L569" s="81" t="s">
        <v>5</v>
      </c>
      <c r="M569" s="81" t="s">
        <v>41</v>
      </c>
      <c r="N569" s="81" t="s">
        <v>41</v>
      </c>
    </row>
    <row r="570" spans="1:14" ht="21.75" customHeight="1" x14ac:dyDescent="0.25">
      <c r="A570" s="78">
        <v>1997</v>
      </c>
      <c r="B570" s="79">
        <v>45484</v>
      </c>
      <c r="C570" s="80" t="s">
        <v>41</v>
      </c>
      <c r="D570" s="80" t="s">
        <v>44</v>
      </c>
      <c r="E570" s="80" t="s">
        <v>41</v>
      </c>
      <c r="F570" s="81">
        <v>5</v>
      </c>
      <c r="G570" s="81" t="s">
        <v>41</v>
      </c>
      <c r="H570" s="82">
        <v>45488</v>
      </c>
      <c r="I570" s="81">
        <v>3</v>
      </c>
      <c r="J570" s="82">
        <v>45492</v>
      </c>
      <c r="K570" s="81" t="s">
        <v>3</v>
      </c>
      <c r="L570" s="81" t="s">
        <v>41</v>
      </c>
      <c r="M570" s="81" t="s">
        <v>41</v>
      </c>
      <c r="N570" s="81" t="s">
        <v>41</v>
      </c>
    </row>
    <row r="571" spans="1:14" ht="21.75" customHeight="1" x14ac:dyDescent="0.25">
      <c r="A571" s="78">
        <v>3459</v>
      </c>
      <c r="B571" s="79">
        <v>45486</v>
      </c>
      <c r="C571" s="80" t="s">
        <v>41</v>
      </c>
      <c r="D571" s="80" t="s">
        <v>44</v>
      </c>
      <c r="E571" s="80" t="s">
        <v>41</v>
      </c>
      <c r="F571" s="81">
        <v>5</v>
      </c>
      <c r="G571" s="81" t="s">
        <v>41</v>
      </c>
      <c r="H571" s="82">
        <v>45490</v>
      </c>
      <c r="I571" s="81">
        <v>3</v>
      </c>
      <c r="J571" s="82">
        <v>45494</v>
      </c>
      <c r="K571" s="81" t="s">
        <v>3</v>
      </c>
      <c r="L571" s="81" t="s">
        <v>41</v>
      </c>
      <c r="M571" s="81" t="s">
        <v>41</v>
      </c>
      <c r="N571" s="81" t="s">
        <v>41</v>
      </c>
    </row>
    <row r="572" spans="1:14" ht="21.75" customHeight="1" x14ac:dyDescent="0.25">
      <c r="A572" s="78">
        <v>1151</v>
      </c>
      <c r="B572" s="79">
        <v>45486</v>
      </c>
      <c r="C572" s="80" t="s">
        <v>41</v>
      </c>
      <c r="D572" s="80" t="s">
        <v>44</v>
      </c>
      <c r="E572" s="80" t="s">
        <v>41</v>
      </c>
      <c r="F572" s="81">
        <v>5</v>
      </c>
      <c r="G572" s="81" t="s">
        <v>41</v>
      </c>
      <c r="H572" s="82">
        <v>45490</v>
      </c>
      <c r="I572" s="81">
        <v>3</v>
      </c>
      <c r="J572" s="82">
        <v>45494</v>
      </c>
      <c r="K572" s="81" t="s">
        <v>41</v>
      </c>
      <c r="L572" s="81" t="s">
        <v>41</v>
      </c>
      <c r="M572" s="81" t="s">
        <v>41</v>
      </c>
      <c r="N572" s="81" t="s">
        <v>4</v>
      </c>
    </row>
    <row r="573" spans="1:14" ht="21.75" customHeight="1" x14ac:dyDescent="0.25">
      <c r="A573" s="78">
        <v>4062</v>
      </c>
      <c r="B573" s="79">
        <v>45486</v>
      </c>
      <c r="C573" s="80" t="s">
        <v>41</v>
      </c>
      <c r="D573" s="80" t="s">
        <v>44</v>
      </c>
      <c r="E573" s="80" t="s">
        <v>41</v>
      </c>
      <c r="F573" s="81">
        <v>5</v>
      </c>
      <c r="G573" s="81" t="s">
        <v>41</v>
      </c>
      <c r="H573" s="82">
        <v>45490</v>
      </c>
      <c r="I573" s="81">
        <v>3</v>
      </c>
      <c r="J573" s="82">
        <v>45496</v>
      </c>
      <c r="K573" s="81" t="s">
        <v>41</v>
      </c>
      <c r="L573" s="81" t="s">
        <v>5</v>
      </c>
      <c r="M573" s="81" t="s">
        <v>41</v>
      </c>
      <c r="N573" s="81" t="s">
        <v>41</v>
      </c>
    </row>
    <row r="574" spans="1:14" ht="21.75" customHeight="1" x14ac:dyDescent="0.25">
      <c r="A574" s="78">
        <v>3232</v>
      </c>
      <c r="B574" s="79">
        <v>45486</v>
      </c>
      <c r="C574" s="80" t="s">
        <v>41</v>
      </c>
      <c r="D574" s="80" t="s">
        <v>95</v>
      </c>
      <c r="E574" s="80" t="s">
        <v>41</v>
      </c>
      <c r="F574" s="81">
        <v>5</v>
      </c>
      <c r="G574" s="81" t="s">
        <v>41</v>
      </c>
      <c r="H574" s="82">
        <v>45490</v>
      </c>
      <c r="I574" s="81">
        <v>5</v>
      </c>
      <c r="J574" s="82">
        <v>45496</v>
      </c>
      <c r="K574" s="81" t="s">
        <v>41</v>
      </c>
      <c r="L574" s="81" t="s">
        <v>41</v>
      </c>
      <c r="M574" s="81" t="s">
        <v>41</v>
      </c>
      <c r="N574" s="81" t="s">
        <v>4</v>
      </c>
    </row>
    <row r="575" spans="1:14" ht="21.75" customHeight="1" x14ac:dyDescent="0.25">
      <c r="A575" s="78">
        <v>3656</v>
      </c>
      <c r="B575" s="79">
        <v>45486</v>
      </c>
      <c r="C575" s="80" t="s">
        <v>41</v>
      </c>
      <c r="D575" s="80" t="s">
        <v>95</v>
      </c>
      <c r="E575" s="80" t="s">
        <v>41</v>
      </c>
      <c r="F575" s="81">
        <v>5</v>
      </c>
      <c r="G575" s="81" t="s">
        <v>41</v>
      </c>
      <c r="H575" s="82">
        <v>45490</v>
      </c>
      <c r="I575" s="81">
        <v>5</v>
      </c>
      <c r="J575" s="82">
        <v>45496</v>
      </c>
      <c r="K575" s="81" t="s">
        <v>41</v>
      </c>
      <c r="L575" s="81" t="s">
        <v>41</v>
      </c>
      <c r="M575" s="81" t="s">
        <v>41</v>
      </c>
      <c r="N575" s="81" t="s">
        <v>4</v>
      </c>
    </row>
    <row r="576" spans="1:14" ht="21.75" customHeight="1" x14ac:dyDescent="0.25">
      <c r="A576" s="78">
        <v>3482</v>
      </c>
      <c r="B576" s="79">
        <v>45486</v>
      </c>
      <c r="C576" s="80" t="s">
        <v>41</v>
      </c>
      <c r="D576" s="80" t="s">
        <v>95</v>
      </c>
      <c r="E576" s="80" t="s">
        <v>41</v>
      </c>
      <c r="F576" s="81">
        <v>5</v>
      </c>
      <c r="G576" s="81" t="s">
        <v>41</v>
      </c>
      <c r="H576" s="82">
        <v>45490</v>
      </c>
      <c r="I576" s="81">
        <v>5</v>
      </c>
      <c r="J576" s="82">
        <v>45496</v>
      </c>
      <c r="K576" s="81" t="s">
        <v>41</v>
      </c>
      <c r="L576" s="81" t="s">
        <v>41</v>
      </c>
      <c r="M576" s="81" t="s">
        <v>41</v>
      </c>
      <c r="N576" s="81" t="s">
        <v>4</v>
      </c>
    </row>
    <row r="577" spans="1:14" ht="21.75" customHeight="1" x14ac:dyDescent="0.25">
      <c r="A577" s="78">
        <v>1180</v>
      </c>
      <c r="B577" s="79">
        <v>45486</v>
      </c>
      <c r="C577" s="80" t="s">
        <v>41</v>
      </c>
      <c r="D577" s="80" t="s">
        <v>95</v>
      </c>
      <c r="E577" s="80" t="s">
        <v>41</v>
      </c>
      <c r="F577" s="81">
        <v>5</v>
      </c>
      <c r="G577" s="81" t="s">
        <v>41</v>
      </c>
      <c r="H577" s="82">
        <v>45490</v>
      </c>
      <c r="I577" s="81">
        <v>5</v>
      </c>
      <c r="J577" s="82">
        <v>45496</v>
      </c>
      <c r="K577" s="81" t="s">
        <v>41</v>
      </c>
      <c r="L577" s="81" t="s">
        <v>41</v>
      </c>
      <c r="M577" s="81" t="s">
        <v>41</v>
      </c>
      <c r="N577" s="81" t="s">
        <v>4</v>
      </c>
    </row>
    <row r="578" spans="1:14" ht="21.75" customHeight="1" x14ac:dyDescent="0.25">
      <c r="A578" s="78">
        <v>1659</v>
      </c>
      <c r="B578" s="79">
        <v>45486</v>
      </c>
      <c r="C578" s="80" t="s">
        <v>41</v>
      </c>
      <c r="D578" s="80" t="s">
        <v>95</v>
      </c>
      <c r="E578" s="80" t="s">
        <v>41</v>
      </c>
      <c r="F578" s="81">
        <v>5</v>
      </c>
      <c r="G578" s="81" t="s">
        <v>41</v>
      </c>
      <c r="H578" s="82">
        <v>45490</v>
      </c>
      <c r="I578" s="81">
        <v>5</v>
      </c>
      <c r="J578" s="82">
        <v>45500</v>
      </c>
      <c r="K578" s="81" t="s">
        <v>3</v>
      </c>
      <c r="L578" s="81" t="s">
        <v>41</v>
      </c>
      <c r="M578" s="81" t="s">
        <v>1</v>
      </c>
      <c r="N578" s="81" t="s">
        <v>41</v>
      </c>
    </row>
    <row r="579" spans="1:14" ht="21.75" customHeight="1" x14ac:dyDescent="0.25">
      <c r="A579" s="78">
        <v>2668</v>
      </c>
      <c r="B579" s="79">
        <v>45486</v>
      </c>
      <c r="C579" s="80" t="s">
        <v>41</v>
      </c>
      <c r="D579" s="80" t="s">
        <v>40</v>
      </c>
      <c r="E579" s="80" t="s">
        <v>41</v>
      </c>
      <c r="F579" s="81">
        <v>5</v>
      </c>
      <c r="G579" s="81" t="s">
        <v>41</v>
      </c>
      <c r="H579" s="82">
        <v>45490</v>
      </c>
      <c r="I579" s="81">
        <v>9</v>
      </c>
      <c r="J579" s="82">
        <v>45494</v>
      </c>
      <c r="K579" s="81" t="s">
        <v>41</v>
      </c>
      <c r="L579" s="81" t="s">
        <v>5</v>
      </c>
      <c r="M579" s="81" t="s">
        <v>41</v>
      </c>
      <c r="N579" s="81" t="s">
        <v>41</v>
      </c>
    </row>
    <row r="580" spans="1:14" ht="21.75" customHeight="1" x14ac:dyDescent="0.25">
      <c r="A580" s="78">
        <v>2248</v>
      </c>
      <c r="B580" s="79">
        <v>45487</v>
      </c>
      <c r="C580" s="80" t="s">
        <v>41</v>
      </c>
      <c r="D580" s="80" t="s">
        <v>44</v>
      </c>
      <c r="E580" s="80" t="s">
        <v>41</v>
      </c>
      <c r="F580" s="81">
        <v>5</v>
      </c>
      <c r="G580" s="81" t="s">
        <v>41</v>
      </c>
      <c r="H580" s="82">
        <v>45491</v>
      </c>
      <c r="I580" s="81">
        <v>3</v>
      </c>
      <c r="J580" s="82">
        <v>45495</v>
      </c>
      <c r="K580" s="81" t="s">
        <v>41</v>
      </c>
      <c r="L580" s="81" t="s">
        <v>41</v>
      </c>
      <c r="M580" s="81" t="s">
        <v>41</v>
      </c>
      <c r="N580" s="81" t="s">
        <v>4</v>
      </c>
    </row>
    <row r="581" spans="1:14" ht="21.75" customHeight="1" x14ac:dyDescent="0.25">
      <c r="A581" s="78">
        <v>3711</v>
      </c>
      <c r="B581" s="79">
        <v>45487</v>
      </c>
      <c r="C581" s="80" t="s">
        <v>41</v>
      </c>
      <c r="D581" s="80" t="s">
        <v>44</v>
      </c>
      <c r="E581" s="80" t="s">
        <v>41</v>
      </c>
      <c r="F581" s="81">
        <v>5</v>
      </c>
      <c r="G581" s="81" t="s">
        <v>41</v>
      </c>
      <c r="H581" s="82">
        <v>45491</v>
      </c>
      <c r="I581" s="81">
        <v>3</v>
      </c>
      <c r="J581" s="82">
        <v>45497</v>
      </c>
      <c r="K581" s="81" t="s">
        <v>41</v>
      </c>
      <c r="L581" s="81" t="s">
        <v>41</v>
      </c>
      <c r="M581" s="81" t="s">
        <v>41</v>
      </c>
      <c r="N581" s="81" t="s">
        <v>4</v>
      </c>
    </row>
    <row r="582" spans="1:14" ht="21.75" customHeight="1" x14ac:dyDescent="0.25">
      <c r="A582" s="78">
        <v>873</v>
      </c>
      <c r="B582" s="79">
        <v>45488</v>
      </c>
      <c r="C582" s="80" t="s">
        <v>41</v>
      </c>
      <c r="D582" s="80" t="s">
        <v>95</v>
      </c>
      <c r="E582" s="80" t="s">
        <v>41</v>
      </c>
      <c r="F582" s="81">
        <v>5</v>
      </c>
      <c r="G582" s="81" t="s">
        <v>41</v>
      </c>
      <c r="H582" s="82">
        <v>45492</v>
      </c>
      <c r="I582" s="81">
        <v>5</v>
      </c>
      <c r="J582" s="82">
        <v>45498</v>
      </c>
      <c r="K582" s="81" t="s">
        <v>3</v>
      </c>
      <c r="L582" s="81" t="s">
        <v>41</v>
      </c>
      <c r="M582" s="81" t="s">
        <v>41</v>
      </c>
      <c r="N582" s="81" t="s">
        <v>4</v>
      </c>
    </row>
    <row r="583" spans="1:14" ht="21.75" customHeight="1" x14ac:dyDescent="0.25">
      <c r="A583" s="78">
        <v>2627</v>
      </c>
      <c r="B583" s="79">
        <v>45488</v>
      </c>
      <c r="C583" s="80" t="s">
        <v>41</v>
      </c>
      <c r="D583" s="80" t="s">
        <v>95</v>
      </c>
      <c r="E583" s="80" t="s">
        <v>41</v>
      </c>
      <c r="F583" s="81">
        <v>5</v>
      </c>
      <c r="G583" s="81" t="s">
        <v>41</v>
      </c>
      <c r="H583" s="82">
        <v>45492</v>
      </c>
      <c r="I583" s="81">
        <v>5</v>
      </c>
      <c r="J583" s="82">
        <v>45498</v>
      </c>
      <c r="K583" s="81" t="s">
        <v>3</v>
      </c>
      <c r="L583" s="81" t="s">
        <v>5</v>
      </c>
      <c r="M583" s="81" t="s">
        <v>1</v>
      </c>
      <c r="N583" s="81" t="s">
        <v>4</v>
      </c>
    </row>
    <row r="584" spans="1:14" ht="21.75" customHeight="1" x14ac:dyDescent="0.25">
      <c r="A584" s="78">
        <v>1149</v>
      </c>
      <c r="B584" s="79">
        <v>45488</v>
      </c>
      <c r="C584" s="80" t="s">
        <v>41</v>
      </c>
      <c r="D584" s="80" t="s">
        <v>95</v>
      </c>
      <c r="E584" s="80" t="s">
        <v>41</v>
      </c>
      <c r="F584" s="81">
        <v>5</v>
      </c>
      <c r="G584" s="81" t="s">
        <v>41</v>
      </c>
      <c r="H584" s="82">
        <v>45492</v>
      </c>
      <c r="I584" s="81">
        <v>5</v>
      </c>
      <c r="J584" s="82">
        <v>45496</v>
      </c>
      <c r="K584" s="81" t="s">
        <v>41</v>
      </c>
      <c r="L584" s="81" t="s">
        <v>41</v>
      </c>
      <c r="M584" s="81" t="s">
        <v>1</v>
      </c>
      <c r="N584" s="81" t="s">
        <v>4</v>
      </c>
    </row>
    <row r="585" spans="1:14" ht="21.75" customHeight="1" x14ac:dyDescent="0.25">
      <c r="A585" s="78">
        <v>3779</v>
      </c>
      <c r="B585" s="79">
        <v>45488</v>
      </c>
      <c r="C585" s="80" t="s">
        <v>41</v>
      </c>
      <c r="D585" s="80" t="s">
        <v>44</v>
      </c>
      <c r="E585" s="80" t="s">
        <v>41</v>
      </c>
      <c r="F585" s="81">
        <v>5</v>
      </c>
      <c r="G585" s="81" t="s">
        <v>41</v>
      </c>
      <c r="H585" s="82">
        <v>45492</v>
      </c>
      <c r="I585" s="81">
        <v>3</v>
      </c>
      <c r="J585" s="82">
        <v>45496</v>
      </c>
      <c r="K585" s="81" t="s">
        <v>3</v>
      </c>
      <c r="L585" s="81" t="s">
        <v>5</v>
      </c>
      <c r="M585" s="81" t="s">
        <v>1</v>
      </c>
      <c r="N585" s="81" t="s">
        <v>4</v>
      </c>
    </row>
    <row r="586" spans="1:14" ht="21.75" customHeight="1" x14ac:dyDescent="0.25">
      <c r="A586" s="78">
        <v>3536</v>
      </c>
      <c r="B586" s="79">
        <v>45488</v>
      </c>
      <c r="C586" s="80" t="s">
        <v>41</v>
      </c>
      <c r="D586" s="80" t="s">
        <v>44</v>
      </c>
      <c r="E586" s="80" t="s">
        <v>41</v>
      </c>
      <c r="F586" s="81">
        <v>5</v>
      </c>
      <c r="G586" s="81" t="s">
        <v>41</v>
      </c>
      <c r="H586" s="82">
        <v>45492</v>
      </c>
      <c r="I586" s="81">
        <v>3</v>
      </c>
      <c r="J586" s="82">
        <v>45496</v>
      </c>
      <c r="K586" s="81" t="s">
        <v>3</v>
      </c>
      <c r="L586" s="81" t="s">
        <v>5</v>
      </c>
      <c r="M586" s="81" t="s">
        <v>41</v>
      </c>
      <c r="N586" s="81" t="s">
        <v>41</v>
      </c>
    </row>
    <row r="587" spans="1:14" ht="21.75" customHeight="1" x14ac:dyDescent="0.25">
      <c r="A587" s="78">
        <v>2211</v>
      </c>
      <c r="B587" s="79">
        <v>45488</v>
      </c>
      <c r="C587" s="80" t="s">
        <v>41</v>
      </c>
      <c r="D587" s="80" t="s">
        <v>44</v>
      </c>
      <c r="E587" s="80" t="s">
        <v>41</v>
      </c>
      <c r="F587" s="81">
        <v>5</v>
      </c>
      <c r="G587" s="81" t="s">
        <v>41</v>
      </c>
      <c r="H587" s="82">
        <v>45492</v>
      </c>
      <c r="I587" s="81">
        <v>3</v>
      </c>
      <c r="J587" s="82">
        <v>45496</v>
      </c>
      <c r="K587" s="81" t="s">
        <v>41</v>
      </c>
      <c r="L587" s="81" t="s">
        <v>5</v>
      </c>
      <c r="M587" s="81" t="s">
        <v>41</v>
      </c>
      <c r="N587" s="81" t="s">
        <v>41</v>
      </c>
    </row>
    <row r="588" spans="1:14" ht="21.75" customHeight="1" x14ac:dyDescent="0.25">
      <c r="A588" s="78">
        <v>3037</v>
      </c>
      <c r="B588" s="79">
        <v>45488</v>
      </c>
      <c r="C588" s="80" t="s">
        <v>41</v>
      </c>
      <c r="D588" s="80" t="s">
        <v>44</v>
      </c>
      <c r="E588" s="80" t="s">
        <v>41</v>
      </c>
      <c r="F588" s="81">
        <v>5</v>
      </c>
      <c r="G588" s="81" t="s">
        <v>41</v>
      </c>
      <c r="H588" s="82">
        <v>45492</v>
      </c>
      <c r="I588" s="81">
        <v>3</v>
      </c>
      <c r="J588" s="82">
        <v>45496</v>
      </c>
      <c r="K588" s="81" t="s">
        <v>3</v>
      </c>
      <c r="L588" s="81" t="s">
        <v>41</v>
      </c>
      <c r="M588" s="81" t="s">
        <v>41</v>
      </c>
      <c r="N588" s="81" t="s">
        <v>4</v>
      </c>
    </row>
    <row r="589" spans="1:14" ht="21.75" customHeight="1" x14ac:dyDescent="0.25">
      <c r="A589" s="78">
        <v>2580</v>
      </c>
      <c r="B589" s="79">
        <v>45488</v>
      </c>
      <c r="C589" s="80" t="s">
        <v>41</v>
      </c>
      <c r="D589" s="80" t="s">
        <v>44</v>
      </c>
      <c r="E589" s="80" t="s">
        <v>41</v>
      </c>
      <c r="F589" s="81">
        <v>5</v>
      </c>
      <c r="G589" s="81" t="s">
        <v>41</v>
      </c>
      <c r="H589" s="82">
        <v>45492</v>
      </c>
      <c r="I589" s="81">
        <v>3</v>
      </c>
      <c r="J589" s="82">
        <v>45496</v>
      </c>
      <c r="K589" s="81" t="s">
        <v>3</v>
      </c>
      <c r="L589" s="81" t="s">
        <v>41</v>
      </c>
      <c r="M589" s="81" t="s">
        <v>41</v>
      </c>
      <c r="N589" s="81" t="s">
        <v>41</v>
      </c>
    </row>
    <row r="590" spans="1:14" ht="21.75" customHeight="1" x14ac:dyDescent="0.25">
      <c r="A590" s="78">
        <v>2550</v>
      </c>
      <c r="B590" s="79">
        <v>45488</v>
      </c>
      <c r="C590" s="80" t="s">
        <v>41</v>
      </c>
      <c r="D590" s="80" t="s">
        <v>44</v>
      </c>
      <c r="E590" s="80" t="s">
        <v>41</v>
      </c>
      <c r="F590" s="81">
        <v>5</v>
      </c>
      <c r="G590" s="81" t="s">
        <v>41</v>
      </c>
      <c r="H590" s="82">
        <v>45492</v>
      </c>
      <c r="I590" s="81">
        <v>3</v>
      </c>
      <c r="J590" s="82">
        <v>45497</v>
      </c>
      <c r="K590" s="81" t="s">
        <v>3</v>
      </c>
      <c r="L590" s="81" t="s">
        <v>41</v>
      </c>
      <c r="M590" s="81" t="s">
        <v>41</v>
      </c>
      <c r="N590" s="81" t="s">
        <v>41</v>
      </c>
    </row>
    <row r="591" spans="1:14" ht="21.75" customHeight="1" x14ac:dyDescent="0.25">
      <c r="A591" s="78">
        <v>3323</v>
      </c>
      <c r="B591" s="79">
        <v>45490</v>
      </c>
      <c r="C591" s="80" t="s">
        <v>41</v>
      </c>
      <c r="D591" s="80" t="s">
        <v>43</v>
      </c>
      <c r="E591" s="80" t="s">
        <v>41</v>
      </c>
      <c r="F591" s="81">
        <v>5</v>
      </c>
      <c r="G591" s="81" t="s">
        <v>41</v>
      </c>
      <c r="H591" s="82">
        <v>45494</v>
      </c>
      <c r="I591" s="81">
        <v>4</v>
      </c>
      <c r="J591" s="82">
        <v>45498</v>
      </c>
      <c r="K591" s="81" t="s">
        <v>3</v>
      </c>
      <c r="L591" s="81" t="s">
        <v>41</v>
      </c>
      <c r="M591" s="81" t="s">
        <v>1</v>
      </c>
      <c r="N591" s="81" t="s">
        <v>41</v>
      </c>
    </row>
    <row r="592" spans="1:14" ht="21.75" customHeight="1" x14ac:dyDescent="0.25">
      <c r="A592" s="78">
        <v>2745</v>
      </c>
      <c r="B592" s="79">
        <v>45490</v>
      </c>
      <c r="C592" s="80" t="s">
        <v>41</v>
      </c>
      <c r="D592" s="80" t="s">
        <v>22</v>
      </c>
      <c r="E592" s="80" t="s">
        <v>41</v>
      </c>
      <c r="F592" s="81">
        <v>5</v>
      </c>
      <c r="G592" s="81" t="s">
        <v>41</v>
      </c>
      <c r="H592" s="82">
        <v>45494</v>
      </c>
      <c r="I592" s="81">
        <v>3</v>
      </c>
      <c r="J592" s="82">
        <v>45500</v>
      </c>
      <c r="K592" s="81" t="s">
        <v>3</v>
      </c>
      <c r="L592" s="81" t="s">
        <v>5</v>
      </c>
      <c r="M592" s="81" t="s">
        <v>41</v>
      </c>
      <c r="N592" s="81" t="s">
        <v>41</v>
      </c>
    </row>
    <row r="593" spans="1:14" ht="21.75" customHeight="1" x14ac:dyDescent="0.25">
      <c r="A593" s="78">
        <v>3216</v>
      </c>
      <c r="B593" s="79">
        <v>45490</v>
      </c>
      <c r="C593" s="80" t="s">
        <v>41</v>
      </c>
      <c r="D593" s="80" t="s">
        <v>95</v>
      </c>
      <c r="E593" s="80" t="s">
        <v>41</v>
      </c>
      <c r="F593" s="81">
        <v>5</v>
      </c>
      <c r="G593" s="81" t="s">
        <v>41</v>
      </c>
      <c r="H593" s="82">
        <v>45494</v>
      </c>
      <c r="I593" s="81">
        <v>5</v>
      </c>
      <c r="J593" s="82">
        <v>45504</v>
      </c>
      <c r="K593" s="81" t="s">
        <v>3</v>
      </c>
      <c r="L593" s="81" t="s">
        <v>5</v>
      </c>
      <c r="M593" s="81" t="s">
        <v>41</v>
      </c>
      <c r="N593" s="81" t="s">
        <v>41</v>
      </c>
    </row>
    <row r="594" spans="1:14" ht="21.75" customHeight="1" x14ac:dyDescent="0.25">
      <c r="A594" s="78">
        <v>2062</v>
      </c>
      <c r="B594" s="79">
        <v>45490</v>
      </c>
      <c r="C594" s="80" t="s">
        <v>41</v>
      </c>
      <c r="D594" s="80" t="s">
        <v>40</v>
      </c>
      <c r="E594" s="80" t="s">
        <v>41</v>
      </c>
      <c r="F594" s="81">
        <v>5</v>
      </c>
      <c r="G594" s="81" t="s">
        <v>41</v>
      </c>
      <c r="H594" s="82">
        <v>45494</v>
      </c>
      <c r="I594" s="81">
        <v>9</v>
      </c>
      <c r="J594" s="82">
        <v>45498</v>
      </c>
      <c r="K594" s="81" t="s">
        <v>3</v>
      </c>
      <c r="L594" s="81" t="s">
        <v>5</v>
      </c>
      <c r="M594" s="81" t="s">
        <v>1</v>
      </c>
      <c r="N594" s="81" t="s">
        <v>4</v>
      </c>
    </row>
    <row r="595" spans="1:14" ht="21.75" customHeight="1" x14ac:dyDescent="0.25">
      <c r="A595" s="78">
        <v>3452</v>
      </c>
      <c r="B595" s="79">
        <v>45490</v>
      </c>
      <c r="C595" s="80" t="s">
        <v>41</v>
      </c>
      <c r="D595" s="80" t="s">
        <v>40</v>
      </c>
      <c r="E595" s="80" t="s">
        <v>41</v>
      </c>
      <c r="F595" s="81">
        <v>5</v>
      </c>
      <c r="G595" s="81" t="s">
        <v>41</v>
      </c>
      <c r="H595" s="82">
        <v>45494</v>
      </c>
      <c r="I595" s="81">
        <v>3</v>
      </c>
      <c r="J595" s="82">
        <v>45498</v>
      </c>
      <c r="K595" s="81" t="s">
        <v>3</v>
      </c>
      <c r="L595" s="81" t="s">
        <v>41</v>
      </c>
      <c r="M595" s="81" t="s">
        <v>41</v>
      </c>
      <c r="N595" s="81" t="s">
        <v>41</v>
      </c>
    </row>
    <row r="596" spans="1:14" ht="21.75" customHeight="1" x14ac:dyDescent="0.25">
      <c r="A596" s="78">
        <v>1713</v>
      </c>
      <c r="B596" s="79">
        <v>45491</v>
      </c>
      <c r="C596" s="80" t="s">
        <v>41</v>
      </c>
      <c r="D596" s="80" t="s">
        <v>44</v>
      </c>
      <c r="E596" s="80" t="s">
        <v>41</v>
      </c>
      <c r="F596" s="81">
        <v>5</v>
      </c>
      <c r="G596" s="81" t="s">
        <v>41</v>
      </c>
      <c r="H596" s="82">
        <v>45495</v>
      </c>
      <c r="I596" s="81">
        <v>3</v>
      </c>
      <c r="J596" s="82">
        <v>45501</v>
      </c>
      <c r="K596" s="81" t="s">
        <v>41</v>
      </c>
      <c r="L596" s="81" t="s">
        <v>5</v>
      </c>
      <c r="M596" s="81" t="s">
        <v>1</v>
      </c>
      <c r="N596" s="81" t="s">
        <v>41</v>
      </c>
    </row>
    <row r="597" spans="1:14" ht="21.75" customHeight="1" x14ac:dyDescent="0.25">
      <c r="A597" s="78">
        <v>3668</v>
      </c>
      <c r="B597" s="79">
        <v>45492</v>
      </c>
      <c r="C597" s="80" t="s">
        <v>41</v>
      </c>
      <c r="D597" s="80" t="s">
        <v>22</v>
      </c>
      <c r="E597" s="80" t="s">
        <v>41</v>
      </c>
      <c r="F597" s="81">
        <v>5</v>
      </c>
      <c r="G597" s="81" t="s">
        <v>41</v>
      </c>
      <c r="H597" s="82">
        <v>45496</v>
      </c>
      <c r="I597" s="81">
        <v>5</v>
      </c>
      <c r="J597" s="82">
        <v>45502</v>
      </c>
      <c r="K597" s="81" t="s">
        <v>41</v>
      </c>
      <c r="L597" s="81" t="s">
        <v>5</v>
      </c>
      <c r="M597" s="81" t="s">
        <v>41</v>
      </c>
      <c r="N597" s="81" t="s">
        <v>4</v>
      </c>
    </row>
    <row r="598" spans="1:14" ht="21.75" customHeight="1" x14ac:dyDescent="0.25">
      <c r="A598" s="78">
        <v>2928</v>
      </c>
      <c r="B598" s="79">
        <v>45492</v>
      </c>
      <c r="C598" s="80" t="s">
        <v>41</v>
      </c>
      <c r="D598" s="80" t="s">
        <v>95</v>
      </c>
      <c r="E598" s="80" t="s">
        <v>41</v>
      </c>
      <c r="F598" s="81">
        <v>5</v>
      </c>
      <c r="G598" s="81" t="s">
        <v>41</v>
      </c>
      <c r="H598" s="82">
        <v>45496</v>
      </c>
      <c r="I598" s="81">
        <v>5</v>
      </c>
      <c r="J598" s="82">
        <v>45502</v>
      </c>
      <c r="K598" s="81" t="s">
        <v>41</v>
      </c>
      <c r="L598" s="81" t="s">
        <v>5</v>
      </c>
      <c r="M598" s="81" t="s">
        <v>41</v>
      </c>
      <c r="N598" s="81" t="s">
        <v>41</v>
      </c>
    </row>
    <row r="599" spans="1:14" ht="21.75" customHeight="1" x14ac:dyDescent="0.25">
      <c r="A599" s="78">
        <v>1997</v>
      </c>
      <c r="B599" s="79">
        <v>45492</v>
      </c>
      <c r="C599" s="80" t="s">
        <v>41</v>
      </c>
      <c r="D599" s="80" t="s">
        <v>95</v>
      </c>
      <c r="E599" s="80" t="s">
        <v>41</v>
      </c>
      <c r="F599" s="81">
        <v>5</v>
      </c>
      <c r="G599" s="81" t="s">
        <v>41</v>
      </c>
      <c r="H599" s="82">
        <v>45496</v>
      </c>
      <c r="I599" s="81">
        <v>5</v>
      </c>
      <c r="J599" s="82">
        <v>45506</v>
      </c>
      <c r="K599" s="81" t="s">
        <v>3</v>
      </c>
      <c r="L599" s="81" t="s">
        <v>5</v>
      </c>
      <c r="M599" s="81" t="s">
        <v>41</v>
      </c>
      <c r="N599" s="81" t="s">
        <v>41</v>
      </c>
    </row>
    <row r="600" spans="1:14" ht="21.75" customHeight="1" x14ac:dyDescent="0.25">
      <c r="A600" s="78">
        <v>3030</v>
      </c>
      <c r="B600" s="79">
        <v>45492</v>
      </c>
      <c r="C600" s="80" t="s">
        <v>41</v>
      </c>
      <c r="D600" s="80" t="s">
        <v>40</v>
      </c>
      <c r="E600" s="80" t="s">
        <v>41</v>
      </c>
      <c r="F600" s="81">
        <v>5</v>
      </c>
      <c r="G600" s="81" t="s">
        <v>41</v>
      </c>
      <c r="H600" s="82">
        <v>45496</v>
      </c>
      <c r="I600" s="81">
        <v>9</v>
      </c>
      <c r="J600" s="82">
        <v>45500</v>
      </c>
      <c r="K600" s="81" t="s">
        <v>3</v>
      </c>
      <c r="L600" s="81" t="s">
        <v>5</v>
      </c>
      <c r="M600" s="81" t="s">
        <v>1</v>
      </c>
      <c r="N600" s="81" t="s">
        <v>4</v>
      </c>
    </row>
    <row r="601" spans="1:14" ht="21.75" customHeight="1" x14ac:dyDescent="0.25">
      <c r="A601" s="78">
        <v>3918</v>
      </c>
      <c r="B601" s="79">
        <v>45492</v>
      </c>
      <c r="C601" s="80" t="s">
        <v>41</v>
      </c>
      <c r="D601" s="80" t="s">
        <v>22</v>
      </c>
      <c r="E601" s="80" t="s">
        <v>41</v>
      </c>
      <c r="F601" s="81">
        <v>5</v>
      </c>
      <c r="G601" s="81" t="s">
        <v>41</v>
      </c>
      <c r="H601" s="82">
        <v>45496</v>
      </c>
      <c r="I601" s="81">
        <v>3</v>
      </c>
      <c r="J601" s="82">
        <v>45500</v>
      </c>
      <c r="K601" s="81" t="s">
        <v>41</v>
      </c>
      <c r="L601" s="81" t="s">
        <v>41</v>
      </c>
      <c r="M601" s="81" t="s">
        <v>41</v>
      </c>
      <c r="N601" s="81" t="s">
        <v>4</v>
      </c>
    </row>
    <row r="602" spans="1:14" ht="21.75" customHeight="1" x14ac:dyDescent="0.25">
      <c r="A602" s="78">
        <v>2483</v>
      </c>
      <c r="B602" s="79">
        <v>45493</v>
      </c>
      <c r="C602" s="80" t="s">
        <v>41</v>
      </c>
      <c r="D602" s="80" t="s">
        <v>44</v>
      </c>
      <c r="E602" s="80" t="s">
        <v>41</v>
      </c>
      <c r="F602" s="81">
        <v>5</v>
      </c>
      <c r="G602" s="81" t="s">
        <v>41</v>
      </c>
      <c r="H602" s="82">
        <v>45497</v>
      </c>
      <c r="I602" s="81">
        <v>3</v>
      </c>
      <c r="J602" s="82">
        <v>45507</v>
      </c>
      <c r="K602" s="81" t="s">
        <v>3</v>
      </c>
      <c r="L602" s="81" t="s">
        <v>41</v>
      </c>
      <c r="M602" s="81" t="s">
        <v>41</v>
      </c>
      <c r="N602" s="81" t="s">
        <v>4</v>
      </c>
    </row>
    <row r="603" spans="1:14" ht="21.75" customHeight="1" x14ac:dyDescent="0.25">
      <c r="A603" s="78">
        <v>2477</v>
      </c>
      <c r="B603" s="79">
        <v>45493</v>
      </c>
      <c r="C603" s="80" t="s">
        <v>41</v>
      </c>
      <c r="D603" s="80" t="s">
        <v>40</v>
      </c>
      <c r="E603" s="80" t="s">
        <v>41</v>
      </c>
      <c r="F603" s="81">
        <v>5</v>
      </c>
      <c r="G603" s="81" t="s">
        <v>41</v>
      </c>
      <c r="H603" s="82">
        <v>45497</v>
      </c>
      <c r="I603" s="81">
        <v>9</v>
      </c>
      <c r="J603" s="82">
        <v>45501</v>
      </c>
      <c r="K603" s="81" t="s">
        <v>41</v>
      </c>
      <c r="L603" s="81" t="s">
        <v>41</v>
      </c>
      <c r="M603" s="81" t="s">
        <v>1</v>
      </c>
      <c r="N603" s="81" t="s">
        <v>41</v>
      </c>
    </row>
    <row r="604" spans="1:14" ht="21.75" customHeight="1" x14ac:dyDescent="0.25">
      <c r="A604" s="78">
        <v>3977</v>
      </c>
      <c r="B604" s="79">
        <v>45493</v>
      </c>
      <c r="C604" s="80" t="s">
        <v>41</v>
      </c>
      <c r="D604" s="80" t="s">
        <v>44</v>
      </c>
      <c r="E604" s="80" t="s">
        <v>41</v>
      </c>
      <c r="F604" s="81">
        <v>5</v>
      </c>
      <c r="G604" s="81" t="s">
        <v>41</v>
      </c>
      <c r="H604" s="82">
        <v>45497</v>
      </c>
      <c r="I604" s="81">
        <v>3</v>
      </c>
      <c r="J604" s="82">
        <v>45501</v>
      </c>
      <c r="K604" s="81" t="s">
        <v>41</v>
      </c>
      <c r="L604" s="81" t="s">
        <v>5</v>
      </c>
      <c r="M604" s="81" t="s">
        <v>41</v>
      </c>
      <c r="N604" s="81" t="s">
        <v>4</v>
      </c>
    </row>
    <row r="605" spans="1:14" ht="21.75" customHeight="1" x14ac:dyDescent="0.25">
      <c r="A605" s="78">
        <v>2879</v>
      </c>
      <c r="B605" s="79">
        <v>45493</v>
      </c>
      <c r="C605" s="80" t="s">
        <v>41</v>
      </c>
      <c r="D605" s="80" t="s">
        <v>44</v>
      </c>
      <c r="E605" s="80" t="s">
        <v>41</v>
      </c>
      <c r="F605" s="81">
        <v>5</v>
      </c>
      <c r="G605" s="81" t="s">
        <v>41</v>
      </c>
      <c r="H605" s="82">
        <v>45497</v>
      </c>
      <c r="I605" s="81">
        <v>3</v>
      </c>
      <c r="J605" s="82">
        <v>45501</v>
      </c>
      <c r="K605" s="81" t="s">
        <v>41</v>
      </c>
      <c r="L605" s="81" t="s">
        <v>5</v>
      </c>
      <c r="M605" s="81" t="s">
        <v>41</v>
      </c>
      <c r="N605" s="81" t="s">
        <v>41</v>
      </c>
    </row>
    <row r="606" spans="1:14" ht="21.75" customHeight="1" x14ac:dyDescent="0.25">
      <c r="A606" s="78">
        <v>4137</v>
      </c>
      <c r="B606" s="79">
        <v>45494</v>
      </c>
      <c r="C606" s="80" t="s">
        <v>41</v>
      </c>
      <c r="D606" s="80" t="s">
        <v>44</v>
      </c>
      <c r="E606" s="80" t="s">
        <v>41</v>
      </c>
      <c r="F606" s="81">
        <v>5</v>
      </c>
      <c r="G606" s="81" t="s">
        <v>41</v>
      </c>
      <c r="H606" s="82">
        <v>45498</v>
      </c>
      <c r="I606" s="81">
        <v>3</v>
      </c>
      <c r="J606" s="82">
        <v>45504</v>
      </c>
      <c r="K606" s="81" t="s">
        <v>3</v>
      </c>
      <c r="L606" s="81" t="s">
        <v>41</v>
      </c>
      <c r="M606" s="81" t="s">
        <v>41</v>
      </c>
      <c r="N606" s="81" t="s">
        <v>41</v>
      </c>
    </row>
    <row r="607" spans="1:14" ht="21.75" customHeight="1" x14ac:dyDescent="0.25">
      <c r="A607" s="78">
        <v>2885</v>
      </c>
      <c r="B607" s="79">
        <v>45494</v>
      </c>
      <c r="C607" s="80" t="s">
        <v>41</v>
      </c>
      <c r="D607" s="80" t="s">
        <v>95</v>
      </c>
      <c r="E607" s="80" t="s">
        <v>41</v>
      </c>
      <c r="F607" s="81">
        <v>5</v>
      </c>
      <c r="G607" s="81" t="s">
        <v>41</v>
      </c>
      <c r="H607" s="82">
        <v>45498</v>
      </c>
      <c r="I607" s="81">
        <v>5</v>
      </c>
      <c r="J607" s="82">
        <v>45504</v>
      </c>
      <c r="K607" s="81" t="s">
        <v>41</v>
      </c>
      <c r="L607" s="81" t="s">
        <v>5</v>
      </c>
      <c r="M607" s="81" t="s">
        <v>41</v>
      </c>
      <c r="N607" s="81" t="s">
        <v>41</v>
      </c>
    </row>
    <row r="608" spans="1:14" ht="21.75" customHeight="1" x14ac:dyDescent="0.25">
      <c r="A608" s="78">
        <v>2141</v>
      </c>
      <c r="B608" s="79">
        <v>45494</v>
      </c>
      <c r="C608" s="80" t="s">
        <v>41</v>
      </c>
      <c r="D608" s="80" t="s">
        <v>95</v>
      </c>
      <c r="E608" s="80" t="s">
        <v>41</v>
      </c>
      <c r="F608" s="81">
        <v>5</v>
      </c>
      <c r="G608" s="81" t="s">
        <v>41</v>
      </c>
      <c r="H608" s="82">
        <v>45498</v>
      </c>
      <c r="I608" s="81">
        <v>5</v>
      </c>
      <c r="J608" s="82">
        <v>45504</v>
      </c>
      <c r="K608" s="81" t="s">
        <v>41</v>
      </c>
      <c r="L608" s="81" t="s">
        <v>5</v>
      </c>
      <c r="M608" s="81" t="s">
        <v>41</v>
      </c>
      <c r="N608" s="81" t="s">
        <v>4</v>
      </c>
    </row>
    <row r="609" spans="1:14" ht="21.75" customHeight="1" x14ac:dyDescent="0.25">
      <c r="A609" s="78">
        <v>2449</v>
      </c>
      <c r="B609" s="79">
        <v>45495</v>
      </c>
      <c r="C609" s="80" t="s">
        <v>41</v>
      </c>
      <c r="D609" s="80" t="s">
        <v>95</v>
      </c>
      <c r="E609" s="80" t="s">
        <v>41</v>
      </c>
      <c r="F609" s="81">
        <v>5</v>
      </c>
      <c r="G609" s="81" t="s">
        <v>41</v>
      </c>
      <c r="H609" s="82">
        <v>45499</v>
      </c>
      <c r="I609" s="81">
        <v>5</v>
      </c>
      <c r="J609" s="82">
        <v>45503</v>
      </c>
      <c r="K609" s="81" t="s">
        <v>3</v>
      </c>
      <c r="L609" s="81" t="s">
        <v>41</v>
      </c>
      <c r="M609" s="81" t="s">
        <v>41</v>
      </c>
      <c r="N609" s="81" t="s">
        <v>41</v>
      </c>
    </row>
    <row r="610" spans="1:14" ht="21.75" customHeight="1" x14ac:dyDescent="0.25">
      <c r="A610" s="78">
        <v>3453</v>
      </c>
      <c r="B610" s="79">
        <v>45495</v>
      </c>
      <c r="C610" s="80" t="s">
        <v>41</v>
      </c>
      <c r="D610" s="80" t="s">
        <v>44</v>
      </c>
      <c r="E610" s="80" t="s">
        <v>41</v>
      </c>
      <c r="F610" s="81">
        <v>5</v>
      </c>
      <c r="G610" s="81" t="s">
        <v>41</v>
      </c>
      <c r="H610" s="82">
        <v>45499</v>
      </c>
      <c r="I610" s="81">
        <v>3</v>
      </c>
      <c r="J610" s="82">
        <v>45503</v>
      </c>
      <c r="K610" s="81" t="s">
        <v>41</v>
      </c>
      <c r="L610" s="81" t="s">
        <v>41</v>
      </c>
      <c r="M610" s="81" t="s">
        <v>1</v>
      </c>
      <c r="N610" s="81" t="s">
        <v>41</v>
      </c>
    </row>
    <row r="611" spans="1:14" ht="21.75" customHeight="1" x14ac:dyDescent="0.25">
      <c r="A611" s="78">
        <v>2675</v>
      </c>
      <c r="B611" s="79">
        <v>45496</v>
      </c>
      <c r="C611" s="80" t="s">
        <v>41</v>
      </c>
      <c r="D611" s="80" t="s">
        <v>44</v>
      </c>
      <c r="E611" s="80" t="s">
        <v>41</v>
      </c>
      <c r="F611" s="81">
        <v>5</v>
      </c>
      <c r="G611" s="81" t="s">
        <v>41</v>
      </c>
      <c r="H611" s="82">
        <v>45500</v>
      </c>
      <c r="I611" s="81">
        <v>3</v>
      </c>
      <c r="J611" s="82">
        <v>45506</v>
      </c>
      <c r="K611" s="81" t="s">
        <v>3</v>
      </c>
      <c r="L611" s="81" t="s">
        <v>41</v>
      </c>
      <c r="M611" s="81" t="s">
        <v>41</v>
      </c>
      <c r="N611" s="81" t="s">
        <v>41</v>
      </c>
    </row>
    <row r="612" spans="1:14" ht="21.75" customHeight="1" x14ac:dyDescent="0.25">
      <c r="A612" s="78">
        <v>2745</v>
      </c>
      <c r="B612" s="79">
        <v>45496</v>
      </c>
      <c r="C612" s="80" t="s">
        <v>41</v>
      </c>
      <c r="D612" s="80" t="s">
        <v>6</v>
      </c>
      <c r="E612" s="80" t="s">
        <v>41</v>
      </c>
      <c r="F612" s="81">
        <v>5</v>
      </c>
      <c r="G612" s="81" t="s">
        <v>41</v>
      </c>
      <c r="H612" s="82">
        <v>45500</v>
      </c>
      <c r="I612" s="81">
        <v>5</v>
      </c>
      <c r="J612" s="82">
        <v>45506</v>
      </c>
      <c r="K612" s="81" t="s">
        <v>41</v>
      </c>
      <c r="L612" s="81" t="s">
        <v>5</v>
      </c>
      <c r="M612" s="81" t="s">
        <v>1</v>
      </c>
      <c r="N612" s="81" t="s">
        <v>41</v>
      </c>
    </row>
    <row r="613" spans="1:14" ht="21.75" customHeight="1" x14ac:dyDescent="0.25">
      <c r="A613" s="78">
        <v>2928</v>
      </c>
      <c r="B613" s="79">
        <v>45496</v>
      </c>
      <c r="C613" s="80" t="s">
        <v>41</v>
      </c>
      <c r="D613" s="80" t="s">
        <v>6</v>
      </c>
      <c r="E613" s="80" t="s">
        <v>41</v>
      </c>
      <c r="F613" s="81">
        <v>5</v>
      </c>
      <c r="G613" s="81" t="s">
        <v>41</v>
      </c>
      <c r="H613" s="82">
        <v>45500</v>
      </c>
      <c r="I613" s="81">
        <v>5</v>
      </c>
      <c r="J613" s="82">
        <v>45504</v>
      </c>
      <c r="K613" s="81" t="s">
        <v>41</v>
      </c>
      <c r="L613" s="81" t="s">
        <v>5</v>
      </c>
      <c r="M613" s="81" t="s">
        <v>41</v>
      </c>
      <c r="N613" s="81" t="s">
        <v>41</v>
      </c>
    </row>
    <row r="614" spans="1:14" ht="21.75" customHeight="1" x14ac:dyDescent="0.25">
      <c r="A614" s="78">
        <v>2477</v>
      </c>
      <c r="B614" s="79">
        <v>45496</v>
      </c>
      <c r="C614" s="80" t="s">
        <v>41</v>
      </c>
      <c r="D614" s="80" t="s">
        <v>96</v>
      </c>
      <c r="E614" s="80" t="s">
        <v>41</v>
      </c>
      <c r="F614" s="81">
        <v>5</v>
      </c>
      <c r="G614" s="81" t="s">
        <v>41</v>
      </c>
      <c r="H614" s="82">
        <v>45500</v>
      </c>
      <c r="I614" s="81">
        <v>3</v>
      </c>
      <c r="J614" s="82">
        <v>45504</v>
      </c>
      <c r="K614" s="81" t="s">
        <v>41</v>
      </c>
      <c r="L614" s="81" t="s">
        <v>41</v>
      </c>
      <c r="M614" s="81" t="s">
        <v>1</v>
      </c>
      <c r="N614" s="81" t="s">
        <v>41</v>
      </c>
    </row>
    <row r="615" spans="1:14" ht="21.75" customHeight="1" x14ac:dyDescent="0.25">
      <c r="A615" s="78">
        <v>3323</v>
      </c>
      <c r="B615" s="79">
        <v>45496</v>
      </c>
      <c r="C615" s="80" t="s">
        <v>41</v>
      </c>
      <c r="D615" s="80" t="s">
        <v>96</v>
      </c>
      <c r="E615" s="80" t="s">
        <v>41</v>
      </c>
      <c r="F615" s="81">
        <v>5</v>
      </c>
      <c r="G615" s="81" t="s">
        <v>41</v>
      </c>
      <c r="H615" s="82">
        <v>45500</v>
      </c>
      <c r="I615" s="81">
        <v>3</v>
      </c>
      <c r="J615" s="82">
        <v>45504</v>
      </c>
      <c r="K615" s="81" t="s">
        <v>3</v>
      </c>
      <c r="L615" s="81" t="s">
        <v>5</v>
      </c>
      <c r="M615" s="81" t="s">
        <v>1</v>
      </c>
      <c r="N615" s="81" t="s">
        <v>4</v>
      </c>
    </row>
    <row r="616" spans="1:14" ht="21.75" customHeight="1" x14ac:dyDescent="0.25">
      <c r="A616" s="78">
        <v>873</v>
      </c>
      <c r="B616" s="79">
        <v>45496</v>
      </c>
      <c r="C616" s="80" t="s">
        <v>41</v>
      </c>
      <c r="D616" s="80" t="s">
        <v>96</v>
      </c>
      <c r="E616" s="80" t="s">
        <v>41</v>
      </c>
      <c r="F616" s="81">
        <v>5</v>
      </c>
      <c r="G616" s="81" t="s">
        <v>41</v>
      </c>
      <c r="H616" s="82">
        <v>45500</v>
      </c>
      <c r="I616" s="81">
        <v>3</v>
      </c>
      <c r="J616" s="82">
        <v>45504</v>
      </c>
      <c r="K616" s="81" t="s">
        <v>3</v>
      </c>
      <c r="L616" s="81" t="s">
        <v>41</v>
      </c>
      <c r="M616" s="81" t="s">
        <v>41</v>
      </c>
      <c r="N616" s="81" t="s">
        <v>4</v>
      </c>
    </row>
    <row r="617" spans="1:14" ht="21.75" customHeight="1" x14ac:dyDescent="0.25">
      <c r="A617" s="78">
        <v>2483</v>
      </c>
      <c r="B617" s="79">
        <v>45496</v>
      </c>
      <c r="C617" s="80" t="s">
        <v>41</v>
      </c>
      <c r="D617" s="80" t="s">
        <v>96</v>
      </c>
      <c r="E617" s="80" t="s">
        <v>41</v>
      </c>
      <c r="F617" s="81">
        <v>5</v>
      </c>
      <c r="G617" s="81" t="s">
        <v>41</v>
      </c>
      <c r="H617" s="82">
        <v>45500</v>
      </c>
      <c r="I617" s="81">
        <v>3</v>
      </c>
      <c r="J617" s="82">
        <v>45504</v>
      </c>
      <c r="K617" s="81" t="s">
        <v>3</v>
      </c>
      <c r="L617" s="81" t="s">
        <v>5</v>
      </c>
      <c r="M617" s="81" t="s">
        <v>1</v>
      </c>
      <c r="N617" s="81" t="s">
        <v>4</v>
      </c>
    </row>
    <row r="618" spans="1:14" ht="21.75" customHeight="1" x14ac:dyDescent="0.25">
      <c r="A618" s="78">
        <v>3021</v>
      </c>
      <c r="B618" s="79">
        <v>45496</v>
      </c>
      <c r="C618" s="80" t="s">
        <v>41</v>
      </c>
      <c r="D618" s="80" t="s">
        <v>44</v>
      </c>
      <c r="E618" s="80" t="s">
        <v>41</v>
      </c>
      <c r="F618" s="81">
        <v>5</v>
      </c>
      <c r="G618" s="81" t="s">
        <v>41</v>
      </c>
      <c r="H618" s="82">
        <v>45500</v>
      </c>
      <c r="I618" s="81">
        <v>3</v>
      </c>
      <c r="J618" s="82">
        <v>45504</v>
      </c>
      <c r="K618" s="81" t="s">
        <v>3</v>
      </c>
      <c r="L618" s="81" t="s">
        <v>5</v>
      </c>
      <c r="M618" s="81" t="s">
        <v>41</v>
      </c>
      <c r="N618" s="81" t="s">
        <v>4</v>
      </c>
    </row>
    <row r="619" spans="1:14" ht="21.75" customHeight="1" x14ac:dyDescent="0.25">
      <c r="A619" s="78">
        <v>3051</v>
      </c>
      <c r="B619" s="79">
        <v>45496</v>
      </c>
      <c r="C619" s="80" t="s">
        <v>41</v>
      </c>
      <c r="D619" s="80" t="s">
        <v>44</v>
      </c>
      <c r="E619" s="80" t="s">
        <v>41</v>
      </c>
      <c r="F619" s="81">
        <v>5</v>
      </c>
      <c r="G619" s="81" t="s">
        <v>41</v>
      </c>
      <c r="H619" s="82">
        <v>45500</v>
      </c>
      <c r="I619" s="81">
        <v>3</v>
      </c>
      <c r="J619" s="82">
        <v>45506</v>
      </c>
      <c r="K619" s="81" t="s">
        <v>41</v>
      </c>
      <c r="L619" s="81" t="s">
        <v>41</v>
      </c>
      <c r="M619" s="81" t="s">
        <v>41</v>
      </c>
      <c r="N619" s="81" t="s">
        <v>4</v>
      </c>
    </row>
    <row r="620" spans="1:14" ht="21.75" customHeight="1" x14ac:dyDescent="0.25">
      <c r="A620" s="78">
        <v>3668</v>
      </c>
      <c r="B620" s="79">
        <v>45497</v>
      </c>
      <c r="C620" s="80" t="s">
        <v>41</v>
      </c>
      <c r="D620" s="80" t="s">
        <v>6</v>
      </c>
      <c r="E620" s="80" t="s">
        <v>41</v>
      </c>
      <c r="F620" s="81">
        <v>5</v>
      </c>
      <c r="G620" s="81" t="s">
        <v>41</v>
      </c>
      <c r="H620" s="82">
        <v>45501</v>
      </c>
      <c r="I620" s="81">
        <v>5</v>
      </c>
      <c r="J620" s="82">
        <v>45505</v>
      </c>
      <c r="K620" s="81" t="s">
        <v>41</v>
      </c>
      <c r="L620" s="81" t="s">
        <v>5</v>
      </c>
      <c r="M620" s="81" t="s">
        <v>41</v>
      </c>
      <c r="N620" s="81" t="s">
        <v>41</v>
      </c>
    </row>
    <row r="621" spans="1:14" ht="21.75" customHeight="1" x14ac:dyDescent="0.25">
      <c r="A621" s="78">
        <v>1713</v>
      </c>
      <c r="B621" s="79">
        <v>45497</v>
      </c>
      <c r="C621" s="80" t="s">
        <v>41</v>
      </c>
      <c r="D621" s="80" t="s">
        <v>96</v>
      </c>
      <c r="E621" s="80" t="s">
        <v>41</v>
      </c>
      <c r="F621" s="81">
        <v>5</v>
      </c>
      <c r="G621" s="81" t="s">
        <v>41</v>
      </c>
      <c r="H621" s="82">
        <v>45501</v>
      </c>
      <c r="I621" s="81">
        <v>3</v>
      </c>
      <c r="J621" s="82">
        <v>45505</v>
      </c>
      <c r="K621" s="81" t="s">
        <v>41</v>
      </c>
      <c r="L621" s="81" t="s">
        <v>41</v>
      </c>
      <c r="M621" s="81" t="s">
        <v>1</v>
      </c>
      <c r="N621" s="81" t="s">
        <v>41</v>
      </c>
    </row>
    <row r="622" spans="1:14" ht="21.75" customHeight="1" x14ac:dyDescent="0.25">
      <c r="A622" s="78">
        <v>2723</v>
      </c>
      <c r="B622" s="79">
        <v>45497</v>
      </c>
      <c r="C622" s="80" t="s">
        <v>41</v>
      </c>
      <c r="D622" s="80" t="s">
        <v>96</v>
      </c>
      <c r="E622" s="80" t="s">
        <v>41</v>
      </c>
      <c r="F622" s="81">
        <v>5</v>
      </c>
      <c r="G622" s="81" t="s">
        <v>41</v>
      </c>
      <c r="H622" s="82">
        <v>45501</v>
      </c>
      <c r="I622" s="81">
        <v>3</v>
      </c>
      <c r="J622" s="82">
        <v>45505</v>
      </c>
      <c r="K622" s="81" t="s">
        <v>3</v>
      </c>
      <c r="L622" s="81" t="s">
        <v>41</v>
      </c>
      <c r="M622" s="81" t="s">
        <v>41</v>
      </c>
      <c r="N622" s="81" t="s">
        <v>41</v>
      </c>
    </row>
    <row r="623" spans="1:14" ht="21.75" customHeight="1" x14ac:dyDescent="0.25">
      <c r="A623" s="78">
        <v>3034</v>
      </c>
      <c r="B623" s="79">
        <v>45497</v>
      </c>
      <c r="C623" s="80" t="s">
        <v>41</v>
      </c>
      <c r="D623" s="80" t="s">
        <v>44</v>
      </c>
      <c r="E623" s="80" t="s">
        <v>41</v>
      </c>
      <c r="F623" s="81">
        <v>5</v>
      </c>
      <c r="G623" s="81" t="s">
        <v>41</v>
      </c>
      <c r="H623" s="82">
        <v>45501</v>
      </c>
      <c r="I623" s="81">
        <v>3</v>
      </c>
      <c r="J623" s="82">
        <v>45505</v>
      </c>
      <c r="K623" s="81" t="s">
        <v>3</v>
      </c>
      <c r="L623" s="81" t="s">
        <v>5</v>
      </c>
      <c r="M623" s="81" t="s">
        <v>1</v>
      </c>
      <c r="N623" s="81" t="s">
        <v>4</v>
      </c>
    </row>
    <row r="624" spans="1:14" ht="21.75" customHeight="1" x14ac:dyDescent="0.25">
      <c r="A624" s="78">
        <v>1193</v>
      </c>
      <c r="B624" s="79">
        <v>45498</v>
      </c>
      <c r="C624" s="80" t="s">
        <v>41</v>
      </c>
      <c r="D624" s="80" t="s">
        <v>44</v>
      </c>
      <c r="E624" s="80" t="s">
        <v>41</v>
      </c>
      <c r="F624" s="81">
        <v>5</v>
      </c>
      <c r="G624" s="81" t="s">
        <v>41</v>
      </c>
      <c r="H624" s="82">
        <v>45502</v>
      </c>
      <c r="I624" s="81">
        <v>3</v>
      </c>
      <c r="J624" s="82">
        <v>45506</v>
      </c>
      <c r="K624" s="81" t="s">
        <v>3</v>
      </c>
      <c r="L624" s="81" t="s">
        <v>5</v>
      </c>
      <c r="M624" s="81" t="s">
        <v>1</v>
      </c>
      <c r="N624" s="81" t="s">
        <v>4</v>
      </c>
    </row>
    <row r="625" spans="1:14" ht="21.75" customHeight="1" x14ac:dyDescent="0.25">
      <c r="A625" s="78">
        <v>2345</v>
      </c>
      <c r="B625" s="79">
        <v>45498</v>
      </c>
      <c r="C625" s="80" t="s">
        <v>41</v>
      </c>
      <c r="D625" s="80" t="s">
        <v>97</v>
      </c>
      <c r="E625" s="80" t="s">
        <v>41</v>
      </c>
      <c r="F625" s="81">
        <v>5</v>
      </c>
      <c r="G625" s="81" t="s">
        <v>41</v>
      </c>
      <c r="H625" s="82">
        <v>45502</v>
      </c>
      <c r="I625" s="81">
        <v>3</v>
      </c>
      <c r="J625" s="82">
        <v>45506</v>
      </c>
      <c r="K625" s="81" t="s">
        <v>41</v>
      </c>
      <c r="L625" s="81" t="s">
        <v>41</v>
      </c>
      <c r="M625" s="81" t="s">
        <v>41</v>
      </c>
      <c r="N625" s="81" t="s">
        <v>4</v>
      </c>
    </row>
    <row r="626" spans="1:14" ht="21.75" customHeight="1" x14ac:dyDescent="0.25">
      <c r="A626" s="78">
        <v>2723</v>
      </c>
      <c r="B626" s="79">
        <v>45498</v>
      </c>
      <c r="C626" s="80" t="s">
        <v>41</v>
      </c>
      <c r="D626" s="80" t="s">
        <v>97</v>
      </c>
      <c r="E626" s="80" t="s">
        <v>41</v>
      </c>
      <c r="F626" s="81">
        <v>5</v>
      </c>
      <c r="G626" s="81" t="s">
        <v>41</v>
      </c>
      <c r="H626" s="82">
        <v>45502</v>
      </c>
      <c r="I626" s="81">
        <v>3</v>
      </c>
      <c r="J626" s="82">
        <v>45506</v>
      </c>
      <c r="K626" s="81" t="s">
        <v>3</v>
      </c>
      <c r="L626" s="81" t="s">
        <v>41</v>
      </c>
      <c r="M626" s="81" t="s">
        <v>41</v>
      </c>
      <c r="N626" s="81" t="s">
        <v>41</v>
      </c>
    </row>
    <row r="627" spans="1:14" ht="21.75" customHeight="1" x14ac:dyDescent="0.25">
      <c r="A627" s="78">
        <v>1713</v>
      </c>
      <c r="B627" s="79">
        <v>45498</v>
      </c>
      <c r="C627" s="80" t="s">
        <v>41</v>
      </c>
      <c r="D627" s="80" t="s">
        <v>0</v>
      </c>
      <c r="E627" s="80" t="s">
        <v>41</v>
      </c>
      <c r="F627" s="81">
        <v>3</v>
      </c>
      <c r="G627" s="81" t="s">
        <v>41</v>
      </c>
      <c r="H627" s="82">
        <v>45500</v>
      </c>
      <c r="I627" s="81">
        <v>3</v>
      </c>
      <c r="J627" s="82">
        <v>45504</v>
      </c>
      <c r="K627" s="81" t="s">
        <v>41</v>
      </c>
      <c r="L627" s="81" t="s">
        <v>41</v>
      </c>
      <c r="M627" s="81" t="s">
        <v>1</v>
      </c>
      <c r="N627" s="81" t="s">
        <v>41</v>
      </c>
    </row>
    <row r="628" spans="1:14" ht="21.75" customHeight="1" x14ac:dyDescent="0.25">
      <c r="A628" s="78">
        <v>2513</v>
      </c>
      <c r="B628" s="79">
        <v>45498</v>
      </c>
      <c r="C628" s="80" t="s">
        <v>41</v>
      </c>
      <c r="D628" s="80" t="s">
        <v>2</v>
      </c>
      <c r="E628" s="80" t="s">
        <v>41</v>
      </c>
      <c r="F628" s="81">
        <v>5</v>
      </c>
      <c r="G628" s="81" t="s">
        <v>41</v>
      </c>
      <c r="H628" s="82">
        <v>45502</v>
      </c>
      <c r="I628" s="81">
        <v>3</v>
      </c>
      <c r="J628" s="82">
        <v>45506</v>
      </c>
      <c r="K628" s="81" t="s">
        <v>3</v>
      </c>
      <c r="L628" s="81" t="s">
        <v>41</v>
      </c>
      <c r="M628" s="81" t="s">
        <v>41</v>
      </c>
      <c r="N628" s="81" t="s">
        <v>41</v>
      </c>
    </row>
    <row r="629" spans="1:14" ht="21.75" customHeight="1" x14ac:dyDescent="0.25">
      <c r="A629" s="78">
        <v>3554</v>
      </c>
      <c r="B629" s="79">
        <v>45498</v>
      </c>
      <c r="C629" s="80" t="s">
        <v>41</v>
      </c>
      <c r="D629" s="80" t="s">
        <v>2</v>
      </c>
      <c r="E629" s="80" t="s">
        <v>41</v>
      </c>
      <c r="F629" s="81">
        <v>5</v>
      </c>
      <c r="G629" s="81" t="s">
        <v>41</v>
      </c>
      <c r="H629" s="82">
        <v>45502</v>
      </c>
      <c r="I629" s="81">
        <v>3</v>
      </c>
      <c r="J629" s="82">
        <v>45506</v>
      </c>
      <c r="K629" s="81" t="s">
        <v>3</v>
      </c>
      <c r="L629" s="81" t="s">
        <v>41</v>
      </c>
      <c r="M629" s="81" t="s">
        <v>41</v>
      </c>
      <c r="N629" s="81" t="s">
        <v>41</v>
      </c>
    </row>
    <row r="630" spans="1:14" ht="21.75" customHeight="1" x14ac:dyDescent="0.25">
      <c r="A630" s="78">
        <v>3164</v>
      </c>
      <c r="B630" s="79">
        <v>45498</v>
      </c>
      <c r="C630" s="80" t="s">
        <v>41</v>
      </c>
      <c r="D630" s="80" t="s">
        <v>2</v>
      </c>
      <c r="E630" s="80" t="s">
        <v>41</v>
      </c>
      <c r="F630" s="81">
        <v>5</v>
      </c>
      <c r="G630" s="81" t="s">
        <v>41</v>
      </c>
      <c r="H630" s="82">
        <v>45502</v>
      </c>
      <c r="I630" s="81">
        <v>3</v>
      </c>
      <c r="J630" s="82">
        <v>45506</v>
      </c>
      <c r="K630" s="81" t="s">
        <v>3</v>
      </c>
      <c r="L630" s="81" t="s">
        <v>41</v>
      </c>
      <c r="M630" s="81" t="s">
        <v>41</v>
      </c>
      <c r="N630" s="81" t="s">
        <v>41</v>
      </c>
    </row>
    <row r="631" spans="1:14" ht="21.75" customHeight="1" x14ac:dyDescent="0.25">
      <c r="A631" s="78">
        <v>2324</v>
      </c>
      <c r="B631" s="79">
        <v>45498</v>
      </c>
      <c r="C631" s="80" t="s">
        <v>41</v>
      </c>
      <c r="D631" s="80" t="s">
        <v>2</v>
      </c>
      <c r="E631" s="80" t="s">
        <v>41</v>
      </c>
      <c r="F631" s="81">
        <v>5</v>
      </c>
      <c r="G631" s="81" t="s">
        <v>41</v>
      </c>
      <c r="H631" s="82">
        <v>45502</v>
      </c>
      <c r="I631" s="81">
        <v>3</v>
      </c>
      <c r="J631" s="82">
        <v>45506</v>
      </c>
      <c r="K631" s="81" t="s">
        <v>41</v>
      </c>
      <c r="L631" s="81" t="s">
        <v>41</v>
      </c>
      <c r="M631" s="81" t="s">
        <v>41</v>
      </c>
      <c r="N631" s="81" t="s">
        <v>4</v>
      </c>
    </row>
    <row r="632" spans="1:14" ht="21.75" customHeight="1" x14ac:dyDescent="0.25">
      <c r="A632" s="78">
        <v>2050</v>
      </c>
      <c r="B632" s="79">
        <v>45498</v>
      </c>
      <c r="C632" s="80" t="s">
        <v>41</v>
      </c>
      <c r="D632" s="80" t="s">
        <v>2</v>
      </c>
      <c r="E632" s="80" t="s">
        <v>41</v>
      </c>
      <c r="F632" s="81">
        <v>5</v>
      </c>
      <c r="G632" s="81" t="s">
        <v>41</v>
      </c>
      <c r="H632" s="82">
        <v>45502</v>
      </c>
      <c r="I632" s="81">
        <v>3</v>
      </c>
      <c r="J632" s="82">
        <v>45506</v>
      </c>
      <c r="K632" s="81" t="s">
        <v>3</v>
      </c>
      <c r="L632" s="81" t="s">
        <v>41</v>
      </c>
      <c r="M632" s="81" t="s">
        <v>41</v>
      </c>
      <c r="N632" s="81" t="s">
        <v>41</v>
      </c>
    </row>
    <row r="633" spans="1:14" ht="21.75" customHeight="1" x14ac:dyDescent="0.25">
      <c r="A633" s="78">
        <v>2879</v>
      </c>
      <c r="B633" s="79">
        <v>45499</v>
      </c>
      <c r="C633" s="80" t="s">
        <v>41</v>
      </c>
      <c r="D633" s="80" t="s">
        <v>0</v>
      </c>
      <c r="E633" s="80" t="s">
        <v>41</v>
      </c>
      <c r="F633" s="81">
        <v>5</v>
      </c>
      <c r="G633" s="81" t="s">
        <v>41</v>
      </c>
      <c r="H633" s="82">
        <v>45503</v>
      </c>
      <c r="I633" s="81">
        <v>3</v>
      </c>
      <c r="J633" s="82">
        <v>45507</v>
      </c>
      <c r="K633" s="81" t="s">
        <v>41</v>
      </c>
      <c r="L633" s="81" t="s">
        <v>5</v>
      </c>
      <c r="M633" s="81" t="s">
        <v>41</v>
      </c>
      <c r="N633" s="81" t="s">
        <v>41</v>
      </c>
    </row>
    <row r="634" spans="1:14" ht="21.75" customHeight="1" x14ac:dyDescent="0.25">
      <c r="A634" s="78">
        <v>2745</v>
      </c>
      <c r="B634" s="79">
        <v>45499</v>
      </c>
      <c r="C634" s="80" t="s">
        <v>41</v>
      </c>
      <c r="D634" s="80" t="s">
        <v>6</v>
      </c>
      <c r="E634" s="80" t="s">
        <v>41</v>
      </c>
      <c r="F634" s="81">
        <v>4</v>
      </c>
      <c r="G634" s="81" t="s">
        <v>41</v>
      </c>
      <c r="H634" s="82">
        <v>45503</v>
      </c>
      <c r="I634" s="81">
        <v>5</v>
      </c>
      <c r="J634" s="82">
        <v>45509</v>
      </c>
      <c r="K634" s="81" t="s">
        <v>3</v>
      </c>
      <c r="L634" s="81" t="s">
        <v>5</v>
      </c>
      <c r="M634" s="81" t="s">
        <v>1</v>
      </c>
      <c r="N634" s="81" t="s">
        <v>41</v>
      </c>
    </row>
    <row r="635" spans="1:14" ht="21.75" customHeight="1" x14ac:dyDescent="0.25">
      <c r="A635" s="78">
        <v>3637</v>
      </c>
      <c r="B635" s="79">
        <v>45499</v>
      </c>
      <c r="C635" s="80" t="s">
        <v>41</v>
      </c>
      <c r="D635" s="83" t="s">
        <v>7</v>
      </c>
      <c r="E635" s="80" t="s">
        <v>41</v>
      </c>
      <c r="F635" s="81">
        <v>5</v>
      </c>
      <c r="G635" s="81" t="s">
        <v>41</v>
      </c>
      <c r="H635" s="82">
        <v>45503</v>
      </c>
      <c r="I635" s="81">
        <v>3</v>
      </c>
      <c r="J635" s="82">
        <v>45507</v>
      </c>
      <c r="K635" s="81" t="s">
        <v>41</v>
      </c>
      <c r="L635" s="81" t="s">
        <v>5</v>
      </c>
      <c r="M635" s="81" t="s">
        <v>41</v>
      </c>
      <c r="N635" s="81" t="s">
        <v>41</v>
      </c>
    </row>
    <row r="636" spans="1:14" ht="21.75" customHeight="1" x14ac:dyDescent="0.25">
      <c r="A636" s="78">
        <v>3720</v>
      </c>
      <c r="B636" s="79">
        <v>45500</v>
      </c>
      <c r="C636" s="80" t="s">
        <v>41</v>
      </c>
      <c r="D636" s="84" t="s">
        <v>7</v>
      </c>
      <c r="E636" s="80" t="s">
        <v>41</v>
      </c>
      <c r="F636" s="81">
        <v>5</v>
      </c>
      <c r="G636" s="81" t="s">
        <v>41</v>
      </c>
      <c r="H636" s="82">
        <v>45504</v>
      </c>
      <c r="I636" s="81">
        <v>3</v>
      </c>
      <c r="J636" s="82">
        <v>45508</v>
      </c>
      <c r="K636" s="81" t="s">
        <v>3</v>
      </c>
      <c r="L636" s="81" t="s">
        <v>5</v>
      </c>
      <c r="M636" s="81" t="s">
        <v>1</v>
      </c>
      <c r="N636" s="81" t="s">
        <v>4</v>
      </c>
    </row>
    <row r="637" spans="1:14" ht="21.75" customHeight="1" x14ac:dyDescent="0.25">
      <c r="A637" s="78">
        <v>873</v>
      </c>
      <c r="B637" s="79">
        <v>45501</v>
      </c>
      <c r="C637" s="80" t="s">
        <v>41</v>
      </c>
      <c r="D637" s="75" t="s">
        <v>8</v>
      </c>
      <c r="E637" s="80" t="s">
        <v>41</v>
      </c>
      <c r="F637" s="81">
        <v>5</v>
      </c>
      <c r="G637" s="81" t="s">
        <v>41</v>
      </c>
      <c r="H637" s="82">
        <v>45505</v>
      </c>
      <c r="I637" s="81">
        <v>4</v>
      </c>
      <c r="J637" s="82">
        <v>45510</v>
      </c>
      <c r="K637" s="81" t="s">
        <v>3</v>
      </c>
      <c r="L637" s="81" t="s">
        <v>5</v>
      </c>
      <c r="M637" s="81" t="s">
        <v>1</v>
      </c>
      <c r="N637" s="81" t="s">
        <v>4</v>
      </c>
    </row>
    <row r="638" spans="1:14" ht="21.75" customHeight="1" x14ac:dyDescent="0.25">
      <c r="A638" s="78">
        <v>2959</v>
      </c>
      <c r="B638" s="79">
        <v>45501</v>
      </c>
      <c r="C638" s="80" t="s">
        <v>41</v>
      </c>
      <c r="D638" s="80" t="s">
        <v>9</v>
      </c>
      <c r="E638" s="80" t="s">
        <v>41</v>
      </c>
      <c r="F638" s="81">
        <v>5</v>
      </c>
      <c r="G638" s="81" t="s">
        <v>41</v>
      </c>
      <c r="H638" s="82">
        <v>45505</v>
      </c>
      <c r="I638" s="81">
        <v>2</v>
      </c>
      <c r="J638" s="82">
        <v>45508</v>
      </c>
      <c r="K638" s="81" t="s">
        <v>3</v>
      </c>
      <c r="L638" s="81" t="s">
        <v>5</v>
      </c>
      <c r="M638" s="81" t="s">
        <v>41</v>
      </c>
      <c r="N638" s="81" t="s">
        <v>4</v>
      </c>
    </row>
    <row r="639" spans="1:14" ht="21.75" customHeight="1" x14ac:dyDescent="0.25">
      <c r="A639" s="78">
        <v>2513</v>
      </c>
      <c r="B639" s="79">
        <v>45502</v>
      </c>
      <c r="C639" s="80" t="s">
        <v>41</v>
      </c>
      <c r="D639" s="83" t="s">
        <v>7</v>
      </c>
      <c r="E639" s="80" t="s">
        <v>41</v>
      </c>
      <c r="F639" s="81">
        <v>5</v>
      </c>
      <c r="G639" s="81" t="s">
        <v>41</v>
      </c>
      <c r="H639" s="82">
        <v>45506</v>
      </c>
      <c r="I639" s="81">
        <v>3</v>
      </c>
      <c r="J639" s="82">
        <v>45510</v>
      </c>
      <c r="K639" s="81" t="s">
        <v>41</v>
      </c>
      <c r="L639" s="81" t="s">
        <v>5</v>
      </c>
      <c r="M639" s="81" t="s">
        <v>41</v>
      </c>
      <c r="N639" s="81" t="s">
        <v>41</v>
      </c>
    </row>
    <row r="640" spans="1:14" ht="21.75" customHeight="1" x14ac:dyDescent="0.25">
      <c r="A640" s="78">
        <v>2513</v>
      </c>
      <c r="B640" s="79">
        <v>45502</v>
      </c>
      <c r="C640" s="80" t="s">
        <v>41</v>
      </c>
      <c r="D640" s="75" t="s">
        <v>2</v>
      </c>
      <c r="E640" s="80" t="s">
        <v>41</v>
      </c>
      <c r="F640" s="81">
        <v>5</v>
      </c>
      <c r="G640" s="81" t="s">
        <v>41</v>
      </c>
      <c r="H640" s="82">
        <v>45506</v>
      </c>
      <c r="I640" s="81">
        <v>3</v>
      </c>
      <c r="J640" s="82">
        <v>45510</v>
      </c>
      <c r="K640" s="81" t="s">
        <v>41</v>
      </c>
      <c r="L640" s="81" t="s">
        <v>5</v>
      </c>
      <c r="M640" s="81" t="s">
        <v>41</v>
      </c>
      <c r="N640" s="81" t="s">
        <v>41</v>
      </c>
    </row>
    <row r="641" spans="1:14" ht="21.75" customHeight="1" x14ac:dyDescent="0.25">
      <c r="A641" s="78">
        <v>2814</v>
      </c>
      <c r="B641" s="79">
        <v>45503</v>
      </c>
      <c r="C641" s="80" t="s">
        <v>41</v>
      </c>
      <c r="D641" s="83" t="s">
        <v>7</v>
      </c>
      <c r="E641" s="80" t="s">
        <v>41</v>
      </c>
      <c r="F641" s="81">
        <v>5</v>
      </c>
      <c r="G641" s="81" t="s">
        <v>41</v>
      </c>
      <c r="H641" s="82">
        <v>45507</v>
      </c>
      <c r="I641" s="81">
        <v>3</v>
      </c>
      <c r="J641" s="82">
        <v>45511</v>
      </c>
      <c r="K641" s="81" t="s">
        <v>41</v>
      </c>
      <c r="L641" s="81" t="s">
        <v>5</v>
      </c>
      <c r="M641" s="81" t="s">
        <v>41</v>
      </c>
      <c r="N641" s="81" t="s">
        <v>41</v>
      </c>
    </row>
    <row r="642" spans="1:14" ht="21.75" customHeight="1" x14ac:dyDescent="0.25">
      <c r="A642" s="78">
        <v>3459</v>
      </c>
      <c r="B642" s="79">
        <v>45503</v>
      </c>
      <c r="C642" s="80" t="s">
        <v>41</v>
      </c>
      <c r="D642" s="84" t="s">
        <v>7</v>
      </c>
      <c r="E642" s="80" t="s">
        <v>41</v>
      </c>
      <c r="F642" s="81">
        <v>5</v>
      </c>
      <c r="G642" s="81" t="s">
        <v>41</v>
      </c>
      <c r="H642" s="82">
        <v>45507</v>
      </c>
      <c r="I642" s="81">
        <v>3</v>
      </c>
      <c r="J642" s="82">
        <v>45511</v>
      </c>
      <c r="K642" s="81" t="s">
        <v>3</v>
      </c>
      <c r="L642" s="81" t="s">
        <v>41</v>
      </c>
      <c r="M642" s="81" t="s">
        <v>1</v>
      </c>
      <c r="N642" s="81" t="s">
        <v>41</v>
      </c>
    </row>
    <row r="643" spans="1:14" ht="21.75" customHeight="1" x14ac:dyDescent="0.25">
      <c r="A643" s="78">
        <v>2225</v>
      </c>
      <c r="B643" s="79">
        <v>45503</v>
      </c>
      <c r="C643" s="80" t="s">
        <v>41</v>
      </c>
      <c r="D643" s="84" t="s">
        <v>7</v>
      </c>
      <c r="E643" s="80" t="s">
        <v>41</v>
      </c>
      <c r="F643" s="81">
        <v>5</v>
      </c>
      <c r="G643" s="81" t="s">
        <v>41</v>
      </c>
      <c r="H643" s="82">
        <v>45507</v>
      </c>
      <c r="I643" s="81">
        <v>3</v>
      </c>
      <c r="J643" s="82">
        <v>45511</v>
      </c>
      <c r="K643" s="81" t="s">
        <v>3</v>
      </c>
      <c r="L643" s="81" t="s">
        <v>41</v>
      </c>
      <c r="M643" s="81" t="s">
        <v>41</v>
      </c>
      <c r="N643" s="81" t="s">
        <v>41</v>
      </c>
    </row>
    <row r="644" spans="1:14" ht="21.75" customHeight="1" x14ac:dyDescent="0.25">
      <c r="A644" s="78">
        <v>99</v>
      </c>
      <c r="B644" s="79">
        <v>45503</v>
      </c>
      <c r="C644" s="80" t="s">
        <v>41</v>
      </c>
      <c r="D644" s="84" t="s">
        <v>7</v>
      </c>
      <c r="E644" s="80" t="s">
        <v>41</v>
      </c>
      <c r="F644" s="81">
        <v>5</v>
      </c>
      <c r="G644" s="81" t="s">
        <v>41</v>
      </c>
      <c r="H644" s="82">
        <v>45507</v>
      </c>
      <c r="I644" s="81">
        <v>3</v>
      </c>
      <c r="J644" s="82">
        <v>45511</v>
      </c>
      <c r="K644" s="81" t="s">
        <v>41</v>
      </c>
      <c r="L644" s="81" t="s">
        <v>5</v>
      </c>
      <c r="M644" s="81" t="s">
        <v>41</v>
      </c>
      <c r="N644" s="81" t="s">
        <v>4</v>
      </c>
    </row>
    <row r="645" spans="1:14" ht="21.75" customHeight="1" x14ac:dyDescent="0.25">
      <c r="A645" s="78">
        <v>2732</v>
      </c>
      <c r="B645" s="79">
        <v>45503</v>
      </c>
      <c r="C645" s="80" t="s">
        <v>41</v>
      </c>
      <c r="D645" s="84" t="s">
        <v>7</v>
      </c>
      <c r="E645" s="80" t="s">
        <v>41</v>
      </c>
      <c r="F645" s="81">
        <v>5</v>
      </c>
      <c r="G645" s="81" t="s">
        <v>41</v>
      </c>
      <c r="H645" s="82">
        <v>45507</v>
      </c>
      <c r="I645" s="81">
        <v>3</v>
      </c>
      <c r="J645" s="82">
        <v>45511</v>
      </c>
      <c r="K645" s="81" t="s">
        <v>41</v>
      </c>
      <c r="L645" s="81" t="s">
        <v>5</v>
      </c>
      <c r="M645" s="81" t="s">
        <v>41</v>
      </c>
      <c r="N645" s="81" t="s">
        <v>41</v>
      </c>
    </row>
    <row r="646" spans="1:14" ht="21.75" customHeight="1" x14ac:dyDescent="0.25">
      <c r="A646" s="78">
        <v>3164</v>
      </c>
      <c r="B646" s="79">
        <v>45504</v>
      </c>
      <c r="C646" s="80" t="s">
        <v>41</v>
      </c>
      <c r="D646" s="75" t="s">
        <v>2</v>
      </c>
      <c r="E646" s="80" t="s">
        <v>41</v>
      </c>
      <c r="F646" s="81">
        <v>5</v>
      </c>
      <c r="G646" s="81" t="s">
        <v>41</v>
      </c>
      <c r="H646" s="82">
        <v>45508</v>
      </c>
      <c r="I646" s="81">
        <v>3</v>
      </c>
      <c r="J646" s="82">
        <v>45512</v>
      </c>
      <c r="K646" s="81" t="s">
        <v>3</v>
      </c>
      <c r="L646" s="81" t="s">
        <v>41</v>
      </c>
      <c r="M646" s="81" t="s">
        <v>41</v>
      </c>
      <c r="N646" s="81" t="s">
        <v>41</v>
      </c>
    </row>
    <row r="647" spans="1:14" ht="21.75" customHeight="1" x14ac:dyDescent="0.25">
      <c r="A647" s="78">
        <v>3323</v>
      </c>
      <c r="B647" s="79">
        <v>45504</v>
      </c>
      <c r="C647" s="80" t="s">
        <v>41</v>
      </c>
      <c r="D647" s="80" t="s">
        <v>10</v>
      </c>
      <c r="E647" s="80" t="s">
        <v>41</v>
      </c>
      <c r="F647" s="81">
        <v>5</v>
      </c>
      <c r="G647" s="81" t="s">
        <v>41</v>
      </c>
      <c r="H647" s="82">
        <v>45508</v>
      </c>
      <c r="I647" s="81">
        <v>3</v>
      </c>
      <c r="J647" s="82">
        <v>45512</v>
      </c>
      <c r="K647" s="81" t="s">
        <v>3</v>
      </c>
      <c r="L647" s="81" t="s">
        <v>41</v>
      </c>
      <c r="M647" s="81" t="s">
        <v>1</v>
      </c>
      <c r="N647" s="81" t="s">
        <v>41</v>
      </c>
    </row>
    <row r="648" spans="1:14" ht="21.75" customHeight="1" x14ac:dyDescent="0.25">
      <c r="A648" s="78">
        <v>3668</v>
      </c>
      <c r="B648" s="79">
        <v>45504</v>
      </c>
      <c r="C648" s="80" t="s">
        <v>41</v>
      </c>
      <c r="D648" s="80" t="s">
        <v>10</v>
      </c>
      <c r="E648" s="80" t="s">
        <v>41</v>
      </c>
      <c r="F648" s="81">
        <v>5</v>
      </c>
      <c r="G648" s="81" t="s">
        <v>41</v>
      </c>
      <c r="H648" s="82">
        <v>45508</v>
      </c>
      <c r="I648" s="81">
        <v>3</v>
      </c>
      <c r="J648" s="82">
        <v>45512</v>
      </c>
      <c r="K648" s="81" t="s">
        <v>41</v>
      </c>
      <c r="L648" s="81" t="s">
        <v>41</v>
      </c>
      <c r="M648" s="81" t="s">
        <v>41</v>
      </c>
      <c r="N648" s="81" t="s">
        <v>4</v>
      </c>
    </row>
    <row r="649" spans="1:14" ht="21.75" customHeight="1" x14ac:dyDescent="0.25">
      <c r="A649" s="78">
        <v>3021</v>
      </c>
      <c r="B649" s="79">
        <v>45504</v>
      </c>
      <c r="C649" s="80" t="s">
        <v>41</v>
      </c>
      <c r="D649" s="80" t="s">
        <v>11</v>
      </c>
      <c r="E649" s="80" t="s">
        <v>41</v>
      </c>
      <c r="F649" s="81">
        <v>5</v>
      </c>
      <c r="G649" s="81" t="s">
        <v>41</v>
      </c>
      <c r="H649" s="82">
        <v>45508</v>
      </c>
      <c r="I649" s="81">
        <v>5</v>
      </c>
      <c r="J649" s="82">
        <v>45514</v>
      </c>
      <c r="K649" s="81" t="s">
        <v>3</v>
      </c>
      <c r="L649" s="81" t="s">
        <v>41</v>
      </c>
      <c r="M649" s="81" t="s">
        <v>41</v>
      </c>
      <c r="N649" s="81" t="s">
        <v>41</v>
      </c>
    </row>
    <row r="650" spans="1:14" ht="21.75" customHeight="1" x14ac:dyDescent="0.25">
      <c r="A650" s="78">
        <v>1111</v>
      </c>
      <c r="B650" s="79">
        <v>45504</v>
      </c>
      <c r="C650" s="80" t="s">
        <v>41</v>
      </c>
      <c r="D650" s="83" t="s">
        <v>7</v>
      </c>
      <c r="E650" s="80" t="s">
        <v>41</v>
      </c>
      <c r="F650" s="81">
        <v>5</v>
      </c>
      <c r="G650" s="81" t="s">
        <v>41</v>
      </c>
      <c r="H650" s="82">
        <v>45508</v>
      </c>
      <c r="I650" s="81">
        <v>3</v>
      </c>
      <c r="J650" s="82">
        <v>45512</v>
      </c>
      <c r="K650" s="81" t="s">
        <v>3</v>
      </c>
      <c r="L650" s="81" t="s">
        <v>5</v>
      </c>
      <c r="M650" s="81" t="s">
        <v>1</v>
      </c>
      <c r="N650" s="81" t="s">
        <v>4</v>
      </c>
    </row>
    <row r="651" spans="1:14" ht="21.75" customHeight="1" x14ac:dyDescent="0.25">
      <c r="A651" s="78">
        <v>1810</v>
      </c>
      <c r="B651" s="79">
        <v>45504</v>
      </c>
      <c r="C651" s="80" t="s">
        <v>41</v>
      </c>
      <c r="D651" s="84" t="s">
        <v>7</v>
      </c>
      <c r="E651" s="80" t="s">
        <v>41</v>
      </c>
      <c r="F651" s="81">
        <v>5</v>
      </c>
      <c r="G651" s="81" t="s">
        <v>41</v>
      </c>
      <c r="H651" s="82">
        <v>45509</v>
      </c>
      <c r="I651" s="81">
        <v>3</v>
      </c>
      <c r="J651" s="82">
        <v>45512</v>
      </c>
      <c r="K651" s="81" t="s">
        <v>41</v>
      </c>
      <c r="L651" s="81" t="s">
        <v>41</v>
      </c>
      <c r="M651" s="81" t="s">
        <v>41</v>
      </c>
      <c r="N651" s="81" t="s">
        <v>4</v>
      </c>
    </row>
    <row r="652" spans="1:14" ht="21.75" customHeight="1" x14ac:dyDescent="0.25">
      <c r="A652" s="78">
        <v>2745</v>
      </c>
      <c r="B652" s="79">
        <v>45504</v>
      </c>
      <c r="C652" s="80" t="s">
        <v>41</v>
      </c>
      <c r="D652" s="75" t="s">
        <v>12</v>
      </c>
      <c r="E652" s="80" t="s">
        <v>41</v>
      </c>
      <c r="F652" s="81">
        <v>6</v>
      </c>
      <c r="G652" s="81" t="s">
        <v>41</v>
      </c>
      <c r="H652" s="82">
        <v>45508</v>
      </c>
      <c r="I652" s="81">
        <v>3</v>
      </c>
      <c r="J652" s="82">
        <v>45513</v>
      </c>
      <c r="K652" s="81" t="s">
        <v>3</v>
      </c>
      <c r="L652" s="81" t="s">
        <v>5</v>
      </c>
      <c r="M652" s="81" t="s">
        <v>1</v>
      </c>
      <c r="N652" s="81" t="s">
        <v>4</v>
      </c>
    </row>
    <row r="653" spans="1:14" ht="21.75" customHeight="1" x14ac:dyDescent="0.25">
      <c r="A653" s="78">
        <v>3637</v>
      </c>
      <c r="B653" s="79">
        <v>45504</v>
      </c>
      <c r="C653" s="80" t="s">
        <v>41</v>
      </c>
      <c r="D653" s="80" t="s">
        <v>0</v>
      </c>
      <c r="E653" s="80" t="s">
        <v>41</v>
      </c>
      <c r="F653" s="81">
        <v>5</v>
      </c>
      <c r="G653" s="81" t="s">
        <v>41</v>
      </c>
      <c r="H653" s="82">
        <v>45508</v>
      </c>
      <c r="I653" s="81">
        <v>3</v>
      </c>
      <c r="J653" s="82">
        <v>45512</v>
      </c>
      <c r="K653" s="81" t="s">
        <v>41</v>
      </c>
      <c r="L653" s="81" t="s">
        <v>5</v>
      </c>
      <c r="M653" s="81" t="s">
        <v>41</v>
      </c>
      <c r="N653" s="81" t="s">
        <v>41</v>
      </c>
    </row>
    <row r="654" spans="1:14" ht="21.75" customHeight="1" x14ac:dyDescent="0.25">
      <c r="A654" s="78">
        <v>3467</v>
      </c>
      <c r="B654" s="79">
        <v>45504</v>
      </c>
      <c r="C654" s="80" t="s">
        <v>41</v>
      </c>
      <c r="D654" s="83" t="s">
        <v>7</v>
      </c>
      <c r="E654" s="83" t="s">
        <v>7</v>
      </c>
      <c r="F654" s="81">
        <v>5</v>
      </c>
      <c r="G654" s="83" t="s">
        <v>7</v>
      </c>
      <c r="H654" s="82">
        <v>45509</v>
      </c>
      <c r="I654" s="81">
        <v>3</v>
      </c>
      <c r="J654" s="82">
        <v>45512</v>
      </c>
      <c r="K654" s="81" t="s">
        <v>41</v>
      </c>
      <c r="L654" s="81" t="s">
        <v>41</v>
      </c>
      <c r="M654" s="81" t="s">
        <v>41</v>
      </c>
      <c r="N654" s="81" t="s">
        <v>4</v>
      </c>
    </row>
    <row r="655" spans="1:14" ht="21.75" customHeight="1" x14ac:dyDescent="0.25">
      <c r="A655" s="1">
        <v>1066</v>
      </c>
      <c r="B655" s="33">
        <v>45505</v>
      </c>
      <c r="D655" s="9" t="s">
        <v>7</v>
      </c>
      <c r="F655" s="5">
        <v>5</v>
      </c>
      <c r="H655" s="34">
        <v>45509</v>
      </c>
      <c r="I655" s="5">
        <v>3</v>
      </c>
      <c r="J655" s="34">
        <v>45513</v>
      </c>
      <c r="K655" s="5"/>
      <c r="L655" s="5"/>
      <c r="M655" s="5"/>
      <c r="N655" s="85" t="s">
        <v>4</v>
      </c>
    </row>
    <row r="656" spans="1:14" ht="21.75" customHeight="1" x14ac:dyDescent="0.25">
      <c r="A656" s="1">
        <v>2513</v>
      </c>
      <c r="B656" s="33">
        <v>45505</v>
      </c>
      <c r="D656" s="9" t="s">
        <v>7</v>
      </c>
      <c r="F656" s="5">
        <v>5</v>
      </c>
      <c r="H656" s="34">
        <v>45509</v>
      </c>
      <c r="I656" s="5">
        <v>3</v>
      </c>
      <c r="J656" s="34">
        <v>45513</v>
      </c>
      <c r="K656" s="5"/>
      <c r="L656" s="5" t="s">
        <v>5</v>
      </c>
      <c r="M656" s="5"/>
      <c r="N656" s="85"/>
    </row>
    <row r="657" spans="1:14" ht="21.75" customHeight="1" x14ac:dyDescent="0.25">
      <c r="A657" s="1">
        <v>873</v>
      </c>
      <c r="B657" s="33">
        <v>45505</v>
      </c>
      <c r="D657" s="4" t="s">
        <v>0</v>
      </c>
      <c r="F657" s="5">
        <v>5</v>
      </c>
      <c r="H657" s="34">
        <v>45509</v>
      </c>
      <c r="I657" s="5">
        <v>3</v>
      </c>
      <c r="J657" s="34">
        <v>45513</v>
      </c>
      <c r="K657" s="5" t="s">
        <v>3</v>
      </c>
      <c r="L657" s="5" t="s">
        <v>5</v>
      </c>
      <c r="M657" s="5" t="s">
        <v>1</v>
      </c>
      <c r="N657" s="85" t="s">
        <v>4</v>
      </c>
    </row>
    <row r="658" spans="1:14" ht="21.75" customHeight="1" x14ac:dyDescent="0.25">
      <c r="A658" s="1">
        <v>2879</v>
      </c>
      <c r="B658" s="33">
        <v>45505</v>
      </c>
      <c r="D658" s="4" t="s">
        <v>0</v>
      </c>
      <c r="F658" s="5">
        <v>5</v>
      </c>
      <c r="H658" s="34">
        <v>45510</v>
      </c>
      <c r="I658" s="5">
        <v>3</v>
      </c>
      <c r="J658" s="34">
        <v>45513</v>
      </c>
      <c r="K658" s="5"/>
      <c r="L658" s="5" t="s">
        <v>5</v>
      </c>
      <c r="M658" s="5"/>
      <c r="N658" s="85"/>
    </row>
    <row r="659" spans="1:14" ht="21.75" customHeight="1" x14ac:dyDescent="0.25">
      <c r="A659" s="1">
        <v>859</v>
      </c>
      <c r="B659" s="33">
        <v>45506</v>
      </c>
      <c r="D659" s="9" t="s">
        <v>7</v>
      </c>
      <c r="F659" s="5">
        <v>5</v>
      </c>
      <c r="H659" s="34">
        <v>45508</v>
      </c>
      <c r="I659" s="5">
        <v>3</v>
      </c>
      <c r="J659" s="34">
        <v>45514</v>
      </c>
      <c r="K659" s="5"/>
      <c r="L659" s="5" t="s">
        <v>5</v>
      </c>
      <c r="M659" s="5"/>
      <c r="N659" s="85"/>
    </row>
    <row r="660" spans="1:14" ht="21.75" customHeight="1" x14ac:dyDescent="0.25">
      <c r="A660" s="1">
        <v>3079</v>
      </c>
      <c r="B660" s="33">
        <v>45506</v>
      </c>
      <c r="D660" s="9" t="s">
        <v>7</v>
      </c>
      <c r="F660" s="5">
        <v>3</v>
      </c>
      <c r="H660" s="34">
        <v>45510</v>
      </c>
      <c r="I660" s="5">
        <v>3</v>
      </c>
      <c r="J660" s="34">
        <v>45512</v>
      </c>
      <c r="K660" s="5" t="s">
        <v>3</v>
      </c>
      <c r="L660" s="5"/>
      <c r="M660" s="5"/>
      <c r="N660" s="85"/>
    </row>
    <row r="661" spans="1:14" ht="21.75" customHeight="1" x14ac:dyDescent="0.25">
      <c r="A661" s="1">
        <v>1226</v>
      </c>
      <c r="B661" s="33">
        <v>45511</v>
      </c>
      <c r="D661" s="4" t="s">
        <v>2</v>
      </c>
      <c r="F661" s="5">
        <v>5</v>
      </c>
      <c r="H661" s="34">
        <v>45510</v>
      </c>
      <c r="I661" s="5">
        <v>3</v>
      </c>
      <c r="J661" s="34">
        <v>45514</v>
      </c>
      <c r="K661" s="5"/>
      <c r="L661" s="5" t="s">
        <v>5</v>
      </c>
      <c r="M661" s="5"/>
      <c r="N661" s="85" t="s">
        <v>4</v>
      </c>
    </row>
    <row r="662" spans="1:14" ht="21.75" customHeight="1" x14ac:dyDescent="0.25">
      <c r="A662" s="1">
        <v>3034</v>
      </c>
      <c r="B662" s="33">
        <v>45511</v>
      </c>
      <c r="D662" s="4" t="s">
        <v>0</v>
      </c>
      <c r="F662" s="5">
        <v>5</v>
      </c>
      <c r="H662" s="34">
        <v>45510</v>
      </c>
      <c r="I662" s="5">
        <v>3</v>
      </c>
      <c r="J662" s="34">
        <v>45514</v>
      </c>
      <c r="K662" s="5" t="s">
        <v>3</v>
      </c>
      <c r="L662" s="5"/>
      <c r="M662" s="5"/>
      <c r="N662" s="85"/>
    </row>
    <row r="663" spans="1:14" ht="21.75" customHeight="1" x14ac:dyDescent="0.25">
      <c r="A663" s="1">
        <v>2959</v>
      </c>
      <c r="B663" s="33">
        <v>45511</v>
      </c>
      <c r="D663" s="4" t="s">
        <v>2</v>
      </c>
      <c r="F663" s="5">
        <v>5</v>
      </c>
      <c r="H663" s="34">
        <v>45510</v>
      </c>
      <c r="I663" s="5">
        <v>3</v>
      </c>
      <c r="J663" s="34">
        <v>45514</v>
      </c>
      <c r="K663" s="5"/>
      <c r="L663" s="5"/>
      <c r="M663" s="5" t="s">
        <v>1</v>
      </c>
      <c r="N663" s="85" t="s">
        <v>4</v>
      </c>
    </row>
    <row r="664" spans="1:14" ht="21.75" customHeight="1" x14ac:dyDescent="0.25">
      <c r="A664" s="1">
        <v>848</v>
      </c>
      <c r="B664" s="33">
        <v>45506</v>
      </c>
      <c r="D664" s="9" t="s">
        <v>7</v>
      </c>
      <c r="F664" s="5">
        <v>5</v>
      </c>
      <c r="H664" s="34">
        <v>45510</v>
      </c>
      <c r="I664" s="5">
        <v>3</v>
      </c>
      <c r="J664" s="34">
        <v>45514</v>
      </c>
      <c r="K664" s="5"/>
      <c r="L664" s="5"/>
      <c r="M664" s="5"/>
      <c r="N664" s="85" t="s">
        <v>4</v>
      </c>
    </row>
    <row r="665" spans="1:14" ht="21.75" customHeight="1" x14ac:dyDescent="0.25">
      <c r="A665" s="1">
        <v>3012</v>
      </c>
      <c r="B665" s="33">
        <v>45507</v>
      </c>
      <c r="D665" s="4" t="s">
        <v>13</v>
      </c>
      <c r="F665" s="5">
        <v>5</v>
      </c>
      <c r="H665" s="34">
        <v>45511</v>
      </c>
      <c r="I665" s="5">
        <v>5</v>
      </c>
      <c r="J665" s="34">
        <v>45517</v>
      </c>
      <c r="K665" s="5"/>
      <c r="L665" s="5" t="s">
        <v>5</v>
      </c>
      <c r="M665" s="5"/>
      <c r="N665" s="10"/>
    </row>
    <row r="666" spans="1:14" ht="21.75" customHeight="1" x14ac:dyDescent="0.25">
      <c r="A666" s="1">
        <v>3819</v>
      </c>
      <c r="B666" s="33">
        <v>45507</v>
      </c>
      <c r="D666" s="4" t="s">
        <v>0</v>
      </c>
      <c r="F666" s="5">
        <v>5</v>
      </c>
      <c r="H666" s="34">
        <v>45511</v>
      </c>
      <c r="I666" s="5">
        <v>3</v>
      </c>
      <c r="J666" s="34">
        <v>45515</v>
      </c>
      <c r="K666" s="5"/>
      <c r="L666" s="5"/>
      <c r="M666" s="5"/>
      <c r="N666" s="85" t="s">
        <v>4</v>
      </c>
    </row>
    <row r="667" spans="1:14" ht="21.75" customHeight="1" x14ac:dyDescent="0.25">
      <c r="A667" s="1">
        <v>2740</v>
      </c>
      <c r="B667" s="33">
        <v>45508</v>
      </c>
      <c r="D667" s="4" t="s">
        <v>2</v>
      </c>
      <c r="F667" s="5">
        <v>5</v>
      </c>
      <c r="H667" s="34">
        <v>45512</v>
      </c>
      <c r="I667" s="5">
        <v>3</v>
      </c>
      <c r="J667" s="34">
        <v>45516</v>
      </c>
      <c r="K667" s="5" t="s">
        <v>3</v>
      </c>
      <c r="L667" s="5" t="s">
        <v>5</v>
      </c>
      <c r="M667" s="5"/>
      <c r="N667" s="85" t="s">
        <v>4</v>
      </c>
    </row>
    <row r="668" spans="1:14" ht="21.75" customHeight="1" x14ac:dyDescent="0.25">
      <c r="A668" s="1">
        <v>3490</v>
      </c>
      <c r="B668" s="33">
        <v>45508</v>
      </c>
      <c r="D668" s="9" t="s">
        <v>7</v>
      </c>
      <c r="F668" s="5">
        <v>5</v>
      </c>
      <c r="H668" s="34">
        <v>45512</v>
      </c>
      <c r="I668" s="5">
        <v>3</v>
      </c>
      <c r="J668" s="34">
        <v>45516</v>
      </c>
      <c r="K668" s="5" t="s">
        <v>3</v>
      </c>
      <c r="L668" s="5"/>
      <c r="M668" s="5"/>
      <c r="N668" s="85"/>
    </row>
    <row r="669" spans="1:14" ht="21.75" customHeight="1" x14ac:dyDescent="0.25">
      <c r="A669" s="1">
        <v>3051</v>
      </c>
      <c r="B669" s="33">
        <v>45508</v>
      </c>
      <c r="D669" s="9" t="s">
        <v>7</v>
      </c>
      <c r="F669" s="5">
        <v>6</v>
      </c>
      <c r="H669" s="34">
        <v>45513</v>
      </c>
      <c r="I669" s="5">
        <v>3</v>
      </c>
      <c r="J669" s="34">
        <v>45517</v>
      </c>
      <c r="K669" s="5"/>
      <c r="L669" s="5"/>
      <c r="M669" s="5"/>
      <c r="N669" s="85" t="s">
        <v>4</v>
      </c>
    </row>
    <row r="670" spans="1:14" ht="21.75" customHeight="1" x14ac:dyDescent="0.25">
      <c r="A670" s="1">
        <v>2229</v>
      </c>
      <c r="B670" s="33">
        <v>45509</v>
      </c>
      <c r="D670" s="9" t="s">
        <v>7</v>
      </c>
      <c r="F670" s="5">
        <v>5</v>
      </c>
      <c r="H670" s="34">
        <v>45513</v>
      </c>
      <c r="I670" s="5">
        <v>3</v>
      </c>
      <c r="J670" s="34">
        <v>45517</v>
      </c>
      <c r="K670" s="5"/>
      <c r="L670" s="5" t="s">
        <v>5</v>
      </c>
      <c r="M670" s="5"/>
      <c r="N670" s="85" t="s">
        <v>4</v>
      </c>
    </row>
    <row r="671" spans="1:14" ht="21.75" customHeight="1" x14ac:dyDescent="0.25">
      <c r="A671" s="1">
        <v>1810</v>
      </c>
      <c r="B671" s="33">
        <v>45510</v>
      </c>
      <c r="D671" s="9" t="s">
        <v>7</v>
      </c>
      <c r="F671" s="5">
        <v>5</v>
      </c>
      <c r="H671" s="34">
        <v>45514</v>
      </c>
      <c r="I671" s="5">
        <v>3</v>
      </c>
      <c r="J671" s="34">
        <v>45518</v>
      </c>
      <c r="K671" s="5"/>
      <c r="L671" s="5"/>
      <c r="M671" s="5"/>
      <c r="N671" s="85" t="s">
        <v>4</v>
      </c>
    </row>
    <row r="672" spans="1:14" ht="21.75" customHeight="1" x14ac:dyDescent="0.25">
      <c r="A672" s="1">
        <v>2345</v>
      </c>
      <c r="B672" s="33">
        <v>45510</v>
      </c>
      <c r="D672" s="9" t="s">
        <v>7</v>
      </c>
      <c r="F672" s="5">
        <v>5</v>
      </c>
      <c r="H672" s="34">
        <v>45514</v>
      </c>
      <c r="I672" s="5">
        <v>3</v>
      </c>
      <c r="J672" s="34">
        <v>45518</v>
      </c>
      <c r="K672" s="5"/>
      <c r="L672" s="5"/>
      <c r="M672" s="5"/>
      <c r="N672" s="85" t="s">
        <v>4</v>
      </c>
    </row>
    <row r="673" spans="1:14" ht="21.75" customHeight="1" x14ac:dyDescent="0.25">
      <c r="A673" s="1">
        <v>3668</v>
      </c>
      <c r="B673" s="33">
        <v>45510</v>
      </c>
      <c r="D673" s="4" t="s">
        <v>13</v>
      </c>
      <c r="F673" s="5">
        <v>5</v>
      </c>
      <c r="H673" s="34">
        <v>45514</v>
      </c>
      <c r="I673" s="5">
        <v>5</v>
      </c>
      <c r="J673" s="34">
        <v>45520</v>
      </c>
      <c r="K673" s="5"/>
      <c r="L673" s="5"/>
      <c r="M673" s="5"/>
      <c r="N673" s="85" t="s">
        <v>4</v>
      </c>
    </row>
    <row r="674" spans="1:14" ht="21.75" customHeight="1" x14ac:dyDescent="0.25">
      <c r="A674" s="1">
        <v>2550</v>
      </c>
      <c r="B674" s="33">
        <v>45510</v>
      </c>
      <c r="D674" s="9" t="s">
        <v>7</v>
      </c>
      <c r="F674" s="5">
        <v>5</v>
      </c>
      <c r="H674" s="34">
        <v>45514</v>
      </c>
      <c r="I674" s="5">
        <v>3</v>
      </c>
      <c r="J674" s="34">
        <v>45518</v>
      </c>
      <c r="K674" s="5"/>
      <c r="L674" s="5"/>
      <c r="M674" s="5"/>
      <c r="N674" s="85" t="s">
        <v>4</v>
      </c>
    </row>
    <row r="675" spans="1:14" ht="21.75" customHeight="1" x14ac:dyDescent="0.25">
      <c r="A675" s="1">
        <v>1151</v>
      </c>
      <c r="B675" s="33">
        <v>45510</v>
      </c>
      <c r="D675" s="4" t="s">
        <v>2</v>
      </c>
      <c r="F675" s="5">
        <v>5</v>
      </c>
      <c r="H675" s="34">
        <v>45514</v>
      </c>
      <c r="I675" s="5">
        <v>3</v>
      </c>
      <c r="J675" s="34">
        <v>45518</v>
      </c>
      <c r="K675" s="5" t="s">
        <v>3</v>
      </c>
      <c r="L675" s="5"/>
      <c r="M675" s="5"/>
      <c r="N675" s="85"/>
    </row>
    <row r="676" spans="1:14" ht="21.75" customHeight="1" x14ac:dyDescent="0.25">
      <c r="A676" s="1">
        <v>3051</v>
      </c>
      <c r="B676" s="33">
        <v>45510</v>
      </c>
      <c r="D676" s="4" t="s">
        <v>2</v>
      </c>
      <c r="F676" s="5">
        <v>5</v>
      </c>
      <c r="H676" s="34">
        <v>45514</v>
      </c>
      <c r="I676" s="5">
        <v>3</v>
      </c>
      <c r="J676" s="34">
        <v>45518</v>
      </c>
      <c r="K676" s="5" t="s">
        <v>3</v>
      </c>
      <c r="L676" s="5"/>
      <c r="M676" s="5"/>
      <c r="N676" s="85" t="s">
        <v>4</v>
      </c>
    </row>
    <row r="677" spans="1:14" ht="21.75" customHeight="1" x14ac:dyDescent="0.25">
      <c r="A677" s="1">
        <v>1810</v>
      </c>
      <c r="B677" s="33">
        <v>45510</v>
      </c>
      <c r="D677" s="4" t="s">
        <v>2</v>
      </c>
      <c r="F677" s="5">
        <v>5</v>
      </c>
      <c r="H677" s="34">
        <v>45514</v>
      </c>
      <c r="I677" s="5">
        <v>3</v>
      </c>
      <c r="J677" s="34">
        <v>45518</v>
      </c>
      <c r="K677" s="5"/>
      <c r="L677" s="5"/>
      <c r="M677" s="5" t="s">
        <v>1</v>
      </c>
      <c r="N677" s="85" t="s">
        <v>4</v>
      </c>
    </row>
    <row r="678" spans="1:14" ht="21.75" customHeight="1" x14ac:dyDescent="0.25">
      <c r="A678" s="1">
        <v>2580</v>
      </c>
      <c r="B678" s="33">
        <v>45510</v>
      </c>
      <c r="D678" s="9" t="s">
        <v>7</v>
      </c>
      <c r="F678" s="5">
        <v>5</v>
      </c>
      <c r="H678" s="34">
        <v>45514</v>
      </c>
      <c r="I678" s="5">
        <v>3</v>
      </c>
      <c r="J678" s="34">
        <v>45518</v>
      </c>
      <c r="K678" s="5" t="s">
        <v>3</v>
      </c>
      <c r="L678" s="5"/>
      <c r="M678" s="5"/>
      <c r="N678" s="85"/>
    </row>
    <row r="679" spans="1:14" ht="21.75" customHeight="1" x14ac:dyDescent="0.25">
      <c r="A679" s="1">
        <v>2075</v>
      </c>
      <c r="B679" s="33">
        <v>45511</v>
      </c>
      <c r="D679" s="9" t="s">
        <v>7</v>
      </c>
      <c r="F679" s="5">
        <v>5</v>
      </c>
      <c r="H679" s="34">
        <v>45515</v>
      </c>
      <c r="I679" s="5">
        <v>3</v>
      </c>
      <c r="J679" s="34">
        <v>45518</v>
      </c>
      <c r="K679" s="5"/>
      <c r="L679" s="5" t="s">
        <v>5</v>
      </c>
      <c r="M679" s="5"/>
      <c r="N679" s="85"/>
    </row>
    <row r="680" spans="1:14" ht="21.75" customHeight="1" x14ac:dyDescent="0.25">
      <c r="A680" s="1">
        <v>3106</v>
      </c>
      <c r="B680" s="33">
        <v>45511</v>
      </c>
      <c r="D680" s="9" t="s">
        <v>7</v>
      </c>
      <c r="F680" s="5">
        <v>5</v>
      </c>
      <c r="H680" s="34">
        <v>45515</v>
      </c>
      <c r="I680" s="5">
        <v>3</v>
      </c>
      <c r="J680" s="34">
        <v>45519</v>
      </c>
      <c r="K680" s="5"/>
      <c r="L680" s="5"/>
      <c r="M680" s="5" t="s">
        <v>1</v>
      </c>
      <c r="N680" s="85"/>
    </row>
    <row r="681" spans="1:14" ht="21.75" customHeight="1" x14ac:dyDescent="0.25">
      <c r="A681" s="1">
        <v>2696</v>
      </c>
      <c r="B681" s="33">
        <v>45511</v>
      </c>
      <c r="D681" s="9" t="s">
        <v>7</v>
      </c>
      <c r="F681" s="5">
        <v>5</v>
      </c>
      <c r="H681" s="34">
        <v>45515</v>
      </c>
      <c r="I681" s="5">
        <v>3</v>
      </c>
      <c r="J681" s="34">
        <v>45519</v>
      </c>
      <c r="K681" s="5"/>
      <c r="L681" s="5"/>
      <c r="M681" s="5"/>
      <c r="N681" s="85" t="s">
        <v>4</v>
      </c>
    </row>
    <row r="682" spans="1:14" ht="21.75" customHeight="1" x14ac:dyDescent="0.25">
      <c r="A682" s="1">
        <v>2740</v>
      </c>
      <c r="B682" s="33">
        <v>45511</v>
      </c>
      <c r="D682" s="9" t="s">
        <v>7</v>
      </c>
      <c r="F682" s="5">
        <v>5</v>
      </c>
      <c r="H682" s="34">
        <v>45515</v>
      </c>
      <c r="I682" s="5">
        <v>3</v>
      </c>
      <c r="J682" s="34">
        <v>45519</v>
      </c>
      <c r="K682" s="5"/>
      <c r="L682" s="5"/>
      <c r="M682" s="5"/>
      <c r="N682" s="85" t="s">
        <v>4</v>
      </c>
    </row>
    <row r="683" spans="1:14" ht="21.75" customHeight="1" x14ac:dyDescent="0.25">
      <c r="A683" s="1">
        <v>2229</v>
      </c>
      <c r="B683" s="33">
        <v>45511</v>
      </c>
      <c r="D683" s="4" t="s">
        <v>2</v>
      </c>
      <c r="F683" s="5">
        <v>5</v>
      </c>
      <c r="H683" s="34">
        <v>45515</v>
      </c>
      <c r="I683" s="5">
        <v>3</v>
      </c>
      <c r="J683" s="34">
        <v>45519</v>
      </c>
      <c r="K683" s="5"/>
      <c r="L683" s="5" t="s">
        <v>5</v>
      </c>
      <c r="M683" s="5"/>
      <c r="N683" s="85" t="s">
        <v>4</v>
      </c>
    </row>
    <row r="684" spans="1:14" ht="21.75" customHeight="1" x14ac:dyDescent="0.25">
      <c r="A684" s="1">
        <v>3673</v>
      </c>
      <c r="B684" s="33">
        <v>45511</v>
      </c>
      <c r="D684" s="9" t="s">
        <v>7</v>
      </c>
      <c r="F684" s="5">
        <v>5</v>
      </c>
      <c r="H684" s="34">
        <v>45515</v>
      </c>
      <c r="I684" s="5">
        <v>3</v>
      </c>
      <c r="J684" s="34">
        <v>45519</v>
      </c>
      <c r="K684" s="5"/>
      <c r="L684" s="5"/>
      <c r="M684" s="5"/>
      <c r="N684" s="85" t="s">
        <v>4</v>
      </c>
    </row>
    <row r="685" spans="1:14" ht="21.75" customHeight="1" x14ac:dyDescent="0.25">
      <c r="A685" s="1">
        <v>1066</v>
      </c>
      <c r="B685" s="33">
        <v>45512</v>
      </c>
      <c r="D685" s="4" t="s">
        <v>13</v>
      </c>
      <c r="F685" s="5">
        <v>5</v>
      </c>
      <c r="H685" s="34">
        <v>45516</v>
      </c>
      <c r="I685" s="5">
        <v>5</v>
      </c>
      <c r="J685" s="34">
        <v>45522</v>
      </c>
      <c r="K685" s="5"/>
      <c r="L685" s="5"/>
      <c r="M685" s="5"/>
      <c r="N685" s="85" t="s">
        <v>4</v>
      </c>
    </row>
    <row r="686" spans="1:14" ht="21.75" customHeight="1" x14ac:dyDescent="0.25">
      <c r="A686" s="1">
        <v>3479</v>
      </c>
      <c r="B686" s="33">
        <v>45512</v>
      </c>
      <c r="D686" s="9" t="s">
        <v>7</v>
      </c>
      <c r="F686" s="5">
        <v>5</v>
      </c>
      <c r="H686" s="34">
        <v>45516</v>
      </c>
      <c r="I686" s="5">
        <v>3</v>
      </c>
      <c r="J686" s="34">
        <v>45520</v>
      </c>
      <c r="K686" s="5" t="s">
        <v>3</v>
      </c>
      <c r="L686" s="5"/>
      <c r="M686" s="5"/>
      <c r="N686" s="85"/>
    </row>
    <row r="687" spans="1:14" ht="21.75" customHeight="1" x14ac:dyDescent="0.25">
      <c r="A687" s="1">
        <v>3437</v>
      </c>
      <c r="B687" s="33">
        <v>45513</v>
      </c>
      <c r="D687" s="9" t="s">
        <v>7</v>
      </c>
      <c r="F687" s="5">
        <v>5</v>
      </c>
      <c r="H687" s="34">
        <v>45516</v>
      </c>
      <c r="I687" s="5">
        <v>3</v>
      </c>
      <c r="J687" s="34">
        <v>45520</v>
      </c>
      <c r="K687" s="5"/>
      <c r="L687" s="5"/>
      <c r="M687" s="5" t="s">
        <v>1</v>
      </c>
      <c r="N687" s="85"/>
    </row>
    <row r="688" spans="1:14" ht="21.75" customHeight="1" x14ac:dyDescent="0.25">
      <c r="A688" s="1">
        <v>3034</v>
      </c>
      <c r="B688" s="33">
        <v>45513</v>
      </c>
      <c r="D688" s="4" t="s">
        <v>2</v>
      </c>
      <c r="F688" s="5">
        <v>5</v>
      </c>
      <c r="H688" s="34">
        <v>45517</v>
      </c>
      <c r="I688" s="5">
        <v>3</v>
      </c>
      <c r="J688" s="34">
        <v>45521</v>
      </c>
      <c r="K688" s="5"/>
      <c r="L688" s="5" t="s">
        <v>5</v>
      </c>
      <c r="M688" s="5"/>
      <c r="N688" s="85"/>
    </row>
    <row r="689" spans="1:14" ht="21.75" customHeight="1" x14ac:dyDescent="0.25">
      <c r="A689" s="1">
        <v>2944</v>
      </c>
      <c r="B689" s="33">
        <v>45515</v>
      </c>
      <c r="D689" s="4" t="s">
        <v>2</v>
      </c>
      <c r="F689" s="5">
        <v>5</v>
      </c>
      <c r="H689" s="34">
        <v>45519</v>
      </c>
      <c r="I689" s="5">
        <v>3</v>
      </c>
      <c r="J689" s="34">
        <v>45523</v>
      </c>
      <c r="K689" s="5"/>
      <c r="L689" s="5" t="s">
        <v>5</v>
      </c>
      <c r="M689" s="5" t="s">
        <v>1</v>
      </c>
      <c r="N689" s="85" t="s">
        <v>4</v>
      </c>
    </row>
    <row r="690" spans="1:14" ht="21.75" customHeight="1" x14ac:dyDescent="0.25">
      <c r="A690" s="1">
        <v>3730</v>
      </c>
      <c r="B690" s="33">
        <v>45517</v>
      </c>
      <c r="D690" s="4" t="s">
        <v>7</v>
      </c>
      <c r="F690" s="5">
        <v>5</v>
      </c>
      <c r="H690" s="34">
        <v>45531</v>
      </c>
      <c r="I690" s="5">
        <v>3</v>
      </c>
      <c r="J690" s="34">
        <v>45526</v>
      </c>
      <c r="K690" s="5" t="s">
        <v>3</v>
      </c>
      <c r="L690" s="5"/>
      <c r="M690" s="5"/>
      <c r="N690" s="85"/>
    </row>
    <row r="691" spans="1:14" ht="21.75" customHeight="1" x14ac:dyDescent="0.25">
      <c r="A691" s="1">
        <v>3034</v>
      </c>
      <c r="B691" s="33">
        <v>45517</v>
      </c>
      <c r="D691" s="4" t="s">
        <v>6</v>
      </c>
      <c r="F691" s="5">
        <v>5</v>
      </c>
      <c r="H691" s="34">
        <v>45531</v>
      </c>
      <c r="I691" s="5">
        <v>5</v>
      </c>
      <c r="J691" s="34">
        <v>45527</v>
      </c>
      <c r="K691" s="5"/>
      <c r="L691" s="5" t="s">
        <v>5</v>
      </c>
      <c r="M691" s="5"/>
      <c r="N691" s="85"/>
    </row>
    <row r="692" spans="1:14" ht="21.75" customHeight="1" x14ac:dyDescent="0.25">
      <c r="A692" s="1">
        <v>2959</v>
      </c>
      <c r="B692" s="33">
        <v>45517</v>
      </c>
      <c r="D692" s="4" t="s">
        <v>2</v>
      </c>
      <c r="F692" s="5">
        <v>5</v>
      </c>
      <c r="H692" s="34">
        <v>45531</v>
      </c>
      <c r="I692" s="5">
        <v>3</v>
      </c>
      <c r="J692" s="34">
        <v>45527</v>
      </c>
      <c r="K692" s="5"/>
      <c r="L692" s="5"/>
      <c r="M692" s="5"/>
      <c r="N692" s="85" t="s">
        <v>4</v>
      </c>
    </row>
    <row r="693" spans="1:14" ht="21.75" customHeight="1" x14ac:dyDescent="0.25">
      <c r="A693" s="1">
        <v>3051</v>
      </c>
      <c r="B693" s="33">
        <v>45517</v>
      </c>
      <c r="D693" s="4" t="s">
        <v>2</v>
      </c>
      <c r="F693" s="5">
        <v>5</v>
      </c>
      <c r="H693" s="34">
        <v>45531</v>
      </c>
      <c r="I693" s="5">
        <v>3</v>
      </c>
      <c r="J693" s="34">
        <v>45527</v>
      </c>
      <c r="K693" s="5"/>
      <c r="L693" s="5"/>
      <c r="M693" s="5"/>
      <c r="N693" s="85" t="s">
        <v>4</v>
      </c>
    </row>
    <row r="694" spans="1:14" ht="21.75" customHeight="1" x14ac:dyDescent="0.25">
      <c r="A694" s="1">
        <v>2229</v>
      </c>
      <c r="B694" s="33">
        <v>45517</v>
      </c>
      <c r="D694" s="4" t="s">
        <v>2</v>
      </c>
      <c r="F694" s="5">
        <v>5</v>
      </c>
      <c r="H694" s="34">
        <v>45531</v>
      </c>
      <c r="I694" s="5">
        <v>3</v>
      </c>
      <c r="J694" s="34">
        <v>45525</v>
      </c>
      <c r="K694" s="5"/>
      <c r="L694" s="5"/>
      <c r="M694" s="5"/>
      <c r="N694" s="85" t="s">
        <v>4</v>
      </c>
    </row>
    <row r="695" spans="1:14" ht="21.75" customHeight="1" x14ac:dyDescent="0.25">
      <c r="A695" s="1">
        <v>3490</v>
      </c>
      <c r="B695" s="33">
        <v>45517</v>
      </c>
      <c r="D695" s="4" t="s">
        <v>2</v>
      </c>
      <c r="F695" s="5">
        <v>5</v>
      </c>
      <c r="H695" s="34">
        <v>45531</v>
      </c>
      <c r="I695" s="5">
        <v>3</v>
      </c>
      <c r="J695" s="34">
        <v>45525</v>
      </c>
      <c r="K695" s="5" t="s">
        <v>3</v>
      </c>
      <c r="L695" s="5"/>
      <c r="M695" s="5"/>
      <c r="N695" s="85"/>
    </row>
    <row r="696" spans="1:14" ht="21.75" customHeight="1" x14ac:dyDescent="0.25">
      <c r="A696" s="1">
        <v>1810</v>
      </c>
      <c r="B696" s="33">
        <v>45517</v>
      </c>
      <c r="D696" s="4" t="s">
        <v>2</v>
      </c>
      <c r="F696" s="5">
        <v>5</v>
      </c>
      <c r="H696" s="34">
        <v>45531</v>
      </c>
      <c r="I696" s="5">
        <v>3</v>
      </c>
      <c r="J696" s="34">
        <v>45525</v>
      </c>
      <c r="K696" s="5"/>
      <c r="L696" s="5"/>
      <c r="M696" s="5"/>
      <c r="N696" s="85" t="s">
        <v>4</v>
      </c>
    </row>
    <row r="697" spans="1:14" ht="21.75" customHeight="1" x14ac:dyDescent="0.25">
      <c r="A697" s="1">
        <v>2341</v>
      </c>
      <c r="B697" s="33">
        <v>45517</v>
      </c>
      <c r="D697" s="4" t="s">
        <v>7</v>
      </c>
      <c r="F697" s="5">
        <v>5</v>
      </c>
      <c r="H697" s="34">
        <v>45531</v>
      </c>
      <c r="I697" s="5">
        <v>3</v>
      </c>
      <c r="J697" s="34">
        <v>45525</v>
      </c>
      <c r="K697" s="5"/>
      <c r="L697" s="5"/>
      <c r="M697" s="5" t="s">
        <v>1</v>
      </c>
      <c r="N697" s="85"/>
    </row>
    <row r="698" spans="1:14" ht="21.75" customHeight="1" x14ac:dyDescent="0.25">
      <c r="A698" s="1">
        <v>3021</v>
      </c>
      <c r="B698" s="33">
        <v>45518</v>
      </c>
      <c r="D698" s="4" t="s">
        <v>2</v>
      </c>
      <c r="F698" s="5">
        <v>5</v>
      </c>
      <c r="H698" s="34">
        <v>45522</v>
      </c>
      <c r="I698" s="5">
        <v>3</v>
      </c>
      <c r="J698" s="34">
        <v>45525</v>
      </c>
      <c r="K698" s="5" t="s">
        <v>3</v>
      </c>
      <c r="L698" s="5"/>
      <c r="M698" s="5"/>
      <c r="N698" s="85" t="s">
        <v>4</v>
      </c>
    </row>
    <row r="699" spans="1:14" ht="21.75" customHeight="1" x14ac:dyDescent="0.25">
      <c r="A699" s="1">
        <v>2882</v>
      </c>
      <c r="B699" s="33">
        <v>45518</v>
      </c>
      <c r="D699" s="4" t="s">
        <v>7</v>
      </c>
      <c r="F699" s="5">
        <v>5</v>
      </c>
      <c r="H699" s="34">
        <v>45522</v>
      </c>
      <c r="I699" s="5">
        <v>3</v>
      </c>
      <c r="J699" s="34">
        <v>45526</v>
      </c>
      <c r="K699" s="5" t="s">
        <v>3</v>
      </c>
      <c r="L699" s="5"/>
      <c r="M699" s="5"/>
      <c r="N699" s="85"/>
    </row>
    <row r="700" spans="1:14" ht="21.75" customHeight="1" x14ac:dyDescent="0.25">
      <c r="A700" s="1">
        <v>3012</v>
      </c>
      <c r="B700" s="33">
        <v>45518</v>
      </c>
      <c r="D700" s="4" t="s">
        <v>6</v>
      </c>
      <c r="F700" s="5">
        <v>5</v>
      </c>
      <c r="H700" s="34">
        <v>45522</v>
      </c>
      <c r="I700" s="5">
        <v>5</v>
      </c>
      <c r="J700" s="34">
        <v>45528</v>
      </c>
      <c r="K700" s="5"/>
      <c r="L700" s="5" t="s">
        <v>5</v>
      </c>
      <c r="M700" s="5"/>
      <c r="N700" s="5"/>
    </row>
    <row r="701" spans="1:14" ht="21.75" customHeight="1" x14ac:dyDescent="0.25">
      <c r="A701" s="1">
        <v>3668</v>
      </c>
      <c r="B701" s="33">
        <v>45518</v>
      </c>
      <c r="D701" s="4" t="s">
        <v>6</v>
      </c>
      <c r="F701" s="5">
        <v>5</v>
      </c>
      <c r="H701" s="34">
        <v>45522</v>
      </c>
      <c r="I701" s="5">
        <v>5</v>
      </c>
      <c r="J701" s="34">
        <v>45528</v>
      </c>
      <c r="K701" s="5"/>
      <c r="L701" s="5"/>
      <c r="M701" s="5"/>
      <c r="N701" s="5" t="s">
        <v>4</v>
      </c>
    </row>
    <row r="702" spans="1:14" ht="21.75" customHeight="1" x14ac:dyDescent="0.25">
      <c r="A702" s="1">
        <v>2580</v>
      </c>
      <c r="B702" s="33">
        <v>45518</v>
      </c>
      <c r="D702" s="4" t="s">
        <v>2</v>
      </c>
      <c r="F702" s="5">
        <v>5</v>
      </c>
      <c r="H702" s="34">
        <v>45522</v>
      </c>
      <c r="I702" s="5">
        <v>3</v>
      </c>
      <c r="J702" s="34">
        <v>45526</v>
      </c>
      <c r="K702" s="5" t="s">
        <v>3</v>
      </c>
      <c r="L702" s="5"/>
      <c r="M702" s="5"/>
      <c r="N702" s="5"/>
    </row>
    <row r="703" spans="1:14" ht="21.75" customHeight="1" x14ac:dyDescent="0.25">
      <c r="A703" s="1">
        <v>2740</v>
      </c>
      <c r="B703" s="33">
        <v>45518</v>
      </c>
      <c r="D703" s="4" t="s">
        <v>14</v>
      </c>
      <c r="F703" s="5">
        <v>5</v>
      </c>
      <c r="H703" s="34">
        <v>45522</v>
      </c>
      <c r="I703" s="5">
        <v>3</v>
      </c>
      <c r="J703" s="34">
        <v>45522</v>
      </c>
      <c r="K703" s="5"/>
      <c r="L703" s="5"/>
      <c r="M703" s="5"/>
      <c r="N703" s="5" t="s">
        <v>4</v>
      </c>
    </row>
    <row r="704" spans="1:14" ht="21.75" customHeight="1" x14ac:dyDescent="0.25">
      <c r="A704" s="1">
        <v>2740</v>
      </c>
      <c r="B704" s="33">
        <v>45518</v>
      </c>
      <c r="D704" s="4" t="s">
        <v>14</v>
      </c>
      <c r="F704" s="5">
        <v>5</v>
      </c>
      <c r="H704" s="34">
        <v>45522</v>
      </c>
      <c r="I704" s="5">
        <v>3</v>
      </c>
      <c r="J704" s="34">
        <v>45525</v>
      </c>
      <c r="K704" s="5"/>
      <c r="L704" s="5"/>
      <c r="M704" s="5"/>
      <c r="N704" s="5" t="s">
        <v>4</v>
      </c>
    </row>
    <row r="705" spans="1:14" ht="21.75" customHeight="1" x14ac:dyDescent="0.25">
      <c r="A705" s="1">
        <v>3918</v>
      </c>
      <c r="B705" s="33">
        <v>45519</v>
      </c>
      <c r="D705" s="4" t="s">
        <v>7</v>
      </c>
      <c r="F705" s="5">
        <v>5</v>
      </c>
      <c r="H705" s="34">
        <v>45523</v>
      </c>
      <c r="I705" s="5">
        <v>3</v>
      </c>
      <c r="J705" s="34">
        <v>45527</v>
      </c>
      <c r="K705" s="5"/>
      <c r="L705" s="5"/>
      <c r="M705" s="5"/>
      <c r="N705" s="5" t="s">
        <v>4</v>
      </c>
    </row>
    <row r="706" spans="1:14" ht="21.75" customHeight="1" x14ac:dyDescent="0.25">
      <c r="A706" s="1">
        <v>2218</v>
      </c>
      <c r="B706" s="33">
        <v>45520</v>
      </c>
      <c r="D706" s="4" t="s">
        <v>7</v>
      </c>
      <c r="F706" s="5">
        <v>5</v>
      </c>
      <c r="H706" s="34">
        <v>45524</v>
      </c>
      <c r="I706" s="5">
        <v>3</v>
      </c>
      <c r="J706" s="34">
        <v>45528</v>
      </c>
      <c r="K706" s="5"/>
      <c r="L706" s="5"/>
      <c r="M706" s="5" t="s">
        <v>1</v>
      </c>
      <c r="N706" s="5"/>
    </row>
    <row r="707" spans="1:14" ht="21.75" customHeight="1" x14ac:dyDescent="0.25">
      <c r="A707" s="1">
        <v>764</v>
      </c>
      <c r="B707" s="33">
        <v>45520</v>
      </c>
      <c r="D707" s="4" t="s">
        <v>7</v>
      </c>
      <c r="F707" s="5">
        <v>5</v>
      </c>
      <c r="H707" s="34">
        <v>45524</v>
      </c>
      <c r="I707" s="5">
        <v>3</v>
      </c>
      <c r="J707" s="34">
        <v>45528</v>
      </c>
      <c r="K707" s="5"/>
      <c r="L707" s="5" t="s">
        <v>5</v>
      </c>
      <c r="M707" s="5"/>
      <c r="N707" s="5" t="s">
        <v>4</v>
      </c>
    </row>
    <row r="708" spans="1:14" ht="21.75" customHeight="1" x14ac:dyDescent="0.25">
      <c r="A708" s="1">
        <v>2583</v>
      </c>
      <c r="B708" s="33">
        <v>45520</v>
      </c>
      <c r="D708" s="4" t="s">
        <v>7</v>
      </c>
      <c r="F708" s="5">
        <v>5</v>
      </c>
      <c r="H708" s="34">
        <v>45524</v>
      </c>
      <c r="I708" s="5">
        <v>3</v>
      </c>
      <c r="J708" s="34">
        <v>45528</v>
      </c>
      <c r="K708" s="5"/>
      <c r="L708" s="5" t="s">
        <v>5</v>
      </c>
      <c r="M708" s="5"/>
      <c r="N708" s="5"/>
    </row>
    <row r="709" spans="1:14" ht="21.75" customHeight="1" x14ac:dyDescent="0.25">
      <c r="A709" s="1">
        <v>3735</v>
      </c>
      <c r="B709" s="33">
        <v>45521</v>
      </c>
      <c r="D709" s="4" t="s">
        <v>7</v>
      </c>
      <c r="F709" s="5">
        <v>5</v>
      </c>
      <c r="H709" s="34">
        <v>45525</v>
      </c>
      <c r="I709" s="5">
        <v>3</v>
      </c>
      <c r="J709" s="34">
        <v>45529</v>
      </c>
      <c r="K709" s="5"/>
      <c r="L709" s="5" t="s">
        <v>5</v>
      </c>
      <c r="M709" s="5" t="s">
        <v>1</v>
      </c>
      <c r="N709" s="5" t="s">
        <v>4</v>
      </c>
    </row>
    <row r="710" spans="1:14" ht="21.75" customHeight="1" x14ac:dyDescent="0.25">
      <c r="A710" s="1">
        <v>3399</v>
      </c>
      <c r="B710" s="33">
        <v>45521</v>
      </c>
      <c r="D710" s="4" t="s">
        <v>7</v>
      </c>
      <c r="F710" s="5">
        <v>5</v>
      </c>
      <c r="H710" s="34">
        <v>45525</v>
      </c>
      <c r="I710" s="5">
        <v>3</v>
      </c>
      <c r="J710" s="34">
        <v>45529</v>
      </c>
      <c r="K710" s="5"/>
      <c r="L710" s="5"/>
      <c r="M710" s="5" t="s">
        <v>1</v>
      </c>
      <c r="N710" s="5"/>
    </row>
    <row r="711" spans="1:14" ht="21.75" customHeight="1" x14ac:dyDescent="0.25">
      <c r="A711" s="1">
        <v>3918</v>
      </c>
      <c r="B711" s="33">
        <v>45521</v>
      </c>
      <c r="D711" s="4" t="s">
        <v>13</v>
      </c>
      <c r="F711" s="5">
        <v>5</v>
      </c>
      <c r="H711" s="34">
        <v>45525</v>
      </c>
      <c r="I711" s="5">
        <v>5</v>
      </c>
      <c r="J711" s="34">
        <v>45531</v>
      </c>
      <c r="K711" s="5"/>
      <c r="L711" s="5" t="s">
        <v>5</v>
      </c>
      <c r="M711" s="5"/>
      <c r="N711" s="5" t="s">
        <v>4</v>
      </c>
    </row>
    <row r="712" spans="1:14" ht="21.75" customHeight="1" x14ac:dyDescent="0.25">
      <c r="A712" s="1">
        <v>3702</v>
      </c>
      <c r="B712" s="33">
        <v>45522</v>
      </c>
      <c r="D712" s="4" t="s">
        <v>7</v>
      </c>
      <c r="F712" s="5">
        <v>5</v>
      </c>
      <c r="H712" s="34">
        <v>45526</v>
      </c>
      <c r="I712" s="5">
        <v>3</v>
      </c>
      <c r="J712" s="34">
        <v>45530</v>
      </c>
      <c r="K712" s="5"/>
      <c r="L712" s="5"/>
      <c r="M712" s="5" t="s">
        <v>1</v>
      </c>
      <c r="N712" s="5"/>
    </row>
    <row r="713" spans="1:14" ht="21.75" customHeight="1" x14ac:dyDescent="0.25">
      <c r="A713" s="1">
        <v>3051</v>
      </c>
      <c r="B713" s="33">
        <v>45522</v>
      </c>
      <c r="D713" s="4" t="s">
        <v>13</v>
      </c>
      <c r="F713" s="5">
        <v>5</v>
      </c>
      <c r="H713" s="34">
        <v>45526</v>
      </c>
      <c r="I713" s="5">
        <v>5</v>
      </c>
      <c r="J713" s="34">
        <v>45532</v>
      </c>
      <c r="K713" s="5"/>
      <c r="L713" s="5"/>
      <c r="M713" s="5" t="s">
        <v>1</v>
      </c>
      <c r="N713" s="5"/>
    </row>
    <row r="714" spans="1:14" ht="21.75" customHeight="1" x14ac:dyDescent="0.25">
      <c r="A714" s="1">
        <v>2229</v>
      </c>
      <c r="B714" s="33">
        <v>45522</v>
      </c>
      <c r="D714" s="4" t="s">
        <v>2</v>
      </c>
      <c r="F714" s="5">
        <v>5</v>
      </c>
      <c r="H714" s="34">
        <v>45526</v>
      </c>
      <c r="I714" s="5">
        <v>3</v>
      </c>
      <c r="J714" s="34">
        <v>45530</v>
      </c>
      <c r="K714" s="5"/>
      <c r="L714" s="5"/>
      <c r="M714" s="5" t="s">
        <v>1</v>
      </c>
      <c r="N714" s="5" t="s">
        <v>4</v>
      </c>
    </row>
    <row r="715" spans="1:14" ht="21.75" customHeight="1" x14ac:dyDescent="0.25">
      <c r="A715" s="1">
        <v>1066</v>
      </c>
      <c r="B715" s="33">
        <v>45522</v>
      </c>
      <c r="D715" s="4" t="s">
        <v>2</v>
      </c>
      <c r="F715" s="5">
        <v>5</v>
      </c>
      <c r="H715" s="34">
        <v>45526</v>
      </c>
      <c r="I715" s="5">
        <v>3</v>
      </c>
      <c r="J715" s="34">
        <v>45530</v>
      </c>
      <c r="K715" s="5"/>
      <c r="L715" s="5"/>
      <c r="M715" s="5"/>
      <c r="N715" s="5" t="s">
        <v>4</v>
      </c>
    </row>
    <row r="716" spans="1:14" ht="21.75" customHeight="1" x14ac:dyDescent="0.25">
      <c r="A716" s="1">
        <v>3422</v>
      </c>
      <c r="B716" s="33">
        <v>45524</v>
      </c>
      <c r="D716" s="4" t="s">
        <v>7</v>
      </c>
      <c r="F716" s="5">
        <v>5</v>
      </c>
      <c r="H716" s="34">
        <v>45528</v>
      </c>
      <c r="I716" s="5">
        <v>3</v>
      </c>
      <c r="J716" s="34">
        <v>45532</v>
      </c>
      <c r="K716" s="5" t="s">
        <v>3</v>
      </c>
      <c r="L716" s="5"/>
      <c r="M716" s="5"/>
      <c r="N716" s="5"/>
    </row>
    <row r="717" spans="1:14" ht="21.75" customHeight="1" x14ac:dyDescent="0.25">
      <c r="A717" s="1">
        <v>4055</v>
      </c>
      <c r="B717" s="33">
        <v>45524</v>
      </c>
      <c r="D717" s="4" t="s">
        <v>7</v>
      </c>
      <c r="F717" s="5">
        <v>5</v>
      </c>
      <c r="H717" s="34">
        <v>45528</v>
      </c>
      <c r="I717" s="5">
        <v>3</v>
      </c>
      <c r="J717" s="34">
        <v>45532</v>
      </c>
      <c r="K717" s="5"/>
      <c r="L717" s="5"/>
      <c r="M717" s="5"/>
      <c r="N717" s="5" t="s">
        <v>4</v>
      </c>
    </row>
    <row r="718" spans="1:14" ht="21.75" customHeight="1" x14ac:dyDescent="0.25">
      <c r="A718" s="1">
        <v>2892</v>
      </c>
      <c r="B718" s="33">
        <v>45525</v>
      </c>
      <c r="D718" s="4" t="s">
        <v>7</v>
      </c>
      <c r="F718" s="5">
        <v>5</v>
      </c>
      <c r="H718" s="34">
        <v>45529</v>
      </c>
      <c r="I718" s="5">
        <v>3</v>
      </c>
      <c r="J718" s="34">
        <v>45533</v>
      </c>
      <c r="K718" s="5"/>
      <c r="L718" s="5"/>
      <c r="M718" s="5"/>
      <c r="N718" s="5" t="s">
        <v>4</v>
      </c>
    </row>
    <row r="719" spans="1:14" ht="21.75" customHeight="1" x14ac:dyDescent="0.25">
      <c r="A719" s="1">
        <v>1810</v>
      </c>
      <c r="B719" s="33">
        <v>45525</v>
      </c>
      <c r="D719" s="4" t="s">
        <v>6</v>
      </c>
      <c r="F719" s="5">
        <v>5</v>
      </c>
      <c r="H719" s="34">
        <v>45529</v>
      </c>
      <c r="I719" s="5">
        <v>5</v>
      </c>
      <c r="J719" s="34">
        <v>45535</v>
      </c>
      <c r="K719" s="5"/>
      <c r="L719" s="5"/>
      <c r="M719" s="5"/>
      <c r="N719" s="5" t="s">
        <v>4</v>
      </c>
    </row>
    <row r="720" spans="1:14" ht="21.75" customHeight="1" x14ac:dyDescent="0.25">
      <c r="A720" s="1">
        <v>3012</v>
      </c>
      <c r="B720" s="33">
        <v>45525</v>
      </c>
      <c r="D720" s="4" t="s">
        <v>2</v>
      </c>
      <c r="F720" s="5">
        <v>5</v>
      </c>
      <c r="H720" s="34">
        <v>45529</v>
      </c>
      <c r="I720" s="5">
        <v>3</v>
      </c>
      <c r="J720" s="34">
        <v>45533</v>
      </c>
      <c r="K720" s="5"/>
      <c r="L720" s="5"/>
      <c r="M720" s="5"/>
      <c r="N720" s="5" t="s">
        <v>4</v>
      </c>
    </row>
    <row r="721" spans="1:14" ht="21.75" customHeight="1" x14ac:dyDescent="0.25">
      <c r="A721" s="1">
        <v>3021</v>
      </c>
      <c r="B721" s="33">
        <v>45525</v>
      </c>
      <c r="D721" s="4" t="s">
        <v>10</v>
      </c>
      <c r="F721" s="5">
        <v>5</v>
      </c>
      <c r="H721" s="34">
        <v>45529</v>
      </c>
      <c r="I721" s="5">
        <v>5</v>
      </c>
      <c r="J721" s="34">
        <v>45535</v>
      </c>
      <c r="K721" s="5" t="s">
        <v>3</v>
      </c>
      <c r="L721" s="5"/>
      <c r="M721" s="5" t="s">
        <v>1</v>
      </c>
      <c r="N721" s="5" t="s">
        <v>4</v>
      </c>
    </row>
    <row r="722" spans="1:14" ht="21.75" customHeight="1" x14ac:dyDescent="0.25">
      <c r="A722" s="1">
        <v>3720</v>
      </c>
      <c r="B722" s="33">
        <v>45525</v>
      </c>
      <c r="D722" s="4" t="s">
        <v>7</v>
      </c>
      <c r="F722" s="5">
        <v>5</v>
      </c>
      <c r="H722" s="34">
        <v>45529</v>
      </c>
      <c r="I722" s="5">
        <v>3</v>
      </c>
      <c r="J722" s="34">
        <v>45533</v>
      </c>
      <c r="K722" s="5"/>
      <c r="L722" s="5"/>
      <c r="M722" s="5"/>
      <c r="N722" s="5" t="s">
        <v>4</v>
      </c>
    </row>
    <row r="723" spans="1:14" ht="21.75" customHeight="1" x14ac:dyDescent="0.25">
      <c r="A723" s="1">
        <v>1849</v>
      </c>
      <c r="B723" s="33">
        <v>45525</v>
      </c>
      <c r="D723" s="4" t="s">
        <v>7</v>
      </c>
      <c r="F723" s="5">
        <v>5</v>
      </c>
      <c r="H723" s="34">
        <v>45529</v>
      </c>
      <c r="I723" s="5">
        <v>3</v>
      </c>
      <c r="J723" s="34">
        <v>45533</v>
      </c>
      <c r="K723" s="5"/>
      <c r="L723" s="5" t="s">
        <v>5</v>
      </c>
      <c r="M723" s="5"/>
      <c r="N723" s="5" t="s">
        <v>4</v>
      </c>
    </row>
    <row r="724" spans="1:14" ht="21.75" customHeight="1" x14ac:dyDescent="0.25">
      <c r="A724" s="1">
        <v>4200</v>
      </c>
      <c r="B724" s="33">
        <v>45526</v>
      </c>
      <c r="D724" s="4" t="s">
        <v>7</v>
      </c>
      <c r="F724" s="5">
        <v>5</v>
      </c>
      <c r="H724" s="34">
        <v>45530</v>
      </c>
      <c r="I724" s="5">
        <v>3</v>
      </c>
      <c r="J724" s="34">
        <v>45534</v>
      </c>
      <c r="K724" s="5" t="s">
        <v>3</v>
      </c>
      <c r="L724" s="5"/>
      <c r="M724" s="5"/>
      <c r="N724" s="5"/>
    </row>
    <row r="725" spans="1:14" ht="21.75" customHeight="1" x14ac:dyDescent="0.25">
      <c r="A725" s="1">
        <v>3918</v>
      </c>
      <c r="B725" s="33">
        <v>45527</v>
      </c>
      <c r="D725" s="4" t="s">
        <v>2</v>
      </c>
      <c r="F725" s="5">
        <v>5</v>
      </c>
      <c r="H725" s="34">
        <v>45531</v>
      </c>
      <c r="I725" s="5">
        <v>4</v>
      </c>
      <c r="J725" s="34">
        <v>45536</v>
      </c>
      <c r="K725" s="5" t="s">
        <v>3</v>
      </c>
      <c r="L725" s="5"/>
      <c r="M725" s="5"/>
      <c r="N725" s="5"/>
    </row>
    <row r="726" spans="1:14" ht="21.75" customHeight="1" x14ac:dyDescent="0.25">
      <c r="A726" s="1">
        <v>2580</v>
      </c>
      <c r="B726" s="33">
        <v>45528</v>
      </c>
      <c r="D726" s="4" t="s">
        <v>8</v>
      </c>
      <c r="F726" s="5">
        <v>5</v>
      </c>
      <c r="H726" s="34">
        <v>45532</v>
      </c>
      <c r="I726" s="5">
        <v>4</v>
      </c>
      <c r="J726" s="34">
        <v>45537</v>
      </c>
      <c r="K726" s="5" t="s">
        <v>3</v>
      </c>
      <c r="L726" s="5" t="s">
        <v>5</v>
      </c>
      <c r="M726" s="5" t="s">
        <v>1</v>
      </c>
      <c r="N726" s="5" t="s">
        <v>4</v>
      </c>
    </row>
    <row r="727" spans="1:14" ht="21.75" customHeight="1" x14ac:dyDescent="0.25">
      <c r="A727" s="1">
        <v>2417</v>
      </c>
      <c r="B727" s="33">
        <v>45528</v>
      </c>
      <c r="D727" s="4" t="s">
        <v>7</v>
      </c>
      <c r="F727" s="5">
        <v>5</v>
      </c>
      <c r="H727" s="34">
        <v>45532</v>
      </c>
      <c r="I727" s="5">
        <v>3</v>
      </c>
      <c r="J727" s="34">
        <v>45536</v>
      </c>
      <c r="K727" s="5" t="s">
        <v>3</v>
      </c>
      <c r="L727" s="5"/>
      <c r="M727" s="5"/>
      <c r="N727" s="5"/>
    </row>
    <row r="728" spans="1:14" ht="21.75" customHeight="1" x14ac:dyDescent="0.25">
      <c r="A728" s="1">
        <v>2960</v>
      </c>
      <c r="B728" s="33">
        <v>45528</v>
      </c>
      <c r="D728" s="4" t="s">
        <v>7</v>
      </c>
      <c r="F728" s="5">
        <v>5</v>
      </c>
      <c r="H728" s="34">
        <v>45532</v>
      </c>
      <c r="I728" s="5">
        <v>3</v>
      </c>
      <c r="J728" s="34">
        <v>45536</v>
      </c>
      <c r="K728" s="5"/>
      <c r="L728" s="5" t="s">
        <v>5</v>
      </c>
      <c r="M728" s="5"/>
      <c r="N728" s="5"/>
    </row>
    <row r="729" spans="1:14" ht="21.75" customHeight="1" x14ac:dyDescent="0.25">
      <c r="A729" s="1">
        <v>3726</v>
      </c>
      <c r="B729" s="33">
        <v>45531</v>
      </c>
      <c r="D729" s="4" t="s">
        <v>7</v>
      </c>
      <c r="F729" s="5">
        <v>5</v>
      </c>
      <c r="H729" s="34">
        <v>45535</v>
      </c>
      <c r="I729" s="5">
        <v>3</v>
      </c>
      <c r="J729" s="34">
        <v>45539</v>
      </c>
      <c r="K729" s="5"/>
      <c r="L729" s="5" t="s">
        <v>5</v>
      </c>
      <c r="M729" s="5"/>
      <c r="N729" s="5"/>
    </row>
    <row r="730" spans="1:14" ht="21.75" customHeight="1" x14ac:dyDescent="0.25">
      <c r="A730" s="1">
        <v>2892</v>
      </c>
      <c r="B730" s="33">
        <v>45531</v>
      </c>
      <c r="D730" s="4" t="s">
        <v>2</v>
      </c>
      <c r="F730" s="5">
        <v>5</v>
      </c>
      <c r="H730" s="34">
        <v>45535</v>
      </c>
      <c r="I730" s="5">
        <v>3</v>
      </c>
      <c r="J730" s="34">
        <v>45539</v>
      </c>
      <c r="K730" s="5" t="s">
        <v>3</v>
      </c>
      <c r="L730" s="5" t="s">
        <v>5</v>
      </c>
      <c r="M730" s="5" t="s">
        <v>1</v>
      </c>
      <c r="N730" s="5" t="s">
        <v>4</v>
      </c>
    </row>
    <row r="731" spans="1:14" ht="21.75" customHeight="1" x14ac:dyDescent="0.25">
      <c r="A731" s="1">
        <v>3548</v>
      </c>
      <c r="B731" s="33">
        <v>45531</v>
      </c>
      <c r="D731" s="4" t="s">
        <v>7</v>
      </c>
      <c r="F731" s="5">
        <v>5</v>
      </c>
      <c r="H731" s="34">
        <v>45535</v>
      </c>
      <c r="I731" s="5">
        <v>3</v>
      </c>
      <c r="J731" s="34">
        <v>45539</v>
      </c>
      <c r="K731" s="5"/>
      <c r="L731" s="5" t="s">
        <v>5</v>
      </c>
      <c r="M731" s="5"/>
      <c r="N731" s="5"/>
    </row>
    <row r="732" spans="1:14" ht="21.75" customHeight="1" x14ac:dyDescent="0.25">
      <c r="A732" s="1">
        <v>1586</v>
      </c>
      <c r="B732" s="33">
        <v>45531</v>
      </c>
      <c r="D732" s="4" t="s">
        <v>7</v>
      </c>
      <c r="F732" s="5">
        <v>5</v>
      </c>
      <c r="H732" s="34">
        <v>45535</v>
      </c>
      <c r="I732" s="5">
        <v>3</v>
      </c>
      <c r="J732" s="34">
        <v>45539</v>
      </c>
      <c r="K732" s="5"/>
      <c r="L732" s="5" t="s">
        <v>5</v>
      </c>
      <c r="M732" s="5"/>
      <c r="N732" s="5"/>
    </row>
    <row r="733" spans="1:14" ht="21.75" customHeight="1" x14ac:dyDescent="0.25">
      <c r="A733" s="1">
        <v>3467</v>
      </c>
      <c r="B733" s="33">
        <v>45531</v>
      </c>
      <c r="D733" s="4" t="s">
        <v>7</v>
      </c>
      <c r="F733" s="5">
        <v>5</v>
      </c>
      <c r="H733" s="34">
        <v>45535</v>
      </c>
      <c r="I733" s="5">
        <v>3</v>
      </c>
      <c r="J733" s="34">
        <v>45539</v>
      </c>
      <c r="K733" s="5"/>
      <c r="L733" s="5" t="s">
        <v>5</v>
      </c>
      <c r="M733" s="5"/>
      <c r="N733" s="5" t="s">
        <v>4</v>
      </c>
    </row>
    <row r="734" spans="1:14" ht="21.75" customHeight="1" x14ac:dyDescent="0.25">
      <c r="A734" s="1">
        <v>3190</v>
      </c>
      <c r="B734" s="33">
        <v>45531</v>
      </c>
      <c r="D734" s="4" t="s">
        <v>7</v>
      </c>
      <c r="F734" s="5">
        <v>5</v>
      </c>
      <c r="H734" s="34">
        <v>45535</v>
      </c>
      <c r="I734" s="5">
        <v>3</v>
      </c>
      <c r="J734" s="34">
        <v>45539</v>
      </c>
      <c r="K734" s="5" t="s">
        <v>3</v>
      </c>
      <c r="L734" s="5"/>
      <c r="M734" s="5"/>
      <c r="N734" s="5"/>
    </row>
    <row r="735" spans="1:14" ht="21.75" customHeight="1" x14ac:dyDescent="0.25">
      <c r="A735" s="1">
        <v>2735</v>
      </c>
      <c r="B735" s="33">
        <v>45531</v>
      </c>
      <c r="D735" s="4" t="s">
        <v>2</v>
      </c>
      <c r="F735" s="5">
        <v>5</v>
      </c>
      <c r="H735" s="34">
        <v>45535</v>
      </c>
      <c r="I735" s="5">
        <v>3</v>
      </c>
      <c r="J735" s="34">
        <v>45539</v>
      </c>
      <c r="K735" s="5"/>
      <c r="L735" s="5"/>
      <c r="M735" s="5"/>
      <c r="N735" s="5" t="s">
        <v>4</v>
      </c>
    </row>
    <row r="736" spans="1:14" ht="21.75" customHeight="1" x14ac:dyDescent="0.25">
      <c r="A736" s="1">
        <v>3490</v>
      </c>
      <c r="B736" s="33">
        <v>45532</v>
      </c>
      <c r="D736" s="4" t="s">
        <v>10</v>
      </c>
      <c r="F736" s="5">
        <v>5</v>
      </c>
      <c r="H736" s="34">
        <v>45536</v>
      </c>
      <c r="I736" s="5">
        <v>3</v>
      </c>
      <c r="J736" s="34">
        <v>45540</v>
      </c>
      <c r="K736" s="5" t="s">
        <v>3</v>
      </c>
      <c r="L736" s="5"/>
      <c r="M736" s="5"/>
      <c r="N736" s="5"/>
    </row>
    <row r="737" spans="1:14" ht="21.75" customHeight="1" x14ac:dyDescent="0.25">
      <c r="A737" s="1">
        <v>2583</v>
      </c>
      <c r="B737" s="33">
        <v>45532</v>
      </c>
      <c r="D737" s="4" t="s">
        <v>10</v>
      </c>
      <c r="F737" s="5">
        <v>5</v>
      </c>
      <c r="H737" s="34">
        <v>45536</v>
      </c>
      <c r="I737" s="5">
        <v>3</v>
      </c>
      <c r="J737" s="34">
        <v>45540</v>
      </c>
      <c r="K737" s="5"/>
      <c r="L737" s="5" t="s">
        <v>5</v>
      </c>
      <c r="M737" s="5"/>
      <c r="N737" s="5" t="s">
        <v>4</v>
      </c>
    </row>
    <row r="738" spans="1:14" ht="21.75" customHeight="1" x14ac:dyDescent="0.25">
      <c r="A738" s="1">
        <v>3021</v>
      </c>
      <c r="B738" s="33">
        <v>45532</v>
      </c>
      <c r="D738" s="4" t="s">
        <v>10</v>
      </c>
      <c r="F738" s="5">
        <v>5</v>
      </c>
      <c r="H738" s="34">
        <v>45536</v>
      </c>
      <c r="I738" s="5">
        <v>3</v>
      </c>
      <c r="J738" s="34">
        <v>45540</v>
      </c>
      <c r="K738" s="5" t="s">
        <v>3</v>
      </c>
      <c r="L738" s="5"/>
      <c r="M738" s="5"/>
      <c r="N738" s="5" t="s">
        <v>4</v>
      </c>
    </row>
    <row r="739" spans="1:14" ht="21.75" customHeight="1" x14ac:dyDescent="0.25">
      <c r="A739" s="1">
        <v>3548</v>
      </c>
      <c r="B739" s="33">
        <v>45533</v>
      </c>
      <c r="D739" s="4" t="s">
        <v>2</v>
      </c>
      <c r="F739" s="5">
        <v>5</v>
      </c>
      <c r="H739" s="34">
        <v>45537</v>
      </c>
      <c r="I739" s="5">
        <v>3</v>
      </c>
      <c r="J739" s="34">
        <v>45541</v>
      </c>
      <c r="K739" s="5"/>
      <c r="L739" s="5" t="s">
        <v>5</v>
      </c>
      <c r="M739" s="5"/>
      <c r="N739" s="5"/>
    </row>
    <row r="740" spans="1:14" ht="21.75" customHeight="1" x14ac:dyDescent="0.25">
      <c r="A740" s="1">
        <v>2745</v>
      </c>
      <c r="B740" s="33">
        <v>45534</v>
      </c>
      <c r="D740" s="4" t="s">
        <v>10</v>
      </c>
      <c r="F740" s="5">
        <v>5</v>
      </c>
      <c r="H740" s="34">
        <v>45538</v>
      </c>
      <c r="I740" s="5">
        <v>3</v>
      </c>
      <c r="J740" s="34">
        <v>45542</v>
      </c>
      <c r="K740" s="5"/>
      <c r="L740" s="5" t="s">
        <v>5</v>
      </c>
      <c r="M740" s="5" t="s">
        <v>1</v>
      </c>
      <c r="N740" s="5" t="s">
        <v>4</v>
      </c>
    </row>
    <row r="741" spans="1:14" ht="21.75" customHeight="1" x14ac:dyDescent="0.25">
      <c r="A741" s="1">
        <v>3103</v>
      </c>
      <c r="B741" s="33">
        <v>45534</v>
      </c>
      <c r="D741" s="4" t="s">
        <v>7</v>
      </c>
      <c r="F741" s="5">
        <v>5</v>
      </c>
      <c r="H741" s="34">
        <v>45538</v>
      </c>
      <c r="I741" s="5">
        <v>3</v>
      </c>
      <c r="J741" s="34">
        <v>45542</v>
      </c>
      <c r="K741" s="5" t="s">
        <v>3</v>
      </c>
      <c r="L741" s="5"/>
      <c r="M741" s="5"/>
      <c r="N741" s="5"/>
    </row>
    <row r="742" spans="1:14" ht="21.75" customHeight="1" x14ac:dyDescent="0.25">
      <c r="A742" s="1">
        <v>2218</v>
      </c>
      <c r="B742" s="33">
        <v>45534</v>
      </c>
      <c r="D742" s="4" t="s">
        <v>7</v>
      </c>
      <c r="F742" s="5">
        <v>5</v>
      </c>
      <c r="H742" s="34">
        <v>45538</v>
      </c>
      <c r="I742" s="5">
        <v>3</v>
      </c>
      <c r="J742" s="34">
        <v>45542</v>
      </c>
      <c r="K742" s="5" t="s">
        <v>3</v>
      </c>
      <c r="L742" s="5"/>
      <c r="M742" s="5" t="s">
        <v>1</v>
      </c>
      <c r="N742" s="5"/>
    </row>
    <row r="743" spans="1:14" ht="21.75" customHeight="1" x14ac:dyDescent="0.25">
      <c r="A743" s="1">
        <v>3037</v>
      </c>
      <c r="B743" s="33">
        <v>45536</v>
      </c>
      <c r="D743" s="4" t="s">
        <v>7</v>
      </c>
      <c r="F743" s="5">
        <v>5</v>
      </c>
      <c r="H743" s="34">
        <v>45540</v>
      </c>
      <c r="I743" s="5">
        <v>3</v>
      </c>
      <c r="J743" s="34">
        <v>45544</v>
      </c>
      <c r="K743" s="5"/>
      <c r="L743" s="5" t="s">
        <v>5</v>
      </c>
      <c r="M743" s="5" t="s">
        <v>1</v>
      </c>
      <c r="N743" s="5" t="s">
        <v>4</v>
      </c>
    </row>
    <row r="744" spans="1:14" ht="21.75" customHeight="1" x14ac:dyDescent="0.25">
      <c r="A744" s="1">
        <v>3730</v>
      </c>
      <c r="B744" s="33">
        <v>45537</v>
      </c>
      <c r="D744" s="4" t="s">
        <v>7</v>
      </c>
      <c r="F744" s="5">
        <v>5</v>
      </c>
      <c r="H744" s="34">
        <v>45541</v>
      </c>
      <c r="I744" s="5">
        <v>3</v>
      </c>
      <c r="J744" s="34">
        <v>45545</v>
      </c>
      <c r="K744" s="5"/>
      <c r="L744" s="5"/>
      <c r="M744" s="5" t="s">
        <v>1</v>
      </c>
      <c r="N744" s="5"/>
    </row>
    <row r="745" spans="1:14" ht="21.75" customHeight="1" x14ac:dyDescent="0.25">
      <c r="A745" s="1">
        <v>2963</v>
      </c>
      <c r="B745" s="33">
        <v>45537</v>
      </c>
      <c r="D745" s="4" t="s">
        <v>7</v>
      </c>
      <c r="F745" s="5">
        <v>5</v>
      </c>
      <c r="H745" s="34">
        <v>45541</v>
      </c>
      <c r="I745" s="5">
        <v>3</v>
      </c>
      <c r="J745" s="34">
        <v>45545</v>
      </c>
      <c r="K745" s="5"/>
      <c r="L745" s="5" t="s">
        <v>5</v>
      </c>
      <c r="M745" s="5"/>
      <c r="N745" s="5"/>
    </row>
    <row r="746" spans="1:14" ht="21.75" customHeight="1" x14ac:dyDescent="0.25">
      <c r="A746" s="1">
        <v>3656</v>
      </c>
      <c r="B746" s="33">
        <v>45537</v>
      </c>
      <c r="D746" s="4" t="s">
        <v>7</v>
      </c>
      <c r="F746" s="5">
        <v>5</v>
      </c>
      <c r="H746" s="34">
        <v>45541</v>
      </c>
      <c r="I746" s="5">
        <v>3</v>
      </c>
      <c r="J746" s="34">
        <v>45545</v>
      </c>
      <c r="K746" s="5" t="s">
        <v>3</v>
      </c>
      <c r="L746" s="5" t="s">
        <v>5</v>
      </c>
      <c r="M746" s="5" t="s">
        <v>1</v>
      </c>
      <c r="N746" s="5"/>
    </row>
    <row r="747" spans="1:14" ht="21.75" customHeight="1" x14ac:dyDescent="0.25">
      <c r="A747" s="1">
        <v>3103</v>
      </c>
      <c r="B747" s="33">
        <v>45538</v>
      </c>
      <c r="D747" s="4" t="s">
        <v>2</v>
      </c>
      <c r="F747" s="5">
        <v>5</v>
      </c>
      <c r="H747" s="34">
        <v>45542</v>
      </c>
      <c r="I747" s="5">
        <v>3</v>
      </c>
      <c r="J747" s="34">
        <v>45546</v>
      </c>
      <c r="K747" s="5" t="s">
        <v>3</v>
      </c>
      <c r="L747" s="5"/>
      <c r="M747" s="5" t="s">
        <v>1</v>
      </c>
      <c r="N747" s="5"/>
    </row>
    <row r="748" spans="1:14" ht="21.75" customHeight="1" x14ac:dyDescent="0.25">
      <c r="A748" s="1">
        <v>3324</v>
      </c>
      <c r="B748" s="33">
        <v>45538</v>
      </c>
      <c r="D748" s="4" t="s">
        <v>7</v>
      </c>
      <c r="F748" s="5">
        <v>5</v>
      </c>
      <c r="H748" s="34">
        <v>45543</v>
      </c>
      <c r="I748" s="5">
        <v>3</v>
      </c>
      <c r="J748" s="34">
        <v>45546</v>
      </c>
      <c r="K748" s="5"/>
      <c r="L748" s="5"/>
      <c r="M748" s="5"/>
      <c r="N748" s="5" t="s">
        <v>4</v>
      </c>
    </row>
    <row r="749" spans="1:14" ht="21.75" customHeight="1" x14ac:dyDescent="0.25">
      <c r="A749" s="1">
        <v>2892</v>
      </c>
      <c r="B749" s="33">
        <v>45539</v>
      </c>
      <c r="D749" s="4" t="s">
        <v>0</v>
      </c>
      <c r="F749" s="5">
        <v>5</v>
      </c>
      <c r="H749" s="34">
        <v>45543</v>
      </c>
      <c r="I749" s="5">
        <v>3</v>
      </c>
      <c r="J749" s="34">
        <v>45547</v>
      </c>
      <c r="K749" s="5" t="s">
        <v>3</v>
      </c>
      <c r="L749" s="5" t="s">
        <v>5</v>
      </c>
      <c r="M749" s="5" t="s">
        <v>1</v>
      </c>
      <c r="N749" s="5" t="s">
        <v>4</v>
      </c>
    </row>
    <row r="750" spans="1:14" ht="21.75" customHeight="1" x14ac:dyDescent="0.25">
      <c r="A750" s="1">
        <v>2550</v>
      </c>
      <c r="B750" s="33">
        <v>45539</v>
      </c>
      <c r="D750" s="4" t="s">
        <v>7</v>
      </c>
      <c r="F750" s="5">
        <v>5</v>
      </c>
      <c r="H750" s="34">
        <v>45543</v>
      </c>
      <c r="I750" s="5">
        <v>3</v>
      </c>
      <c r="J750" s="34">
        <v>45547</v>
      </c>
      <c r="K750" s="5" t="s">
        <v>3</v>
      </c>
      <c r="L750" s="5"/>
      <c r="M750" s="5"/>
      <c r="N750" s="5"/>
    </row>
    <row r="751" spans="1:14" ht="21.75" customHeight="1" x14ac:dyDescent="0.25">
      <c r="A751" s="1">
        <v>3918</v>
      </c>
      <c r="B751" s="33">
        <v>45539</v>
      </c>
      <c r="D751" s="4" t="s">
        <v>15</v>
      </c>
      <c r="F751" s="5">
        <v>5</v>
      </c>
      <c r="H751" s="34">
        <v>45543</v>
      </c>
      <c r="I751" s="5">
        <v>9</v>
      </c>
      <c r="J751" s="34">
        <v>45553</v>
      </c>
      <c r="K751" s="5" t="s">
        <v>3</v>
      </c>
      <c r="L751" s="5" t="s">
        <v>5</v>
      </c>
      <c r="M751" s="5" t="s">
        <v>1</v>
      </c>
      <c r="N751" s="5"/>
    </row>
    <row r="752" spans="1:14" ht="21.75" customHeight="1" x14ac:dyDescent="0.25">
      <c r="A752" s="1">
        <v>3453</v>
      </c>
      <c r="B752" s="33">
        <v>45539</v>
      </c>
      <c r="D752" s="4" t="s">
        <v>15</v>
      </c>
      <c r="F752" s="5">
        <v>5</v>
      </c>
      <c r="H752" s="34">
        <v>45543</v>
      </c>
      <c r="I752" s="5">
        <v>9</v>
      </c>
      <c r="J752" s="34">
        <v>45553</v>
      </c>
      <c r="K752" s="5" t="s">
        <v>3</v>
      </c>
      <c r="L752" s="5"/>
      <c r="M752" s="5"/>
      <c r="N752" s="5"/>
    </row>
    <row r="753" spans="1:14" ht="21.75" customHeight="1" x14ac:dyDescent="0.25">
      <c r="A753" s="1">
        <v>3021</v>
      </c>
      <c r="B753" s="33">
        <v>45539</v>
      </c>
      <c r="D753" s="4" t="s">
        <v>15</v>
      </c>
      <c r="F753" s="5">
        <v>5</v>
      </c>
      <c r="H753" s="34">
        <v>45543</v>
      </c>
      <c r="I753" s="5">
        <v>9</v>
      </c>
      <c r="J753" s="34">
        <v>45553</v>
      </c>
      <c r="K753" s="5" t="s">
        <v>3</v>
      </c>
      <c r="L753" s="5"/>
      <c r="M753" s="5"/>
      <c r="N753" s="5"/>
    </row>
    <row r="754" spans="1:14" ht="21.75" customHeight="1" x14ac:dyDescent="0.25">
      <c r="A754" s="1">
        <v>2745</v>
      </c>
      <c r="B754" s="33">
        <v>45539</v>
      </c>
      <c r="D754" s="4" t="s">
        <v>15</v>
      </c>
      <c r="F754" s="5">
        <v>5</v>
      </c>
      <c r="H754" s="34">
        <v>45544</v>
      </c>
      <c r="I754" s="5">
        <v>9</v>
      </c>
      <c r="J754" s="34">
        <v>45553</v>
      </c>
      <c r="K754" s="5" t="s">
        <v>3</v>
      </c>
      <c r="L754" s="5" t="s">
        <v>5</v>
      </c>
      <c r="M754" s="5" t="s">
        <v>1</v>
      </c>
      <c r="N754" s="5" t="s">
        <v>4</v>
      </c>
    </row>
    <row r="755" spans="1:14" ht="21.75" customHeight="1" x14ac:dyDescent="0.25">
      <c r="A755" s="1">
        <v>2963</v>
      </c>
      <c r="B755" s="33">
        <v>45540</v>
      </c>
      <c r="D755" s="4" t="s">
        <v>2</v>
      </c>
      <c r="F755" s="5">
        <v>5</v>
      </c>
      <c r="H755" s="34">
        <v>45544</v>
      </c>
      <c r="I755" s="5">
        <v>3</v>
      </c>
      <c r="J755" s="34">
        <v>45548</v>
      </c>
      <c r="K755" s="5"/>
      <c r="L755" s="5" t="s">
        <v>5</v>
      </c>
      <c r="M755" s="5"/>
      <c r="N755" s="5"/>
    </row>
    <row r="756" spans="1:14" ht="21.75" customHeight="1" x14ac:dyDescent="0.25">
      <c r="A756" s="1">
        <v>2583</v>
      </c>
      <c r="B756" s="33">
        <v>45540</v>
      </c>
      <c r="D756" s="4" t="s">
        <v>16</v>
      </c>
      <c r="F756" s="5">
        <v>5</v>
      </c>
      <c r="H756" s="34">
        <v>45544</v>
      </c>
      <c r="I756" s="5">
        <v>5</v>
      </c>
      <c r="J756" s="34">
        <v>45550</v>
      </c>
      <c r="K756" s="5"/>
      <c r="L756" s="5" t="s">
        <v>5</v>
      </c>
      <c r="M756" s="5"/>
      <c r="N756" s="5"/>
    </row>
    <row r="757" spans="1:14" ht="21.75" customHeight="1" x14ac:dyDescent="0.25">
      <c r="A757" s="1">
        <v>1123</v>
      </c>
      <c r="B757" s="33">
        <v>45540</v>
      </c>
      <c r="D757" s="4" t="s">
        <v>7</v>
      </c>
      <c r="F757" s="5">
        <v>5</v>
      </c>
      <c r="H757" s="34">
        <v>45544</v>
      </c>
      <c r="I757" s="5">
        <v>3</v>
      </c>
      <c r="J757" s="34">
        <v>45550</v>
      </c>
      <c r="K757" s="5"/>
      <c r="L757" s="5" t="s">
        <v>5</v>
      </c>
      <c r="M757" s="5"/>
      <c r="N757" s="5"/>
    </row>
    <row r="758" spans="1:14" ht="21.75" customHeight="1" x14ac:dyDescent="0.25">
      <c r="A758" s="1">
        <v>2409</v>
      </c>
      <c r="B758" s="33">
        <v>45540</v>
      </c>
      <c r="D758" s="4" t="s">
        <v>7</v>
      </c>
      <c r="F758" s="5">
        <v>5</v>
      </c>
      <c r="H758" s="34">
        <v>45545</v>
      </c>
      <c r="I758" s="5">
        <v>3</v>
      </c>
      <c r="J758" s="34">
        <v>45548</v>
      </c>
      <c r="K758" s="5"/>
      <c r="L758" s="5" t="s">
        <v>5</v>
      </c>
      <c r="M758" s="5"/>
      <c r="N758" s="5"/>
    </row>
    <row r="759" spans="1:14" ht="21.75" customHeight="1" x14ac:dyDescent="0.25">
      <c r="A759" s="1">
        <v>2663</v>
      </c>
      <c r="B759" s="33">
        <v>45541</v>
      </c>
      <c r="D759" s="4" t="s">
        <v>2</v>
      </c>
      <c r="F759" s="5">
        <v>5</v>
      </c>
      <c r="H759" s="34">
        <v>45545</v>
      </c>
      <c r="I759" s="5">
        <v>3</v>
      </c>
      <c r="J759" s="34">
        <v>45549</v>
      </c>
      <c r="K759" s="5" t="s">
        <v>3</v>
      </c>
      <c r="L759" s="5"/>
      <c r="M759" s="5"/>
      <c r="N759" s="5" t="s">
        <v>4</v>
      </c>
    </row>
    <row r="760" spans="1:14" ht="21.75" customHeight="1" x14ac:dyDescent="0.25">
      <c r="A760" s="1">
        <v>3324</v>
      </c>
      <c r="B760" s="33">
        <v>45541</v>
      </c>
      <c r="D760" s="4" t="s">
        <v>0</v>
      </c>
      <c r="F760" s="5">
        <v>5</v>
      </c>
      <c r="H760" s="34">
        <v>45545</v>
      </c>
      <c r="I760" s="5">
        <v>3</v>
      </c>
      <c r="J760" s="34">
        <v>45549</v>
      </c>
      <c r="K760" s="5"/>
      <c r="L760" s="5"/>
      <c r="M760" s="5"/>
      <c r="N760" s="5" t="s">
        <v>4</v>
      </c>
    </row>
    <row r="761" spans="1:14" ht="21.75" customHeight="1" x14ac:dyDescent="0.25">
      <c r="A761" s="1">
        <v>3656</v>
      </c>
      <c r="B761" s="33">
        <v>45541</v>
      </c>
      <c r="D761" s="4" t="s">
        <v>0</v>
      </c>
      <c r="F761" s="5">
        <v>5</v>
      </c>
      <c r="H761" s="34">
        <v>45545</v>
      </c>
      <c r="I761" s="5">
        <v>3</v>
      </c>
      <c r="J761" s="34">
        <v>45549</v>
      </c>
      <c r="K761" s="5"/>
      <c r="L761" s="5"/>
      <c r="M761" s="5" t="s">
        <v>1</v>
      </c>
      <c r="N761" s="5"/>
    </row>
    <row r="762" spans="1:14" ht="21.75" customHeight="1" x14ac:dyDescent="0.25">
      <c r="A762" s="1">
        <v>2960</v>
      </c>
      <c r="B762" s="33">
        <v>45541</v>
      </c>
      <c r="D762" s="4" t="s">
        <v>7</v>
      </c>
      <c r="F762" s="5">
        <v>5</v>
      </c>
      <c r="H762" s="34">
        <v>45545</v>
      </c>
      <c r="I762" s="5">
        <v>3</v>
      </c>
      <c r="J762" s="34">
        <v>45549</v>
      </c>
      <c r="K762" s="5"/>
      <c r="L762" s="5" t="s">
        <v>5</v>
      </c>
      <c r="M762" s="5"/>
      <c r="N762" s="5"/>
    </row>
    <row r="763" spans="1:14" ht="21.75" customHeight="1" x14ac:dyDescent="0.25">
      <c r="A763" s="1">
        <v>2675</v>
      </c>
      <c r="B763" s="33">
        <v>45541</v>
      </c>
      <c r="D763" s="4" t="s">
        <v>7</v>
      </c>
      <c r="F763" s="5">
        <v>5</v>
      </c>
      <c r="H763" s="34">
        <v>45545</v>
      </c>
      <c r="I763" s="5">
        <v>3</v>
      </c>
      <c r="J763" s="34">
        <v>45549</v>
      </c>
      <c r="K763" s="5"/>
      <c r="L763" s="5" t="s">
        <v>5</v>
      </c>
      <c r="M763" s="5"/>
      <c r="N763" s="5"/>
    </row>
    <row r="764" spans="1:14" ht="21.75" customHeight="1" x14ac:dyDescent="0.25">
      <c r="A764" s="1">
        <v>2825</v>
      </c>
      <c r="B764" s="33">
        <v>45542</v>
      </c>
      <c r="D764" s="4" t="s">
        <v>7</v>
      </c>
      <c r="F764" s="5">
        <v>5</v>
      </c>
      <c r="H764" s="34">
        <v>45546</v>
      </c>
      <c r="I764" s="5">
        <v>3</v>
      </c>
      <c r="J764" s="34">
        <v>45550</v>
      </c>
      <c r="K764" s="5"/>
      <c r="L764" s="5" t="s">
        <v>5</v>
      </c>
      <c r="M764" s="5"/>
      <c r="N764" s="5"/>
    </row>
    <row r="765" spans="1:14" ht="21.75" customHeight="1" x14ac:dyDescent="0.25">
      <c r="A765" s="1">
        <v>2218</v>
      </c>
      <c r="B765" s="33">
        <v>45542</v>
      </c>
      <c r="D765" s="4" t="s">
        <v>2</v>
      </c>
      <c r="F765" s="5">
        <v>5</v>
      </c>
      <c r="H765" s="34">
        <v>45546</v>
      </c>
      <c r="I765" s="5">
        <v>3</v>
      </c>
      <c r="J765" s="34">
        <v>45550</v>
      </c>
      <c r="K765" s="5"/>
      <c r="L765" s="5"/>
      <c r="M765" s="5" t="s">
        <v>1</v>
      </c>
      <c r="N765" s="5" t="s">
        <v>4</v>
      </c>
    </row>
    <row r="766" spans="1:14" ht="21.75" customHeight="1" x14ac:dyDescent="0.25">
      <c r="A766" s="1">
        <v>2791</v>
      </c>
      <c r="B766" s="33">
        <v>45542</v>
      </c>
      <c r="D766" s="4" t="s">
        <v>7</v>
      </c>
      <c r="F766" s="5">
        <v>5</v>
      </c>
      <c r="H766" s="34">
        <v>45546</v>
      </c>
      <c r="I766" s="5">
        <v>3</v>
      </c>
      <c r="J766" s="34">
        <v>45550</v>
      </c>
      <c r="K766" s="5"/>
      <c r="L766" s="5"/>
      <c r="M766" s="5"/>
      <c r="N766" s="5" t="s">
        <v>4</v>
      </c>
    </row>
    <row r="767" spans="1:14" ht="21.75" customHeight="1" x14ac:dyDescent="0.25">
      <c r="A767" s="1">
        <v>2315</v>
      </c>
      <c r="B767" s="33">
        <v>45543</v>
      </c>
      <c r="D767" s="4" t="s">
        <v>7</v>
      </c>
      <c r="F767" s="5">
        <v>5</v>
      </c>
      <c r="H767" s="34">
        <v>45547</v>
      </c>
      <c r="I767" s="5">
        <v>3</v>
      </c>
      <c r="J767" s="34">
        <v>45551</v>
      </c>
      <c r="K767" s="5" t="s">
        <v>3</v>
      </c>
      <c r="L767" s="5" t="s">
        <v>5</v>
      </c>
      <c r="M767" s="5" t="s">
        <v>1</v>
      </c>
      <c r="N767" s="5" t="s">
        <v>4</v>
      </c>
    </row>
    <row r="768" spans="1:14" ht="21.75" customHeight="1" x14ac:dyDescent="0.25">
      <c r="A768" s="1">
        <v>3144</v>
      </c>
      <c r="B768" s="33">
        <v>45543</v>
      </c>
      <c r="D768" s="4" t="s">
        <v>10</v>
      </c>
      <c r="F768" s="5">
        <v>5</v>
      </c>
      <c r="H768" s="34">
        <v>45547</v>
      </c>
      <c r="I768" s="5">
        <v>3</v>
      </c>
      <c r="J768" s="34">
        <v>45551</v>
      </c>
      <c r="K768" s="5"/>
      <c r="L768" s="5"/>
      <c r="M768" s="5" t="s">
        <v>1</v>
      </c>
      <c r="N768" s="5"/>
    </row>
    <row r="769" spans="1:14" ht="21.75" customHeight="1" x14ac:dyDescent="0.25">
      <c r="A769" s="1">
        <v>3455</v>
      </c>
      <c r="B769" s="33">
        <v>45544</v>
      </c>
      <c r="D769" s="4" t="s">
        <v>7</v>
      </c>
      <c r="F769" s="5">
        <v>5</v>
      </c>
      <c r="H769" s="34">
        <v>45548</v>
      </c>
      <c r="I769" s="5">
        <v>3</v>
      </c>
      <c r="J769" s="34">
        <v>45552</v>
      </c>
      <c r="K769" s="5"/>
      <c r="L769" s="5" t="s">
        <v>5</v>
      </c>
      <c r="M769" s="5"/>
      <c r="N769" s="5"/>
    </row>
    <row r="770" spans="1:14" ht="21.75" customHeight="1" x14ac:dyDescent="0.25">
      <c r="A770" s="1">
        <v>3685</v>
      </c>
      <c r="B770" s="33">
        <v>45545</v>
      </c>
      <c r="D770" s="4" t="s">
        <v>7</v>
      </c>
      <c r="F770" s="5">
        <v>5</v>
      </c>
      <c r="H770" s="34">
        <v>45549</v>
      </c>
      <c r="I770" s="5">
        <v>3</v>
      </c>
      <c r="J770" s="34">
        <v>45553</v>
      </c>
      <c r="K770" s="5"/>
      <c r="L770" s="5"/>
      <c r="M770" s="5" t="s">
        <v>1</v>
      </c>
      <c r="N770" s="5" t="s">
        <v>4</v>
      </c>
    </row>
    <row r="771" spans="1:14" ht="21.75" customHeight="1" x14ac:dyDescent="0.25">
      <c r="A771" s="1">
        <v>2218</v>
      </c>
      <c r="B771" s="33">
        <v>45546</v>
      </c>
      <c r="D771" s="4" t="s">
        <v>6</v>
      </c>
      <c r="F771" s="5">
        <v>5</v>
      </c>
      <c r="H771" s="34">
        <v>45550</v>
      </c>
      <c r="I771" s="5">
        <v>5</v>
      </c>
      <c r="J771" s="34">
        <v>45556</v>
      </c>
      <c r="K771" s="5"/>
      <c r="L771" s="5" t="s">
        <v>5</v>
      </c>
      <c r="M771" s="5"/>
      <c r="N771" s="5" t="s">
        <v>4</v>
      </c>
    </row>
    <row r="772" spans="1:14" ht="21.75" customHeight="1" x14ac:dyDescent="0.25">
      <c r="A772" s="1">
        <v>3848</v>
      </c>
      <c r="B772" s="33">
        <v>45546</v>
      </c>
      <c r="D772" s="4" t="s">
        <v>7</v>
      </c>
      <c r="F772" s="5">
        <v>5</v>
      </c>
      <c r="H772" s="34">
        <v>45550</v>
      </c>
      <c r="I772" s="5">
        <v>3</v>
      </c>
      <c r="J772" s="34">
        <v>45554</v>
      </c>
      <c r="K772" s="5"/>
      <c r="L772" s="5" t="s">
        <v>5</v>
      </c>
      <c r="M772" s="5"/>
      <c r="N772" s="5" t="s">
        <v>4</v>
      </c>
    </row>
    <row r="773" spans="1:14" ht="21.75" customHeight="1" x14ac:dyDescent="0.25">
      <c r="A773" s="1">
        <v>3155</v>
      </c>
      <c r="B773" s="33">
        <v>45546</v>
      </c>
      <c r="D773" s="4" t="s">
        <v>7</v>
      </c>
      <c r="F773" s="5">
        <v>5</v>
      </c>
      <c r="H773" s="34">
        <v>45550</v>
      </c>
      <c r="I773" s="5">
        <v>3</v>
      </c>
      <c r="J773" s="34">
        <v>45554</v>
      </c>
      <c r="K773" s="5"/>
      <c r="L773" s="5" t="s">
        <v>5</v>
      </c>
      <c r="M773" s="5"/>
      <c r="N773" s="5" t="s">
        <v>4</v>
      </c>
    </row>
    <row r="774" spans="1:14" ht="21.75" customHeight="1" x14ac:dyDescent="0.25">
      <c r="A774" s="1">
        <v>3322</v>
      </c>
      <c r="B774" s="33">
        <v>45547</v>
      </c>
      <c r="D774" s="4" t="s">
        <v>13</v>
      </c>
      <c r="F774" s="5">
        <v>5</v>
      </c>
      <c r="H774" s="34">
        <v>45551</v>
      </c>
      <c r="I774" s="5">
        <v>5</v>
      </c>
      <c r="J774" s="34">
        <v>45557</v>
      </c>
      <c r="K774" s="5"/>
      <c r="L774" s="5" t="s">
        <v>5</v>
      </c>
      <c r="M774" s="5"/>
      <c r="N774" s="5"/>
    </row>
    <row r="775" spans="1:14" ht="21.75" customHeight="1" x14ac:dyDescent="0.25">
      <c r="A775" s="1">
        <v>2409</v>
      </c>
      <c r="B775" s="33">
        <v>45547</v>
      </c>
      <c r="D775" s="4" t="s">
        <v>13</v>
      </c>
      <c r="F775" s="5">
        <v>5</v>
      </c>
      <c r="H775" s="34">
        <v>45551</v>
      </c>
      <c r="I775" s="5">
        <v>5</v>
      </c>
      <c r="J775" s="34">
        <v>45557</v>
      </c>
      <c r="K775" s="5"/>
      <c r="L775" s="5" t="s">
        <v>5</v>
      </c>
      <c r="M775" s="5"/>
      <c r="N775" s="5"/>
    </row>
    <row r="776" spans="1:14" ht="21.75" customHeight="1" x14ac:dyDescent="0.25">
      <c r="A776" s="1">
        <v>2963</v>
      </c>
      <c r="B776" s="33">
        <v>45547</v>
      </c>
      <c r="D776" s="4" t="s">
        <v>15</v>
      </c>
      <c r="F776" s="5">
        <v>5</v>
      </c>
      <c r="H776" s="34">
        <v>45551</v>
      </c>
      <c r="I776" s="5">
        <v>9</v>
      </c>
      <c r="J776" s="34">
        <v>45561</v>
      </c>
      <c r="K776" s="5"/>
      <c r="L776" s="5" t="s">
        <v>5</v>
      </c>
      <c r="M776" s="5"/>
      <c r="N776" s="5"/>
    </row>
    <row r="777" spans="1:14" ht="21.75" customHeight="1" x14ac:dyDescent="0.25">
      <c r="A777" s="1">
        <v>3103</v>
      </c>
      <c r="B777" s="33">
        <v>45547</v>
      </c>
      <c r="D777" s="4" t="s">
        <v>15</v>
      </c>
      <c r="F777" s="5">
        <v>5</v>
      </c>
      <c r="H777" s="34">
        <v>45551</v>
      </c>
      <c r="I777" s="5">
        <v>9</v>
      </c>
      <c r="J777" s="34">
        <v>45561</v>
      </c>
      <c r="K777" s="5" t="s">
        <v>3</v>
      </c>
      <c r="L777" s="5"/>
      <c r="M777" s="5"/>
      <c r="N777" s="5"/>
    </row>
    <row r="778" spans="1:14" ht="21.75" customHeight="1" x14ac:dyDescent="0.25">
      <c r="A778" s="1">
        <v>3390</v>
      </c>
      <c r="B778" s="33">
        <v>45547</v>
      </c>
      <c r="D778" s="4" t="s">
        <v>7</v>
      </c>
      <c r="F778" s="5">
        <v>5</v>
      </c>
      <c r="H778" s="34">
        <v>45551</v>
      </c>
      <c r="I778" s="5">
        <v>3</v>
      </c>
      <c r="J778" s="34">
        <v>45555</v>
      </c>
      <c r="K778" s="5"/>
      <c r="L778" s="5" t="s">
        <v>5</v>
      </c>
      <c r="M778" s="5"/>
      <c r="N778" s="5"/>
    </row>
    <row r="779" spans="1:14" ht="21.75" customHeight="1" x14ac:dyDescent="0.25">
      <c r="A779" s="1">
        <v>1942</v>
      </c>
      <c r="B779" s="33">
        <v>45547</v>
      </c>
      <c r="D779" s="4" t="s">
        <v>7</v>
      </c>
      <c r="F779" s="5">
        <v>5</v>
      </c>
      <c r="H779" s="34">
        <v>45551</v>
      </c>
      <c r="I779" s="5">
        <v>3</v>
      </c>
      <c r="J779" s="34">
        <v>45555</v>
      </c>
      <c r="K779" s="5"/>
      <c r="L779" s="5" t="s">
        <v>5</v>
      </c>
      <c r="M779" s="5"/>
      <c r="N779" s="5"/>
    </row>
    <row r="780" spans="1:14" ht="21.75" customHeight="1" x14ac:dyDescent="0.25">
      <c r="A780" s="1">
        <v>4385</v>
      </c>
      <c r="B780" s="33">
        <v>45547</v>
      </c>
      <c r="D780" s="4" t="s">
        <v>7</v>
      </c>
      <c r="F780" s="5">
        <v>5</v>
      </c>
      <c r="H780" s="34">
        <v>45551</v>
      </c>
      <c r="I780" s="5">
        <v>3</v>
      </c>
      <c r="J780" s="34">
        <v>45555</v>
      </c>
      <c r="K780" s="5"/>
      <c r="L780" s="5"/>
      <c r="M780" s="5"/>
      <c r="N780" s="5" t="s">
        <v>4</v>
      </c>
    </row>
    <row r="781" spans="1:14" ht="21.75" customHeight="1" x14ac:dyDescent="0.25">
      <c r="A781" s="1">
        <v>1185</v>
      </c>
      <c r="B781" s="33">
        <v>45548</v>
      </c>
      <c r="D781" s="4" t="s">
        <v>7</v>
      </c>
      <c r="F781" s="5">
        <v>5</v>
      </c>
      <c r="H781" s="34">
        <v>45552</v>
      </c>
      <c r="I781" s="5">
        <v>3</v>
      </c>
      <c r="J781" s="34">
        <v>45556</v>
      </c>
      <c r="K781" s="5" t="s">
        <v>3</v>
      </c>
      <c r="L781" s="5"/>
      <c r="M781" s="5"/>
      <c r="N781" s="5"/>
    </row>
    <row r="782" spans="1:14" ht="21.75" customHeight="1" x14ac:dyDescent="0.25">
      <c r="A782" s="1">
        <v>3428</v>
      </c>
      <c r="B782" s="33">
        <v>45548</v>
      </c>
      <c r="D782" s="4" t="s">
        <v>7</v>
      </c>
      <c r="F782" s="5">
        <v>5</v>
      </c>
      <c r="H782" s="34">
        <v>45552</v>
      </c>
      <c r="I782" s="5">
        <v>3</v>
      </c>
      <c r="J782" s="34">
        <v>45556</v>
      </c>
      <c r="K782" s="5"/>
      <c r="L782" s="5"/>
      <c r="M782" s="5" t="s">
        <v>1</v>
      </c>
      <c r="N782" s="5"/>
    </row>
    <row r="783" spans="1:14" ht="21.75" customHeight="1" x14ac:dyDescent="0.25">
      <c r="A783" s="1">
        <v>3730</v>
      </c>
      <c r="B783" s="33">
        <v>45550</v>
      </c>
      <c r="D783" s="4" t="s">
        <v>7</v>
      </c>
      <c r="F783" s="5">
        <v>5</v>
      </c>
      <c r="H783" s="34">
        <v>45554</v>
      </c>
      <c r="I783" s="5">
        <v>3</v>
      </c>
      <c r="J783" s="34">
        <v>45558</v>
      </c>
      <c r="K783" s="5"/>
      <c r="L783" s="5"/>
      <c r="M783" s="5" t="s">
        <v>1</v>
      </c>
      <c r="N783" s="5"/>
    </row>
    <row r="784" spans="1:14" ht="21.75" customHeight="1" x14ac:dyDescent="0.25">
      <c r="A784" s="1">
        <v>4298</v>
      </c>
      <c r="B784" s="33">
        <v>45551</v>
      </c>
      <c r="D784" s="4" t="s">
        <v>7</v>
      </c>
      <c r="F784" s="5">
        <v>5</v>
      </c>
      <c r="H784" s="34">
        <v>45555</v>
      </c>
      <c r="I784" s="5">
        <v>3</v>
      </c>
      <c r="J784" s="34">
        <v>45559</v>
      </c>
      <c r="K784" s="5" t="s">
        <v>3</v>
      </c>
      <c r="L784" s="5"/>
      <c r="M784" s="5" t="s">
        <v>1</v>
      </c>
      <c r="N784" s="5"/>
    </row>
    <row r="785" spans="1:14" ht="21.75" customHeight="1" x14ac:dyDescent="0.25">
      <c r="A785" s="1">
        <v>3186</v>
      </c>
      <c r="B785" s="33">
        <v>45551</v>
      </c>
      <c r="D785" s="4" t="s">
        <v>7</v>
      </c>
      <c r="F785" s="5">
        <v>5</v>
      </c>
      <c r="H785" s="34">
        <v>45555</v>
      </c>
      <c r="I785" s="5">
        <v>3</v>
      </c>
      <c r="J785" s="34">
        <v>45559</v>
      </c>
      <c r="K785" s="5"/>
      <c r="L785" s="5"/>
      <c r="M785" s="5"/>
      <c r="N785" s="5" t="s">
        <v>4</v>
      </c>
    </row>
    <row r="786" spans="1:14" ht="21.75" customHeight="1" x14ac:dyDescent="0.25">
      <c r="A786" s="1">
        <v>1185</v>
      </c>
      <c r="B786" s="33">
        <v>45551</v>
      </c>
      <c r="D786" s="4" t="s">
        <v>13</v>
      </c>
      <c r="F786" s="5">
        <v>5</v>
      </c>
      <c r="H786" s="34">
        <v>45555</v>
      </c>
      <c r="I786" s="5">
        <v>5</v>
      </c>
      <c r="J786" s="34">
        <v>45561</v>
      </c>
      <c r="K786" s="5" t="s">
        <v>3</v>
      </c>
      <c r="L786" s="5" t="s">
        <v>5</v>
      </c>
      <c r="M786" s="5"/>
      <c r="N786" s="5"/>
    </row>
    <row r="787" spans="1:14" ht="21.75" customHeight="1" x14ac:dyDescent="0.25">
      <c r="A787" s="1">
        <v>2791</v>
      </c>
      <c r="B787" s="33">
        <v>45551</v>
      </c>
      <c r="D787" s="4" t="s">
        <v>13</v>
      </c>
      <c r="F787" s="5">
        <v>5</v>
      </c>
      <c r="H787" s="34">
        <v>45555</v>
      </c>
      <c r="I787" s="5">
        <v>5</v>
      </c>
      <c r="J787" s="34">
        <v>45561</v>
      </c>
      <c r="K787" s="5" t="s">
        <v>3</v>
      </c>
      <c r="L787" s="5"/>
      <c r="M787" s="5"/>
      <c r="N787" s="5"/>
    </row>
    <row r="788" spans="1:14" ht="21.75" customHeight="1" x14ac:dyDescent="0.25">
      <c r="A788" s="1">
        <v>3656</v>
      </c>
      <c r="B788" s="33">
        <v>45551</v>
      </c>
      <c r="D788" s="4" t="s">
        <v>13</v>
      </c>
      <c r="F788" s="5">
        <v>5</v>
      </c>
      <c r="H788" s="34">
        <v>45555</v>
      </c>
      <c r="I788" s="5">
        <v>5</v>
      </c>
      <c r="J788" s="34">
        <v>45561</v>
      </c>
      <c r="K788" s="5"/>
      <c r="L788" s="5" t="s">
        <v>5</v>
      </c>
      <c r="M788" s="5" t="s">
        <v>1</v>
      </c>
      <c r="N788" s="5"/>
    </row>
    <row r="789" spans="1:14" ht="21.75" customHeight="1" x14ac:dyDescent="0.25">
      <c r="A789" s="1">
        <v>3455</v>
      </c>
      <c r="B789" s="33">
        <v>45551</v>
      </c>
      <c r="D789" s="4" t="s">
        <v>13</v>
      </c>
      <c r="F789" s="5">
        <v>5</v>
      </c>
      <c r="H789" s="34">
        <v>45555</v>
      </c>
      <c r="I789" s="5">
        <v>5</v>
      </c>
      <c r="J789" s="34">
        <v>45561</v>
      </c>
      <c r="K789" s="5"/>
      <c r="L789" s="5"/>
      <c r="M789" s="5" t="s">
        <v>1</v>
      </c>
      <c r="N789" s="5"/>
    </row>
    <row r="790" spans="1:14" ht="21.75" customHeight="1" x14ac:dyDescent="0.25">
      <c r="A790" s="1">
        <v>2821</v>
      </c>
      <c r="B790" s="33">
        <v>45551</v>
      </c>
      <c r="D790" s="4" t="s">
        <v>7</v>
      </c>
      <c r="F790" s="5">
        <v>5</v>
      </c>
      <c r="H790" s="34">
        <v>45555</v>
      </c>
      <c r="I790" s="5">
        <v>3</v>
      </c>
      <c r="J790" s="34">
        <v>45559</v>
      </c>
      <c r="K790" s="5"/>
      <c r="L790" s="5"/>
      <c r="M790" s="5"/>
      <c r="N790" s="5" t="s">
        <v>4</v>
      </c>
    </row>
    <row r="791" spans="1:14" ht="21.75" customHeight="1" x14ac:dyDescent="0.25">
      <c r="A791" s="1">
        <v>3817</v>
      </c>
      <c r="B791" s="33">
        <v>45551</v>
      </c>
      <c r="D791" s="4" t="s">
        <v>7</v>
      </c>
      <c r="F791" s="5">
        <v>5</v>
      </c>
      <c r="H791" s="34">
        <v>45555</v>
      </c>
      <c r="I791" s="5">
        <v>3</v>
      </c>
      <c r="J791" s="34">
        <v>45559</v>
      </c>
      <c r="K791" s="5"/>
      <c r="L791" s="5"/>
      <c r="M791" s="5"/>
      <c r="N791" s="5" t="s">
        <v>4</v>
      </c>
    </row>
    <row r="792" spans="1:14" ht="21.75" customHeight="1" x14ac:dyDescent="0.25">
      <c r="A792" s="1">
        <v>3155</v>
      </c>
      <c r="B792" s="33">
        <v>45552</v>
      </c>
      <c r="D792" s="4" t="s">
        <v>2</v>
      </c>
      <c r="F792" s="5">
        <v>5</v>
      </c>
      <c r="H792" s="34">
        <v>45556</v>
      </c>
      <c r="I792" s="5">
        <v>3</v>
      </c>
      <c r="J792" s="34">
        <v>45560</v>
      </c>
      <c r="K792" s="5"/>
      <c r="L792" s="5" t="s">
        <v>5</v>
      </c>
      <c r="M792" s="5"/>
      <c r="N792" s="5" t="s">
        <v>4</v>
      </c>
    </row>
    <row r="793" spans="1:14" ht="21.75" customHeight="1" x14ac:dyDescent="0.25">
      <c r="A793" s="1">
        <v>2963</v>
      </c>
      <c r="B793" s="33">
        <v>45552</v>
      </c>
      <c r="D793" s="4" t="s">
        <v>2</v>
      </c>
      <c r="F793" s="5">
        <v>5</v>
      </c>
      <c r="H793" s="34">
        <v>45556</v>
      </c>
      <c r="I793" s="5">
        <v>3</v>
      </c>
      <c r="J793" s="34">
        <v>45560</v>
      </c>
      <c r="K793" s="5"/>
      <c r="L793" s="5" t="s">
        <v>5</v>
      </c>
      <c r="M793" s="5"/>
      <c r="N793" s="5"/>
    </row>
    <row r="794" spans="1:14" ht="21.75" customHeight="1" x14ac:dyDescent="0.25">
      <c r="A794" s="1">
        <v>3324</v>
      </c>
      <c r="B794" s="33">
        <v>45552</v>
      </c>
      <c r="D794" s="4" t="s">
        <v>2</v>
      </c>
      <c r="F794" s="5">
        <v>5</v>
      </c>
      <c r="H794" s="34">
        <v>45556</v>
      </c>
      <c r="I794" s="5">
        <v>3</v>
      </c>
      <c r="J794" s="34">
        <v>45560</v>
      </c>
      <c r="K794" s="5"/>
      <c r="L794" s="5"/>
      <c r="M794" s="5" t="s">
        <v>1</v>
      </c>
      <c r="N794" s="5" t="s">
        <v>4</v>
      </c>
    </row>
    <row r="795" spans="1:14" ht="21.75" customHeight="1" x14ac:dyDescent="0.25">
      <c r="A795" s="1">
        <v>3453</v>
      </c>
      <c r="B795" s="33">
        <v>45552</v>
      </c>
      <c r="D795" s="4" t="s">
        <v>17</v>
      </c>
      <c r="F795" s="5">
        <v>3</v>
      </c>
      <c r="H795" s="34">
        <v>45554</v>
      </c>
      <c r="I795" s="5">
        <v>6</v>
      </c>
      <c r="J795" s="34">
        <v>45561</v>
      </c>
      <c r="K795" s="5"/>
      <c r="L795" s="5"/>
      <c r="M795" s="5"/>
      <c r="N795" s="5"/>
    </row>
    <row r="796" spans="1:14" ht="21.75" customHeight="1" x14ac:dyDescent="0.25">
      <c r="A796" s="1">
        <v>2745</v>
      </c>
      <c r="B796" s="33">
        <v>45552</v>
      </c>
      <c r="D796" s="4" t="s">
        <v>17</v>
      </c>
      <c r="F796" s="5">
        <v>3</v>
      </c>
      <c r="H796" s="34">
        <v>45554</v>
      </c>
      <c r="I796" s="5">
        <v>6</v>
      </c>
      <c r="J796" s="34">
        <v>45561</v>
      </c>
      <c r="K796" s="5" t="s">
        <v>3</v>
      </c>
      <c r="L796" s="5"/>
      <c r="M796" s="5"/>
      <c r="N796" s="5"/>
    </row>
    <row r="797" spans="1:14" ht="21.75" customHeight="1" x14ac:dyDescent="0.25">
      <c r="A797" s="1">
        <v>3627</v>
      </c>
      <c r="B797" s="33">
        <v>45553</v>
      </c>
      <c r="D797" s="4" t="s">
        <v>7</v>
      </c>
      <c r="F797" s="5">
        <v>7</v>
      </c>
      <c r="H797" s="34">
        <v>45559</v>
      </c>
      <c r="I797" s="5">
        <v>3</v>
      </c>
      <c r="J797" s="34">
        <v>45563</v>
      </c>
      <c r="K797" s="5"/>
      <c r="L797" s="5" t="s">
        <v>5</v>
      </c>
      <c r="M797" s="5" t="s">
        <v>1</v>
      </c>
      <c r="N797" s="5"/>
    </row>
    <row r="798" spans="1:14" ht="21.75" customHeight="1" x14ac:dyDescent="0.25">
      <c r="A798" s="1">
        <v>4402</v>
      </c>
      <c r="B798" s="33">
        <v>45553</v>
      </c>
      <c r="D798" s="4" t="s">
        <v>7</v>
      </c>
      <c r="F798" s="5">
        <v>5</v>
      </c>
      <c r="H798" s="34">
        <v>45557</v>
      </c>
      <c r="I798" s="5">
        <v>3</v>
      </c>
      <c r="J798" s="34">
        <v>45561</v>
      </c>
      <c r="K798" s="5"/>
      <c r="L798" s="5" t="s">
        <v>5</v>
      </c>
      <c r="M798" s="5"/>
      <c r="N798" s="5"/>
    </row>
    <row r="799" spans="1:14" ht="21.75" customHeight="1" x14ac:dyDescent="0.25">
      <c r="A799" s="1">
        <v>3025</v>
      </c>
      <c r="B799" s="33">
        <v>45554</v>
      </c>
      <c r="D799" s="4" t="s">
        <v>7</v>
      </c>
      <c r="F799" s="5">
        <v>5</v>
      </c>
      <c r="H799" s="34">
        <v>45558</v>
      </c>
      <c r="I799" s="5">
        <v>3</v>
      </c>
      <c r="J799" s="34">
        <v>45562</v>
      </c>
      <c r="K799" s="5"/>
      <c r="L799" s="5" t="s">
        <v>5</v>
      </c>
      <c r="M799" s="5"/>
      <c r="N799" s="5" t="s">
        <v>4</v>
      </c>
    </row>
    <row r="800" spans="1:14" ht="21.75" customHeight="1" x14ac:dyDescent="0.25">
      <c r="A800" s="1">
        <v>2278</v>
      </c>
      <c r="B800" s="33">
        <v>45554</v>
      </c>
      <c r="D800" s="4" t="s">
        <v>7</v>
      </c>
      <c r="F800" s="5">
        <v>5</v>
      </c>
      <c r="H800" s="34">
        <v>45558</v>
      </c>
      <c r="I800" s="5">
        <v>3</v>
      </c>
      <c r="J800" s="34">
        <v>45562</v>
      </c>
      <c r="K800" s="5"/>
      <c r="L800" s="5" t="s">
        <v>5</v>
      </c>
      <c r="M800" s="5"/>
      <c r="N800" s="5"/>
    </row>
    <row r="801" spans="1:14" ht="21.75" customHeight="1" x14ac:dyDescent="0.25">
      <c r="A801" s="1">
        <v>2791</v>
      </c>
      <c r="B801" s="33">
        <v>45555</v>
      </c>
      <c r="D801" s="4" t="s">
        <v>15</v>
      </c>
      <c r="F801" s="5">
        <v>5</v>
      </c>
      <c r="H801" s="34">
        <v>45559</v>
      </c>
      <c r="I801" s="5">
        <v>3</v>
      </c>
      <c r="J801" s="34">
        <v>45569</v>
      </c>
      <c r="K801" s="5" t="s">
        <v>3</v>
      </c>
      <c r="L801" s="5"/>
      <c r="M801" s="5"/>
      <c r="N801" s="5"/>
    </row>
    <row r="802" spans="1:14" ht="21.75" customHeight="1" x14ac:dyDescent="0.25">
      <c r="A802" s="1">
        <v>4257</v>
      </c>
      <c r="B802" s="33">
        <v>45555</v>
      </c>
      <c r="D802" s="4" t="s">
        <v>7</v>
      </c>
      <c r="F802" s="5">
        <v>5</v>
      </c>
      <c r="H802" s="34">
        <v>45559</v>
      </c>
      <c r="I802" s="5">
        <v>3</v>
      </c>
      <c r="J802" s="34">
        <v>45563</v>
      </c>
      <c r="K802" s="5"/>
      <c r="L802" s="5" t="s">
        <v>5</v>
      </c>
      <c r="M802" s="5" t="s">
        <v>1</v>
      </c>
      <c r="N802" s="5" t="s">
        <v>4</v>
      </c>
    </row>
    <row r="803" spans="1:14" ht="21.75" customHeight="1" x14ac:dyDescent="0.25">
      <c r="A803" s="1">
        <v>3110</v>
      </c>
      <c r="B803" s="33">
        <v>45556</v>
      </c>
      <c r="D803" s="4" t="s">
        <v>7</v>
      </c>
      <c r="F803" s="5">
        <v>5</v>
      </c>
      <c r="H803" s="34">
        <v>45560</v>
      </c>
      <c r="I803" s="5">
        <v>3</v>
      </c>
      <c r="J803" s="34">
        <v>45564</v>
      </c>
      <c r="K803" s="5"/>
      <c r="L803" s="5" t="s">
        <v>5</v>
      </c>
      <c r="M803" s="5"/>
      <c r="N803" s="5"/>
    </row>
    <row r="804" spans="1:14" ht="21.75" customHeight="1" x14ac:dyDescent="0.25">
      <c r="A804" s="1">
        <v>1749</v>
      </c>
      <c r="B804" s="33">
        <v>45556</v>
      </c>
      <c r="D804" s="4" t="s">
        <v>7</v>
      </c>
      <c r="F804" s="5">
        <v>5</v>
      </c>
      <c r="H804" s="34">
        <v>45560</v>
      </c>
      <c r="I804" s="5">
        <v>3</v>
      </c>
      <c r="J804" s="34">
        <v>45564</v>
      </c>
      <c r="K804" s="5" t="s">
        <v>3</v>
      </c>
      <c r="L804" s="5"/>
      <c r="M804" s="5" t="s">
        <v>1</v>
      </c>
      <c r="N804" s="5"/>
    </row>
    <row r="805" spans="1:14" ht="21.75" customHeight="1" x14ac:dyDescent="0.25">
      <c r="A805" s="1">
        <v>1922</v>
      </c>
      <c r="B805" s="33">
        <v>45557</v>
      </c>
      <c r="D805" s="4" t="s">
        <v>7</v>
      </c>
      <c r="F805" s="5">
        <v>5</v>
      </c>
      <c r="H805" s="34">
        <v>45561</v>
      </c>
      <c r="I805" s="5">
        <v>3</v>
      </c>
      <c r="J805" s="34">
        <v>45565</v>
      </c>
      <c r="K805" s="5"/>
      <c r="L805" s="5" t="s">
        <v>5</v>
      </c>
      <c r="M805" s="5"/>
      <c r="N805" s="5" t="s">
        <v>4</v>
      </c>
    </row>
    <row r="806" spans="1:14" ht="21.75" customHeight="1" x14ac:dyDescent="0.25">
      <c r="A806" s="1">
        <v>2584</v>
      </c>
      <c r="B806" s="33">
        <v>45557</v>
      </c>
      <c r="D806" s="4" t="s">
        <v>7</v>
      </c>
      <c r="F806" s="5">
        <v>5</v>
      </c>
      <c r="H806" s="34">
        <v>45561</v>
      </c>
      <c r="I806" s="5">
        <v>3</v>
      </c>
      <c r="J806" s="34">
        <v>45565</v>
      </c>
      <c r="K806" s="5" t="s">
        <v>3</v>
      </c>
      <c r="L806" s="5"/>
      <c r="M806" s="5"/>
      <c r="N806" s="5"/>
    </row>
    <row r="807" spans="1:14" ht="21.75" customHeight="1" x14ac:dyDescent="0.25">
      <c r="A807" s="1">
        <v>2797</v>
      </c>
      <c r="B807" s="33">
        <v>45558</v>
      </c>
      <c r="D807" s="4" t="s">
        <v>13</v>
      </c>
      <c r="F807" s="5">
        <v>5</v>
      </c>
      <c r="H807" s="34">
        <v>45562</v>
      </c>
      <c r="I807" s="5">
        <v>5</v>
      </c>
      <c r="J807" s="34">
        <f>H807+I807+1</f>
        <v>45568</v>
      </c>
      <c r="K807" s="5"/>
      <c r="L807" s="5"/>
      <c r="M807" s="5" t="s">
        <v>1</v>
      </c>
      <c r="N807" s="5"/>
    </row>
    <row r="808" spans="1:14" ht="21.75" customHeight="1" x14ac:dyDescent="0.25">
      <c r="A808" s="1">
        <v>2882</v>
      </c>
      <c r="B808" s="33">
        <v>45558</v>
      </c>
      <c r="D808" s="4" t="s">
        <v>7</v>
      </c>
      <c r="F808" s="5">
        <v>5</v>
      </c>
      <c r="H808" s="34">
        <v>45562</v>
      </c>
      <c r="I808" s="5">
        <v>3</v>
      </c>
      <c r="J808" s="34">
        <f t="shared" ref="J808:J818" si="0">H808+I808+1</f>
        <v>45566</v>
      </c>
      <c r="K808" s="5"/>
      <c r="L808" s="5"/>
      <c r="M808" s="5" t="s">
        <v>1</v>
      </c>
      <c r="N808" s="5"/>
    </row>
    <row r="809" spans="1:14" ht="21.75" customHeight="1" x14ac:dyDescent="0.25">
      <c r="A809" s="1">
        <v>2636</v>
      </c>
      <c r="B809" s="33">
        <v>45559</v>
      </c>
      <c r="D809" s="4" t="s">
        <v>7</v>
      </c>
      <c r="F809" s="5">
        <v>5</v>
      </c>
      <c r="H809" s="34">
        <v>45563</v>
      </c>
      <c r="I809" s="5">
        <v>3</v>
      </c>
      <c r="J809" s="34">
        <f t="shared" si="0"/>
        <v>45567</v>
      </c>
      <c r="K809" s="5"/>
      <c r="L809" s="5"/>
      <c r="M809" s="5" t="s">
        <v>1</v>
      </c>
      <c r="N809" s="5"/>
    </row>
    <row r="810" spans="1:14" ht="21.75" customHeight="1" x14ac:dyDescent="0.25">
      <c r="A810" s="1">
        <v>3206</v>
      </c>
      <c r="B810" s="33">
        <v>45559</v>
      </c>
      <c r="D810" s="4" t="s">
        <v>7</v>
      </c>
      <c r="F810" s="5">
        <v>5</v>
      </c>
      <c r="H810" s="34">
        <v>45563</v>
      </c>
      <c r="I810" s="5">
        <v>3</v>
      </c>
      <c r="J810" s="34">
        <f>H810+I810+1</f>
        <v>45567</v>
      </c>
      <c r="K810" s="5"/>
      <c r="L810" s="5" t="s">
        <v>5</v>
      </c>
      <c r="M810" s="5"/>
      <c r="N810" s="5"/>
    </row>
    <row r="811" spans="1:14" ht="21.75" customHeight="1" x14ac:dyDescent="0.25">
      <c r="A811" s="1">
        <v>3186</v>
      </c>
      <c r="B811" s="33">
        <v>45559</v>
      </c>
      <c r="D811" s="4" t="s">
        <v>6</v>
      </c>
      <c r="F811" s="5">
        <v>5</v>
      </c>
      <c r="H811" s="34">
        <f>B811+F811</f>
        <v>45564</v>
      </c>
      <c r="I811" s="5">
        <v>5</v>
      </c>
      <c r="J811" s="34">
        <f t="shared" ref="J811:J812" si="1">H811+I811+1</f>
        <v>45570</v>
      </c>
      <c r="K811" s="5"/>
      <c r="L811" s="5"/>
      <c r="M811" s="5"/>
      <c r="N811" s="5" t="s">
        <v>4</v>
      </c>
    </row>
    <row r="812" spans="1:14" ht="21.75" customHeight="1" x14ac:dyDescent="0.25">
      <c r="A812" s="1">
        <v>3455</v>
      </c>
      <c r="B812" s="33">
        <v>45559</v>
      </c>
      <c r="D812" s="4" t="s">
        <v>15</v>
      </c>
      <c r="F812" s="5">
        <v>5</v>
      </c>
      <c r="H812" s="34">
        <f>B812+F812</f>
        <v>45564</v>
      </c>
      <c r="I812" s="5">
        <v>9</v>
      </c>
      <c r="J812" s="34">
        <f t="shared" si="1"/>
        <v>45574</v>
      </c>
      <c r="K812" s="5"/>
      <c r="L812" s="5"/>
      <c r="M812" s="5" t="s">
        <v>1</v>
      </c>
      <c r="N812" s="5"/>
    </row>
    <row r="813" spans="1:14" ht="21.75" customHeight="1" x14ac:dyDescent="0.25">
      <c r="A813" s="1">
        <v>3627</v>
      </c>
      <c r="B813" s="33">
        <v>45559</v>
      </c>
      <c r="D813" s="4" t="s">
        <v>15</v>
      </c>
      <c r="F813" s="5">
        <v>5</v>
      </c>
      <c r="H813" s="34">
        <f>B813+F813</f>
        <v>45564</v>
      </c>
      <c r="I813" s="5">
        <v>9</v>
      </c>
      <c r="J813" s="34">
        <f t="shared" si="0"/>
        <v>45574</v>
      </c>
      <c r="K813" s="5"/>
      <c r="L813" s="5" t="s">
        <v>5</v>
      </c>
      <c r="M813" s="5"/>
      <c r="N813" s="5"/>
    </row>
    <row r="814" spans="1:14" ht="21.75" customHeight="1" x14ac:dyDescent="0.25">
      <c r="A814" s="1">
        <v>2821</v>
      </c>
      <c r="B814" s="33">
        <v>45560</v>
      </c>
      <c r="D814" s="4" t="s">
        <v>2</v>
      </c>
      <c r="F814" s="5">
        <v>5</v>
      </c>
      <c r="H814" s="34">
        <f t="shared" ref="H814:H877" si="2">B814+F814</f>
        <v>45565</v>
      </c>
      <c r="I814" s="5">
        <v>3</v>
      </c>
      <c r="J814" s="34">
        <f t="shared" si="0"/>
        <v>45569</v>
      </c>
      <c r="K814" s="5"/>
      <c r="L814" s="5"/>
      <c r="M814" s="5"/>
      <c r="N814" s="5" t="s">
        <v>4</v>
      </c>
    </row>
    <row r="815" spans="1:14" ht="21.75" customHeight="1" x14ac:dyDescent="0.25">
      <c r="A815" s="1">
        <v>2218</v>
      </c>
      <c r="B815" s="33">
        <v>45561</v>
      </c>
      <c r="D815" s="4" t="s">
        <v>7</v>
      </c>
      <c r="F815" s="5">
        <v>5</v>
      </c>
      <c r="H815" s="34">
        <f t="shared" si="2"/>
        <v>45566</v>
      </c>
      <c r="I815" s="5">
        <v>3</v>
      </c>
      <c r="J815" s="34">
        <f t="shared" si="0"/>
        <v>45570</v>
      </c>
      <c r="K815" s="5" t="s">
        <v>3</v>
      </c>
      <c r="L815" s="5"/>
      <c r="M815" s="5" t="s">
        <v>1</v>
      </c>
      <c r="N815" s="5"/>
    </row>
    <row r="816" spans="1:14" ht="21.75" customHeight="1" x14ac:dyDescent="0.25">
      <c r="A816" s="1">
        <v>2960</v>
      </c>
      <c r="B816" s="33">
        <v>45561</v>
      </c>
      <c r="D816" s="4" t="s">
        <v>7</v>
      </c>
      <c r="F816" s="5">
        <v>5</v>
      </c>
      <c r="H816" s="34">
        <f t="shared" si="2"/>
        <v>45566</v>
      </c>
      <c r="I816" s="5">
        <v>3</v>
      </c>
      <c r="J816" s="34">
        <f t="shared" si="0"/>
        <v>45570</v>
      </c>
      <c r="K816" s="5"/>
      <c r="L816" s="5" t="s">
        <v>5</v>
      </c>
      <c r="M816" s="5"/>
      <c r="N816" s="5"/>
    </row>
    <row r="817" spans="1:14" ht="21.75" customHeight="1" x14ac:dyDescent="0.25">
      <c r="A817" s="1">
        <v>3181</v>
      </c>
      <c r="B817" s="33">
        <v>45562</v>
      </c>
      <c r="D817" s="4" t="s">
        <v>6</v>
      </c>
      <c r="F817" s="5">
        <v>5</v>
      </c>
      <c r="H817" s="34">
        <f t="shared" si="2"/>
        <v>45567</v>
      </c>
      <c r="I817" s="5">
        <v>5</v>
      </c>
      <c r="J817" s="34">
        <f t="shared" si="0"/>
        <v>45573</v>
      </c>
      <c r="K817" s="5" t="s">
        <v>3</v>
      </c>
      <c r="L817" s="5" t="s">
        <v>5</v>
      </c>
      <c r="M817" s="5"/>
      <c r="N817" s="5"/>
    </row>
    <row r="818" spans="1:14" ht="21.75" customHeight="1" x14ac:dyDescent="0.25">
      <c r="A818" s="1">
        <v>2229</v>
      </c>
      <c r="B818" s="33">
        <v>45563</v>
      </c>
      <c r="D818" s="4" t="s">
        <v>7</v>
      </c>
      <c r="F818" s="5">
        <v>5</v>
      </c>
      <c r="H818" s="34">
        <f t="shared" si="2"/>
        <v>45568</v>
      </c>
      <c r="I818" s="5">
        <v>3</v>
      </c>
      <c r="J818" s="34">
        <f t="shared" si="0"/>
        <v>45572</v>
      </c>
      <c r="K818" s="5" t="s">
        <v>3</v>
      </c>
      <c r="L818" s="5"/>
      <c r="M818" s="5"/>
      <c r="N818" s="5"/>
    </row>
    <row r="819" spans="1:14" ht="21.75" customHeight="1" x14ac:dyDescent="0.25">
      <c r="A819" s="1">
        <v>3829</v>
      </c>
      <c r="B819" s="33">
        <v>45564</v>
      </c>
      <c r="D819" s="4" t="s">
        <v>7</v>
      </c>
      <c r="F819" s="5">
        <v>5</v>
      </c>
      <c r="H819" s="34">
        <f t="shared" si="2"/>
        <v>45569</v>
      </c>
      <c r="I819" s="5">
        <v>3</v>
      </c>
      <c r="J819" s="34">
        <f>H819+I819</f>
        <v>45572</v>
      </c>
      <c r="K819" s="5" t="s">
        <v>3</v>
      </c>
      <c r="L819" s="5"/>
      <c r="M819" s="5"/>
      <c r="N819" s="5"/>
    </row>
    <row r="820" spans="1:14" ht="21.75" customHeight="1" x14ac:dyDescent="0.25">
      <c r="A820" s="1">
        <v>2882</v>
      </c>
      <c r="B820" s="33">
        <v>45564</v>
      </c>
      <c r="D820" s="4" t="s">
        <v>2</v>
      </c>
      <c r="F820" s="5">
        <v>5</v>
      </c>
      <c r="H820" s="34">
        <f t="shared" si="2"/>
        <v>45569</v>
      </c>
      <c r="I820" s="5">
        <v>3</v>
      </c>
      <c r="J820" s="34">
        <f t="shared" ref="J820:J882" si="3">H820+I820</f>
        <v>45572</v>
      </c>
      <c r="K820" s="5"/>
      <c r="L820" s="5"/>
      <c r="M820" s="5" t="s">
        <v>1</v>
      </c>
      <c r="N820" s="5"/>
    </row>
    <row r="821" spans="1:14" ht="21.75" customHeight="1" x14ac:dyDescent="0.25">
      <c r="A821" s="1">
        <v>2636</v>
      </c>
      <c r="B821" s="33">
        <v>45564</v>
      </c>
      <c r="D821" s="4" t="s">
        <v>2</v>
      </c>
      <c r="F821" s="5">
        <v>5</v>
      </c>
      <c r="H821" s="34">
        <f t="shared" si="2"/>
        <v>45569</v>
      </c>
      <c r="I821" s="5">
        <v>3</v>
      </c>
      <c r="J821" s="34">
        <f t="shared" si="3"/>
        <v>45572</v>
      </c>
      <c r="K821" s="5"/>
      <c r="L821" s="5"/>
      <c r="M821" s="5" t="s">
        <v>1</v>
      </c>
      <c r="N821" s="5"/>
    </row>
    <row r="822" spans="1:14" ht="21.75" customHeight="1" x14ac:dyDescent="0.25">
      <c r="A822" s="1">
        <v>4369</v>
      </c>
      <c r="B822" s="33">
        <v>45564</v>
      </c>
      <c r="D822" s="4" t="s">
        <v>7</v>
      </c>
      <c r="F822" s="5">
        <v>5</v>
      </c>
      <c r="H822" s="34">
        <f t="shared" si="2"/>
        <v>45569</v>
      </c>
      <c r="I822" s="5">
        <v>3</v>
      </c>
      <c r="J822" s="34">
        <f t="shared" si="3"/>
        <v>45572</v>
      </c>
      <c r="K822" s="5"/>
      <c r="L822" s="5"/>
      <c r="M822" s="5"/>
      <c r="N822" s="5" t="s">
        <v>4</v>
      </c>
    </row>
    <row r="823" spans="1:14" ht="21.75" customHeight="1" x14ac:dyDescent="0.25">
      <c r="A823" s="1">
        <v>3420</v>
      </c>
      <c r="B823" s="33">
        <v>45565</v>
      </c>
      <c r="D823" s="4" t="s">
        <v>7</v>
      </c>
      <c r="F823" s="5">
        <v>5</v>
      </c>
      <c r="H823" s="34">
        <f t="shared" si="2"/>
        <v>45570</v>
      </c>
      <c r="I823" s="5">
        <v>3</v>
      </c>
      <c r="J823" s="34">
        <f t="shared" si="3"/>
        <v>45573</v>
      </c>
      <c r="K823" s="5"/>
      <c r="L823" s="5" t="s">
        <v>5</v>
      </c>
      <c r="M823" s="5"/>
      <c r="N823" s="5"/>
    </row>
    <row r="824" spans="1:14" ht="21.75" customHeight="1" x14ac:dyDescent="0.25">
      <c r="A824" s="1">
        <v>4458</v>
      </c>
      <c r="B824" s="33">
        <v>45568</v>
      </c>
      <c r="D824" s="4" t="s">
        <v>18</v>
      </c>
      <c r="F824" s="5">
        <v>7</v>
      </c>
      <c r="H824" s="34">
        <f t="shared" si="2"/>
        <v>45575</v>
      </c>
      <c r="I824" s="5">
        <v>5</v>
      </c>
      <c r="J824" s="34">
        <f t="shared" si="3"/>
        <v>45580</v>
      </c>
      <c r="K824" s="5"/>
      <c r="L824" s="5"/>
      <c r="M824" s="5"/>
      <c r="N824" s="5" t="s">
        <v>4</v>
      </c>
    </row>
    <row r="825" spans="1:14" ht="21.75" customHeight="1" x14ac:dyDescent="0.25">
      <c r="A825" s="1">
        <v>2583</v>
      </c>
      <c r="B825" s="33">
        <v>45568</v>
      </c>
      <c r="D825" s="4" t="s">
        <v>7</v>
      </c>
      <c r="F825" s="5">
        <v>5</v>
      </c>
      <c r="H825" s="34">
        <f t="shared" si="2"/>
        <v>45573</v>
      </c>
      <c r="I825" s="5">
        <v>3</v>
      </c>
      <c r="J825" s="34">
        <f t="shared" si="3"/>
        <v>45576</v>
      </c>
      <c r="K825" s="5" t="s">
        <v>3</v>
      </c>
      <c r="L825" s="5"/>
      <c r="M825" s="5"/>
      <c r="N825" s="5"/>
    </row>
    <row r="826" spans="1:14" ht="21.75" customHeight="1" x14ac:dyDescent="0.25">
      <c r="A826" s="1">
        <v>3012</v>
      </c>
      <c r="B826" s="33">
        <v>45568</v>
      </c>
      <c r="D826" s="4" t="s">
        <v>6</v>
      </c>
      <c r="F826" s="5">
        <v>7</v>
      </c>
      <c r="H826" s="34">
        <f t="shared" si="2"/>
        <v>45575</v>
      </c>
      <c r="I826" s="5">
        <v>5</v>
      </c>
      <c r="J826" s="34">
        <f t="shared" si="3"/>
        <v>45580</v>
      </c>
      <c r="K826" s="5"/>
      <c r="L826" s="5" t="s">
        <v>5</v>
      </c>
      <c r="M826" s="5" t="s">
        <v>1</v>
      </c>
      <c r="N826" s="5"/>
    </row>
    <row r="827" spans="1:14" ht="21.75" customHeight="1" x14ac:dyDescent="0.25">
      <c r="A827" s="1">
        <v>2315</v>
      </c>
      <c r="B827" s="33">
        <v>45568</v>
      </c>
      <c r="D827" s="4" t="s">
        <v>6</v>
      </c>
      <c r="F827" s="5">
        <v>7</v>
      </c>
      <c r="H827" s="34">
        <f t="shared" si="2"/>
        <v>45575</v>
      </c>
      <c r="I827" s="5">
        <v>5</v>
      </c>
      <c r="J827" s="34">
        <f t="shared" si="3"/>
        <v>45580</v>
      </c>
      <c r="K827" s="5" t="s">
        <v>3</v>
      </c>
      <c r="L827" s="5" t="s">
        <v>5</v>
      </c>
      <c r="M827" s="5"/>
      <c r="N827" s="5"/>
    </row>
    <row r="828" spans="1:14" ht="21.75" customHeight="1" x14ac:dyDescent="0.25">
      <c r="A828" s="1">
        <v>3074</v>
      </c>
      <c r="B828" s="33">
        <v>45568</v>
      </c>
      <c r="D828" s="4" t="s">
        <v>6</v>
      </c>
      <c r="F828" s="5">
        <v>7</v>
      </c>
      <c r="H828" s="34">
        <f t="shared" si="2"/>
        <v>45575</v>
      </c>
      <c r="I828" s="5">
        <v>5</v>
      </c>
      <c r="J828" s="34">
        <f t="shared" si="3"/>
        <v>45580</v>
      </c>
      <c r="K828" s="5"/>
      <c r="L828" s="5" t="s">
        <v>5</v>
      </c>
      <c r="M828" s="5"/>
      <c r="N828" s="5"/>
    </row>
    <row r="829" spans="1:14" ht="21.75" customHeight="1" x14ac:dyDescent="0.25">
      <c r="A829" s="1">
        <v>186</v>
      </c>
      <c r="B829" s="33">
        <v>45568</v>
      </c>
      <c r="D829" s="4" t="s">
        <v>6</v>
      </c>
      <c r="F829" s="5">
        <v>7</v>
      </c>
      <c r="H829" s="34">
        <f t="shared" si="2"/>
        <v>45575</v>
      </c>
      <c r="I829" s="5">
        <v>5</v>
      </c>
      <c r="J829" s="34">
        <f t="shared" si="3"/>
        <v>45580</v>
      </c>
      <c r="K829" s="5" t="s">
        <v>3</v>
      </c>
      <c r="L829" s="5" t="s">
        <v>5</v>
      </c>
      <c r="M829" s="5"/>
      <c r="N829" s="5" t="s">
        <v>4</v>
      </c>
    </row>
    <row r="830" spans="1:14" ht="21.75" customHeight="1" x14ac:dyDescent="0.25">
      <c r="A830" s="1">
        <v>2696</v>
      </c>
      <c r="B830" s="33">
        <v>45568</v>
      </c>
      <c r="D830" s="4" t="s">
        <v>6</v>
      </c>
      <c r="F830" s="5">
        <v>7</v>
      </c>
      <c r="H830" s="34">
        <f t="shared" si="2"/>
        <v>45575</v>
      </c>
      <c r="I830" s="5">
        <v>5</v>
      </c>
      <c r="J830" s="34">
        <f t="shared" si="3"/>
        <v>45580</v>
      </c>
      <c r="K830" s="5"/>
      <c r="L830" s="5"/>
      <c r="M830" s="5"/>
      <c r="N830" s="5" t="s">
        <v>4</v>
      </c>
    </row>
    <row r="831" spans="1:14" ht="21.75" customHeight="1" x14ac:dyDescent="0.25">
      <c r="A831" s="1">
        <v>3720</v>
      </c>
      <c r="B831" s="33">
        <v>45568</v>
      </c>
      <c r="D831" s="4" t="s">
        <v>6</v>
      </c>
      <c r="F831" s="5">
        <v>7</v>
      </c>
      <c r="H831" s="34">
        <f t="shared" si="2"/>
        <v>45575</v>
      </c>
      <c r="I831" s="5">
        <v>5</v>
      </c>
      <c r="J831" s="34">
        <f t="shared" si="3"/>
        <v>45580</v>
      </c>
      <c r="K831" s="5"/>
      <c r="L831" s="5" t="s">
        <v>5</v>
      </c>
      <c r="M831" s="5"/>
      <c r="N831" s="5" t="s">
        <v>4</v>
      </c>
    </row>
    <row r="832" spans="1:14" ht="21.75" customHeight="1" x14ac:dyDescent="0.25">
      <c r="A832" s="1">
        <v>2960</v>
      </c>
      <c r="B832" s="33">
        <v>45568</v>
      </c>
      <c r="D832" s="4" t="s">
        <v>6</v>
      </c>
      <c r="F832" s="5">
        <v>7</v>
      </c>
      <c r="H832" s="34">
        <f t="shared" si="2"/>
        <v>45575</v>
      </c>
      <c r="I832" s="5">
        <v>5</v>
      </c>
      <c r="J832" s="34">
        <f t="shared" si="3"/>
        <v>45580</v>
      </c>
      <c r="K832" s="5"/>
      <c r="L832" s="5"/>
      <c r="M832" s="5"/>
      <c r="N832" s="5" t="s">
        <v>4</v>
      </c>
    </row>
    <row r="833" spans="1:14" ht="21.75" customHeight="1" x14ac:dyDescent="0.25">
      <c r="A833" s="1">
        <v>3627</v>
      </c>
      <c r="B833" s="33">
        <v>45568</v>
      </c>
      <c r="D833" s="4" t="s">
        <v>2</v>
      </c>
      <c r="F833" s="5">
        <v>5</v>
      </c>
      <c r="H833" s="34">
        <f t="shared" si="2"/>
        <v>45573</v>
      </c>
      <c r="I833" s="5">
        <v>3</v>
      </c>
      <c r="J833" s="34">
        <f t="shared" si="3"/>
        <v>45576</v>
      </c>
      <c r="K833" s="5"/>
      <c r="L833" s="5" t="s">
        <v>5</v>
      </c>
      <c r="M833" s="5"/>
      <c r="N833" s="5"/>
    </row>
    <row r="834" spans="1:14" ht="21.75" customHeight="1" x14ac:dyDescent="0.25">
      <c r="A834" s="1">
        <v>2636</v>
      </c>
      <c r="B834" s="33">
        <v>45568</v>
      </c>
      <c r="D834" s="4" t="s">
        <v>2</v>
      </c>
      <c r="F834" s="5">
        <v>3</v>
      </c>
      <c r="H834" s="34">
        <f t="shared" si="2"/>
        <v>45571</v>
      </c>
      <c r="I834" s="5">
        <v>3</v>
      </c>
      <c r="J834" s="34">
        <f t="shared" si="3"/>
        <v>45574</v>
      </c>
      <c r="K834" s="5"/>
      <c r="L834" s="5"/>
      <c r="M834" s="5" t="s">
        <v>1</v>
      </c>
      <c r="N834" s="5"/>
    </row>
    <row r="835" spans="1:14" ht="21.75" customHeight="1" x14ac:dyDescent="0.25">
      <c r="A835" s="1">
        <v>2933</v>
      </c>
      <c r="B835" s="33">
        <v>45569</v>
      </c>
      <c r="D835" s="4" t="s">
        <v>6</v>
      </c>
      <c r="F835" s="5">
        <v>7</v>
      </c>
      <c r="H835" s="34">
        <f t="shared" si="2"/>
        <v>45576</v>
      </c>
      <c r="I835" s="5">
        <v>5</v>
      </c>
      <c r="J835" s="34">
        <f t="shared" si="3"/>
        <v>45581</v>
      </c>
      <c r="K835" s="5" t="s">
        <v>3</v>
      </c>
      <c r="L835" s="5"/>
      <c r="M835" s="5"/>
      <c r="N835" s="5"/>
    </row>
    <row r="836" spans="1:14" ht="21.75" customHeight="1" x14ac:dyDescent="0.25">
      <c r="A836" s="1">
        <v>4177</v>
      </c>
      <c r="B836" s="33">
        <v>45569</v>
      </c>
      <c r="D836" s="4" t="s">
        <v>7</v>
      </c>
      <c r="F836" s="5">
        <v>5</v>
      </c>
      <c r="H836" s="34">
        <f t="shared" si="2"/>
        <v>45574</v>
      </c>
      <c r="I836" s="5">
        <v>3</v>
      </c>
      <c r="J836" s="34">
        <f t="shared" si="3"/>
        <v>45577</v>
      </c>
      <c r="K836" s="5"/>
      <c r="L836" s="5"/>
      <c r="M836" s="5"/>
      <c r="N836" s="5" t="s">
        <v>4</v>
      </c>
    </row>
    <row r="837" spans="1:14" ht="21.75" customHeight="1" x14ac:dyDescent="0.25">
      <c r="A837" s="1">
        <v>2894</v>
      </c>
      <c r="B837" s="33">
        <v>45569</v>
      </c>
      <c r="D837" s="4" t="s">
        <v>7</v>
      </c>
      <c r="F837" s="5">
        <v>5</v>
      </c>
      <c r="H837" s="34">
        <f t="shared" si="2"/>
        <v>45574</v>
      </c>
      <c r="I837" s="5">
        <v>3</v>
      </c>
      <c r="J837" s="34">
        <f t="shared" si="3"/>
        <v>45577</v>
      </c>
      <c r="K837" s="5" t="s">
        <v>3</v>
      </c>
      <c r="L837" s="5"/>
      <c r="M837" s="5"/>
      <c r="N837" s="5"/>
    </row>
    <row r="838" spans="1:14" ht="21.75" customHeight="1" x14ac:dyDescent="0.25">
      <c r="A838" s="1">
        <v>3007</v>
      </c>
      <c r="B838" s="33">
        <v>45569</v>
      </c>
      <c r="D838" s="4" t="s">
        <v>7</v>
      </c>
      <c r="F838" s="5">
        <v>5</v>
      </c>
      <c r="H838" s="34">
        <f t="shared" si="2"/>
        <v>45574</v>
      </c>
      <c r="I838" s="5">
        <v>3</v>
      </c>
      <c r="J838" s="34">
        <f t="shared" si="3"/>
        <v>45577</v>
      </c>
      <c r="K838" s="5" t="s">
        <v>3</v>
      </c>
      <c r="L838" s="5" t="s">
        <v>5</v>
      </c>
      <c r="M838" s="5" t="s">
        <v>1</v>
      </c>
      <c r="N838" s="5" t="s">
        <v>4</v>
      </c>
    </row>
    <row r="839" spans="1:14" ht="21.75" customHeight="1" x14ac:dyDescent="0.25">
      <c r="A839" s="1">
        <v>3482</v>
      </c>
      <c r="B839" s="33">
        <v>45569</v>
      </c>
      <c r="D839" s="4" t="s">
        <v>7</v>
      </c>
      <c r="F839" s="5">
        <v>5</v>
      </c>
      <c r="H839" s="34">
        <f t="shared" si="2"/>
        <v>45574</v>
      </c>
      <c r="I839" s="5">
        <v>3</v>
      </c>
      <c r="J839" s="34">
        <f t="shared" si="3"/>
        <v>45577</v>
      </c>
      <c r="K839" s="5"/>
      <c r="L839" s="5"/>
      <c r="M839" s="5" t="s">
        <v>1</v>
      </c>
      <c r="N839" s="5"/>
    </row>
    <row r="840" spans="1:14" ht="21.75" customHeight="1" x14ac:dyDescent="0.25">
      <c r="A840" s="1">
        <v>1196</v>
      </c>
      <c r="B840" s="33">
        <v>45570</v>
      </c>
      <c r="D840" s="4" t="s">
        <v>7</v>
      </c>
      <c r="F840" s="5">
        <v>5</v>
      </c>
      <c r="H840" s="34">
        <f t="shared" si="2"/>
        <v>45575</v>
      </c>
      <c r="I840" s="5">
        <v>3</v>
      </c>
      <c r="J840" s="34">
        <f t="shared" si="3"/>
        <v>45578</v>
      </c>
      <c r="K840" s="5" t="s">
        <v>3</v>
      </c>
      <c r="L840" s="5" t="s">
        <v>5</v>
      </c>
      <c r="M840" s="5"/>
      <c r="N840" s="5"/>
    </row>
    <row r="841" spans="1:14" ht="21.75" customHeight="1" x14ac:dyDescent="0.25">
      <c r="A841" s="1">
        <v>3390</v>
      </c>
      <c r="B841" s="33">
        <v>45570</v>
      </c>
      <c r="D841" s="4" t="s">
        <v>7</v>
      </c>
      <c r="F841" s="5">
        <v>5</v>
      </c>
      <c r="H841" s="34">
        <f t="shared" si="2"/>
        <v>45575</v>
      </c>
      <c r="I841" s="5">
        <v>3</v>
      </c>
      <c r="J841" s="34">
        <f t="shared" si="3"/>
        <v>45578</v>
      </c>
      <c r="K841" s="5"/>
      <c r="L841" s="5" t="s">
        <v>5</v>
      </c>
      <c r="M841" s="5"/>
      <c r="N841" s="5"/>
    </row>
    <row r="842" spans="1:14" ht="21.75" customHeight="1" x14ac:dyDescent="0.25">
      <c r="A842" s="1">
        <v>3255</v>
      </c>
      <c r="B842" s="33">
        <v>45570</v>
      </c>
      <c r="D842" s="4" t="s">
        <v>7</v>
      </c>
      <c r="F842" s="5">
        <v>5</v>
      </c>
      <c r="H842" s="34">
        <f t="shared" si="2"/>
        <v>45575</v>
      </c>
      <c r="I842" s="5">
        <v>3</v>
      </c>
      <c r="J842" s="34">
        <f t="shared" si="3"/>
        <v>45578</v>
      </c>
      <c r="K842" s="5"/>
      <c r="L842" s="5"/>
      <c r="M842" s="5" t="s">
        <v>1</v>
      </c>
      <c r="N842" s="5"/>
    </row>
    <row r="843" spans="1:14" ht="21.75" customHeight="1" x14ac:dyDescent="0.25">
      <c r="A843" s="1">
        <v>3829</v>
      </c>
      <c r="B843" s="33">
        <v>45572</v>
      </c>
      <c r="D843" s="4" t="s">
        <v>2</v>
      </c>
      <c r="F843" s="5">
        <v>5</v>
      </c>
      <c r="H843" s="34">
        <f t="shared" si="2"/>
        <v>45577</v>
      </c>
      <c r="I843" s="5">
        <v>3</v>
      </c>
      <c r="J843" s="34">
        <f t="shared" si="3"/>
        <v>45580</v>
      </c>
      <c r="K843" s="5" t="s">
        <v>3</v>
      </c>
      <c r="L843" s="5"/>
      <c r="M843" s="5"/>
      <c r="N843" s="5"/>
    </row>
    <row r="844" spans="1:14" ht="21.75" customHeight="1" x14ac:dyDescent="0.25">
      <c r="A844" s="1">
        <v>4177</v>
      </c>
      <c r="B844" s="33">
        <v>45572</v>
      </c>
      <c r="D844" s="4" t="s">
        <v>2</v>
      </c>
      <c r="F844" s="5">
        <v>5</v>
      </c>
      <c r="H844" s="34">
        <f t="shared" si="2"/>
        <v>45577</v>
      </c>
      <c r="I844" s="5">
        <v>3</v>
      </c>
      <c r="J844" s="34">
        <f t="shared" si="3"/>
        <v>45580</v>
      </c>
      <c r="K844" s="5"/>
      <c r="L844" s="20"/>
      <c r="M844" s="5" t="s">
        <v>1</v>
      </c>
      <c r="N844" s="5"/>
    </row>
    <row r="845" spans="1:14" ht="21.75" customHeight="1" x14ac:dyDescent="0.25">
      <c r="A845" s="1">
        <v>3007</v>
      </c>
      <c r="B845" s="33">
        <v>45572</v>
      </c>
      <c r="D845" s="4" t="s">
        <v>2</v>
      </c>
      <c r="F845" s="5">
        <v>5</v>
      </c>
      <c r="H845" s="34">
        <f t="shared" si="2"/>
        <v>45577</v>
      </c>
      <c r="I845" s="5">
        <v>3</v>
      </c>
      <c r="J845" s="34">
        <f t="shared" si="3"/>
        <v>45580</v>
      </c>
      <c r="K845" s="5" t="s">
        <v>3</v>
      </c>
      <c r="L845" s="5" t="s">
        <v>5</v>
      </c>
      <c r="M845" s="5" t="s">
        <v>1</v>
      </c>
      <c r="N845" s="5" t="s">
        <v>4</v>
      </c>
    </row>
    <row r="846" spans="1:14" ht="21.75" customHeight="1" x14ac:dyDescent="0.25">
      <c r="A846" s="1">
        <v>3572</v>
      </c>
      <c r="B846" s="33">
        <v>45573</v>
      </c>
      <c r="D846" s="4" t="s">
        <v>13</v>
      </c>
      <c r="F846" s="5">
        <v>5</v>
      </c>
      <c r="H846" s="34">
        <f t="shared" si="2"/>
        <v>45578</v>
      </c>
      <c r="I846" s="5">
        <v>5</v>
      </c>
      <c r="J846" s="34">
        <f t="shared" si="3"/>
        <v>45583</v>
      </c>
      <c r="K846" s="5" t="s">
        <v>3</v>
      </c>
      <c r="L846" s="5"/>
      <c r="M846" s="5"/>
      <c r="N846" s="5"/>
    </row>
    <row r="847" spans="1:14" ht="21.75" customHeight="1" x14ac:dyDescent="0.25">
      <c r="A847" s="1">
        <v>2618</v>
      </c>
      <c r="B847" s="33">
        <v>45573</v>
      </c>
      <c r="D847" s="4" t="s">
        <v>13</v>
      </c>
      <c r="F847" s="5">
        <v>5</v>
      </c>
      <c r="H847" s="34">
        <f t="shared" si="2"/>
        <v>45578</v>
      </c>
      <c r="I847" s="5">
        <v>5</v>
      </c>
      <c r="J847" s="34">
        <f t="shared" si="3"/>
        <v>45583</v>
      </c>
      <c r="K847" s="5" t="s">
        <v>3</v>
      </c>
      <c r="L847" s="5" t="s">
        <v>5</v>
      </c>
      <c r="M847" s="5"/>
      <c r="N847" s="5"/>
    </row>
    <row r="848" spans="1:14" ht="21.75" customHeight="1" x14ac:dyDescent="0.25">
      <c r="A848" s="1">
        <v>2248</v>
      </c>
      <c r="B848" s="33">
        <v>45573</v>
      </c>
      <c r="D848" s="4" t="s">
        <v>13</v>
      </c>
      <c r="F848" s="5">
        <v>5</v>
      </c>
      <c r="H848" s="34">
        <f t="shared" si="2"/>
        <v>45578</v>
      </c>
      <c r="I848" s="5">
        <v>5</v>
      </c>
      <c r="J848" s="34">
        <f t="shared" si="3"/>
        <v>45583</v>
      </c>
      <c r="K848" s="5" t="s">
        <v>3</v>
      </c>
      <c r="L848" s="5"/>
      <c r="M848" s="5" t="s">
        <v>1</v>
      </c>
      <c r="N848" s="5" t="s">
        <v>4</v>
      </c>
    </row>
    <row r="849" spans="1:14" ht="21.75" customHeight="1" x14ac:dyDescent="0.25">
      <c r="A849" s="1">
        <v>3210</v>
      </c>
      <c r="B849" s="33">
        <v>45573</v>
      </c>
      <c r="D849" s="4" t="s">
        <v>13</v>
      </c>
      <c r="F849" s="5">
        <v>5</v>
      </c>
      <c r="H849" s="34">
        <f t="shared" si="2"/>
        <v>45578</v>
      </c>
      <c r="I849" s="5">
        <v>5</v>
      </c>
      <c r="J849" s="34">
        <f t="shared" si="3"/>
        <v>45583</v>
      </c>
      <c r="K849" s="5" t="s">
        <v>3</v>
      </c>
      <c r="L849" s="5"/>
      <c r="M849" s="5"/>
      <c r="N849" s="5"/>
    </row>
    <row r="850" spans="1:14" ht="21.75" customHeight="1" x14ac:dyDescent="0.25">
      <c r="A850" s="1">
        <v>2914</v>
      </c>
      <c r="B850" s="33">
        <v>45573</v>
      </c>
      <c r="D850" s="4" t="s">
        <v>13</v>
      </c>
      <c r="F850" s="5">
        <v>5</v>
      </c>
      <c r="H850" s="34">
        <f t="shared" si="2"/>
        <v>45578</v>
      </c>
      <c r="I850" s="5">
        <v>5</v>
      </c>
      <c r="J850" s="34">
        <f t="shared" si="3"/>
        <v>45583</v>
      </c>
      <c r="K850" s="5" t="s">
        <v>3</v>
      </c>
      <c r="L850" s="5"/>
      <c r="M850" s="5"/>
      <c r="N850" s="5" t="s">
        <v>4</v>
      </c>
    </row>
    <row r="851" spans="1:14" ht="21.75" customHeight="1" x14ac:dyDescent="0.25">
      <c r="A851" s="1">
        <v>2723</v>
      </c>
      <c r="B851" s="33">
        <v>45573</v>
      </c>
      <c r="D851" s="4" t="s">
        <v>13</v>
      </c>
      <c r="F851" s="5">
        <v>5</v>
      </c>
      <c r="H851" s="34">
        <f t="shared" si="2"/>
        <v>45578</v>
      </c>
      <c r="I851" s="5">
        <v>5</v>
      </c>
      <c r="J851" s="34">
        <f t="shared" si="3"/>
        <v>45583</v>
      </c>
      <c r="K851" s="5" t="s">
        <v>3</v>
      </c>
      <c r="L851" s="5"/>
      <c r="M851" s="5"/>
      <c r="N851" s="5"/>
    </row>
    <row r="852" spans="1:14" ht="21.75" customHeight="1" x14ac:dyDescent="0.25">
      <c r="A852" s="1">
        <v>3113</v>
      </c>
      <c r="B852" s="33">
        <v>45573</v>
      </c>
      <c r="D852" s="4" t="s">
        <v>7</v>
      </c>
      <c r="F852" s="5">
        <v>5</v>
      </c>
      <c r="H852" s="34">
        <f t="shared" si="2"/>
        <v>45578</v>
      </c>
      <c r="I852" s="5">
        <v>3</v>
      </c>
      <c r="J852" s="34">
        <f t="shared" si="3"/>
        <v>45581</v>
      </c>
      <c r="K852" s="5"/>
      <c r="L852" s="5"/>
      <c r="M852" s="5" t="s">
        <v>1</v>
      </c>
      <c r="N852" s="5"/>
    </row>
    <row r="853" spans="1:14" ht="21.75" customHeight="1" x14ac:dyDescent="0.25">
      <c r="A853" s="1">
        <v>3779</v>
      </c>
      <c r="B853" s="33">
        <v>45574</v>
      </c>
      <c r="D853" s="4" t="s">
        <v>2</v>
      </c>
      <c r="F853" s="5">
        <v>5</v>
      </c>
      <c r="H853" s="34">
        <f t="shared" si="2"/>
        <v>45579</v>
      </c>
      <c r="I853" s="5">
        <v>3</v>
      </c>
      <c r="J853" s="34">
        <f t="shared" si="3"/>
        <v>45582</v>
      </c>
      <c r="K853" s="5"/>
      <c r="L853" s="5" t="s">
        <v>5</v>
      </c>
      <c r="M853" s="5"/>
      <c r="N853" s="5"/>
    </row>
    <row r="854" spans="1:14" ht="21.75" customHeight="1" x14ac:dyDescent="0.25">
      <c r="A854" s="1">
        <v>2933</v>
      </c>
      <c r="B854" s="33">
        <v>45575</v>
      </c>
      <c r="D854" s="4" t="s">
        <v>2</v>
      </c>
      <c r="F854" s="5">
        <v>5</v>
      </c>
      <c r="H854" s="34">
        <f t="shared" si="2"/>
        <v>45580</v>
      </c>
      <c r="I854" s="5">
        <v>3</v>
      </c>
      <c r="J854" s="34">
        <f t="shared" si="3"/>
        <v>45583</v>
      </c>
      <c r="K854" s="5" t="s">
        <v>3</v>
      </c>
      <c r="L854" s="5"/>
      <c r="M854" s="5" t="s">
        <v>1</v>
      </c>
      <c r="N854" s="5"/>
    </row>
    <row r="855" spans="1:14" ht="21.75" customHeight="1" x14ac:dyDescent="0.25">
      <c r="A855" s="1">
        <v>3113</v>
      </c>
      <c r="B855" s="33">
        <v>45575</v>
      </c>
      <c r="D855" s="4" t="s">
        <v>13</v>
      </c>
      <c r="F855" s="5">
        <v>5</v>
      </c>
      <c r="H855" s="34">
        <f t="shared" si="2"/>
        <v>45580</v>
      </c>
      <c r="I855" s="5">
        <v>5</v>
      </c>
      <c r="J855" s="34">
        <f t="shared" si="3"/>
        <v>45585</v>
      </c>
      <c r="K855" s="5"/>
      <c r="L855" s="5"/>
      <c r="M855" s="5" t="s">
        <v>1</v>
      </c>
      <c r="N855" s="5"/>
    </row>
    <row r="856" spans="1:14" ht="21.75" customHeight="1" x14ac:dyDescent="0.25">
      <c r="A856" s="1">
        <v>4537</v>
      </c>
      <c r="B856" s="33">
        <v>45576</v>
      </c>
      <c r="D856" s="4" t="s">
        <v>13</v>
      </c>
      <c r="F856" s="5">
        <v>5</v>
      </c>
      <c r="H856" s="34">
        <f t="shared" si="2"/>
        <v>45581</v>
      </c>
      <c r="I856" s="5">
        <v>5</v>
      </c>
      <c r="J856" s="34">
        <f t="shared" si="3"/>
        <v>45586</v>
      </c>
      <c r="K856" s="5" t="s">
        <v>3</v>
      </c>
      <c r="L856" s="5" t="s">
        <v>5</v>
      </c>
      <c r="M856" s="5" t="s">
        <v>1</v>
      </c>
      <c r="N856" s="5" t="s">
        <v>4</v>
      </c>
    </row>
    <row r="857" spans="1:14" ht="21.75" customHeight="1" x14ac:dyDescent="0.25">
      <c r="A857" s="1">
        <v>3181</v>
      </c>
      <c r="B857" s="33">
        <v>45576</v>
      </c>
      <c r="D857" s="4" t="s">
        <v>7</v>
      </c>
      <c r="F857" s="5">
        <v>5</v>
      </c>
      <c r="H857" s="34">
        <f t="shared" si="2"/>
        <v>45581</v>
      </c>
      <c r="I857" s="5">
        <v>3</v>
      </c>
      <c r="J857" s="34">
        <f t="shared" si="3"/>
        <v>45584</v>
      </c>
      <c r="K857" s="5" t="s">
        <v>3</v>
      </c>
      <c r="L857" s="5" t="s">
        <v>5</v>
      </c>
      <c r="M857" s="5"/>
      <c r="N857" s="5"/>
    </row>
    <row r="858" spans="1:14" ht="21.75" customHeight="1" x14ac:dyDescent="0.25">
      <c r="A858" s="1">
        <v>3528</v>
      </c>
      <c r="B858" s="33">
        <v>45577</v>
      </c>
      <c r="D858" s="4" t="s">
        <v>7</v>
      </c>
      <c r="F858" s="5">
        <v>5</v>
      </c>
      <c r="H858" s="34">
        <f t="shared" si="2"/>
        <v>45582</v>
      </c>
      <c r="I858" s="5">
        <v>3</v>
      </c>
      <c r="J858" s="34">
        <f t="shared" si="3"/>
        <v>45585</v>
      </c>
      <c r="K858" s="5"/>
      <c r="L858" s="5"/>
      <c r="M858" s="5" t="s">
        <v>1</v>
      </c>
      <c r="N858" s="5"/>
    </row>
    <row r="859" spans="1:14" ht="21.75" customHeight="1" x14ac:dyDescent="0.25">
      <c r="A859" s="1">
        <v>3533</v>
      </c>
      <c r="B859" s="33">
        <v>45577</v>
      </c>
      <c r="D859" s="4" t="s">
        <v>7</v>
      </c>
      <c r="F859" s="5">
        <v>5</v>
      </c>
      <c r="H859" s="34">
        <f t="shared" si="2"/>
        <v>45582</v>
      </c>
      <c r="I859" s="5">
        <v>3</v>
      </c>
      <c r="J859" s="34">
        <f t="shared" si="3"/>
        <v>45585</v>
      </c>
      <c r="K859" s="5"/>
      <c r="L859" s="5" t="s">
        <v>5</v>
      </c>
      <c r="M859" s="5"/>
      <c r="N859" s="5"/>
    </row>
    <row r="860" spans="1:14" ht="21.75" customHeight="1" x14ac:dyDescent="0.25">
      <c r="A860" s="1">
        <v>3548</v>
      </c>
      <c r="B860" s="33">
        <v>45577</v>
      </c>
      <c r="D860" s="4" t="s">
        <v>15</v>
      </c>
      <c r="F860" s="5">
        <v>5</v>
      </c>
      <c r="H860" s="34">
        <f t="shared" si="2"/>
        <v>45582</v>
      </c>
      <c r="I860" s="5">
        <v>3</v>
      </c>
      <c r="J860" s="34">
        <f t="shared" si="3"/>
        <v>45585</v>
      </c>
      <c r="K860" s="5"/>
      <c r="L860" s="5" t="s">
        <v>5</v>
      </c>
      <c r="M860" s="5"/>
      <c r="N860" s="5" t="s">
        <v>4</v>
      </c>
    </row>
    <row r="861" spans="1:14" ht="21.75" customHeight="1" x14ac:dyDescent="0.25">
      <c r="A861" s="1">
        <v>2218</v>
      </c>
      <c r="B861" s="33">
        <v>45578</v>
      </c>
      <c r="D861" s="4" t="s">
        <v>7</v>
      </c>
      <c r="F861" s="5">
        <v>5</v>
      </c>
      <c r="H861" s="34">
        <f t="shared" si="2"/>
        <v>45583</v>
      </c>
      <c r="I861" s="5">
        <v>3</v>
      </c>
      <c r="J861" s="34">
        <f t="shared" si="3"/>
        <v>45586</v>
      </c>
      <c r="K861" s="5" t="s">
        <v>3</v>
      </c>
      <c r="L861" s="5"/>
      <c r="M861" s="5"/>
      <c r="N861" s="5"/>
    </row>
    <row r="862" spans="1:14" ht="21.75" customHeight="1" x14ac:dyDescent="0.25">
      <c r="A862" s="1">
        <v>2312</v>
      </c>
      <c r="B862" s="33">
        <v>45579</v>
      </c>
      <c r="D862" s="4" t="s">
        <v>7</v>
      </c>
      <c r="F862" s="5">
        <v>5</v>
      </c>
      <c r="H862" s="34">
        <f t="shared" si="2"/>
        <v>45584</v>
      </c>
      <c r="I862" s="5">
        <v>3</v>
      </c>
      <c r="J862" s="34">
        <f t="shared" si="3"/>
        <v>45587</v>
      </c>
      <c r="K862" s="5" t="s">
        <v>3</v>
      </c>
      <c r="L862" s="5"/>
      <c r="M862" s="5"/>
      <c r="N862" s="5"/>
    </row>
    <row r="863" spans="1:14" ht="21.75" customHeight="1" x14ac:dyDescent="0.25">
      <c r="A863" s="1">
        <v>1133</v>
      </c>
      <c r="B863" s="33">
        <v>45579</v>
      </c>
      <c r="D863" s="4" t="s">
        <v>7</v>
      </c>
      <c r="F863" s="5">
        <v>5</v>
      </c>
      <c r="H863" s="34">
        <f t="shared" si="2"/>
        <v>45584</v>
      </c>
      <c r="I863" s="5">
        <v>3</v>
      </c>
      <c r="J863" s="34">
        <f t="shared" si="3"/>
        <v>45587</v>
      </c>
      <c r="K863" s="5"/>
      <c r="L863" s="5"/>
      <c r="M863" s="5"/>
      <c r="N863" s="5" t="s">
        <v>4</v>
      </c>
    </row>
    <row r="864" spans="1:14" ht="21.75" customHeight="1" x14ac:dyDescent="0.25">
      <c r="A864" s="1">
        <v>3548</v>
      </c>
      <c r="B864" s="33">
        <v>45580</v>
      </c>
      <c r="D864" s="4" t="s">
        <v>13</v>
      </c>
      <c r="F864" s="5">
        <v>5</v>
      </c>
      <c r="H864" s="34">
        <f t="shared" si="2"/>
        <v>45585</v>
      </c>
      <c r="I864" s="5">
        <v>5</v>
      </c>
      <c r="J864" s="34">
        <f t="shared" si="3"/>
        <v>45590</v>
      </c>
      <c r="K864" s="5"/>
      <c r="L864" s="5" t="s">
        <v>5</v>
      </c>
      <c r="M864" s="5"/>
      <c r="N864" s="5" t="s">
        <v>4</v>
      </c>
    </row>
    <row r="865" spans="1:14" ht="21.75" customHeight="1" x14ac:dyDescent="0.25">
      <c r="A865" s="1">
        <v>2914</v>
      </c>
      <c r="B865" s="33">
        <v>45580</v>
      </c>
      <c r="D865" s="4" t="s">
        <v>15</v>
      </c>
      <c r="F865" s="5">
        <v>5</v>
      </c>
      <c r="H865" s="34">
        <f t="shared" si="2"/>
        <v>45585</v>
      </c>
      <c r="I865" s="5">
        <v>9</v>
      </c>
      <c r="J865" s="34">
        <f t="shared" si="3"/>
        <v>45594</v>
      </c>
      <c r="K865" s="5"/>
      <c r="L865" s="5" t="s">
        <v>5</v>
      </c>
      <c r="M865" s="5"/>
      <c r="N865" s="5"/>
    </row>
    <row r="866" spans="1:14" ht="21.75" customHeight="1" x14ac:dyDescent="0.25">
      <c r="A866" s="1">
        <v>2933</v>
      </c>
      <c r="B866" s="33">
        <v>45580</v>
      </c>
      <c r="D866" s="4" t="s">
        <v>0</v>
      </c>
      <c r="F866" s="5">
        <v>5</v>
      </c>
      <c r="H866" s="34">
        <f t="shared" si="2"/>
        <v>45585</v>
      </c>
      <c r="I866" s="5">
        <v>3</v>
      </c>
      <c r="J866" s="34">
        <f t="shared" si="3"/>
        <v>45588</v>
      </c>
      <c r="K866" s="5" t="s">
        <v>3</v>
      </c>
      <c r="L866" s="5"/>
      <c r="M866" s="5" t="s">
        <v>1</v>
      </c>
      <c r="N866" s="5"/>
    </row>
    <row r="867" spans="1:14" ht="21.75" customHeight="1" x14ac:dyDescent="0.25">
      <c r="A867" s="1">
        <v>2584</v>
      </c>
      <c r="B867" s="33">
        <v>45581</v>
      </c>
      <c r="D867" s="4" t="s">
        <v>7</v>
      </c>
      <c r="F867" s="5">
        <v>5</v>
      </c>
      <c r="H867" s="34">
        <f t="shared" si="2"/>
        <v>45586</v>
      </c>
      <c r="I867" s="5">
        <v>3</v>
      </c>
      <c r="J867" s="34">
        <f t="shared" si="3"/>
        <v>45589</v>
      </c>
      <c r="K867" s="5" t="s">
        <v>3</v>
      </c>
      <c r="L867" s="5"/>
      <c r="M867" s="5"/>
      <c r="N867" s="5"/>
    </row>
    <row r="868" spans="1:14" ht="21.75" customHeight="1" x14ac:dyDescent="0.25">
      <c r="A868" s="1">
        <v>3493</v>
      </c>
      <c r="B868" s="33">
        <v>45581</v>
      </c>
      <c r="D868" s="4" t="s">
        <v>13</v>
      </c>
      <c r="F868" s="5">
        <v>5</v>
      </c>
      <c r="H868" s="34">
        <f t="shared" si="2"/>
        <v>45586</v>
      </c>
      <c r="I868" s="5">
        <v>5</v>
      </c>
      <c r="J868" s="34">
        <f t="shared" si="3"/>
        <v>45591</v>
      </c>
      <c r="K868" s="5" t="s">
        <v>3</v>
      </c>
      <c r="L868" s="5" t="s">
        <v>5</v>
      </c>
      <c r="M868" s="5" t="s">
        <v>1</v>
      </c>
      <c r="N868" s="5"/>
    </row>
    <row r="869" spans="1:14" ht="21.75" customHeight="1" x14ac:dyDescent="0.25">
      <c r="A869" s="1">
        <v>2889</v>
      </c>
      <c r="B869" s="33">
        <v>45581</v>
      </c>
      <c r="D869" s="4" t="s">
        <v>13</v>
      </c>
      <c r="F869" s="5">
        <v>5</v>
      </c>
      <c r="H869" s="34">
        <f t="shared" si="2"/>
        <v>45586</v>
      </c>
      <c r="I869" s="5">
        <v>5</v>
      </c>
      <c r="J869" s="34">
        <f t="shared" si="3"/>
        <v>45591</v>
      </c>
      <c r="K869" s="5" t="s">
        <v>3</v>
      </c>
      <c r="L869" s="5"/>
      <c r="M869" s="5"/>
      <c r="N869" s="5"/>
    </row>
    <row r="870" spans="1:14" ht="21.75" customHeight="1" x14ac:dyDescent="0.25">
      <c r="A870" s="1">
        <v>2463</v>
      </c>
      <c r="B870" s="33">
        <v>45581</v>
      </c>
      <c r="D870" s="4" t="s">
        <v>13</v>
      </c>
      <c r="F870" s="5">
        <v>5</v>
      </c>
      <c r="H870" s="34">
        <f t="shared" si="2"/>
        <v>45586</v>
      </c>
      <c r="I870" s="5">
        <v>5</v>
      </c>
      <c r="J870" s="34">
        <f t="shared" si="3"/>
        <v>45591</v>
      </c>
      <c r="K870" s="5"/>
      <c r="L870" s="5" t="s">
        <v>5</v>
      </c>
      <c r="M870" s="5"/>
      <c r="N870" s="5"/>
    </row>
    <row r="871" spans="1:14" ht="21.75" customHeight="1" x14ac:dyDescent="0.25">
      <c r="A871" s="1">
        <v>4452</v>
      </c>
      <c r="B871" s="33">
        <v>45581</v>
      </c>
      <c r="D871" s="4" t="s">
        <v>13</v>
      </c>
      <c r="F871" s="5">
        <v>7</v>
      </c>
      <c r="H871" s="34">
        <f t="shared" si="2"/>
        <v>45588</v>
      </c>
      <c r="I871" s="5">
        <v>5</v>
      </c>
      <c r="J871" s="34">
        <f t="shared" si="3"/>
        <v>45593</v>
      </c>
      <c r="K871" s="5" t="s">
        <v>3</v>
      </c>
      <c r="L871" s="5" t="s">
        <v>5</v>
      </c>
      <c r="M871" s="5" t="s">
        <v>1</v>
      </c>
      <c r="N871" s="5" t="s">
        <v>4</v>
      </c>
    </row>
    <row r="872" spans="1:14" ht="21.75" customHeight="1" x14ac:dyDescent="0.25">
      <c r="A872" s="1">
        <v>2723</v>
      </c>
      <c r="B872" s="33">
        <v>45581</v>
      </c>
      <c r="D872" s="4" t="s">
        <v>2</v>
      </c>
      <c r="F872" s="5">
        <v>5</v>
      </c>
      <c r="H872" s="34">
        <f t="shared" si="2"/>
        <v>45586</v>
      </c>
      <c r="I872" s="5">
        <v>3</v>
      </c>
      <c r="J872" s="34">
        <f t="shared" si="3"/>
        <v>45589</v>
      </c>
      <c r="K872" s="5" t="s">
        <v>3</v>
      </c>
      <c r="L872" s="5"/>
      <c r="M872" s="5"/>
      <c r="N872" s="5"/>
    </row>
    <row r="873" spans="1:14" ht="21.75" customHeight="1" x14ac:dyDescent="0.25">
      <c r="A873" s="1">
        <v>3817</v>
      </c>
      <c r="B873" s="33">
        <v>45582</v>
      </c>
      <c r="D873" s="4" t="s">
        <v>8</v>
      </c>
      <c r="F873" s="5">
        <v>5</v>
      </c>
      <c r="H873" s="34">
        <f t="shared" si="2"/>
        <v>45587</v>
      </c>
      <c r="I873" s="5">
        <v>4</v>
      </c>
      <c r="J873" s="34">
        <f t="shared" si="3"/>
        <v>45591</v>
      </c>
      <c r="K873" s="5" t="s">
        <v>3</v>
      </c>
      <c r="L873" s="5"/>
      <c r="M873" s="5"/>
      <c r="N873" s="5"/>
    </row>
    <row r="874" spans="1:14" ht="21.75" customHeight="1" x14ac:dyDescent="0.25">
      <c r="A874" s="1">
        <v>2584</v>
      </c>
      <c r="B874" s="33">
        <v>45583</v>
      </c>
      <c r="D874" s="4" t="s">
        <v>8</v>
      </c>
      <c r="F874" s="5">
        <v>5</v>
      </c>
      <c r="H874" s="34">
        <f t="shared" si="2"/>
        <v>45588</v>
      </c>
      <c r="I874" s="5">
        <v>4</v>
      </c>
      <c r="J874" s="34">
        <f t="shared" si="3"/>
        <v>45592</v>
      </c>
      <c r="K874" s="5" t="s">
        <v>3</v>
      </c>
      <c r="L874" s="5"/>
      <c r="M874" s="5"/>
      <c r="N874" s="5"/>
    </row>
    <row r="875" spans="1:14" ht="21.75" customHeight="1" x14ac:dyDescent="0.25">
      <c r="A875" s="1">
        <v>2623</v>
      </c>
      <c r="B875" s="33">
        <v>45583</v>
      </c>
      <c r="D875" s="4" t="s">
        <v>8</v>
      </c>
      <c r="F875" s="5">
        <v>5</v>
      </c>
      <c r="H875" s="34">
        <f t="shared" si="2"/>
        <v>45588</v>
      </c>
      <c r="I875" s="5">
        <v>4</v>
      </c>
      <c r="J875" s="34">
        <f t="shared" si="3"/>
        <v>45592</v>
      </c>
      <c r="K875" s="5" t="s">
        <v>3</v>
      </c>
      <c r="L875" s="5" t="s">
        <v>5</v>
      </c>
      <c r="M875" s="5"/>
      <c r="N875" s="5" t="s">
        <v>4</v>
      </c>
    </row>
    <row r="876" spans="1:14" ht="21.75" customHeight="1" x14ac:dyDescent="0.25">
      <c r="A876" s="1">
        <v>998</v>
      </c>
      <c r="B876" s="33">
        <v>45583</v>
      </c>
      <c r="D876" s="4" t="s">
        <v>8</v>
      </c>
      <c r="F876" s="5">
        <v>5</v>
      </c>
      <c r="H876" s="34">
        <f t="shared" si="2"/>
        <v>45588</v>
      </c>
      <c r="I876" s="5">
        <v>4</v>
      </c>
      <c r="J876" s="34">
        <f t="shared" si="3"/>
        <v>45592</v>
      </c>
      <c r="K876" s="5"/>
      <c r="L876" s="5" t="s">
        <v>5</v>
      </c>
      <c r="M876" s="5"/>
      <c r="N876" s="5"/>
    </row>
    <row r="877" spans="1:14" ht="21.75" customHeight="1" x14ac:dyDescent="0.25">
      <c r="A877" s="1">
        <v>2643</v>
      </c>
      <c r="B877" s="33">
        <v>45583</v>
      </c>
      <c r="D877" s="4" t="s">
        <v>8</v>
      </c>
      <c r="F877" s="5">
        <v>5</v>
      </c>
      <c r="H877" s="34">
        <f t="shared" si="2"/>
        <v>45588</v>
      </c>
      <c r="I877" s="5">
        <v>4</v>
      </c>
      <c r="J877" s="34">
        <f t="shared" si="3"/>
        <v>45592</v>
      </c>
      <c r="K877" s="5" t="s">
        <v>3</v>
      </c>
      <c r="L877" s="5"/>
      <c r="M877" s="5"/>
      <c r="N877" s="5"/>
    </row>
    <row r="878" spans="1:14" ht="21.75" customHeight="1" x14ac:dyDescent="0.25">
      <c r="A878" s="1">
        <v>3289</v>
      </c>
      <c r="B878" s="33">
        <v>45583</v>
      </c>
      <c r="D878" s="4" t="s">
        <v>8</v>
      </c>
      <c r="F878" s="5">
        <v>5</v>
      </c>
      <c r="H878" s="34">
        <f t="shared" ref="H878:H941" si="4">B878+F878</f>
        <v>45588</v>
      </c>
      <c r="I878" s="5">
        <v>4</v>
      </c>
      <c r="J878" s="34">
        <f t="shared" si="3"/>
        <v>45592</v>
      </c>
      <c r="K878" s="5" t="s">
        <v>3</v>
      </c>
      <c r="L878" s="5" t="s">
        <v>5</v>
      </c>
      <c r="M878" s="5" t="s">
        <v>1</v>
      </c>
      <c r="N878" s="5" t="s">
        <v>4</v>
      </c>
    </row>
    <row r="879" spans="1:14" ht="21.75" customHeight="1" x14ac:dyDescent="0.25">
      <c r="A879" s="1">
        <v>3181</v>
      </c>
      <c r="B879" s="33">
        <v>45583</v>
      </c>
      <c r="D879" s="4" t="s">
        <v>15</v>
      </c>
      <c r="F879" s="5">
        <v>5</v>
      </c>
      <c r="H879" s="34">
        <f t="shared" si="4"/>
        <v>45588</v>
      </c>
      <c r="I879" s="5">
        <v>9</v>
      </c>
      <c r="J879" s="34">
        <f t="shared" si="3"/>
        <v>45597</v>
      </c>
      <c r="K879" s="5" t="s">
        <v>3</v>
      </c>
      <c r="L879" s="5" t="s">
        <v>5</v>
      </c>
      <c r="M879" s="5"/>
      <c r="N879" s="5"/>
    </row>
    <row r="880" spans="1:14" ht="21.75" customHeight="1" x14ac:dyDescent="0.25">
      <c r="A880" s="1">
        <v>31113</v>
      </c>
      <c r="B880" s="33">
        <v>45583</v>
      </c>
      <c r="D880" s="4" t="s">
        <v>15</v>
      </c>
      <c r="F880" s="5">
        <v>5</v>
      </c>
      <c r="H880" s="34">
        <f t="shared" si="4"/>
        <v>45588</v>
      </c>
      <c r="I880" s="5">
        <v>9</v>
      </c>
      <c r="J880" s="34">
        <f t="shared" si="3"/>
        <v>45597</v>
      </c>
      <c r="K880" s="5"/>
      <c r="L880" s="5"/>
      <c r="M880" s="5" t="s">
        <v>1</v>
      </c>
      <c r="N880" s="5"/>
    </row>
    <row r="881" spans="1:14" ht="21.75" customHeight="1" x14ac:dyDescent="0.25">
      <c r="A881" s="1">
        <v>1196</v>
      </c>
      <c r="B881" s="33">
        <v>45583</v>
      </c>
      <c r="D881" s="4" t="s">
        <v>13</v>
      </c>
      <c r="F881" s="5">
        <v>5</v>
      </c>
      <c r="H881" s="34">
        <f t="shared" si="4"/>
        <v>45588</v>
      </c>
      <c r="I881" s="5">
        <v>5</v>
      </c>
      <c r="J881" s="34">
        <f t="shared" si="3"/>
        <v>45593</v>
      </c>
      <c r="K881" s="5" t="s">
        <v>3</v>
      </c>
      <c r="L881" s="5" t="s">
        <v>5</v>
      </c>
      <c r="M881" s="5"/>
      <c r="N881" s="5"/>
    </row>
    <row r="882" spans="1:14" ht="21.75" customHeight="1" x14ac:dyDescent="0.25">
      <c r="A882" s="1">
        <v>2790</v>
      </c>
      <c r="B882" s="33">
        <v>45583</v>
      </c>
      <c r="D882" s="4" t="s">
        <v>7</v>
      </c>
      <c r="F882" s="5">
        <v>5</v>
      </c>
      <c r="H882" s="34">
        <f t="shared" si="4"/>
        <v>45588</v>
      </c>
      <c r="I882" s="5">
        <v>3</v>
      </c>
      <c r="J882" s="34">
        <f t="shared" si="3"/>
        <v>45591</v>
      </c>
      <c r="K882" s="5" t="s">
        <v>3</v>
      </c>
      <c r="L882" s="5"/>
      <c r="M882" s="5"/>
      <c r="N882" s="5"/>
    </row>
    <row r="883" spans="1:14" ht="21.75" customHeight="1" x14ac:dyDescent="0.25">
      <c r="A883" s="1">
        <v>2979</v>
      </c>
      <c r="B883" s="33">
        <v>45584</v>
      </c>
      <c r="D883" s="4" t="s">
        <v>7</v>
      </c>
      <c r="F883" s="5">
        <v>5</v>
      </c>
      <c r="H883" s="34">
        <f t="shared" si="4"/>
        <v>45589</v>
      </c>
      <c r="I883" s="5">
        <v>3</v>
      </c>
      <c r="J883" s="34">
        <f>H883+I883+1</f>
        <v>45593</v>
      </c>
      <c r="K883" s="5"/>
      <c r="L883" s="5" t="s">
        <v>1</v>
      </c>
      <c r="M883" s="5"/>
      <c r="N883" s="5" t="s">
        <v>4</v>
      </c>
    </row>
    <row r="884" spans="1:14" ht="21.75" customHeight="1" x14ac:dyDescent="0.25">
      <c r="A884" s="1">
        <v>2925</v>
      </c>
      <c r="B884" s="33">
        <v>45586</v>
      </c>
      <c r="D884" s="4" t="s">
        <v>7</v>
      </c>
      <c r="F884" s="5">
        <v>5</v>
      </c>
      <c r="H884" s="34">
        <f t="shared" si="4"/>
        <v>45591</v>
      </c>
      <c r="I884" s="5">
        <v>3</v>
      </c>
      <c r="J884" s="34">
        <f t="shared" ref="J884:J947" si="5">H884+I884+1</f>
        <v>45595</v>
      </c>
      <c r="K884" s="5" t="s">
        <v>3</v>
      </c>
      <c r="L884" s="5" t="s">
        <v>5</v>
      </c>
      <c r="M884" s="5"/>
      <c r="N884" s="5"/>
    </row>
    <row r="885" spans="1:14" ht="21.75" customHeight="1" x14ac:dyDescent="0.25">
      <c r="A885" s="1">
        <v>2928</v>
      </c>
      <c r="B885" s="33">
        <v>45587</v>
      </c>
      <c r="D885" s="4" t="s">
        <v>7</v>
      </c>
      <c r="F885" s="5">
        <v>5</v>
      </c>
      <c r="H885" s="34">
        <f t="shared" si="4"/>
        <v>45592</v>
      </c>
      <c r="I885" s="5">
        <v>3</v>
      </c>
      <c r="J885" s="34">
        <f t="shared" si="5"/>
        <v>45596</v>
      </c>
      <c r="K885" s="5" t="s">
        <v>3</v>
      </c>
      <c r="L885" s="5"/>
      <c r="M885" s="5"/>
      <c r="N885" s="5"/>
    </row>
    <row r="886" spans="1:14" ht="21.75" customHeight="1" x14ac:dyDescent="0.25">
      <c r="A886" s="1">
        <v>3055</v>
      </c>
      <c r="B886" s="33">
        <v>45587</v>
      </c>
      <c r="D886" s="4" t="s">
        <v>17</v>
      </c>
      <c r="F886" s="5">
        <v>5</v>
      </c>
      <c r="H886" s="34">
        <f t="shared" si="4"/>
        <v>45592</v>
      </c>
      <c r="I886" s="5">
        <v>6</v>
      </c>
      <c r="J886" s="34">
        <f t="shared" si="5"/>
        <v>45599</v>
      </c>
      <c r="K886" s="5"/>
      <c r="L886" s="5"/>
      <c r="M886" s="5"/>
      <c r="N886" s="5" t="s">
        <v>4</v>
      </c>
    </row>
    <row r="887" spans="1:14" ht="21.75" customHeight="1" x14ac:dyDescent="0.25">
      <c r="A887" s="1">
        <v>3171</v>
      </c>
      <c r="B887" s="33">
        <v>45588</v>
      </c>
      <c r="D887" s="4" t="s">
        <v>7</v>
      </c>
      <c r="F887" s="5">
        <v>5</v>
      </c>
      <c r="H887" s="34">
        <f t="shared" si="4"/>
        <v>45593</v>
      </c>
      <c r="I887" s="5">
        <v>3</v>
      </c>
      <c r="J887" s="34">
        <f t="shared" si="5"/>
        <v>45597</v>
      </c>
      <c r="K887" s="5"/>
      <c r="L887" s="5" t="s">
        <v>5</v>
      </c>
      <c r="M887" s="5"/>
      <c r="N887" s="5"/>
    </row>
    <row r="888" spans="1:14" ht="21.75" customHeight="1" x14ac:dyDescent="0.25">
      <c r="A888" s="1">
        <v>2979</v>
      </c>
      <c r="B888" s="33">
        <v>45588</v>
      </c>
      <c r="D888" s="4" t="s">
        <v>15</v>
      </c>
      <c r="F888" s="5">
        <v>5</v>
      </c>
      <c r="H888" s="34">
        <f t="shared" si="4"/>
        <v>45593</v>
      </c>
      <c r="I888" s="5">
        <v>9</v>
      </c>
      <c r="J888" s="34">
        <f t="shared" si="5"/>
        <v>45603</v>
      </c>
      <c r="K888" s="5"/>
      <c r="L888" s="5" t="s">
        <v>5</v>
      </c>
      <c r="M888" s="5"/>
      <c r="N888" s="5" t="s">
        <v>4</v>
      </c>
    </row>
    <row r="889" spans="1:14" ht="21.75" customHeight="1" x14ac:dyDescent="0.25">
      <c r="A889" s="1">
        <v>2321</v>
      </c>
      <c r="B889" s="33">
        <v>45589</v>
      </c>
      <c r="D889" s="4" t="s">
        <v>7</v>
      </c>
      <c r="F889" s="5">
        <v>5</v>
      </c>
      <c r="H889" s="34">
        <f t="shared" si="4"/>
        <v>45594</v>
      </c>
      <c r="I889" s="5">
        <v>3</v>
      </c>
      <c r="J889" s="34">
        <f t="shared" si="5"/>
        <v>45598</v>
      </c>
      <c r="K889" s="5" t="s">
        <v>3</v>
      </c>
      <c r="L889" s="5"/>
      <c r="M889" s="5"/>
      <c r="N889" s="5"/>
    </row>
    <row r="890" spans="1:14" ht="21.75" customHeight="1" x14ac:dyDescent="0.25">
      <c r="A890" s="1">
        <v>3255</v>
      </c>
      <c r="B890" s="33">
        <v>45589</v>
      </c>
      <c r="D890" s="4" t="s">
        <v>7</v>
      </c>
      <c r="F890" s="5">
        <v>5</v>
      </c>
      <c r="H890" s="34">
        <f t="shared" si="4"/>
        <v>45594</v>
      </c>
      <c r="I890" s="5">
        <v>3</v>
      </c>
      <c r="J890" s="34">
        <f t="shared" si="5"/>
        <v>45598</v>
      </c>
      <c r="K890" s="5"/>
      <c r="L890" s="5"/>
      <c r="M890" s="5" t="s">
        <v>1</v>
      </c>
      <c r="N890" s="5"/>
    </row>
    <row r="891" spans="1:14" ht="21.75" customHeight="1" x14ac:dyDescent="0.25">
      <c r="A891" s="1">
        <v>3289</v>
      </c>
      <c r="B891" s="33">
        <v>45589</v>
      </c>
      <c r="D891" s="4" t="s">
        <v>0</v>
      </c>
      <c r="F891" s="5">
        <v>5</v>
      </c>
      <c r="H891" s="34">
        <f t="shared" si="4"/>
        <v>45594</v>
      </c>
      <c r="I891" s="5">
        <v>3</v>
      </c>
      <c r="J891" s="34">
        <f t="shared" si="5"/>
        <v>45598</v>
      </c>
      <c r="K891" s="5" t="s">
        <v>3</v>
      </c>
      <c r="L891" s="5" t="s">
        <v>5</v>
      </c>
      <c r="M891" s="5" t="s">
        <v>1</v>
      </c>
      <c r="N891" s="5" t="s">
        <v>4</v>
      </c>
    </row>
    <row r="892" spans="1:14" ht="21.75" customHeight="1" x14ac:dyDescent="0.25">
      <c r="A892" s="1">
        <v>2449</v>
      </c>
      <c r="B892" s="33">
        <v>45589</v>
      </c>
      <c r="D892" s="4" t="s">
        <v>7</v>
      </c>
      <c r="F892" s="5">
        <v>5</v>
      </c>
      <c r="H892" s="34">
        <f t="shared" si="4"/>
        <v>45594</v>
      </c>
      <c r="I892" s="5">
        <v>3</v>
      </c>
      <c r="J892" s="34">
        <f t="shared" si="5"/>
        <v>45598</v>
      </c>
      <c r="K892" s="5" t="s">
        <v>3</v>
      </c>
      <c r="L892" s="5"/>
      <c r="M892" s="5"/>
      <c r="N892" s="5"/>
    </row>
    <row r="893" spans="1:14" ht="21.75" customHeight="1" x14ac:dyDescent="0.25">
      <c r="A893" s="1">
        <v>3817</v>
      </c>
      <c r="B893" s="33">
        <v>45590</v>
      </c>
      <c r="D893" s="4" t="s">
        <v>13</v>
      </c>
      <c r="F893" s="5">
        <v>5</v>
      </c>
      <c r="H893" s="34">
        <f t="shared" si="4"/>
        <v>45595</v>
      </c>
      <c r="I893" s="5">
        <v>3</v>
      </c>
      <c r="J893" s="34">
        <f t="shared" si="5"/>
        <v>45599</v>
      </c>
      <c r="K893" s="5" t="s">
        <v>3</v>
      </c>
      <c r="L893" s="5"/>
      <c r="M893" s="5"/>
      <c r="N893" s="5"/>
    </row>
    <row r="894" spans="1:14" ht="21.75" customHeight="1" x14ac:dyDescent="0.25">
      <c r="A894" s="1">
        <v>2791</v>
      </c>
      <c r="B894" s="33">
        <v>45591</v>
      </c>
      <c r="D894" s="4" t="s">
        <v>10</v>
      </c>
      <c r="F894" s="5">
        <v>5</v>
      </c>
      <c r="H894" s="34">
        <f t="shared" si="4"/>
        <v>45596</v>
      </c>
      <c r="I894" s="5">
        <v>3</v>
      </c>
      <c r="J894" s="34">
        <f t="shared" si="5"/>
        <v>45600</v>
      </c>
      <c r="K894" s="5" t="s">
        <v>3</v>
      </c>
      <c r="L894" s="5"/>
      <c r="M894" s="5"/>
      <c r="N894" s="5"/>
    </row>
    <row r="895" spans="1:14" ht="21.75" customHeight="1" x14ac:dyDescent="0.25">
      <c r="A895" s="1">
        <v>4023</v>
      </c>
      <c r="B895" s="33">
        <v>45591</v>
      </c>
      <c r="D895" s="4" t="s">
        <v>10</v>
      </c>
      <c r="F895" s="5">
        <v>5</v>
      </c>
      <c r="H895" s="34">
        <f t="shared" si="4"/>
        <v>45596</v>
      </c>
      <c r="I895" s="5">
        <v>3</v>
      </c>
      <c r="J895" s="34">
        <f t="shared" si="5"/>
        <v>45600</v>
      </c>
      <c r="K895" s="5" t="s">
        <v>3</v>
      </c>
      <c r="L895" s="5"/>
      <c r="M895" s="5"/>
      <c r="N895" s="5"/>
    </row>
    <row r="896" spans="1:14" ht="21.75" customHeight="1" x14ac:dyDescent="0.25">
      <c r="A896" s="1">
        <v>1867</v>
      </c>
      <c r="B896" s="33">
        <v>45591</v>
      </c>
      <c r="D896" s="4" t="s">
        <v>10</v>
      </c>
      <c r="F896" s="5">
        <v>5</v>
      </c>
      <c r="H896" s="34">
        <f t="shared" si="4"/>
        <v>45596</v>
      </c>
      <c r="I896" s="5">
        <v>3</v>
      </c>
      <c r="J896" s="34">
        <f t="shared" si="5"/>
        <v>45600</v>
      </c>
      <c r="K896" s="5"/>
      <c r="L896" s="5" t="s">
        <v>5</v>
      </c>
      <c r="M896" s="5"/>
      <c r="N896" s="5"/>
    </row>
    <row r="897" spans="1:14" ht="21.75" customHeight="1" x14ac:dyDescent="0.25">
      <c r="A897" s="1">
        <v>2513</v>
      </c>
      <c r="B897" s="33">
        <v>45591</v>
      </c>
      <c r="D897" s="4" t="s">
        <v>10</v>
      </c>
      <c r="F897" s="5">
        <v>5</v>
      </c>
      <c r="H897" s="34">
        <f t="shared" si="4"/>
        <v>45596</v>
      </c>
      <c r="I897" s="5">
        <v>3</v>
      </c>
      <c r="J897" s="34">
        <f t="shared" si="5"/>
        <v>45600</v>
      </c>
      <c r="K897" s="5" t="s">
        <v>3</v>
      </c>
      <c r="L897" s="5"/>
      <c r="M897" s="5"/>
      <c r="N897" s="5"/>
    </row>
    <row r="898" spans="1:14" ht="21.75" customHeight="1" x14ac:dyDescent="0.25">
      <c r="A898" s="1">
        <v>2191</v>
      </c>
      <c r="B898" s="33">
        <v>45591</v>
      </c>
      <c r="D898" s="4" t="s">
        <v>10</v>
      </c>
      <c r="F898" s="5">
        <v>5</v>
      </c>
      <c r="H898" s="34">
        <f t="shared" si="4"/>
        <v>45596</v>
      </c>
      <c r="I898" s="5">
        <v>3</v>
      </c>
      <c r="J898" s="34">
        <f t="shared" si="5"/>
        <v>45600</v>
      </c>
      <c r="K898" s="5"/>
      <c r="L898" s="5"/>
      <c r="M898" s="5" t="s">
        <v>1</v>
      </c>
      <c r="N898" s="5"/>
    </row>
    <row r="899" spans="1:14" ht="21.75" customHeight="1" x14ac:dyDescent="0.25">
      <c r="A899" s="1">
        <v>873</v>
      </c>
      <c r="B899" s="33">
        <v>45591</v>
      </c>
      <c r="D899" s="4" t="s">
        <v>10</v>
      </c>
      <c r="F899" s="5">
        <v>5</v>
      </c>
      <c r="H899" s="34">
        <f t="shared" si="4"/>
        <v>45596</v>
      </c>
      <c r="I899" s="5">
        <v>3</v>
      </c>
      <c r="J899" s="34">
        <f t="shared" si="5"/>
        <v>45600</v>
      </c>
      <c r="K899" s="5" t="s">
        <v>3</v>
      </c>
      <c r="L899" s="5"/>
      <c r="M899" s="5"/>
      <c r="N899" s="5"/>
    </row>
    <row r="900" spans="1:14" ht="21.75" customHeight="1" x14ac:dyDescent="0.25">
      <c r="A900" s="1">
        <v>1983</v>
      </c>
      <c r="B900" s="33">
        <v>45591</v>
      </c>
      <c r="D900" s="4" t="s">
        <v>10</v>
      </c>
      <c r="F900" s="5">
        <v>5</v>
      </c>
      <c r="H900" s="34">
        <f t="shared" si="4"/>
        <v>45596</v>
      </c>
      <c r="I900" s="5">
        <v>3</v>
      </c>
      <c r="J900" s="34">
        <f t="shared" si="5"/>
        <v>45600</v>
      </c>
      <c r="K900" s="5"/>
      <c r="L900" s="5"/>
      <c r="M900" s="5" t="s">
        <v>1</v>
      </c>
      <c r="N900" s="5"/>
    </row>
    <row r="901" spans="1:14" ht="21.75" customHeight="1" x14ac:dyDescent="0.25">
      <c r="A901" s="1">
        <v>3144</v>
      </c>
      <c r="B901" s="33">
        <v>45591</v>
      </c>
      <c r="D901" s="4" t="s">
        <v>10</v>
      </c>
      <c r="F901" s="5">
        <v>5</v>
      </c>
      <c r="H901" s="34">
        <f t="shared" si="4"/>
        <v>45596</v>
      </c>
      <c r="I901" s="5">
        <v>3</v>
      </c>
      <c r="J901" s="34">
        <f t="shared" si="5"/>
        <v>45600</v>
      </c>
      <c r="K901" s="5" t="s">
        <v>3</v>
      </c>
      <c r="L901" s="5" t="s">
        <v>5</v>
      </c>
      <c r="M901" s="5" t="s">
        <v>1</v>
      </c>
      <c r="N901" s="5" t="s">
        <v>4</v>
      </c>
    </row>
    <row r="902" spans="1:14" ht="21.75" customHeight="1" x14ac:dyDescent="0.25">
      <c r="A902" s="1">
        <v>1036</v>
      </c>
      <c r="B902" s="33">
        <v>45591</v>
      </c>
      <c r="D902" s="4" t="s">
        <v>7</v>
      </c>
      <c r="F902" s="5">
        <v>5</v>
      </c>
      <c r="H902" s="34">
        <f t="shared" si="4"/>
        <v>45596</v>
      </c>
      <c r="I902" s="5">
        <v>3</v>
      </c>
      <c r="J902" s="34">
        <f t="shared" si="5"/>
        <v>45600</v>
      </c>
      <c r="K902" s="5" t="s">
        <v>3</v>
      </c>
      <c r="L902" s="5" t="s">
        <v>5</v>
      </c>
      <c r="M902" s="5"/>
      <c r="N902" s="5"/>
    </row>
    <row r="903" spans="1:14" ht="21.75" customHeight="1" x14ac:dyDescent="0.25">
      <c r="A903" s="1">
        <v>2979</v>
      </c>
      <c r="B903" s="33">
        <v>45591</v>
      </c>
      <c r="D903" s="4" t="s">
        <v>6</v>
      </c>
      <c r="F903" s="5">
        <v>5</v>
      </c>
      <c r="H903" s="34">
        <f t="shared" si="4"/>
        <v>45596</v>
      </c>
      <c r="I903" s="5">
        <v>5</v>
      </c>
      <c r="J903" s="34">
        <f t="shared" si="5"/>
        <v>45602</v>
      </c>
      <c r="K903" s="5"/>
      <c r="L903" s="5" t="s">
        <v>5</v>
      </c>
      <c r="M903" s="5"/>
      <c r="N903" s="5" t="s">
        <v>4</v>
      </c>
    </row>
    <row r="904" spans="1:14" ht="21.75" customHeight="1" x14ac:dyDescent="0.25">
      <c r="A904" s="1">
        <v>3540</v>
      </c>
      <c r="B904" s="33">
        <v>45593</v>
      </c>
      <c r="D904" s="4" t="s">
        <v>7</v>
      </c>
      <c r="F904" s="5">
        <v>5</v>
      </c>
      <c r="H904" s="34">
        <f t="shared" si="4"/>
        <v>45598</v>
      </c>
      <c r="I904" s="5">
        <v>3</v>
      </c>
      <c r="J904" s="34">
        <f t="shared" si="5"/>
        <v>45602</v>
      </c>
      <c r="K904" s="5"/>
      <c r="L904" s="5"/>
      <c r="M904" s="5" t="s">
        <v>1</v>
      </c>
      <c r="N904" s="5" t="s">
        <v>4</v>
      </c>
    </row>
    <row r="905" spans="1:14" ht="21.75" customHeight="1" x14ac:dyDescent="0.25">
      <c r="A905" s="1">
        <v>3171</v>
      </c>
      <c r="B905" s="33">
        <v>45594</v>
      </c>
      <c r="D905" s="4" t="s">
        <v>10</v>
      </c>
      <c r="F905" s="5">
        <v>5</v>
      </c>
      <c r="H905" s="34">
        <f t="shared" si="4"/>
        <v>45599</v>
      </c>
      <c r="I905" s="5">
        <v>3</v>
      </c>
      <c r="J905" s="34">
        <f t="shared" si="5"/>
        <v>45603</v>
      </c>
      <c r="K905" s="5"/>
      <c r="L905" s="5" t="s">
        <v>5</v>
      </c>
      <c r="M905" s="5"/>
      <c r="N905" s="5"/>
    </row>
    <row r="906" spans="1:14" ht="21.75" customHeight="1" x14ac:dyDescent="0.25">
      <c r="A906" s="1">
        <v>3096</v>
      </c>
      <c r="B906" s="33">
        <v>45594</v>
      </c>
      <c r="D906" s="4" t="s">
        <v>7</v>
      </c>
      <c r="F906" s="5">
        <v>5</v>
      </c>
      <c r="H906" s="34">
        <f t="shared" si="4"/>
        <v>45599</v>
      </c>
      <c r="I906" s="5">
        <v>3</v>
      </c>
      <c r="J906" s="34">
        <f t="shared" si="5"/>
        <v>45603</v>
      </c>
      <c r="K906" s="5"/>
      <c r="L906" s="5" t="s">
        <v>5</v>
      </c>
      <c r="M906" s="5"/>
      <c r="N906" s="5"/>
    </row>
    <row r="907" spans="1:14" ht="21.75" customHeight="1" x14ac:dyDescent="0.25">
      <c r="A907" s="1">
        <v>1036</v>
      </c>
      <c r="B907" s="33">
        <v>45594</v>
      </c>
      <c r="D907" s="4" t="s">
        <v>0</v>
      </c>
      <c r="F907" s="5">
        <v>5</v>
      </c>
      <c r="H907" s="34">
        <f t="shared" si="4"/>
        <v>45599</v>
      </c>
      <c r="I907" s="5">
        <v>3</v>
      </c>
      <c r="J907" s="34">
        <f t="shared" si="5"/>
        <v>45603</v>
      </c>
      <c r="K907" s="5" t="s">
        <v>3</v>
      </c>
      <c r="L907" s="5" t="s">
        <v>5</v>
      </c>
      <c r="M907" s="5"/>
      <c r="N907" s="5"/>
    </row>
    <row r="908" spans="1:14" ht="21.75" customHeight="1" x14ac:dyDescent="0.25">
      <c r="A908" s="1">
        <v>657</v>
      </c>
      <c r="B908" s="33">
        <v>45595</v>
      </c>
      <c r="D908" s="4" t="s">
        <v>7</v>
      </c>
      <c r="F908" s="5">
        <v>5</v>
      </c>
      <c r="H908" s="34">
        <f t="shared" si="4"/>
        <v>45600</v>
      </c>
      <c r="I908" s="5">
        <v>3</v>
      </c>
      <c r="J908" s="34">
        <f t="shared" si="5"/>
        <v>45604</v>
      </c>
      <c r="K908" s="5"/>
      <c r="L908" s="5"/>
      <c r="M908" s="5" t="s">
        <v>1</v>
      </c>
      <c r="N908" s="5"/>
    </row>
    <row r="909" spans="1:14" ht="21.75" customHeight="1" x14ac:dyDescent="0.25">
      <c r="A909" s="1">
        <v>2477</v>
      </c>
      <c r="B909" s="33">
        <v>45595</v>
      </c>
      <c r="D909" s="4" t="s">
        <v>7</v>
      </c>
      <c r="F909" s="5">
        <v>5</v>
      </c>
      <c r="H909" s="34">
        <f t="shared" si="4"/>
        <v>45600</v>
      </c>
      <c r="I909" s="5">
        <v>3</v>
      </c>
      <c r="J909" s="34">
        <f t="shared" si="5"/>
        <v>45604</v>
      </c>
      <c r="K909" s="5" t="s">
        <v>3</v>
      </c>
      <c r="L909" s="5" t="s">
        <v>5</v>
      </c>
      <c r="M909" s="5"/>
      <c r="N909" s="5"/>
    </row>
    <row r="910" spans="1:14" ht="21.75" customHeight="1" x14ac:dyDescent="0.25">
      <c r="A910" s="1">
        <v>647</v>
      </c>
      <c r="B910" s="33">
        <v>45596</v>
      </c>
      <c r="D910" s="4" t="s">
        <v>7</v>
      </c>
      <c r="F910" s="5">
        <v>5</v>
      </c>
      <c r="H910" s="34">
        <f t="shared" si="4"/>
        <v>45601</v>
      </c>
      <c r="I910" s="5">
        <v>3</v>
      </c>
      <c r="J910" s="34">
        <f t="shared" si="5"/>
        <v>45605</v>
      </c>
      <c r="K910" s="5"/>
      <c r="L910" s="5" t="s">
        <v>5</v>
      </c>
      <c r="M910" s="5"/>
      <c r="N910" s="5" t="s">
        <v>4</v>
      </c>
    </row>
    <row r="911" spans="1:14" ht="21.75" customHeight="1" x14ac:dyDescent="0.25">
      <c r="A911" s="1">
        <v>2087</v>
      </c>
      <c r="B911" s="33">
        <v>45596</v>
      </c>
      <c r="D911" s="4" t="s">
        <v>7</v>
      </c>
      <c r="F911" s="5">
        <v>5</v>
      </c>
      <c r="H911" s="34">
        <f t="shared" si="4"/>
        <v>45601</v>
      </c>
      <c r="I911" s="5">
        <v>3</v>
      </c>
      <c r="J911" s="34">
        <f t="shared" si="5"/>
        <v>45605</v>
      </c>
      <c r="K911" s="5" t="s">
        <v>3</v>
      </c>
      <c r="L911" s="5" t="s">
        <v>5</v>
      </c>
      <c r="M911" s="5"/>
      <c r="N911" s="5"/>
    </row>
    <row r="912" spans="1:14" ht="21.75" customHeight="1" x14ac:dyDescent="0.25">
      <c r="A912" s="1">
        <v>2882</v>
      </c>
      <c r="B912" s="33">
        <v>45596</v>
      </c>
      <c r="D912" s="4" t="s">
        <v>10</v>
      </c>
      <c r="F912" s="5">
        <v>5</v>
      </c>
      <c r="H912" s="34">
        <f t="shared" si="4"/>
        <v>45601</v>
      </c>
      <c r="I912" s="5">
        <v>3</v>
      </c>
      <c r="J912" s="34">
        <f t="shared" si="5"/>
        <v>45605</v>
      </c>
      <c r="K912" s="5" t="s">
        <v>3</v>
      </c>
      <c r="L912" s="5"/>
      <c r="M912" s="5" t="s">
        <v>1</v>
      </c>
      <c r="N912" s="5"/>
    </row>
    <row r="913" spans="1:14" ht="21.75" customHeight="1" x14ac:dyDescent="0.25">
      <c r="A913" s="1">
        <v>3200</v>
      </c>
      <c r="B913" s="33">
        <v>45596</v>
      </c>
      <c r="D913" s="4" t="s">
        <v>7</v>
      </c>
      <c r="F913" s="5">
        <v>5</v>
      </c>
      <c r="H913" s="34">
        <f t="shared" si="4"/>
        <v>45601</v>
      </c>
      <c r="I913" s="5">
        <v>3</v>
      </c>
      <c r="J913" s="34">
        <f t="shared" si="5"/>
        <v>45605</v>
      </c>
      <c r="K913" s="5"/>
      <c r="L913" s="5"/>
      <c r="M913" s="5"/>
      <c r="N913" s="5" t="s">
        <v>4</v>
      </c>
    </row>
    <row r="914" spans="1:14" ht="21.75" customHeight="1" x14ac:dyDescent="0.25">
      <c r="A914" s="1">
        <v>3055</v>
      </c>
      <c r="B914" s="33">
        <v>45596</v>
      </c>
      <c r="D914" s="4" t="s">
        <v>13</v>
      </c>
      <c r="F914" s="5">
        <v>5</v>
      </c>
      <c r="H914" s="34">
        <f t="shared" si="4"/>
        <v>45601</v>
      </c>
      <c r="I914" s="5">
        <v>3</v>
      </c>
      <c r="J914" s="34">
        <f t="shared" si="5"/>
        <v>45605</v>
      </c>
      <c r="K914" s="5"/>
      <c r="L914" s="5"/>
      <c r="M914" s="5"/>
      <c r="N914" s="5" t="s">
        <v>4</v>
      </c>
    </row>
    <row r="915" spans="1:14" ht="21.75" customHeight="1" x14ac:dyDescent="0.25">
      <c r="A915" s="1">
        <v>2218</v>
      </c>
      <c r="B915" s="33">
        <v>45597</v>
      </c>
      <c r="D915" s="4" t="s">
        <v>7</v>
      </c>
      <c r="F915" s="5">
        <v>5</v>
      </c>
      <c r="H915" s="34">
        <f t="shared" si="4"/>
        <v>45602</v>
      </c>
      <c r="I915" s="5">
        <v>3</v>
      </c>
      <c r="J915" s="34">
        <f t="shared" si="5"/>
        <v>45606</v>
      </c>
      <c r="K915" s="5"/>
      <c r="L915" s="5"/>
      <c r="M915" s="5"/>
      <c r="N915" s="5" t="s">
        <v>4</v>
      </c>
    </row>
    <row r="916" spans="1:14" ht="21.75" customHeight="1" x14ac:dyDescent="0.25">
      <c r="A916" s="1">
        <v>2665</v>
      </c>
      <c r="B916" s="33">
        <v>45597</v>
      </c>
      <c r="D916" s="4" t="s">
        <v>7</v>
      </c>
      <c r="F916" s="5">
        <v>5</v>
      </c>
      <c r="H916" s="34">
        <f t="shared" si="4"/>
        <v>45602</v>
      </c>
      <c r="I916" s="5">
        <v>3</v>
      </c>
      <c r="J916" s="34">
        <f t="shared" si="5"/>
        <v>45606</v>
      </c>
      <c r="K916" s="5"/>
      <c r="L916" s="5"/>
      <c r="M916" s="5"/>
      <c r="N916" s="5" t="s">
        <v>4</v>
      </c>
    </row>
    <row r="917" spans="1:14" ht="21.75" customHeight="1" x14ac:dyDescent="0.25">
      <c r="A917" s="1">
        <v>3211</v>
      </c>
      <c r="B917" s="33">
        <v>45597</v>
      </c>
      <c r="D917" s="4" t="s">
        <v>7</v>
      </c>
      <c r="F917" s="5">
        <v>5</v>
      </c>
      <c r="H917" s="34">
        <f t="shared" si="4"/>
        <v>45602</v>
      </c>
      <c r="I917" s="5">
        <v>3</v>
      </c>
      <c r="J917" s="34">
        <f t="shared" si="5"/>
        <v>45606</v>
      </c>
      <c r="K917" s="5" t="s">
        <v>3</v>
      </c>
      <c r="L917" s="5" t="s">
        <v>5</v>
      </c>
      <c r="M917" s="5" t="s">
        <v>1</v>
      </c>
      <c r="N917" s="5"/>
    </row>
    <row r="918" spans="1:14" ht="21.75" customHeight="1" x14ac:dyDescent="0.25">
      <c r="A918" s="1">
        <v>3847</v>
      </c>
      <c r="B918" s="33">
        <v>45597</v>
      </c>
      <c r="D918" s="4" t="s">
        <v>7</v>
      </c>
      <c r="F918" s="5">
        <v>5</v>
      </c>
      <c r="H918" s="34">
        <f t="shared" si="4"/>
        <v>45602</v>
      </c>
      <c r="I918" s="5">
        <v>3</v>
      </c>
      <c r="J918" s="34">
        <f t="shared" si="5"/>
        <v>45606</v>
      </c>
      <c r="K918" s="5"/>
      <c r="L918" s="5"/>
      <c r="M918" s="5" t="s">
        <v>1</v>
      </c>
      <c r="N918" s="5" t="s">
        <v>4</v>
      </c>
    </row>
    <row r="919" spans="1:14" ht="21.75" customHeight="1" x14ac:dyDescent="0.25">
      <c r="A919" s="1">
        <v>2321</v>
      </c>
      <c r="B919" s="33">
        <v>45598</v>
      </c>
      <c r="D919" s="4" t="s">
        <v>7</v>
      </c>
      <c r="F919" s="5">
        <v>5</v>
      </c>
      <c r="H919" s="34">
        <f t="shared" si="4"/>
        <v>45603</v>
      </c>
      <c r="I919" s="5">
        <v>3</v>
      </c>
      <c r="J919" s="34">
        <f t="shared" si="5"/>
        <v>45607</v>
      </c>
      <c r="K919" s="5"/>
      <c r="L919" s="5" t="s">
        <v>5</v>
      </c>
      <c r="M919" s="5"/>
      <c r="N919" s="5"/>
    </row>
    <row r="920" spans="1:14" ht="21.75" customHeight="1" x14ac:dyDescent="0.25">
      <c r="A920" s="1">
        <v>3528</v>
      </c>
      <c r="B920" s="33">
        <v>45598</v>
      </c>
      <c r="D920" s="4" t="s">
        <v>7</v>
      </c>
      <c r="F920" s="5">
        <v>5</v>
      </c>
      <c r="H920" s="34">
        <f t="shared" si="4"/>
        <v>45603</v>
      </c>
      <c r="I920" s="5">
        <v>3</v>
      </c>
      <c r="J920" s="34">
        <f t="shared" si="5"/>
        <v>45607</v>
      </c>
      <c r="K920" s="5"/>
      <c r="L920" s="5" t="s">
        <v>5</v>
      </c>
      <c r="M920" s="5" t="s">
        <v>1</v>
      </c>
      <c r="N920" s="5" t="s">
        <v>4</v>
      </c>
    </row>
    <row r="921" spans="1:14" ht="21.75" customHeight="1" x14ac:dyDescent="0.25">
      <c r="A921" s="1">
        <v>1738</v>
      </c>
      <c r="B921" s="33">
        <v>45598</v>
      </c>
      <c r="D921" s="4" t="s">
        <v>7</v>
      </c>
      <c r="F921" s="5">
        <v>5</v>
      </c>
      <c r="H921" s="34">
        <f t="shared" si="4"/>
        <v>45603</v>
      </c>
      <c r="I921" s="5">
        <v>3</v>
      </c>
      <c r="J921" s="34">
        <f t="shared" si="5"/>
        <v>45607</v>
      </c>
      <c r="K921" s="5"/>
      <c r="L921" s="5" t="s">
        <v>5</v>
      </c>
      <c r="M921" s="5"/>
      <c r="N921" s="5"/>
    </row>
    <row r="922" spans="1:14" ht="21.75" customHeight="1" x14ac:dyDescent="0.25">
      <c r="A922" s="1">
        <v>2979</v>
      </c>
      <c r="B922" s="33">
        <v>45598</v>
      </c>
      <c r="D922" s="4" t="s">
        <v>7</v>
      </c>
      <c r="F922" s="5">
        <v>5</v>
      </c>
      <c r="H922" s="34">
        <f t="shared" si="4"/>
        <v>45603</v>
      </c>
      <c r="I922" s="5">
        <v>3</v>
      </c>
      <c r="J922" s="34">
        <f t="shared" si="5"/>
        <v>45607</v>
      </c>
      <c r="K922" s="5"/>
      <c r="L922" s="5" t="s">
        <v>5</v>
      </c>
      <c r="M922" s="5"/>
      <c r="N922" s="5"/>
    </row>
    <row r="923" spans="1:14" ht="21.75" customHeight="1" x14ac:dyDescent="0.25">
      <c r="A923" s="1">
        <v>2513</v>
      </c>
      <c r="B923" s="33">
        <v>45598</v>
      </c>
      <c r="D923" s="4" t="s">
        <v>17</v>
      </c>
      <c r="F923" s="5">
        <v>5</v>
      </c>
      <c r="H923" s="34">
        <f t="shared" si="4"/>
        <v>45603</v>
      </c>
      <c r="I923" s="5">
        <v>3</v>
      </c>
      <c r="J923" s="34">
        <f t="shared" si="5"/>
        <v>45607</v>
      </c>
      <c r="K923" s="5"/>
      <c r="L923" s="5"/>
      <c r="M923" s="5" t="s">
        <v>1</v>
      </c>
      <c r="N923" s="5" t="s">
        <v>4</v>
      </c>
    </row>
    <row r="924" spans="1:14" ht="21.75" customHeight="1" x14ac:dyDescent="0.25">
      <c r="A924" s="1">
        <v>1915</v>
      </c>
      <c r="B924" s="33">
        <v>45599</v>
      </c>
      <c r="D924" s="4" t="s">
        <v>7</v>
      </c>
      <c r="F924" s="5">
        <v>5</v>
      </c>
      <c r="H924" s="34">
        <f t="shared" si="4"/>
        <v>45604</v>
      </c>
      <c r="I924" s="5">
        <v>3</v>
      </c>
      <c r="J924" s="34">
        <f t="shared" si="5"/>
        <v>45608</v>
      </c>
      <c r="K924" s="5" t="s">
        <v>3</v>
      </c>
      <c r="L924" s="5" t="s">
        <v>5</v>
      </c>
      <c r="M924" s="5" t="s">
        <v>1</v>
      </c>
      <c r="N924" s="5" t="s">
        <v>4</v>
      </c>
    </row>
    <row r="925" spans="1:14" ht="21.75" customHeight="1" x14ac:dyDescent="0.25">
      <c r="A925" s="1">
        <v>3533</v>
      </c>
      <c r="B925" s="33">
        <v>45599</v>
      </c>
      <c r="D925" s="4" t="s">
        <v>0</v>
      </c>
      <c r="F925" s="5">
        <v>5</v>
      </c>
      <c r="H925" s="34">
        <f t="shared" si="4"/>
        <v>45604</v>
      </c>
      <c r="I925" s="5">
        <v>5</v>
      </c>
      <c r="J925" s="34">
        <f t="shared" si="5"/>
        <v>45610</v>
      </c>
      <c r="K925" s="5"/>
      <c r="L925" s="5" t="s">
        <v>5</v>
      </c>
      <c r="M925" s="5"/>
      <c r="N925" s="5"/>
    </row>
    <row r="926" spans="1:14" ht="21.75" customHeight="1" x14ac:dyDescent="0.25">
      <c r="A926" s="1">
        <v>3235</v>
      </c>
      <c r="B926" s="33">
        <v>45600</v>
      </c>
      <c r="D926" s="4" t="s">
        <v>7</v>
      </c>
      <c r="F926" s="5">
        <v>5</v>
      </c>
      <c r="H926" s="34">
        <f t="shared" si="4"/>
        <v>45605</v>
      </c>
      <c r="I926" s="5">
        <v>3</v>
      </c>
      <c r="J926" s="34">
        <f t="shared" si="5"/>
        <v>45609</v>
      </c>
      <c r="K926" s="5"/>
      <c r="L926" s="5"/>
      <c r="M926" s="5"/>
      <c r="N926" s="5" t="s">
        <v>4</v>
      </c>
    </row>
    <row r="927" spans="1:14" ht="21.75" customHeight="1" x14ac:dyDescent="0.25">
      <c r="A927" s="1">
        <v>871</v>
      </c>
      <c r="B927" s="33">
        <v>45601</v>
      </c>
      <c r="D927" s="4" t="s">
        <v>7</v>
      </c>
      <c r="F927" s="5">
        <v>5</v>
      </c>
      <c r="H927" s="34">
        <f t="shared" si="4"/>
        <v>45606</v>
      </c>
      <c r="I927" s="5">
        <v>3</v>
      </c>
      <c r="J927" s="34">
        <f t="shared" si="5"/>
        <v>45610</v>
      </c>
      <c r="K927" s="5"/>
      <c r="L927" s="5"/>
      <c r="M927" s="5"/>
      <c r="N927" s="5" t="s">
        <v>4</v>
      </c>
    </row>
    <row r="928" spans="1:14" ht="21.75" customHeight="1" x14ac:dyDescent="0.25">
      <c r="A928" s="1">
        <v>2665</v>
      </c>
      <c r="B928" s="33">
        <v>45601</v>
      </c>
      <c r="D928" s="4" t="s">
        <v>17</v>
      </c>
      <c r="F928" s="5">
        <v>5</v>
      </c>
      <c r="H928" s="34">
        <f t="shared" si="4"/>
        <v>45606</v>
      </c>
      <c r="I928" s="5">
        <v>6</v>
      </c>
      <c r="J928" s="34">
        <f t="shared" si="5"/>
        <v>45613</v>
      </c>
      <c r="K928" s="5"/>
      <c r="L928" s="5"/>
      <c r="M928" s="5"/>
      <c r="N928" s="5" t="s">
        <v>4</v>
      </c>
    </row>
    <row r="929" spans="1:14" ht="21.75" customHeight="1" x14ac:dyDescent="0.25">
      <c r="A929" s="1">
        <v>4023</v>
      </c>
      <c r="B929" s="33">
        <v>45601</v>
      </c>
      <c r="D929" s="4" t="s">
        <v>7</v>
      </c>
      <c r="F929" s="5">
        <v>5</v>
      </c>
      <c r="H929" s="34">
        <f t="shared" si="4"/>
        <v>45606</v>
      </c>
      <c r="I929" s="5">
        <v>3</v>
      </c>
      <c r="J929" s="34">
        <f t="shared" si="5"/>
        <v>45610</v>
      </c>
      <c r="K929" s="5" t="s">
        <v>3</v>
      </c>
      <c r="L929" s="5"/>
      <c r="M929" s="5"/>
      <c r="N929" s="5"/>
    </row>
    <row r="930" spans="1:14" ht="21.75" customHeight="1" x14ac:dyDescent="0.25">
      <c r="A930" s="1">
        <v>2439</v>
      </c>
      <c r="B930" s="33">
        <v>45601</v>
      </c>
      <c r="D930" s="4" t="s">
        <v>7</v>
      </c>
      <c r="F930" s="5">
        <v>5</v>
      </c>
      <c r="H930" s="34">
        <f t="shared" si="4"/>
        <v>45606</v>
      </c>
      <c r="I930" s="5">
        <v>3</v>
      </c>
      <c r="J930" s="34">
        <f t="shared" si="5"/>
        <v>45610</v>
      </c>
      <c r="K930" s="5"/>
      <c r="L930" s="5" t="s">
        <v>5</v>
      </c>
      <c r="M930" s="5"/>
      <c r="N930" s="5"/>
    </row>
    <row r="931" spans="1:14" ht="21.75" customHeight="1" x14ac:dyDescent="0.25">
      <c r="A931" s="1">
        <v>3629</v>
      </c>
      <c r="B931" s="33">
        <v>45601</v>
      </c>
      <c r="D931" s="4" t="s">
        <v>7</v>
      </c>
      <c r="F931" s="5">
        <v>5</v>
      </c>
      <c r="H931" s="34">
        <f t="shared" si="4"/>
        <v>45606</v>
      </c>
      <c r="I931" s="5">
        <v>3</v>
      </c>
      <c r="J931" s="34">
        <f t="shared" si="5"/>
        <v>45610</v>
      </c>
      <c r="K931" s="5"/>
      <c r="L931" s="5" t="s">
        <v>5</v>
      </c>
      <c r="M931" s="5"/>
      <c r="N931" s="5"/>
    </row>
    <row r="932" spans="1:14" ht="21.75" customHeight="1" x14ac:dyDescent="0.25">
      <c r="A932" s="1">
        <v>2324</v>
      </c>
      <c r="B932" s="33">
        <v>45602</v>
      </c>
      <c r="D932" s="4" t="s">
        <v>7</v>
      </c>
      <c r="F932" s="5">
        <v>5</v>
      </c>
      <c r="H932" s="34">
        <f t="shared" si="4"/>
        <v>45607</v>
      </c>
      <c r="I932" s="5">
        <v>3</v>
      </c>
      <c r="J932" s="34">
        <f t="shared" si="5"/>
        <v>45611</v>
      </c>
      <c r="K932" s="5"/>
      <c r="L932" s="5"/>
      <c r="M932" s="5"/>
      <c r="N932" s="5" t="s">
        <v>4</v>
      </c>
    </row>
    <row r="933" spans="1:14" ht="21.75" customHeight="1" x14ac:dyDescent="0.25">
      <c r="A933" s="1">
        <v>3540</v>
      </c>
      <c r="B933" s="33">
        <v>45602</v>
      </c>
      <c r="D933" s="4" t="s">
        <v>7</v>
      </c>
      <c r="F933" s="5">
        <v>5</v>
      </c>
      <c r="H933" s="34">
        <f t="shared" si="4"/>
        <v>45607</v>
      </c>
      <c r="I933" s="5">
        <v>3</v>
      </c>
      <c r="J933" s="34">
        <f t="shared" si="5"/>
        <v>45611</v>
      </c>
      <c r="K933" s="5"/>
      <c r="L933" s="5"/>
      <c r="M933" s="5" t="s">
        <v>1</v>
      </c>
      <c r="N933" s="5" t="s">
        <v>4</v>
      </c>
    </row>
    <row r="934" spans="1:14" ht="21.75" customHeight="1" x14ac:dyDescent="0.25">
      <c r="A934" s="1">
        <v>2118</v>
      </c>
      <c r="B934" s="33">
        <v>45602</v>
      </c>
      <c r="D934" s="4" t="s">
        <v>7</v>
      </c>
      <c r="F934" s="5">
        <v>5</v>
      </c>
      <c r="H934" s="34">
        <f t="shared" si="4"/>
        <v>45607</v>
      </c>
      <c r="I934" s="5">
        <v>3</v>
      </c>
      <c r="J934" s="34">
        <f t="shared" si="5"/>
        <v>45611</v>
      </c>
      <c r="K934" s="5"/>
      <c r="L934" s="5" t="s">
        <v>5</v>
      </c>
      <c r="M934" s="5"/>
      <c r="N934" s="5" t="s">
        <v>4</v>
      </c>
    </row>
    <row r="935" spans="1:14" ht="21.75" customHeight="1" x14ac:dyDescent="0.25">
      <c r="A935" s="1">
        <v>2511</v>
      </c>
      <c r="B935" s="33">
        <v>45603</v>
      </c>
      <c r="D935" s="4" t="s">
        <v>7</v>
      </c>
      <c r="F935" s="5">
        <v>5</v>
      </c>
      <c r="H935" s="34">
        <f t="shared" si="4"/>
        <v>45608</v>
      </c>
      <c r="I935" s="5">
        <v>3</v>
      </c>
      <c r="J935" s="34">
        <f t="shared" si="5"/>
        <v>45612</v>
      </c>
      <c r="K935" s="5" t="s">
        <v>3</v>
      </c>
      <c r="L935" s="5"/>
      <c r="M935" s="5"/>
      <c r="N935" s="5" t="s">
        <v>4</v>
      </c>
    </row>
    <row r="936" spans="1:14" ht="21.75" customHeight="1" x14ac:dyDescent="0.25">
      <c r="A936" s="1">
        <v>3235</v>
      </c>
      <c r="B936" s="33">
        <v>45603</v>
      </c>
      <c r="D936" s="4" t="s">
        <v>15</v>
      </c>
      <c r="F936" s="5">
        <v>5</v>
      </c>
      <c r="H936" s="34">
        <f t="shared" si="4"/>
        <v>45608</v>
      </c>
      <c r="I936" s="5">
        <v>9</v>
      </c>
      <c r="J936" s="34">
        <f t="shared" si="5"/>
        <v>45618</v>
      </c>
      <c r="K936" s="5" t="s">
        <v>3</v>
      </c>
      <c r="L936" s="5" t="s">
        <v>5</v>
      </c>
      <c r="M936" s="5" t="s">
        <v>1</v>
      </c>
      <c r="N936" s="5" t="s">
        <v>4</v>
      </c>
    </row>
    <row r="937" spans="1:14" ht="21.75" customHeight="1" x14ac:dyDescent="0.25">
      <c r="A937" s="1">
        <v>873</v>
      </c>
      <c r="B937" s="33">
        <v>45603</v>
      </c>
      <c r="D937" s="4" t="s">
        <v>7</v>
      </c>
      <c r="F937" s="5">
        <v>5</v>
      </c>
      <c r="H937" s="34">
        <f t="shared" si="4"/>
        <v>45608</v>
      </c>
      <c r="I937" s="5">
        <v>3</v>
      </c>
      <c r="J937" s="34">
        <f t="shared" si="5"/>
        <v>45612</v>
      </c>
      <c r="K937" s="5" t="s">
        <v>3</v>
      </c>
      <c r="L937" s="5"/>
      <c r="M937" s="5"/>
      <c r="N937" s="5"/>
    </row>
    <row r="938" spans="1:14" ht="21.75" customHeight="1" x14ac:dyDescent="0.25">
      <c r="A938" s="1">
        <v>3528</v>
      </c>
      <c r="B938" s="33">
        <v>45604</v>
      </c>
      <c r="D938" s="4" t="s">
        <v>7</v>
      </c>
      <c r="F938" s="5">
        <v>5</v>
      </c>
      <c r="H938" s="34">
        <f t="shared" si="4"/>
        <v>45609</v>
      </c>
      <c r="I938" s="5">
        <v>2</v>
      </c>
      <c r="J938" s="34">
        <f t="shared" si="5"/>
        <v>45612</v>
      </c>
      <c r="K938" s="5"/>
      <c r="L938" s="5" t="s">
        <v>5</v>
      </c>
      <c r="M938" s="5"/>
      <c r="N938" s="5"/>
    </row>
    <row r="939" spans="1:14" ht="21.75" customHeight="1" x14ac:dyDescent="0.25">
      <c r="A939" s="1">
        <v>2439</v>
      </c>
      <c r="B939" s="33">
        <v>45604</v>
      </c>
      <c r="D939" s="4" t="s">
        <v>7</v>
      </c>
      <c r="F939" s="5">
        <v>5</v>
      </c>
      <c r="H939" s="34">
        <f t="shared" si="4"/>
        <v>45609</v>
      </c>
      <c r="I939" s="5">
        <v>2</v>
      </c>
      <c r="J939" s="34">
        <f t="shared" si="5"/>
        <v>45612</v>
      </c>
      <c r="K939" s="5"/>
      <c r="L939" s="5" t="s">
        <v>5</v>
      </c>
      <c r="M939" s="5"/>
      <c r="N939" s="5"/>
    </row>
    <row r="940" spans="1:14" ht="21.75" customHeight="1" x14ac:dyDescent="0.25">
      <c r="A940" s="1">
        <v>2791</v>
      </c>
      <c r="B940" s="33">
        <v>45604</v>
      </c>
      <c r="D940" s="4" t="s">
        <v>7</v>
      </c>
      <c r="F940" s="5">
        <v>5</v>
      </c>
      <c r="H940" s="34">
        <f t="shared" si="4"/>
        <v>45609</v>
      </c>
      <c r="I940" s="5">
        <v>3</v>
      </c>
      <c r="J940" s="34">
        <f t="shared" si="5"/>
        <v>45613</v>
      </c>
      <c r="K940" s="5" t="s">
        <v>3</v>
      </c>
      <c r="L940" s="5"/>
      <c r="M940" s="5"/>
      <c r="N940" s="5"/>
    </row>
    <row r="941" spans="1:14" ht="21.75" customHeight="1" x14ac:dyDescent="0.25">
      <c r="A941" s="1">
        <v>4039</v>
      </c>
      <c r="B941" s="33">
        <v>45605</v>
      </c>
      <c r="D941" s="4" t="s">
        <v>7</v>
      </c>
      <c r="F941" s="5">
        <v>5</v>
      </c>
      <c r="H941" s="34">
        <f t="shared" si="4"/>
        <v>45610</v>
      </c>
      <c r="I941" s="5">
        <v>3</v>
      </c>
      <c r="J941" s="34">
        <f t="shared" si="5"/>
        <v>45614</v>
      </c>
      <c r="K941" s="5"/>
      <c r="L941" s="5"/>
      <c r="M941" s="5" t="s">
        <v>1</v>
      </c>
      <c r="N941" s="5"/>
    </row>
    <row r="942" spans="1:14" ht="21.75" customHeight="1" x14ac:dyDescent="0.25">
      <c r="A942" s="1">
        <v>3540</v>
      </c>
      <c r="B942" s="33">
        <v>45605</v>
      </c>
      <c r="D942" s="4" t="s">
        <v>0</v>
      </c>
      <c r="F942" s="5">
        <v>5</v>
      </c>
      <c r="H942" s="34">
        <f t="shared" ref="H942:H1005" si="6">B942+F942</f>
        <v>45610</v>
      </c>
      <c r="I942" s="5">
        <v>5</v>
      </c>
      <c r="J942" s="34">
        <f t="shared" si="5"/>
        <v>45616</v>
      </c>
      <c r="K942" s="5"/>
      <c r="L942" s="5"/>
      <c r="M942" s="5" t="s">
        <v>1</v>
      </c>
      <c r="N942" s="5"/>
    </row>
    <row r="943" spans="1:14" ht="21.75" customHeight="1" x14ac:dyDescent="0.25">
      <c r="A943" s="1">
        <v>2211</v>
      </c>
      <c r="B943" s="33">
        <v>45606</v>
      </c>
      <c r="D943" s="4" t="s">
        <v>7</v>
      </c>
      <c r="F943" s="5">
        <v>5</v>
      </c>
      <c r="H943" s="34">
        <f t="shared" si="6"/>
        <v>45611</v>
      </c>
      <c r="I943" s="5">
        <v>3</v>
      </c>
      <c r="J943" s="34">
        <f t="shared" si="5"/>
        <v>45615</v>
      </c>
      <c r="K943" s="5" t="s">
        <v>3</v>
      </c>
      <c r="L943" s="5" t="s">
        <v>5</v>
      </c>
      <c r="M943" s="5"/>
      <c r="N943" s="5"/>
    </row>
    <row r="944" spans="1:14" ht="21.75" customHeight="1" x14ac:dyDescent="0.25">
      <c r="A944" s="1">
        <v>2799</v>
      </c>
      <c r="B944" s="33">
        <v>45606</v>
      </c>
      <c r="D944" s="4" t="s">
        <v>7</v>
      </c>
      <c r="F944" s="5">
        <v>5</v>
      </c>
      <c r="H944" s="34">
        <f t="shared" si="6"/>
        <v>45611</v>
      </c>
      <c r="I944" s="5">
        <v>3</v>
      </c>
      <c r="J944" s="34">
        <f t="shared" si="5"/>
        <v>45615</v>
      </c>
      <c r="K944" s="5"/>
      <c r="L944" s="5"/>
      <c r="M944" s="5" t="s">
        <v>1</v>
      </c>
      <c r="N944" s="5"/>
    </row>
    <row r="945" spans="1:14" ht="21.75" customHeight="1" x14ac:dyDescent="0.25">
      <c r="A945" s="1">
        <v>3666</v>
      </c>
      <c r="B945" s="33">
        <v>45606</v>
      </c>
      <c r="D945" s="4" t="s">
        <v>7</v>
      </c>
      <c r="F945" s="5">
        <v>5</v>
      </c>
      <c r="H945" s="34">
        <f t="shared" si="6"/>
        <v>45611</v>
      </c>
      <c r="I945" s="5">
        <v>3</v>
      </c>
      <c r="J945" s="34">
        <f t="shared" si="5"/>
        <v>45615</v>
      </c>
      <c r="K945" s="5"/>
      <c r="L945" s="5" t="s">
        <v>5</v>
      </c>
      <c r="M945" s="5"/>
      <c r="N945" s="5"/>
    </row>
    <row r="946" spans="1:14" ht="21.75" customHeight="1" x14ac:dyDescent="0.25">
      <c r="A946" s="1">
        <v>3075</v>
      </c>
      <c r="B946" s="33">
        <v>45606</v>
      </c>
      <c r="D946" s="4" t="s">
        <v>7</v>
      </c>
      <c r="F946" s="5">
        <v>5</v>
      </c>
      <c r="H946" s="34">
        <f t="shared" si="6"/>
        <v>45611</v>
      </c>
      <c r="I946" s="5">
        <v>3</v>
      </c>
      <c r="J946" s="34">
        <f t="shared" si="5"/>
        <v>45615</v>
      </c>
      <c r="K946" s="5" t="s">
        <v>3</v>
      </c>
      <c r="L946" s="5"/>
      <c r="M946" s="5"/>
      <c r="N946" s="5"/>
    </row>
    <row r="947" spans="1:14" ht="21.75" customHeight="1" x14ac:dyDescent="0.25">
      <c r="A947" s="1">
        <v>1066</v>
      </c>
      <c r="B947" s="33">
        <v>45607</v>
      </c>
      <c r="D947" s="4" t="s">
        <v>7</v>
      </c>
      <c r="F947" s="5">
        <v>5</v>
      </c>
      <c r="H947" s="34">
        <f t="shared" si="6"/>
        <v>45612</v>
      </c>
      <c r="I947" s="5">
        <v>3</v>
      </c>
      <c r="J947" s="34">
        <f t="shared" si="5"/>
        <v>45616</v>
      </c>
      <c r="K947" s="5" t="s">
        <v>3</v>
      </c>
      <c r="L947" s="5" t="s">
        <v>5</v>
      </c>
      <c r="M947" s="5" t="s">
        <v>1</v>
      </c>
      <c r="N947" s="5" t="s">
        <v>4</v>
      </c>
    </row>
    <row r="948" spans="1:14" ht="21.75" customHeight="1" x14ac:dyDescent="0.25">
      <c r="A948" s="1">
        <v>3522</v>
      </c>
      <c r="B948" s="33">
        <v>45607</v>
      </c>
      <c r="D948" s="4" t="s">
        <v>7</v>
      </c>
      <c r="F948" s="5">
        <v>5</v>
      </c>
      <c r="H948" s="34">
        <f t="shared" si="6"/>
        <v>45612</v>
      </c>
      <c r="I948" s="5">
        <v>3</v>
      </c>
      <c r="J948" s="34">
        <f t="shared" ref="J948:J1011" si="7">H948+I948+1</f>
        <v>45616</v>
      </c>
      <c r="K948" s="5" t="s">
        <v>3</v>
      </c>
      <c r="L948" s="5"/>
      <c r="M948" s="5"/>
      <c r="N948" s="5" t="s">
        <v>4</v>
      </c>
    </row>
    <row r="949" spans="1:14" ht="21.75" customHeight="1" x14ac:dyDescent="0.25">
      <c r="A949" s="1">
        <v>2191</v>
      </c>
      <c r="B949" s="33">
        <v>45607</v>
      </c>
      <c r="D949" s="4" t="s">
        <v>7</v>
      </c>
      <c r="F949" s="5">
        <v>5</v>
      </c>
      <c r="H949" s="34">
        <f t="shared" si="6"/>
        <v>45612</v>
      </c>
      <c r="I949" s="5">
        <v>3</v>
      </c>
      <c r="J949" s="34">
        <f t="shared" si="7"/>
        <v>45616</v>
      </c>
      <c r="K949" s="5"/>
      <c r="L949" s="5"/>
      <c r="M949" s="5" t="s">
        <v>1</v>
      </c>
      <c r="N949" s="5"/>
    </row>
    <row r="950" spans="1:14" ht="21.75" customHeight="1" x14ac:dyDescent="0.25">
      <c r="A950" s="1">
        <v>2705</v>
      </c>
      <c r="B950" s="33">
        <v>45607</v>
      </c>
      <c r="D950" s="4" t="s">
        <v>7</v>
      </c>
      <c r="F950" s="5">
        <v>5</v>
      </c>
      <c r="H950" s="34">
        <f t="shared" si="6"/>
        <v>45612</v>
      </c>
      <c r="I950" s="5">
        <v>3</v>
      </c>
      <c r="J950" s="34">
        <f t="shared" si="7"/>
        <v>45616</v>
      </c>
      <c r="K950" s="5"/>
      <c r="L950" s="5" t="s">
        <v>5</v>
      </c>
      <c r="M950" s="5"/>
      <c r="N950" s="5"/>
    </row>
    <row r="951" spans="1:14" ht="21.75" customHeight="1" x14ac:dyDescent="0.25">
      <c r="A951" s="1">
        <v>4364</v>
      </c>
      <c r="B951" s="33">
        <v>45609</v>
      </c>
      <c r="D951" s="4" t="s">
        <v>7</v>
      </c>
      <c r="F951" s="5">
        <v>5</v>
      </c>
      <c r="H951" s="34">
        <f t="shared" si="6"/>
        <v>45614</v>
      </c>
      <c r="I951" s="5">
        <v>3</v>
      </c>
      <c r="J951" s="34">
        <f t="shared" si="7"/>
        <v>45618</v>
      </c>
      <c r="K951" s="5"/>
      <c r="L951" s="5"/>
      <c r="M951" s="5" t="s">
        <v>1</v>
      </c>
      <c r="N951" s="5"/>
    </row>
    <row r="952" spans="1:14" ht="21.75" customHeight="1" x14ac:dyDescent="0.25">
      <c r="A952" s="1">
        <v>2250</v>
      </c>
      <c r="B952" s="33">
        <v>45609</v>
      </c>
      <c r="D952" s="4" t="s">
        <v>7</v>
      </c>
      <c r="F952" s="5">
        <v>5</v>
      </c>
      <c r="H952" s="34">
        <f t="shared" si="6"/>
        <v>45614</v>
      </c>
      <c r="I952" s="5">
        <v>3</v>
      </c>
      <c r="J952" s="34">
        <f t="shared" si="7"/>
        <v>45618</v>
      </c>
      <c r="K952" s="5" t="s">
        <v>3</v>
      </c>
      <c r="L952" s="5"/>
      <c r="M952" s="5"/>
      <c r="N952" s="5"/>
    </row>
    <row r="953" spans="1:14" ht="21.75" customHeight="1" x14ac:dyDescent="0.25">
      <c r="A953" s="1">
        <v>3225</v>
      </c>
      <c r="B953" s="33">
        <v>45609</v>
      </c>
      <c r="D953" s="4" t="s">
        <v>2</v>
      </c>
      <c r="F953" s="5">
        <v>5</v>
      </c>
      <c r="H953" s="34">
        <f t="shared" si="6"/>
        <v>45614</v>
      </c>
      <c r="I953" s="5">
        <v>3</v>
      </c>
      <c r="J953" s="34">
        <f t="shared" si="7"/>
        <v>45618</v>
      </c>
      <c r="K953" s="5"/>
      <c r="L953" s="5"/>
      <c r="M953" s="5"/>
      <c r="N953" s="5" t="s">
        <v>4</v>
      </c>
    </row>
    <row r="954" spans="1:14" ht="21.75" customHeight="1" x14ac:dyDescent="0.25">
      <c r="A954" s="1">
        <v>2979</v>
      </c>
      <c r="B954" s="33">
        <v>45610</v>
      </c>
      <c r="D954" s="4" t="s">
        <v>2</v>
      </c>
      <c r="F954" s="5">
        <v>5</v>
      </c>
      <c r="H954" s="34">
        <f t="shared" si="6"/>
        <v>45615</v>
      </c>
      <c r="I954" s="5">
        <v>3</v>
      </c>
      <c r="J954" s="34">
        <f t="shared" si="7"/>
        <v>45619</v>
      </c>
      <c r="K954" s="5"/>
      <c r="L954" s="5"/>
      <c r="M954" s="5"/>
      <c r="N954" s="5" t="s">
        <v>4</v>
      </c>
    </row>
    <row r="955" spans="1:14" ht="21.75" customHeight="1" x14ac:dyDescent="0.25">
      <c r="A955" s="1">
        <v>4542</v>
      </c>
      <c r="B955" s="33">
        <v>45610</v>
      </c>
      <c r="D955" s="4" t="s">
        <v>7</v>
      </c>
      <c r="F955" s="5">
        <v>5</v>
      </c>
      <c r="H955" s="34">
        <f t="shared" si="6"/>
        <v>45615</v>
      </c>
      <c r="I955" s="5">
        <v>3</v>
      </c>
      <c r="J955" s="34">
        <f t="shared" si="7"/>
        <v>45619</v>
      </c>
      <c r="K955" s="5"/>
      <c r="L955" s="5" t="s">
        <v>5</v>
      </c>
      <c r="M955" s="5" t="s">
        <v>1</v>
      </c>
      <c r="N955" s="5" t="s">
        <v>4</v>
      </c>
    </row>
    <row r="956" spans="1:14" ht="21.75" customHeight="1" x14ac:dyDescent="0.25">
      <c r="A956" s="1">
        <v>2102</v>
      </c>
      <c r="B956" s="33">
        <v>45611</v>
      </c>
      <c r="D956" s="4" t="s">
        <v>7</v>
      </c>
      <c r="F956" s="5">
        <v>5</v>
      </c>
      <c r="H956" s="34">
        <f t="shared" si="6"/>
        <v>45616</v>
      </c>
      <c r="I956" s="5">
        <v>3</v>
      </c>
      <c r="J956" s="34">
        <f t="shared" si="7"/>
        <v>45620</v>
      </c>
      <c r="K956" s="5" t="s">
        <v>3</v>
      </c>
      <c r="L956" s="5" t="s">
        <v>5</v>
      </c>
      <c r="M956" s="5" t="s">
        <v>1</v>
      </c>
      <c r="N956" s="5" t="s">
        <v>4</v>
      </c>
    </row>
    <row r="957" spans="1:14" ht="21.75" customHeight="1" x14ac:dyDescent="0.25">
      <c r="A957" s="1">
        <v>3390</v>
      </c>
      <c r="B957" s="33">
        <v>45612</v>
      </c>
      <c r="D957" s="4" t="s">
        <v>7</v>
      </c>
      <c r="F957" s="5">
        <v>5</v>
      </c>
      <c r="H957" s="34">
        <f t="shared" si="6"/>
        <v>45617</v>
      </c>
      <c r="I957" s="5">
        <v>3</v>
      </c>
      <c r="J957" s="34">
        <f t="shared" si="7"/>
        <v>45621</v>
      </c>
      <c r="K957" s="5" t="s">
        <v>3</v>
      </c>
      <c r="L957" s="5"/>
      <c r="M957" s="5"/>
      <c r="N957" s="5"/>
    </row>
    <row r="958" spans="1:14" ht="21.75" customHeight="1" x14ac:dyDescent="0.25">
      <c r="A958" s="1">
        <v>3152</v>
      </c>
      <c r="B958" s="33">
        <v>45612</v>
      </c>
      <c r="D958" s="4" t="s">
        <v>13</v>
      </c>
      <c r="F958" s="5">
        <v>5</v>
      </c>
      <c r="H958" s="34">
        <f t="shared" si="6"/>
        <v>45617</v>
      </c>
      <c r="I958" s="5">
        <v>5</v>
      </c>
      <c r="J958" s="34">
        <f t="shared" si="7"/>
        <v>45623</v>
      </c>
      <c r="K958" s="5"/>
      <c r="L958" s="5"/>
      <c r="M958" s="5"/>
      <c r="N958" s="5" t="s">
        <v>4</v>
      </c>
    </row>
    <row r="959" spans="1:14" ht="21.75" customHeight="1" x14ac:dyDescent="0.25">
      <c r="A959" s="1">
        <v>1178</v>
      </c>
      <c r="B959" s="33">
        <v>45612</v>
      </c>
      <c r="D959" s="4" t="s">
        <v>13</v>
      </c>
      <c r="F959" s="5">
        <v>5</v>
      </c>
      <c r="H959" s="34">
        <f t="shared" si="6"/>
        <v>45617</v>
      </c>
      <c r="I959" s="5">
        <v>5</v>
      </c>
      <c r="J959" s="34">
        <f t="shared" si="7"/>
        <v>45623</v>
      </c>
      <c r="K959" s="5" t="s">
        <v>3</v>
      </c>
      <c r="L959" s="5"/>
      <c r="M959" s="5" t="s">
        <v>1</v>
      </c>
      <c r="N959" s="5"/>
    </row>
    <row r="960" spans="1:14" ht="21.75" customHeight="1" x14ac:dyDescent="0.25">
      <c r="A960" s="1">
        <v>3096</v>
      </c>
      <c r="B960" s="33">
        <v>45612</v>
      </c>
      <c r="D960" s="4" t="s">
        <v>13</v>
      </c>
      <c r="F960" s="5">
        <v>5</v>
      </c>
      <c r="H960" s="34">
        <f t="shared" si="6"/>
        <v>45617</v>
      </c>
      <c r="I960" s="5">
        <v>5</v>
      </c>
      <c r="J960" s="34">
        <f t="shared" si="7"/>
        <v>45623</v>
      </c>
      <c r="K960" s="5"/>
      <c r="L960" s="5" t="s">
        <v>5</v>
      </c>
      <c r="M960" s="5"/>
      <c r="N960" s="5"/>
    </row>
    <row r="961" spans="1:14" ht="21.75" customHeight="1" x14ac:dyDescent="0.25">
      <c r="A961" s="1">
        <v>3306</v>
      </c>
      <c r="B961" s="33">
        <v>45612</v>
      </c>
      <c r="D961" s="4" t="s">
        <v>13</v>
      </c>
      <c r="F961" s="5">
        <v>5</v>
      </c>
      <c r="H961" s="34">
        <f t="shared" si="6"/>
        <v>45617</v>
      </c>
      <c r="I961" s="5">
        <v>5</v>
      </c>
      <c r="J961" s="34">
        <f t="shared" si="7"/>
        <v>45623</v>
      </c>
      <c r="K961" s="5"/>
      <c r="L961" s="5"/>
      <c r="M961" s="5"/>
      <c r="N961" s="5" t="s">
        <v>4</v>
      </c>
    </row>
    <row r="962" spans="1:14" ht="21.75" customHeight="1" x14ac:dyDescent="0.25">
      <c r="A962" s="1">
        <v>2250</v>
      </c>
      <c r="B962" s="33">
        <v>45613</v>
      </c>
      <c r="D962" s="4" t="s">
        <v>2</v>
      </c>
      <c r="F962" s="5">
        <v>5</v>
      </c>
      <c r="H962" s="34">
        <f t="shared" si="6"/>
        <v>45618</v>
      </c>
      <c r="I962" s="5">
        <v>3</v>
      </c>
      <c r="J962" s="34">
        <f t="shared" si="7"/>
        <v>45622</v>
      </c>
      <c r="K962" s="5" t="s">
        <v>3</v>
      </c>
      <c r="L962" s="5"/>
      <c r="M962" s="5"/>
      <c r="N962" s="5"/>
    </row>
    <row r="963" spans="1:14" ht="21.75" customHeight="1" x14ac:dyDescent="0.25">
      <c r="A963" s="1">
        <v>2191</v>
      </c>
      <c r="B963" s="33">
        <v>45613</v>
      </c>
      <c r="D963" s="4" t="s">
        <v>2</v>
      </c>
      <c r="F963" s="5">
        <v>5</v>
      </c>
      <c r="H963" s="34">
        <f t="shared" si="6"/>
        <v>45618</v>
      </c>
      <c r="I963" s="5">
        <v>3</v>
      </c>
      <c r="J963" s="34">
        <f t="shared" si="7"/>
        <v>45622</v>
      </c>
      <c r="K963" s="5"/>
      <c r="L963" s="5"/>
      <c r="M963" s="5" t="s">
        <v>4</v>
      </c>
      <c r="N963" s="5"/>
    </row>
    <row r="964" spans="1:14" ht="21.75" customHeight="1" x14ac:dyDescent="0.25">
      <c r="A964" s="1">
        <v>3666</v>
      </c>
      <c r="B964" s="33">
        <v>45613</v>
      </c>
      <c r="D964" s="4" t="s">
        <v>2</v>
      </c>
      <c r="F964" s="5">
        <v>5</v>
      </c>
      <c r="H964" s="34">
        <f t="shared" si="6"/>
        <v>45618</v>
      </c>
      <c r="I964" s="5">
        <v>3</v>
      </c>
      <c r="J964" s="34">
        <f t="shared" si="7"/>
        <v>45622</v>
      </c>
      <c r="K964" s="5"/>
      <c r="L964" s="5" t="s">
        <v>5</v>
      </c>
      <c r="M964" s="5"/>
      <c r="N964" s="5"/>
    </row>
    <row r="965" spans="1:14" ht="21.75" customHeight="1" x14ac:dyDescent="0.25">
      <c r="A965" s="1">
        <v>4041</v>
      </c>
      <c r="B965" s="33">
        <v>45613</v>
      </c>
      <c r="D965" s="4" t="s">
        <v>7</v>
      </c>
      <c r="F965" s="5">
        <v>5</v>
      </c>
      <c r="H965" s="34">
        <f t="shared" si="6"/>
        <v>45618</v>
      </c>
      <c r="I965" s="5">
        <v>3</v>
      </c>
      <c r="J965" s="34">
        <f t="shared" si="7"/>
        <v>45622</v>
      </c>
      <c r="K965" s="5"/>
      <c r="L965" s="5" t="s">
        <v>5</v>
      </c>
      <c r="M965" s="5"/>
      <c r="N965" s="5"/>
    </row>
    <row r="966" spans="1:14" ht="21.75" customHeight="1" x14ac:dyDescent="0.25">
      <c r="A966" s="1">
        <v>3629</v>
      </c>
      <c r="B966" s="33">
        <v>45613</v>
      </c>
      <c r="D966" s="4" t="s">
        <v>7</v>
      </c>
      <c r="F966" s="5">
        <v>5</v>
      </c>
      <c r="H966" s="34">
        <f t="shared" si="6"/>
        <v>45618</v>
      </c>
      <c r="I966" s="5">
        <v>3</v>
      </c>
      <c r="J966" s="34">
        <f t="shared" si="7"/>
        <v>45622</v>
      </c>
      <c r="K966" s="5"/>
      <c r="L966" s="5"/>
      <c r="M966" s="5" t="s">
        <v>1</v>
      </c>
      <c r="N966" s="5"/>
    </row>
    <row r="967" spans="1:14" ht="21.75" customHeight="1" x14ac:dyDescent="0.25">
      <c r="A967" s="1">
        <v>1915</v>
      </c>
      <c r="B967" s="33">
        <v>45614</v>
      </c>
      <c r="D967" s="4" t="s">
        <v>7</v>
      </c>
      <c r="F967" s="5">
        <v>5</v>
      </c>
      <c r="H967" s="34">
        <f t="shared" si="6"/>
        <v>45619</v>
      </c>
      <c r="I967" s="5">
        <v>3</v>
      </c>
      <c r="J967" s="34">
        <f t="shared" si="7"/>
        <v>45623</v>
      </c>
      <c r="K967" s="5"/>
      <c r="L967" s="5"/>
      <c r="M967" s="5" t="s">
        <v>1</v>
      </c>
      <c r="N967" s="5" t="s">
        <v>4</v>
      </c>
    </row>
    <row r="968" spans="1:14" ht="21.75" customHeight="1" x14ac:dyDescent="0.25">
      <c r="A968" s="1">
        <v>2398</v>
      </c>
      <c r="B968" s="33">
        <v>45614</v>
      </c>
      <c r="D968" s="4" t="s">
        <v>7</v>
      </c>
      <c r="F968" s="5">
        <v>5</v>
      </c>
      <c r="H968" s="34">
        <f t="shared" si="6"/>
        <v>45619</v>
      </c>
      <c r="I968" s="5">
        <v>3</v>
      </c>
      <c r="J968" s="34">
        <f t="shared" si="7"/>
        <v>45623</v>
      </c>
      <c r="K968" s="5"/>
      <c r="L968" s="5"/>
      <c r="M968" s="5" t="s">
        <v>1</v>
      </c>
      <c r="N968" s="5"/>
    </row>
    <row r="969" spans="1:14" ht="21.75" customHeight="1" x14ac:dyDescent="0.25">
      <c r="A969" s="1">
        <v>3528</v>
      </c>
      <c r="B969" s="33">
        <v>45615</v>
      </c>
      <c r="D969" s="4" t="s">
        <v>7</v>
      </c>
      <c r="F969" s="5">
        <v>5</v>
      </c>
      <c r="H969" s="34">
        <f t="shared" si="6"/>
        <v>45620</v>
      </c>
      <c r="I969" s="5">
        <v>3</v>
      </c>
      <c r="J969" s="34">
        <f t="shared" si="7"/>
        <v>45624</v>
      </c>
      <c r="K969" s="5"/>
      <c r="L969" s="5" t="s">
        <v>5</v>
      </c>
      <c r="M969" s="5"/>
      <c r="N969" s="5" t="s">
        <v>4</v>
      </c>
    </row>
    <row r="970" spans="1:14" ht="21.75" customHeight="1" x14ac:dyDescent="0.25">
      <c r="A970" s="1">
        <v>2979</v>
      </c>
      <c r="B970" s="33">
        <v>45615</v>
      </c>
      <c r="D970" s="4" t="s">
        <v>15</v>
      </c>
      <c r="F970" s="5">
        <v>5</v>
      </c>
      <c r="H970" s="34">
        <f t="shared" si="6"/>
        <v>45620</v>
      </c>
      <c r="I970" s="5">
        <v>9</v>
      </c>
      <c r="J970" s="34">
        <f t="shared" si="7"/>
        <v>45630</v>
      </c>
      <c r="K970" s="5"/>
      <c r="L970" s="5" t="s">
        <v>5</v>
      </c>
      <c r="M970" s="5"/>
      <c r="N970" s="5" t="s">
        <v>4</v>
      </c>
    </row>
    <row r="971" spans="1:14" ht="21.75" customHeight="1" x14ac:dyDescent="0.25">
      <c r="A971" s="1">
        <v>2398</v>
      </c>
      <c r="B971" s="33">
        <v>45615</v>
      </c>
      <c r="D971" s="4" t="s">
        <v>15</v>
      </c>
      <c r="F971" s="5">
        <v>5</v>
      </c>
      <c r="H971" s="34">
        <f t="shared" si="6"/>
        <v>45620</v>
      </c>
      <c r="I971" s="5">
        <v>9</v>
      </c>
      <c r="J971" s="34">
        <f t="shared" si="7"/>
        <v>45630</v>
      </c>
      <c r="K971" s="5" t="s">
        <v>3</v>
      </c>
      <c r="L971" s="5" t="s">
        <v>5</v>
      </c>
      <c r="M971" s="5" t="s">
        <v>1</v>
      </c>
      <c r="N971" s="5" t="s">
        <v>4</v>
      </c>
    </row>
    <row r="972" spans="1:14" ht="21.75" customHeight="1" x14ac:dyDescent="0.25">
      <c r="A972" s="1">
        <v>3148</v>
      </c>
      <c r="B972" s="33">
        <v>45616</v>
      </c>
      <c r="D972" s="4" t="s">
        <v>7</v>
      </c>
      <c r="F972" s="5">
        <v>5</v>
      </c>
      <c r="H972" s="34">
        <f t="shared" si="6"/>
        <v>45621</v>
      </c>
      <c r="I972" s="5">
        <v>3</v>
      </c>
      <c r="J972" s="34">
        <f t="shared" si="7"/>
        <v>45625</v>
      </c>
      <c r="K972" s="5"/>
      <c r="L972" s="5"/>
      <c r="M972" s="5" t="s">
        <v>1</v>
      </c>
      <c r="N972" s="5"/>
    </row>
    <row r="973" spans="1:14" ht="21.75" customHeight="1" x14ac:dyDescent="0.25">
      <c r="A973" s="1">
        <v>3428</v>
      </c>
      <c r="B973" s="33">
        <v>45616</v>
      </c>
      <c r="D973" s="4" t="s">
        <v>7</v>
      </c>
      <c r="F973" s="5">
        <v>5</v>
      </c>
      <c r="H973" s="34">
        <f t="shared" si="6"/>
        <v>45621</v>
      </c>
      <c r="I973" s="5">
        <v>3</v>
      </c>
      <c r="J973" s="34">
        <f t="shared" si="7"/>
        <v>45625</v>
      </c>
      <c r="K973" s="5"/>
      <c r="L973" s="5"/>
      <c r="M973" s="5"/>
      <c r="N973" s="5" t="s">
        <v>4</v>
      </c>
    </row>
    <row r="974" spans="1:14" ht="21.75" customHeight="1" x14ac:dyDescent="0.25">
      <c r="A974" s="1">
        <v>3289</v>
      </c>
      <c r="B974" s="33">
        <v>45616</v>
      </c>
      <c r="D974" s="4" t="s">
        <v>13</v>
      </c>
      <c r="F974" s="5">
        <v>5</v>
      </c>
      <c r="H974" s="34">
        <f t="shared" si="6"/>
        <v>45621</v>
      </c>
      <c r="I974" s="5">
        <v>5</v>
      </c>
      <c r="J974" s="34">
        <f t="shared" si="7"/>
        <v>45627</v>
      </c>
      <c r="K974" s="5" t="s">
        <v>3</v>
      </c>
      <c r="L974" s="5" t="s">
        <v>5</v>
      </c>
      <c r="M974" s="5" t="s">
        <v>1</v>
      </c>
      <c r="N974" s="5" t="s">
        <v>4</v>
      </c>
    </row>
    <row r="975" spans="1:14" ht="21.75" customHeight="1" x14ac:dyDescent="0.25">
      <c r="A975" s="1">
        <v>4419</v>
      </c>
      <c r="B975" s="33">
        <v>45617</v>
      </c>
      <c r="D975" s="4" t="s">
        <v>7</v>
      </c>
      <c r="F975" s="5">
        <v>5</v>
      </c>
      <c r="H975" s="34">
        <f t="shared" si="6"/>
        <v>45622</v>
      </c>
      <c r="I975" s="5">
        <v>3</v>
      </c>
      <c r="J975" s="34">
        <f t="shared" si="7"/>
        <v>45626</v>
      </c>
      <c r="K975" s="5"/>
      <c r="L975" s="5"/>
      <c r="M975" s="5"/>
      <c r="N975" s="5" t="s">
        <v>4</v>
      </c>
    </row>
    <row r="976" spans="1:14" ht="21.75" customHeight="1" x14ac:dyDescent="0.25">
      <c r="A976" s="1">
        <v>3148</v>
      </c>
      <c r="B976" s="33">
        <v>45618</v>
      </c>
      <c r="D976" s="4" t="s">
        <v>10</v>
      </c>
      <c r="F976" s="5">
        <v>5</v>
      </c>
      <c r="H976" s="34">
        <f t="shared" si="6"/>
        <v>45623</v>
      </c>
      <c r="I976" s="5">
        <v>3</v>
      </c>
      <c r="J976" s="34">
        <f t="shared" si="7"/>
        <v>45627</v>
      </c>
      <c r="K976" s="5"/>
      <c r="L976" s="5"/>
      <c r="M976" s="5" t="s">
        <v>1</v>
      </c>
      <c r="N976" s="5"/>
    </row>
    <row r="977" spans="1:14" ht="21.75" customHeight="1" x14ac:dyDescent="0.25">
      <c r="A977" s="1">
        <v>4415</v>
      </c>
      <c r="B977" s="33">
        <v>45618</v>
      </c>
      <c r="D977" s="4" t="s">
        <v>7</v>
      </c>
      <c r="F977" s="5">
        <v>5</v>
      </c>
      <c r="H977" s="34">
        <f t="shared" si="6"/>
        <v>45623</v>
      </c>
      <c r="I977" s="5">
        <v>3</v>
      </c>
      <c r="J977" s="34">
        <f t="shared" si="7"/>
        <v>45627</v>
      </c>
      <c r="K977" s="5"/>
      <c r="L977" s="5"/>
      <c r="M977" s="5" t="s">
        <v>1</v>
      </c>
      <c r="N977" s="5"/>
    </row>
    <row r="978" spans="1:14" ht="21.75" customHeight="1" x14ac:dyDescent="0.25">
      <c r="A978" s="1">
        <v>2118</v>
      </c>
      <c r="B978" s="33">
        <v>45618</v>
      </c>
      <c r="D978" s="4" t="s">
        <v>7</v>
      </c>
      <c r="F978" s="5">
        <v>5</v>
      </c>
      <c r="H978" s="34">
        <f t="shared" si="6"/>
        <v>45623</v>
      </c>
      <c r="I978" s="5">
        <v>2</v>
      </c>
      <c r="J978" s="34">
        <f t="shared" si="7"/>
        <v>45626</v>
      </c>
      <c r="K978" s="5"/>
      <c r="L978" s="5"/>
      <c r="M978" s="5" t="s">
        <v>1</v>
      </c>
      <c r="N978" s="5" t="s">
        <v>4</v>
      </c>
    </row>
    <row r="979" spans="1:14" ht="21.75" customHeight="1" x14ac:dyDescent="0.25">
      <c r="A979" s="1">
        <v>3629</v>
      </c>
      <c r="B979" s="33">
        <v>45618</v>
      </c>
      <c r="D979" s="4" t="s">
        <v>2</v>
      </c>
      <c r="F979" s="5">
        <v>5</v>
      </c>
      <c r="H979" s="34">
        <f t="shared" si="6"/>
        <v>45623</v>
      </c>
      <c r="I979" s="5">
        <v>3</v>
      </c>
      <c r="J979" s="34">
        <f t="shared" si="7"/>
        <v>45627</v>
      </c>
      <c r="K979" s="5"/>
      <c r="L979" s="5"/>
      <c r="M979" s="5" t="s">
        <v>1</v>
      </c>
      <c r="N979" s="5"/>
    </row>
    <row r="980" spans="1:14" ht="21.75" customHeight="1" x14ac:dyDescent="0.25">
      <c r="A980" s="1">
        <v>3096</v>
      </c>
      <c r="B980" s="33">
        <v>45618</v>
      </c>
      <c r="D980" s="4" t="s">
        <v>2</v>
      </c>
      <c r="F980" s="5">
        <v>5</v>
      </c>
      <c r="H980" s="34">
        <f t="shared" si="6"/>
        <v>45623</v>
      </c>
      <c r="I980" s="5">
        <v>3</v>
      </c>
      <c r="J980" s="34">
        <f t="shared" si="7"/>
        <v>45627</v>
      </c>
      <c r="K980" s="5"/>
      <c r="L980" s="5"/>
      <c r="M980" s="5"/>
      <c r="N980" s="5"/>
    </row>
    <row r="981" spans="1:14" ht="21.75" customHeight="1" x14ac:dyDescent="0.25">
      <c r="A981" s="1">
        <v>2877</v>
      </c>
      <c r="B981" s="33">
        <v>45618</v>
      </c>
      <c r="D981" s="4" t="s">
        <v>7</v>
      </c>
      <c r="F981" s="5">
        <v>5</v>
      </c>
      <c r="H981" s="34">
        <f t="shared" si="6"/>
        <v>45623</v>
      </c>
      <c r="I981" s="5">
        <v>3</v>
      </c>
      <c r="J981" s="34">
        <f t="shared" si="7"/>
        <v>45627</v>
      </c>
      <c r="K981" s="5"/>
      <c r="L981" s="5"/>
      <c r="M981" s="5" t="s">
        <v>1</v>
      </c>
      <c r="N981" s="5"/>
    </row>
    <row r="982" spans="1:14" ht="21.75" customHeight="1" x14ac:dyDescent="0.25">
      <c r="A982" s="1">
        <v>3200</v>
      </c>
      <c r="B982" s="33">
        <v>45619</v>
      </c>
      <c r="D982" s="4" t="s">
        <v>7</v>
      </c>
      <c r="F982" s="5">
        <v>5</v>
      </c>
      <c r="H982" s="34">
        <f t="shared" si="6"/>
        <v>45624</v>
      </c>
      <c r="I982" s="5">
        <v>3</v>
      </c>
      <c r="J982" s="34">
        <f t="shared" si="7"/>
        <v>45628</v>
      </c>
      <c r="K982" s="5"/>
      <c r="L982" s="5"/>
      <c r="M982" s="5" t="s">
        <v>1</v>
      </c>
      <c r="N982" s="5"/>
    </row>
    <row r="983" spans="1:14" ht="21.75" customHeight="1" x14ac:dyDescent="0.25">
      <c r="A983" s="1">
        <v>2513</v>
      </c>
      <c r="B983" s="33">
        <v>45619</v>
      </c>
      <c r="D983" s="4" t="s">
        <v>10</v>
      </c>
      <c r="F983" s="5">
        <v>5</v>
      </c>
      <c r="H983" s="34">
        <f t="shared" si="6"/>
        <v>45624</v>
      </c>
      <c r="I983" s="5">
        <v>3</v>
      </c>
      <c r="J983" s="34">
        <f t="shared" si="7"/>
        <v>45628</v>
      </c>
      <c r="K983" s="5"/>
      <c r="L983" s="5"/>
      <c r="M983" s="5"/>
      <c r="N983" s="5" t="s">
        <v>4</v>
      </c>
    </row>
    <row r="984" spans="1:14" ht="21.75" customHeight="1" x14ac:dyDescent="0.25">
      <c r="A984" s="1">
        <v>3075</v>
      </c>
      <c r="B984" s="33">
        <v>45619</v>
      </c>
      <c r="D984" s="4" t="s">
        <v>7</v>
      </c>
      <c r="F984" s="5">
        <v>5</v>
      </c>
      <c r="H984" s="34">
        <f t="shared" si="6"/>
        <v>45624</v>
      </c>
      <c r="I984" s="5">
        <v>3</v>
      </c>
      <c r="J984" s="34">
        <f t="shared" si="7"/>
        <v>45628</v>
      </c>
      <c r="K984" s="5"/>
      <c r="L984" s="5"/>
      <c r="M984" s="5" t="s">
        <v>1</v>
      </c>
      <c r="N984" s="5"/>
    </row>
    <row r="985" spans="1:14" ht="21.75" customHeight="1" x14ac:dyDescent="0.25">
      <c r="A985" s="1">
        <v>2755</v>
      </c>
      <c r="B985" s="33">
        <v>45619</v>
      </c>
      <c r="D985" s="4" t="s">
        <v>7</v>
      </c>
      <c r="F985" s="5">
        <v>5</v>
      </c>
      <c r="H985" s="34">
        <f t="shared" si="6"/>
        <v>45624</v>
      </c>
      <c r="I985" s="5">
        <v>3</v>
      </c>
      <c r="J985" s="34">
        <f t="shared" si="7"/>
        <v>45628</v>
      </c>
      <c r="K985" s="5" t="s">
        <v>3</v>
      </c>
      <c r="L985" s="5" t="s">
        <v>5</v>
      </c>
      <c r="M985" s="5" t="s">
        <v>1</v>
      </c>
      <c r="N985" s="5" t="s">
        <v>4</v>
      </c>
    </row>
    <row r="986" spans="1:14" ht="21.75" customHeight="1" x14ac:dyDescent="0.25">
      <c r="A986" s="1">
        <v>1586</v>
      </c>
      <c r="B986" s="33">
        <v>45619</v>
      </c>
      <c r="D986" s="4" t="s">
        <v>7</v>
      </c>
      <c r="F986" s="5">
        <v>5</v>
      </c>
      <c r="H986" s="34">
        <f t="shared" si="6"/>
        <v>45624</v>
      </c>
      <c r="I986" s="5">
        <v>3</v>
      </c>
      <c r="J986" s="34">
        <f t="shared" si="7"/>
        <v>45628</v>
      </c>
      <c r="K986" s="5"/>
      <c r="L986" s="5" t="s">
        <v>5</v>
      </c>
      <c r="M986" s="5"/>
      <c r="N986" s="5"/>
    </row>
    <row r="987" spans="1:14" ht="21.75" customHeight="1" x14ac:dyDescent="0.25">
      <c r="A987" s="1">
        <v>657</v>
      </c>
      <c r="B987" s="33">
        <v>45620</v>
      </c>
      <c r="D987" s="4" t="s">
        <v>7</v>
      </c>
      <c r="F987" s="5">
        <v>5</v>
      </c>
      <c r="H987" s="34">
        <f t="shared" si="6"/>
        <v>45625</v>
      </c>
      <c r="I987" s="5">
        <v>3</v>
      </c>
      <c r="J987" s="34">
        <f t="shared" si="7"/>
        <v>45629</v>
      </c>
      <c r="K987" s="5"/>
      <c r="L987" s="5"/>
      <c r="M987" s="5" t="s">
        <v>1</v>
      </c>
      <c r="N987" s="5"/>
    </row>
    <row r="988" spans="1:14" ht="21.75" customHeight="1" x14ac:dyDescent="0.25">
      <c r="A988" s="1">
        <v>2650</v>
      </c>
      <c r="B988" s="33">
        <v>45620</v>
      </c>
      <c r="D988" s="4" t="s">
        <v>10</v>
      </c>
      <c r="F988" s="5">
        <v>5</v>
      </c>
      <c r="H988" s="34">
        <f t="shared" si="6"/>
        <v>45625</v>
      </c>
      <c r="I988" s="5">
        <v>3</v>
      </c>
      <c r="J988" s="34">
        <f t="shared" si="7"/>
        <v>45629</v>
      </c>
      <c r="K988" s="5"/>
      <c r="L988" s="5"/>
      <c r="M988" s="5" t="s">
        <v>1</v>
      </c>
      <c r="N988" s="5"/>
    </row>
    <row r="989" spans="1:14" ht="21.75" customHeight="1" x14ac:dyDescent="0.25">
      <c r="A989" s="1">
        <v>2877</v>
      </c>
      <c r="B989" s="33">
        <v>45620</v>
      </c>
      <c r="D989" s="4" t="s">
        <v>15</v>
      </c>
      <c r="F989" s="5">
        <v>3</v>
      </c>
      <c r="H989" s="34">
        <f t="shared" si="6"/>
        <v>45623</v>
      </c>
      <c r="I989" s="5">
        <v>9</v>
      </c>
      <c r="J989" s="34">
        <f t="shared" si="7"/>
        <v>45633</v>
      </c>
      <c r="K989" s="5"/>
      <c r="L989" s="5"/>
      <c r="M989" s="5" t="s">
        <v>1</v>
      </c>
      <c r="N989" s="5"/>
    </row>
    <row r="990" spans="1:14" ht="21.75" customHeight="1" x14ac:dyDescent="0.25">
      <c r="A990" s="1">
        <v>3478</v>
      </c>
      <c r="B990" s="33">
        <v>45621</v>
      </c>
      <c r="D990" s="4" t="s">
        <v>7</v>
      </c>
      <c r="F990" s="5">
        <v>5</v>
      </c>
      <c r="H990" s="34">
        <f t="shared" si="6"/>
        <v>45626</v>
      </c>
      <c r="I990" s="5">
        <v>3</v>
      </c>
      <c r="J990" s="34">
        <f t="shared" si="7"/>
        <v>45630</v>
      </c>
      <c r="K990" s="5"/>
      <c r="L990" s="5" t="s">
        <v>5</v>
      </c>
      <c r="M990" s="5"/>
      <c r="N990" s="5"/>
    </row>
    <row r="991" spans="1:14" ht="21.75" customHeight="1" x14ac:dyDescent="0.25">
      <c r="A991" s="1">
        <v>3528</v>
      </c>
      <c r="B991" s="33">
        <v>45621</v>
      </c>
      <c r="D991" s="4" t="s">
        <v>2</v>
      </c>
      <c r="F991" s="5">
        <v>5</v>
      </c>
      <c r="H991" s="34">
        <f t="shared" si="6"/>
        <v>45626</v>
      </c>
      <c r="I991" s="5">
        <v>3</v>
      </c>
      <c r="J991" s="34">
        <f t="shared" si="7"/>
        <v>45630</v>
      </c>
      <c r="K991" s="5" t="s">
        <v>3</v>
      </c>
      <c r="L991" s="5" t="s">
        <v>5</v>
      </c>
      <c r="M991" s="5" t="s">
        <v>1</v>
      </c>
      <c r="N991" s="5" t="s">
        <v>4</v>
      </c>
    </row>
    <row r="992" spans="1:14" ht="21.75" customHeight="1" x14ac:dyDescent="0.25">
      <c r="A992" s="1">
        <v>154</v>
      </c>
      <c r="B992" s="33">
        <v>45621</v>
      </c>
      <c r="D992" s="4" t="s">
        <v>7</v>
      </c>
      <c r="F992" s="5">
        <v>5</v>
      </c>
      <c r="H992" s="34">
        <f t="shared" si="6"/>
        <v>45626</v>
      </c>
      <c r="I992" s="5">
        <v>3</v>
      </c>
      <c r="J992" s="34">
        <f t="shared" si="7"/>
        <v>45630</v>
      </c>
      <c r="K992" s="5" t="s">
        <v>3</v>
      </c>
      <c r="L992" s="5" t="s">
        <v>5</v>
      </c>
      <c r="M992" s="5" t="s">
        <v>1</v>
      </c>
      <c r="N992" s="5" t="s">
        <v>4</v>
      </c>
    </row>
    <row r="993" spans="1:14" ht="21.75" customHeight="1" x14ac:dyDescent="0.25">
      <c r="A993" s="1">
        <v>2398</v>
      </c>
      <c r="B993" s="33">
        <v>45621</v>
      </c>
      <c r="D993" s="4" t="s">
        <v>2</v>
      </c>
      <c r="F993" s="5">
        <v>5</v>
      </c>
      <c r="H993" s="34">
        <f t="shared" si="6"/>
        <v>45626</v>
      </c>
      <c r="I993" s="5">
        <v>3</v>
      </c>
      <c r="J993" s="34">
        <f t="shared" si="7"/>
        <v>45630</v>
      </c>
      <c r="K993" s="5" t="s">
        <v>3</v>
      </c>
      <c r="L993" s="5" t="s">
        <v>5</v>
      </c>
      <c r="M993" s="5" t="s">
        <v>1</v>
      </c>
      <c r="N993" s="5" t="s">
        <v>4</v>
      </c>
    </row>
    <row r="994" spans="1:14" ht="21.75" customHeight="1" x14ac:dyDescent="0.25">
      <c r="A994" s="1">
        <v>2379</v>
      </c>
      <c r="B994" s="33">
        <v>45622</v>
      </c>
      <c r="D994" s="4" t="s">
        <v>7</v>
      </c>
      <c r="F994" s="5">
        <v>5</v>
      </c>
      <c r="H994" s="34">
        <f t="shared" si="6"/>
        <v>45627</v>
      </c>
      <c r="I994" s="5">
        <v>3</v>
      </c>
      <c r="J994" s="34">
        <f t="shared" si="7"/>
        <v>45631</v>
      </c>
      <c r="K994" s="5" t="s">
        <v>3</v>
      </c>
      <c r="L994" s="5" t="s">
        <v>5</v>
      </c>
      <c r="M994" s="5"/>
      <c r="N994" s="5" t="s">
        <v>4</v>
      </c>
    </row>
    <row r="995" spans="1:14" ht="21.75" customHeight="1" x14ac:dyDescent="0.25">
      <c r="A995" s="1">
        <v>3096</v>
      </c>
      <c r="B995" s="33">
        <v>45622</v>
      </c>
      <c r="D995" s="4" t="s">
        <v>6</v>
      </c>
      <c r="F995" s="5">
        <v>5</v>
      </c>
      <c r="H995" s="34">
        <f t="shared" si="6"/>
        <v>45627</v>
      </c>
      <c r="I995" s="5">
        <v>5</v>
      </c>
      <c r="J995" s="34">
        <f t="shared" si="7"/>
        <v>45633</v>
      </c>
      <c r="K995" s="5"/>
      <c r="L995" s="5" t="s">
        <v>5</v>
      </c>
      <c r="M995" s="5"/>
      <c r="N995" s="5"/>
    </row>
    <row r="996" spans="1:14" ht="21.75" customHeight="1" x14ac:dyDescent="0.25">
      <c r="A996" s="1">
        <v>2612</v>
      </c>
      <c r="B996" s="33">
        <v>45622</v>
      </c>
      <c r="D996" s="4" t="s">
        <v>6</v>
      </c>
      <c r="F996" s="5">
        <v>5</v>
      </c>
      <c r="H996" s="34">
        <f t="shared" si="6"/>
        <v>45627</v>
      </c>
      <c r="I996" s="5">
        <v>5</v>
      </c>
      <c r="J996" s="34">
        <f t="shared" si="7"/>
        <v>45633</v>
      </c>
      <c r="K996" s="5" t="s">
        <v>3</v>
      </c>
      <c r="L996" s="5" t="s">
        <v>5</v>
      </c>
      <c r="M996" s="5"/>
      <c r="N996" s="5"/>
    </row>
    <row r="997" spans="1:14" ht="21.75" customHeight="1" x14ac:dyDescent="0.25">
      <c r="A997" s="1">
        <v>3148</v>
      </c>
      <c r="B997" s="33">
        <v>45622</v>
      </c>
      <c r="D997" s="4" t="s">
        <v>6</v>
      </c>
      <c r="F997" s="5">
        <v>5</v>
      </c>
      <c r="H997" s="34">
        <f t="shared" si="6"/>
        <v>45627</v>
      </c>
      <c r="I997" s="5">
        <v>5</v>
      </c>
      <c r="J997" s="34">
        <f t="shared" si="7"/>
        <v>45633</v>
      </c>
      <c r="K997" s="5" t="s">
        <v>3</v>
      </c>
      <c r="L997" s="5"/>
      <c r="M997" s="5" t="s">
        <v>1</v>
      </c>
      <c r="N997" s="5"/>
    </row>
    <row r="998" spans="1:14" ht="21.75" customHeight="1" x14ac:dyDescent="0.25">
      <c r="A998" s="1">
        <v>2191</v>
      </c>
      <c r="B998" s="33">
        <v>45622</v>
      </c>
      <c r="D998" s="4" t="s">
        <v>6</v>
      </c>
      <c r="F998" s="5">
        <v>5</v>
      </c>
      <c r="H998" s="34">
        <f t="shared" si="6"/>
        <v>45627</v>
      </c>
      <c r="I998" s="5">
        <v>5</v>
      </c>
      <c r="J998" s="34">
        <f t="shared" si="7"/>
        <v>45633</v>
      </c>
      <c r="K998" s="5" t="s">
        <v>3</v>
      </c>
      <c r="L998" s="5"/>
      <c r="M998" s="5" t="s">
        <v>1</v>
      </c>
      <c r="N998" s="5"/>
    </row>
    <row r="999" spans="1:14" ht="21.75" customHeight="1" x14ac:dyDescent="0.25">
      <c r="A999" s="1">
        <v>3629</v>
      </c>
      <c r="B999" s="33">
        <v>45622</v>
      </c>
      <c r="D999" s="4" t="s">
        <v>15</v>
      </c>
      <c r="F999" s="5">
        <v>5</v>
      </c>
      <c r="H999" s="34">
        <f t="shared" si="6"/>
        <v>45627</v>
      </c>
      <c r="I999" s="5">
        <v>9</v>
      </c>
      <c r="J999" s="34">
        <f t="shared" si="7"/>
        <v>45637</v>
      </c>
      <c r="K999" s="5"/>
      <c r="L999" s="5"/>
      <c r="M999" s="5" t="s">
        <v>1</v>
      </c>
      <c r="N999" s="5"/>
    </row>
    <row r="1000" spans="1:14" ht="21.75" customHeight="1" x14ac:dyDescent="0.25">
      <c r="A1000" s="1">
        <v>3289</v>
      </c>
      <c r="B1000" s="33">
        <v>45622</v>
      </c>
      <c r="D1000" s="4" t="s">
        <v>15</v>
      </c>
      <c r="F1000" s="5">
        <v>5</v>
      </c>
      <c r="H1000" s="34">
        <f t="shared" si="6"/>
        <v>45627</v>
      </c>
      <c r="I1000" s="5">
        <v>5</v>
      </c>
      <c r="J1000" s="34">
        <f t="shared" si="7"/>
        <v>45633</v>
      </c>
      <c r="K1000" s="5" t="s">
        <v>3</v>
      </c>
      <c r="L1000" s="5" t="s">
        <v>5</v>
      </c>
      <c r="M1000" s="5"/>
      <c r="N1000" s="5"/>
    </row>
    <row r="1001" spans="1:14" ht="21.75" customHeight="1" x14ac:dyDescent="0.25">
      <c r="A1001" s="1">
        <v>3235</v>
      </c>
      <c r="B1001" s="33">
        <v>45622</v>
      </c>
      <c r="D1001" s="4" t="s">
        <v>15</v>
      </c>
      <c r="F1001" s="5">
        <v>5</v>
      </c>
      <c r="H1001" s="34">
        <f t="shared" si="6"/>
        <v>45627</v>
      </c>
      <c r="I1001" s="5">
        <v>5</v>
      </c>
      <c r="J1001" s="34">
        <f t="shared" si="7"/>
        <v>45633</v>
      </c>
      <c r="K1001" s="5"/>
      <c r="L1001" s="5"/>
      <c r="M1001" s="5"/>
      <c r="N1001" s="5" t="s">
        <v>4</v>
      </c>
    </row>
    <row r="1002" spans="1:14" ht="21.75" customHeight="1" x14ac:dyDescent="0.25">
      <c r="A1002" s="1">
        <v>4202</v>
      </c>
      <c r="B1002" s="33">
        <v>45622</v>
      </c>
      <c r="D1002" s="4" t="s">
        <v>15</v>
      </c>
      <c r="F1002" s="5">
        <v>5</v>
      </c>
      <c r="H1002" s="34">
        <f t="shared" si="6"/>
        <v>45627</v>
      </c>
      <c r="I1002" s="5">
        <v>5</v>
      </c>
      <c r="J1002" s="34">
        <f t="shared" si="7"/>
        <v>45633</v>
      </c>
      <c r="K1002" s="5" t="s">
        <v>3</v>
      </c>
      <c r="L1002" s="5"/>
      <c r="M1002" s="5"/>
      <c r="N1002" s="5"/>
    </row>
    <row r="1003" spans="1:14" ht="21.75" customHeight="1" x14ac:dyDescent="0.25">
      <c r="A1003" s="1">
        <v>4542</v>
      </c>
      <c r="B1003" s="33">
        <v>45624</v>
      </c>
      <c r="D1003" s="4" t="s">
        <v>13</v>
      </c>
      <c r="F1003" s="5">
        <v>5</v>
      </c>
      <c r="H1003" s="34">
        <f t="shared" si="6"/>
        <v>45629</v>
      </c>
      <c r="I1003" s="5">
        <v>5</v>
      </c>
      <c r="J1003" s="34">
        <f t="shared" si="7"/>
        <v>45635</v>
      </c>
      <c r="K1003" s="5"/>
      <c r="L1003" s="5"/>
      <c r="M1003" s="5" t="s">
        <v>1</v>
      </c>
      <c r="N1003" s="5"/>
    </row>
    <row r="1004" spans="1:14" ht="21.75" customHeight="1" x14ac:dyDescent="0.25">
      <c r="A1004" s="1">
        <v>3378</v>
      </c>
      <c r="B1004" s="33">
        <v>45623</v>
      </c>
      <c r="D1004" s="4" t="s">
        <v>7</v>
      </c>
      <c r="F1004" s="5">
        <v>5</v>
      </c>
      <c r="H1004" s="34">
        <f t="shared" si="6"/>
        <v>45628</v>
      </c>
      <c r="I1004" s="5">
        <v>3</v>
      </c>
      <c r="J1004" s="34">
        <f t="shared" si="7"/>
        <v>45632</v>
      </c>
      <c r="K1004" s="5"/>
      <c r="L1004" s="5" t="s">
        <v>5</v>
      </c>
      <c r="M1004" s="5"/>
      <c r="N1004" s="5"/>
    </row>
    <row r="1005" spans="1:14" ht="21.75" customHeight="1" x14ac:dyDescent="0.25">
      <c r="A1005" s="1">
        <v>2102</v>
      </c>
      <c r="B1005" s="33">
        <v>45624</v>
      </c>
      <c r="D1005" s="4" t="s">
        <v>13</v>
      </c>
      <c r="F1005" s="5">
        <v>5</v>
      </c>
      <c r="H1005" s="34">
        <f t="shared" si="6"/>
        <v>45629</v>
      </c>
      <c r="I1005" s="5">
        <v>5</v>
      </c>
      <c r="J1005" s="34">
        <f t="shared" si="7"/>
        <v>45635</v>
      </c>
      <c r="K1005" s="5" t="s">
        <v>3</v>
      </c>
      <c r="L1005" s="5"/>
      <c r="M1005" s="5" t="s">
        <v>1</v>
      </c>
      <c r="N1005" s="5"/>
    </row>
    <row r="1006" spans="1:14" ht="21.75" customHeight="1" x14ac:dyDescent="0.25">
      <c r="A1006" s="1">
        <v>2877</v>
      </c>
      <c r="B1006" s="33">
        <v>45624</v>
      </c>
      <c r="D1006" s="4" t="s">
        <v>6</v>
      </c>
      <c r="F1006" s="5">
        <v>5</v>
      </c>
      <c r="H1006" s="34">
        <f t="shared" ref="H1006:H1069" si="8">B1006+F1006</f>
        <v>45629</v>
      </c>
      <c r="I1006" s="5">
        <v>5</v>
      </c>
      <c r="J1006" s="34">
        <f t="shared" si="7"/>
        <v>45635</v>
      </c>
      <c r="K1006" s="5" t="s">
        <v>3</v>
      </c>
      <c r="L1006" s="5" t="s">
        <v>5</v>
      </c>
      <c r="M1006" s="5" t="s">
        <v>1</v>
      </c>
      <c r="N1006" s="5" t="s">
        <v>4</v>
      </c>
    </row>
    <row r="1007" spans="1:14" ht="21.75" customHeight="1" x14ac:dyDescent="0.25">
      <c r="A1007" s="1">
        <v>2118</v>
      </c>
      <c r="B1007" s="33">
        <v>45624</v>
      </c>
      <c r="D1007" s="4" t="s">
        <v>6</v>
      </c>
      <c r="F1007" s="5">
        <v>5</v>
      </c>
      <c r="H1007" s="34">
        <f t="shared" si="8"/>
        <v>45629</v>
      </c>
      <c r="I1007" s="5">
        <v>5</v>
      </c>
      <c r="J1007" s="34">
        <f t="shared" si="7"/>
        <v>45635</v>
      </c>
      <c r="K1007" s="5"/>
      <c r="L1007" s="5"/>
      <c r="M1007" s="5"/>
      <c r="N1007" s="5" t="s">
        <v>4</v>
      </c>
    </row>
    <row r="1008" spans="1:14" ht="21.75" customHeight="1" x14ac:dyDescent="0.25">
      <c r="A1008" s="1">
        <v>2814</v>
      </c>
      <c r="B1008" s="33">
        <v>45624</v>
      </c>
      <c r="D1008" s="4" t="s">
        <v>7</v>
      </c>
      <c r="F1008" s="5">
        <v>5</v>
      </c>
      <c r="H1008" s="34">
        <f t="shared" si="8"/>
        <v>45629</v>
      </c>
      <c r="I1008" s="5">
        <v>3</v>
      </c>
      <c r="J1008" s="34">
        <f t="shared" si="7"/>
        <v>45633</v>
      </c>
      <c r="K1008" s="5"/>
      <c r="L1008" s="5" t="s">
        <v>5</v>
      </c>
      <c r="M1008" s="5"/>
      <c r="N1008" s="5"/>
    </row>
    <row r="1009" spans="1:14" ht="21.75" customHeight="1" x14ac:dyDescent="0.25">
      <c r="A1009" s="1">
        <v>657</v>
      </c>
      <c r="B1009" s="33">
        <v>45625</v>
      </c>
      <c r="D1009" s="4" t="s">
        <v>13</v>
      </c>
      <c r="F1009" s="5">
        <v>5</v>
      </c>
      <c r="H1009" s="34">
        <f t="shared" si="8"/>
        <v>45630</v>
      </c>
      <c r="I1009" s="5">
        <v>5</v>
      </c>
      <c r="J1009" s="34">
        <f t="shared" si="7"/>
        <v>45636</v>
      </c>
      <c r="K1009" s="5"/>
      <c r="L1009" s="5"/>
      <c r="M1009" s="5" t="s">
        <v>1</v>
      </c>
      <c r="N1009" s="5"/>
    </row>
    <row r="1010" spans="1:14" ht="21.75" customHeight="1" x14ac:dyDescent="0.25">
      <c r="A1010" s="1">
        <v>2650</v>
      </c>
      <c r="B1010" s="33">
        <v>45626</v>
      </c>
      <c r="D1010" s="4" t="s">
        <v>15</v>
      </c>
      <c r="F1010" s="5">
        <v>5</v>
      </c>
      <c r="H1010" s="34">
        <f t="shared" si="8"/>
        <v>45631</v>
      </c>
      <c r="I1010" s="5">
        <v>9</v>
      </c>
      <c r="J1010" s="34">
        <f t="shared" si="7"/>
        <v>45641</v>
      </c>
      <c r="K1010" s="5" t="s">
        <v>3</v>
      </c>
      <c r="L1010" s="5"/>
      <c r="M1010" s="5" t="s">
        <v>1</v>
      </c>
      <c r="N1010" s="5"/>
    </row>
    <row r="1011" spans="1:14" ht="21.75" customHeight="1" x14ac:dyDescent="0.25">
      <c r="A1011" s="1">
        <v>3096</v>
      </c>
      <c r="B1011" s="33">
        <v>45626</v>
      </c>
      <c r="D1011" s="4" t="s">
        <v>15</v>
      </c>
      <c r="F1011" s="5">
        <v>5</v>
      </c>
      <c r="H1011" s="34">
        <f t="shared" si="8"/>
        <v>45631</v>
      </c>
      <c r="I1011" s="5">
        <v>9</v>
      </c>
      <c r="J1011" s="34">
        <f t="shared" si="7"/>
        <v>45641</v>
      </c>
      <c r="K1011" s="5"/>
      <c r="L1011" s="5" t="s">
        <v>5</v>
      </c>
      <c r="M1011" s="5"/>
      <c r="N1011" s="5"/>
    </row>
    <row r="1012" spans="1:14" ht="21.75" customHeight="1" x14ac:dyDescent="0.25">
      <c r="A1012" s="1">
        <v>2979</v>
      </c>
      <c r="B1012" s="33">
        <v>45626</v>
      </c>
      <c r="D1012" s="4" t="s">
        <v>6</v>
      </c>
      <c r="F1012" s="5">
        <v>5</v>
      </c>
      <c r="H1012" s="34">
        <f t="shared" si="8"/>
        <v>45631</v>
      </c>
      <c r="I1012" s="5">
        <v>5</v>
      </c>
      <c r="J1012" s="34">
        <f t="shared" ref="J1012:J1075" si="9">H1012+I1012+1</f>
        <v>45637</v>
      </c>
      <c r="K1012" s="5"/>
      <c r="L1012" s="5"/>
      <c r="M1012" s="5"/>
      <c r="N1012" s="5" t="s">
        <v>4</v>
      </c>
    </row>
    <row r="1013" spans="1:14" ht="21.75" customHeight="1" x14ac:dyDescent="0.25">
      <c r="A1013" s="1">
        <v>1746</v>
      </c>
      <c r="B1013" s="33">
        <v>45626</v>
      </c>
      <c r="D1013" s="4" t="s">
        <v>7</v>
      </c>
      <c r="F1013" s="5">
        <v>5</v>
      </c>
      <c r="H1013" s="34">
        <f t="shared" si="8"/>
        <v>45631</v>
      </c>
      <c r="I1013" s="5">
        <v>3</v>
      </c>
      <c r="J1013" s="34">
        <f t="shared" si="9"/>
        <v>45635</v>
      </c>
      <c r="K1013" s="5" t="s">
        <v>3</v>
      </c>
      <c r="L1013" s="5"/>
      <c r="M1013" s="5" t="s">
        <v>1</v>
      </c>
      <c r="N1013" s="5"/>
    </row>
    <row r="1014" spans="1:14" ht="21.75" customHeight="1" x14ac:dyDescent="0.25">
      <c r="A1014" s="1">
        <v>4134</v>
      </c>
      <c r="B1014" s="33">
        <v>45626</v>
      </c>
      <c r="D1014" s="4" t="s">
        <v>7</v>
      </c>
      <c r="F1014" s="5">
        <v>5</v>
      </c>
      <c r="H1014" s="34">
        <f t="shared" si="8"/>
        <v>45631</v>
      </c>
      <c r="I1014" s="5">
        <v>3</v>
      </c>
      <c r="J1014" s="34">
        <f t="shared" si="9"/>
        <v>45635</v>
      </c>
      <c r="K1014" s="5"/>
      <c r="L1014" s="5" t="s">
        <v>5</v>
      </c>
      <c r="M1014" s="5"/>
      <c r="N1014" s="5" t="s">
        <v>4</v>
      </c>
    </row>
    <row r="1015" spans="1:14" ht="21.75" customHeight="1" x14ac:dyDescent="0.25">
      <c r="A1015" s="1">
        <v>2787</v>
      </c>
      <c r="B1015" s="33">
        <v>45626</v>
      </c>
      <c r="D1015" s="4" t="s">
        <v>7</v>
      </c>
      <c r="F1015" s="5">
        <v>5</v>
      </c>
      <c r="H1015" s="34">
        <f t="shared" si="8"/>
        <v>45631</v>
      </c>
      <c r="I1015" s="5">
        <v>3</v>
      </c>
      <c r="J1015" s="34">
        <f t="shared" si="9"/>
        <v>45635</v>
      </c>
      <c r="K1015" s="5"/>
      <c r="L1015" s="5"/>
      <c r="M1015" s="5"/>
      <c r="N1015" s="5" t="s">
        <v>4</v>
      </c>
    </row>
    <row r="1016" spans="1:14" ht="21.75" customHeight="1" x14ac:dyDescent="0.25">
      <c r="A1016" s="1">
        <v>2877</v>
      </c>
      <c r="B1016" s="33">
        <v>45627</v>
      </c>
      <c r="D1016" s="4" t="s">
        <v>15</v>
      </c>
      <c r="F1016" s="5">
        <v>5</v>
      </c>
      <c r="H1016" s="34">
        <f t="shared" si="8"/>
        <v>45632</v>
      </c>
      <c r="I1016" s="5">
        <v>9</v>
      </c>
      <c r="J1016" s="34">
        <f t="shared" si="9"/>
        <v>45642</v>
      </c>
      <c r="K1016" s="5"/>
      <c r="L1016" s="5" t="s">
        <v>5</v>
      </c>
      <c r="M1016" s="5" t="s">
        <v>1</v>
      </c>
      <c r="N1016" s="5"/>
    </row>
    <row r="1017" spans="1:14" ht="21.75" customHeight="1" x14ac:dyDescent="0.25">
      <c r="A1017" s="1">
        <v>2164</v>
      </c>
      <c r="B1017" s="33">
        <v>45629</v>
      </c>
      <c r="D1017" s="4" t="s">
        <v>7</v>
      </c>
      <c r="F1017" s="5">
        <v>5</v>
      </c>
      <c r="H1017" s="34">
        <f t="shared" si="8"/>
        <v>45634</v>
      </c>
      <c r="I1017" s="5">
        <v>3</v>
      </c>
      <c r="J1017" s="34">
        <f t="shared" si="9"/>
        <v>45638</v>
      </c>
      <c r="K1017" s="5"/>
      <c r="L1017" s="5"/>
      <c r="M1017" s="5" t="s">
        <v>1</v>
      </c>
      <c r="N1017" s="5"/>
    </row>
    <row r="1018" spans="1:14" ht="21.75" customHeight="1" x14ac:dyDescent="0.25">
      <c r="A1018" s="1">
        <v>2595</v>
      </c>
      <c r="B1018" s="33">
        <v>45629</v>
      </c>
      <c r="D1018" s="4" t="s">
        <v>7</v>
      </c>
      <c r="F1018" s="5">
        <v>5</v>
      </c>
      <c r="H1018" s="34">
        <f t="shared" si="8"/>
        <v>45634</v>
      </c>
      <c r="I1018" s="5">
        <v>3</v>
      </c>
      <c r="J1018" s="34">
        <f t="shared" si="9"/>
        <v>45638</v>
      </c>
      <c r="K1018" s="5" t="s">
        <v>3</v>
      </c>
      <c r="L1018" s="5"/>
      <c r="M1018" s="5"/>
      <c r="N1018" s="5"/>
    </row>
    <row r="1019" spans="1:14" ht="21.75" customHeight="1" x14ac:dyDescent="0.25">
      <c r="A1019" s="1">
        <v>2969</v>
      </c>
      <c r="B1019" s="33">
        <v>45629</v>
      </c>
      <c r="D1019" s="4" t="s">
        <v>7</v>
      </c>
      <c r="F1019" s="5">
        <v>5</v>
      </c>
      <c r="H1019" s="34">
        <f t="shared" si="8"/>
        <v>45634</v>
      </c>
      <c r="I1019" s="5">
        <v>3</v>
      </c>
      <c r="J1019" s="34">
        <f t="shared" si="9"/>
        <v>45638</v>
      </c>
      <c r="K1019" s="5"/>
      <c r="L1019" s="5" t="s">
        <v>5</v>
      </c>
      <c r="M1019" s="5"/>
      <c r="N1019" s="5"/>
    </row>
    <row r="1020" spans="1:14" ht="21.75" customHeight="1" x14ac:dyDescent="0.25">
      <c r="A1020" s="1">
        <v>2449</v>
      </c>
      <c r="B1020" s="33">
        <v>45629</v>
      </c>
      <c r="D1020" s="4" t="s">
        <v>7</v>
      </c>
      <c r="F1020" s="5">
        <v>5</v>
      </c>
      <c r="H1020" s="34">
        <f t="shared" si="8"/>
        <v>45634</v>
      </c>
      <c r="I1020" s="5">
        <v>3</v>
      </c>
      <c r="J1020" s="34">
        <f t="shared" si="9"/>
        <v>45638</v>
      </c>
      <c r="K1020" s="5" t="s">
        <v>3</v>
      </c>
      <c r="L1020" s="5"/>
      <c r="M1020" s="5"/>
      <c r="N1020" s="5"/>
    </row>
    <row r="1021" spans="1:14" ht="21.75" customHeight="1" x14ac:dyDescent="0.25">
      <c r="A1021" s="1">
        <v>3456</v>
      </c>
      <c r="B1021" s="33">
        <v>45629</v>
      </c>
      <c r="D1021" s="4" t="s">
        <v>6</v>
      </c>
      <c r="F1021" s="5">
        <v>5</v>
      </c>
      <c r="H1021" s="34">
        <f t="shared" si="8"/>
        <v>45634</v>
      </c>
      <c r="I1021" s="5">
        <v>5</v>
      </c>
      <c r="J1021" s="34">
        <f t="shared" si="9"/>
        <v>45640</v>
      </c>
      <c r="K1021" s="5"/>
      <c r="L1021" s="5" t="s">
        <v>5</v>
      </c>
      <c r="M1021" s="5"/>
      <c r="N1021" s="5"/>
    </row>
    <row r="1022" spans="1:14" ht="21.75" customHeight="1" x14ac:dyDescent="0.25">
      <c r="A1022" s="1">
        <v>3194</v>
      </c>
      <c r="B1022" s="33">
        <v>45630</v>
      </c>
      <c r="D1022" s="4" t="s">
        <v>7</v>
      </c>
      <c r="F1022" s="5">
        <v>5</v>
      </c>
      <c r="H1022" s="34">
        <f t="shared" si="8"/>
        <v>45635</v>
      </c>
      <c r="I1022" s="5">
        <v>3</v>
      </c>
      <c r="J1022" s="34">
        <f t="shared" si="9"/>
        <v>45639</v>
      </c>
      <c r="K1022" s="5" t="s">
        <v>3</v>
      </c>
      <c r="L1022" s="5"/>
      <c r="M1022" s="5" t="s">
        <v>1</v>
      </c>
      <c r="N1022" s="5"/>
    </row>
    <row r="1023" spans="1:14" ht="21.75" customHeight="1" x14ac:dyDescent="0.25">
      <c r="A1023" s="1">
        <v>3135</v>
      </c>
      <c r="B1023" s="33">
        <v>45630</v>
      </c>
      <c r="D1023" s="4" t="s">
        <v>7</v>
      </c>
      <c r="F1023" s="5">
        <v>5</v>
      </c>
      <c r="H1023" s="34">
        <f t="shared" si="8"/>
        <v>45635</v>
      </c>
      <c r="I1023" s="5">
        <v>3</v>
      </c>
      <c r="J1023" s="34">
        <f t="shared" si="9"/>
        <v>45639</v>
      </c>
      <c r="K1023" s="5" t="s">
        <v>3</v>
      </c>
      <c r="L1023" s="5"/>
      <c r="M1023" s="5"/>
      <c r="N1023" s="5"/>
    </row>
    <row r="1024" spans="1:14" ht="21.75" customHeight="1" x14ac:dyDescent="0.25">
      <c r="A1024" s="1">
        <v>2791</v>
      </c>
      <c r="B1024" s="33">
        <v>45631</v>
      </c>
      <c r="D1024" s="4" t="s">
        <v>6</v>
      </c>
      <c r="F1024" s="5">
        <v>5</v>
      </c>
      <c r="H1024" s="34">
        <f t="shared" si="8"/>
        <v>45636</v>
      </c>
      <c r="I1024" s="5">
        <v>5</v>
      </c>
      <c r="J1024" s="34">
        <f t="shared" si="9"/>
        <v>45642</v>
      </c>
      <c r="K1024" s="5" t="s">
        <v>3</v>
      </c>
      <c r="L1024" s="5"/>
      <c r="M1024" s="5"/>
      <c r="N1024" s="5"/>
    </row>
    <row r="1025" spans="1:14" ht="21.75" customHeight="1" x14ac:dyDescent="0.25">
      <c r="A1025" s="1">
        <v>4134</v>
      </c>
      <c r="B1025" s="33">
        <v>45631</v>
      </c>
      <c r="D1025" s="4" t="s">
        <v>19</v>
      </c>
      <c r="F1025" s="5">
        <v>3</v>
      </c>
      <c r="H1025" s="34">
        <f t="shared" si="8"/>
        <v>45634</v>
      </c>
      <c r="I1025" s="5">
        <v>9</v>
      </c>
      <c r="J1025" s="34">
        <f t="shared" si="9"/>
        <v>45644</v>
      </c>
      <c r="K1025" s="5"/>
      <c r="L1025" s="5"/>
      <c r="M1025" s="5"/>
      <c r="N1025" s="5" t="s">
        <v>4</v>
      </c>
    </row>
    <row r="1026" spans="1:14" ht="21.75" customHeight="1" x14ac:dyDescent="0.25">
      <c r="A1026" s="1">
        <v>4320</v>
      </c>
      <c r="B1026" s="33">
        <v>45632</v>
      </c>
      <c r="D1026" s="4" t="s">
        <v>7</v>
      </c>
      <c r="F1026" s="5">
        <v>5</v>
      </c>
      <c r="H1026" s="34">
        <f t="shared" si="8"/>
        <v>45637</v>
      </c>
      <c r="I1026" s="5">
        <v>3</v>
      </c>
      <c r="J1026" s="34">
        <f t="shared" si="9"/>
        <v>45641</v>
      </c>
      <c r="K1026" s="5"/>
      <c r="L1026" s="5" t="s">
        <v>5</v>
      </c>
      <c r="M1026" s="5"/>
      <c r="N1026" s="5"/>
    </row>
    <row r="1027" spans="1:14" ht="21.75" customHeight="1" x14ac:dyDescent="0.25">
      <c r="A1027" s="1">
        <v>2927</v>
      </c>
      <c r="B1027" s="33">
        <v>45633</v>
      </c>
      <c r="D1027" s="4" t="s">
        <v>7</v>
      </c>
      <c r="F1027" s="5">
        <v>5</v>
      </c>
      <c r="H1027" s="34">
        <f t="shared" si="8"/>
        <v>45638</v>
      </c>
      <c r="I1027" s="5">
        <v>3</v>
      </c>
      <c r="J1027" s="34">
        <f t="shared" si="9"/>
        <v>45642</v>
      </c>
      <c r="K1027" s="5"/>
      <c r="L1027" s="5" t="s">
        <v>5</v>
      </c>
      <c r="M1027" s="5"/>
      <c r="N1027" s="5"/>
    </row>
    <row r="1028" spans="1:14" ht="21.75" customHeight="1" x14ac:dyDescent="0.25">
      <c r="A1028" s="1">
        <v>3423</v>
      </c>
      <c r="B1028" s="33">
        <v>45633</v>
      </c>
      <c r="D1028" s="4" t="s">
        <v>7</v>
      </c>
      <c r="F1028" s="5">
        <v>5</v>
      </c>
      <c r="H1028" s="34">
        <f t="shared" si="8"/>
        <v>45638</v>
      </c>
      <c r="I1028" s="5">
        <v>3</v>
      </c>
      <c r="J1028" s="34">
        <f t="shared" si="9"/>
        <v>45642</v>
      </c>
      <c r="K1028" s="5"/>
      <c r="L1028" s="5"/>
      <c r="M1028" s="5"/>
      <c r="N1028" s="5" t="s">
        <v>4</v>
      </c>
    </row>
    <row r="1029" spans="1:14" ht="21.75" customHeight="1" x14ac:dyDescent="0.25">
      <c r="A1029" s="1">
        <v>3321</v>
      </c>
      <c r="B1029" s="33">
        <v>45634</v>
      </c>
      <c r="D1029" s="4" t="s">
        <v>7</v>
      </c>
      <c r="F1029" s="5">
        <v>5</v>
      </c>
      <c r="H1029" s="34">
        <f t="shared" si="8"/>
        <v>45639</v>
      </c>
      <c r="I1029" s="5">
        <v>3</v>
      </c>
      <c r="J1029" s="34">
        <f t="shared" si="9"/>
        <v>45643</v>
      </c>
      <c r="K1029" s="5"/>
      <c r="L1029" s="5"/>
      <c r="M1029" s="5"/>
      <c r="N1029" s="5" t="s">
        <v>4</v>
      </c>
    </row>
    <row r="1030" spans="1:14" ht="21.75" customHeight="1" x14ac:dyDescent="0.25">
      <c r="A1030" s="1">
        <v>3199</v>
      </c>
      <c r="B1030" s="33">
        <v>45634</v>
      </c>
      <c r="D1030" s="4" t="s">
        <v>7</v>
      </c>
      <c r="F1030" s="5">
        <v>5</v>
      </c>
      <c r="H1030" s="34">
        <f t="shared" si="8"/>
        <v>45639</v>
      </c>
      <c r="I1030" s="5">
        <v>3</v>
      </c>
      <c r="J1030" s="34">
        <f t="shared" si="9"/>
        <v>45643</v>
      </c>
      <c r="K1030" s="5"/>
      <c r="L1030" s="5"/>
      <c r="M1030" s="5" t="s">
        <v>1</v>
      </c>
      <c r="N1030" s="5"/>
    </row>
    <row r="1031" spans="1:14" ht="21.75" customHeight="1" x14ac:dyDescent="0.25">
      <c r="A1031" s="1">
        <v>3985</v>
      </c>
      <c r="B1031" s="33">
        <v>45634</v>
      </c>
      <c r="D1031" s="4" t="s">
        <v>7</v>
      </c>
      <c r="F1031" s="5">
        <v>5</v>
      </c>
      <c r="H1031" s="34">
        <f t="shared" si="8"/>
        <v>45639</v>
      </c>
      <c r="I1031" s="5">
        <v>3</v>
      </c>
      <c r="J1031" s="34">
        <f t="shared" si="9"/>
        <v>45643</v>
      </c>
      <c r="K1031" s="5"/>
      <c r="L1031" s="5" t="s">
        <v>5</v>
      </c>
      <c r="M1031" s="5"/>
      <c r="N1031" s="5"/>
    </row>
    <row r="1032" spans="1:14" ht="21.75" customHeight="1" x14ac:dyDescent="0.25">
      <c r="A1032" s="1">
        <v>4189</v>
      </c>
      <c r="B1032" s="33">
        <v>45635</v>
      </c>
      <c r="D1032" s="4" t="s">
        <v>7</v>
      </c>
      <c r="F1032" s="5">
        <v>5</v>
      </c>
      <c r="H1032" s="34">
        <f t="shared" si="8"/>
        <v>45640</v>
      </c>
      <c r="I1032" s="5">
        <v>3</v>
      </c>
      <c r="J1032" s="34">
        <f t="shared" si="9"/>
        <v>45644</v>
      </c>
      <c r="K1032" s="5"/>
      <c r="L1032" s="5"/>
      <c r="M1032" s="5" t="s">
        <v>1</v>
      </c>
      <c r="N1032" s="5"/>
    </row>
    <row r="1033" spans="1:14" ht="21.75" customHeight="1" x14ac:dyDescent="0.25">
      <c r="A1033" s="1">
        <v>3119</v>
      </c>
      <c r="B1033" s="33">
        <v>45635</v>
      </c>
      <c r="D1033" s="4" t="s">
        <v>7</v>
      </c>
      <c r="F1033" s="5">
        <v>5</v>
      </c>
      <c r="H1033" s="34">
        <f t="shared" si="8"/>
        <v>45640</v>
      </c>
      <c r="I1033" s="5">
        <v>3</v>
      </c>
      <c r="J1033" s="34">
        <f t="shared" si="9"/>
        <v>45644</v>
      </c>
      <c r="K1033" s="5"/>
      <c r="L1033" s="5"/>
      <c r="M1033" s="5"/>
      <c r="N1033" s="5" t="s">
        <v>4</v>
      </c>
    </row>
    <row r="1034" spans="1:14" ht="21.75" customHeight="1" x14ac:dyDescent="0.25">
      <c r="A1034" s="1">
        <v>4478</v>
      </c>
      <c r="B1034" s="33">
        <v>45635</v>
      </c>
      <c r="D1034" s="4" t="s">
        <v>7</v>
      </c>
      <c r="F1034" s="5">
        <v>5</v>
      </c>
      <c r="H1034" s="34">
        <f t="shared" si="8"/>
        <v>45640</v>
      </c>
      <c r="I1034" s="5">
        <v>3</v>
      </c>
      <c r="J1034" s="34">
        <f t="shared" si="9"/>
        <v>45644</v>
      </c>
      <c r="K1034" s="5"/>
      <c r="L1034" s="5"/>
      <c r="M1034" s="5"/>
      <c r="N1034" s="5" t="s">
        <v>4</v>
      </c>
    </row>
    <row r="1035" spans="1:14" ht="21.75" customHeight="1" x14ac:dyDescent="0.25">
      <c r="A1035" s="1">
        <v>4067</v>
      </c>
      <c r="B1035" s="33">
        <v>45635</v>
      </c>
      <c r="D1035" s="4" t="s">
        <v>7</v>
      </c>
      <c r="F1035" s="5">
        <v>5</v>
      </c>
      <c r="H1035" s="34">
        <f t="shared" si="8"/>
        <v>45640</v>
      </c>
      <c r="I1035" s="5">
        <v>3</v>
      </c>
      <c r="J1035" s="34">
        <f t="shared" si="9"/>
        <v>45644</v>
      </c>
      <c r="K1035" s="5"/>
      <c r="L1035" s="5"/>
      <c r="M1035" s="5" t="s">
        <v>1</v>
      </c>
      <c r="N1035" s="5"/>
    </row>
    <row r="1036" spans="1:14" ht="21.75" customHeight="1" x14ac:dyDescent="0.25">
      <c r="A1036" s="1">
        <v>1746</v>
      </c>
      <c r="B1036" s="33">
        <v>45635</v>
      </c>
      <c r="D1036" s="4" t="s">
        <v>15</v>
      </c>
      <c r="F1036" s="5">
        <v>5</v>
      </c>
      <c r="H1036" s="34">
        <f t="shared" si="8"/>
        <v>45640</v>
      </c>
      <c r="I1036" s="5">
        <v>9</v>
      </c>
      <c r="J1036" s="34">
        <f t="shared" si="9"/>
        <v>45650</v>
      </c>
      <c r="K1036" s="5"/>
      <c r="L1036" s="5"/>
      <c r="M1036" s="5" t="s">
        <v>1</v>
      </c>
      <c r="N1036" s="5"/>
    </row>
    <row r="1037" spans="1:14" ht="21.75" customHeight="1" x14ac:dyDescent="0.25">
      <c r="A1037" s="1">
        <v>2595</v>
      </c>
      <c r="B1037" s="33">
        <v>45636</v>
      </c>
      <c r="D1037" s="4" t="s">
        <v>9</v>
      </c>
      <c r="F1037" s="5">
        <v>5</v>
      </c>
      <c r="H1037" s="34">
        <f t="shared" si="8"/>
        <v>45641</v>
      </c>
      <c r="I1037" s="5">
        <v>2</v>
      </c>
      <c r="J1037" s="34">
        <f t="shared" si="9"/>
        <v>45644</v>
      </c>
      <c r="K1037" s="5" t="s">
        <v>3</v>
      </c>
      <c r="L1037" s="5" t="s">
        <v>5</v>
      </c>
      <c r="M1037" s="5"/>
      <c r="N1037" s="5"/>
    </row>
    <row r="1038" spans="1:14" ht="21.75" customHeight="1" x14ac:dyDescent="0.25">
      <c r="A1038" s="1">
        <v>3194</v>
      </c>
      <c r="B1038" s="33">
        <v>45636</v>
      </c>
      <c r="D1038" s="4" t="s">
        <v>15</v>
      </c>
      <c r="F1038" s="5">
        <v>5</v>
      </c>
      <c r="H1038" s="34">
        <f t="shared" si="8"/>
        <v>45641</v>
      </c>
      <c r="I1038" s="5">
        <v>9</v>
      </c>
      <c r="J1038" s="34">
        <f t="shared" si="9"/>
        <v>45651</v>
      </c>
      <c r="K1038" s="5" t="s">
        <v>3</v>
      </c>
      <c r="L1038" s="5"/>
      <c r="M1038" s="5"/>
      <c r="N1038" s="5" t="s">
        <v>4</v>
      </c>
    </row>
    <row r="1039" spans="1:14" ht="21.75" customHeight="1" x14ac:dyDescent="0.25">
      <c r="A1039" s="1">
        <v>4134</v>
      </c>
      <c r="B1039" s="33">
        <v>45636</v>
      </c>
      <c r="D1039" s="4" t="s">
        <v>6</v>
      </c>
      <c r="F1039" s="5">
        <v>5</v>
      </c>
      <c r="H1039" s="34">
        <f t="shared" si="8"/>
        <v>45641</v>
      </c>
      <c r="I1039" s="5">
        <v>5</v>
      </c>
      <c r="J1039" s="34">
        <f t="shared" si="9"/>
        <v>45647</v>
      </c>
      <c r="K1039" s="5"/>
      <c r="L1039" s="5"/>
      <c r="M1039" s="5"/>
      <c r="N1039" s="5" t="s">
        <v>4</v>
      </c>
    </row>
    <row r="1040" spans="1:14" ht="21.75" customHeight="1" x14ac:dyDescent="0.25">
      <c r="A1040" s="1">
        <v>296</v>
      </c>
      <c r="B1040" s="33">
        <v>45637</v>
      </c>
      <c r="D1040" s="4" t="s">
        <v>7</v>
      </c>
      <c r="F1040" s="5">
        <v>5</v>
      </c>
      <c r="H1040" s="34">
        <f t="shared" si="8"/>
        <v>45642</v>
      </c>
      <c r="I1040" s="5">
        <v>3</v>
      </c>
      <c r="J1040" s="34">
        <f t="shared" si="9"/>
        <v>45646</v>
      </c>
      <c r="K1040" s="5" t="s">
        <v>3</v>
      </c>
      <c r="L1040" s="5"/>
      <c r="M1040" s="5" t="s">
        <v>1</v>
      </c>
      <c r="N1040" s="5"/>
    </row>
    <row r="1041" spans="1:14" ht="21.75" customHeight="1" x14ac:dyDescent="0.25">
      <c r="A1041" s="1">
        <v>3428</v>
      </c>
      <c r="B1041" s="33">
        <v>45637</v>
      </c>
      <c r="D1041" s="4" t="s">
        <v>15</v>
      </c>
      <c r="F1041" s="5">
        <v>5</v>
      </c>
      <c r="H1041" s="34">
        <f t="shared" si="8"/>
        <v>45642</v>
      </c>
      <c r="I1041" s="5">
        <v>9</v>
      </c>
      <c r="J1041" s="34">
        <f t="shared" si="9"/>
        <v>45652</v>
      </c>
      <c r="K1041" s="5"/>
      <c r="L1041" s="5"/>
      <c r="M1041" s="5" t="s">
        <v>1</v>
      </c>
      <c r="N1041" s="5"/>
    </row>
    <row r="1042" spans="1:14" ht="21.75" customHeight="1" x14ac:dyDescent="0.25">
      <c r="A1042" s="1">
        <v>2650</v>
      </c>
      <c r="B1042" s="33">
        <v>45637</v>
      </c>
      <c r="D1042" s="4" t="s">
        <v>7</v>
      </c>
      <c r="F1042" s="5">
        <v>5</v>
      </c>
      <c r="H1042" s="34">
        <f t="shared" si="8"/>
        <v>45642</v>
      </c>
      <c r="I1042" s="5">
        <v>3</v>
      </c>
      <c r="J1042" s="34">
        <f t="shared" si="9"/>
        <v>45646</v>
      </c>
      <c r="K1042" s="5" t="s">
        <v>3</v>
      </c>
      <c r="L1042" s="5"/>
      <c r="M1042" s="5"/>
      <c r="N1042" s="5"/>
    </row>
    <row r="1043" spans="1:14" ht="21.75" customHeight="1" x14ac:dyDescent="0.25">
      <c r="A1043" s="1">
        <v>3791</v>
      </c>
      <c r="B1043" s="33">
        <v>45637</v>
      </c>
      <c r="D1043" s="4" t="s">
        <v>7</v>
      </c>
      <c r="F1043" s="5">
        <v>5</v>
      </c>
      <c r="H1043" s="34">
        <f t="shared" si="8"/>
        <v>45642</v>
      </c>
      <c r="I1043" s="5">
        <v>3</v>
      </c>
      <c r="J1043" s="34">
        <f t="shared" si="9"/>
        <v>45646</v>
      </c>
      <c r="K1043" s="5" t="s">
        <v>3</v>
      </c>
      <c r="L1043" s="5" t="s">
        <v>5</v>
      </c>
      <c r="M1043" s="5"/>
      <c r="N1043" s="5"/>
    </row>
    <row r="1044" spans="1:14" ht="21.75" customHeight="1" x14ac:dyDescent="0.25">
      <c r="A1044" s="1">
        <v>3886</v>
      </c>
      <c r="B1044" s="33">
        <v>45637</v>
      </c>
      <c r="D1044" s="4" t="s">
        <v>9</v>
      </c>
      <c r="F1044" s="5">
        <v>5</v>
      </c>
      <c r="H1044" s="34">
        <f t="shared" si="8"/>
        <v>45642</v>
      </c>
      <c r="I1044" s="5">
        <v>2</v>
      </c>
      <c r="J1044" s="34">
        <f t="shared" si="9"/>
        <v>45645</v>
      </c>
      <c r="K1044" s="5"/>
      <c r="L1044" s="5" t="s">
        <v>5</v>
      </c>
      <c r="M1044" s="5"/>
      <c r="N1044" s="5"/>
    </row>
    <row r="1045" spans="1:14" ht="21.75" customHeight="1" x14ac:dyDescent="0.25">
      <c r="A1045" s="1">
        <v>2924</v>
      </c>
      <c r="B1045" s="33">
        <v>45639</v>
      </c>
      <c r="D1045" s="4" t="s">
        <v>7</v>
      </c>
      <c r="F1045" s="5">
        <v>5</v>
      </c>
      <c r="H1045" s="34">
        <f t="shared" si="8"/>
        <v>45644</v>
      </c>
      <c r="I1045" s="5">
        <v>3</v>
      </c>
      <c r="J1045" s="34">
        <f t="shared" si="9"/>
        <v>45648</v>
      </c>
      <c r="K1045" s="5"/>
      <c r="L1045" s="5" t="s">
        <v>5</v>
      </c>
      <c r="M1045" s="5"/>
      <c r="N1045" s="5"/>
    </row>
    <row r="1046" spans="1:14" ht="21.75" customHeight="1" x14ac:dyDescent="0.25">
      <c r="A1046" s="1">
        <v>154</v>
      </c>
      <c r="B1046" s="33">
        <v>45639</v>
      </c>
      <c r="D1046" s="4" t="s">
        <v>7</v>
      </c>
      <c r="F1046" s="5">
        <v>5</v>
      </c>
      <c r="H1046" s="34">
        <f t="shared" si="8"/>
        <v>45644</v>
      </c>
      <c r="I1046" s="5">
        <v>3</v>
      </c>
      <c r="J1046" s="34">
        <f t="shared" si="9"/>
        <v>45648</v>
      </c>
      <c r="K1046" s="5"/>
      <c r="L1046" s="5"/>
      <c r="M1046" s="5" t="s">
        <v>1</v>
      </c>
      <c r="N1046" s="5"/>
    </row>
    <row r="1047" spans="1:14" ht="21.75" customHeight="1" x14ac:dyDescent="0.25">
      <c r="A1047" s="1">
        <v>3146</v>
      </c>
      <c r="B1047" s="33">
        <v>45639</v>
      </c>
      <c r="D1047" s="4" t="s">
        <v>7</v>
      </c>
      <c r="F1047" s="5">
        <v>5</v>
      </c>
      <c r="H1047" s="34">
        <f t="shared" si="8"/>
        <v>45644</v>
      </c>
      <c r="I1047" s="5">
        <v>3</v>
      </c>
      <c r="J1047" s="34">
        <f t="shared" si="9"/>
        <v>45648</v>
      </c>
      <c r="K1047" s="5"/>
      <c r="L1047" s="5" t="s">
        <v>5</v>
      </c>
      <c r="M1047" s="5"/>
      <c r="N1047" s="5" t="s">
        <v>4</v>
      </c>
    </row>
    <row r="1048" spans="1:14" ht="21.75" customHeight="1" x14ac:dyDescent="0.25">
      <c r="A1048" s="1">
        <v>2564</v>
      </c>
      <c r="B1048" s="33">
        <v>45639</v>
      </c>
      <c r="D1048" s="4" t="s">
        <v>7</v>
      </c>
      <c r="F1048" s="5">
        <v>5</v>
      </c>
      <c r="H1048" s="34">
        <f t="shared" si="8"/>
        <v>45644</v>
      </c>
      <c r="I1048" s="5">
        <v>3</v>
      </c>
      <c r="J1048" s="34">
        <f t="shared" si="9"/>
        <v>45648</v>
      </c>
      <c r="K1048" s="5" t="s">
        <v>3</v>
      </c>
      <c r="L1048" s="5"/>
      <c r="M1048" s="5"/>
      <c r="N1048" s="5"/>
    </row>
    <row r="1049" spans="1:14" ht="21.75" customHeight="1" x14ac:dyDescent="0.25">
      <c r="A1049" s="1">
        <v>3303</v>
      </c>
      <c r="B1049" s="33">
        <v>45640</v>
      </c>
      <c r="D1049" s="4" t="s">
        <v>7</v>
      </c>
      <c r="F1049" s="5">
        <v>5</v>
      </c>
      <c r="H1049" s="34">
        <f t="shared" si="8"/>
        <v>45645</v>
      </c>
      <c r="I1049" s="5">
        <v>3</v>
      </c>
      <c r="J1049" s="34">
        <f t="shared" si="9"/>
        <v>45649</v>
      </c>
      <c r="K1049" s="5" t="s">
        <v>3</v>
      </c>
      <c r="L1049" s="5"/>
      <c r="M1049" s="5" t="s">
        <v>1</v>
      </c>
      <c r="N1049" s="5" t="s">
        <v>4</v>
      </c>
    </row>
    <row r="1050" spans="1:14" ht="21.75" customHeight="1" x14ac:dyDescent="0.25">
      <c r="A1050" s="1">
        <v>4591</v>
      </c>
      <c r="B1050" s="33">
        <v>45640</v>
      </c>
      <c r="D1050" s="4" t="s">
        <v>7</v>
      </c>
      <c r="F1050" s="5">
        <v>5</v>
      </c>
      <c r="H1050" s="34">
        <f t="shared" si="8"/>
        <v>45645</v>
      </c>
      <c r="I1050" s="5">
        <v>3</v>
      </c>
      <c r="J1050" s="34">
        <f t="shared" si="9"/>
        <v>45649</v>
      </c>
      <c r="K1050" s="5"/>
      <c r="L1050" s="5" t="s">
        <v>5</v>
      </c>
      <c r="M1050" s="5"/>
      <c r="N1050" s="5" t="s">
        <v>4</v>
      </c>
    </row>
    <row r="1051" spans="1:14" ht="21.75" customHeight="1" x14ac:dyDescent="0.25">
      <c r="A1051" s="1">
        <v>3119</v>
      </c>
      <c r="B1051" s="33">
        <v>45640</v>
      </c>
      <c r="D1051" s="4" t="s">
        <v>15</v>
      </c>
      <c r="F1051" s="5">
        <v>5</v>
      </c>
      <c r="H1051" s="34">
        <f t="shared" si="8"/>
        <v>45645</v>
      </c>
      <c r="I1051" s="5">
        <v>9</v>
      </c>
      <c r="J1051" s="34">
        <f t="shared" si="9"/>
        <v>45655</v>
      </c>
      <c r="K1051" s="5"/>
      <c r="L1051" s="5"/>
      <c r="M1051" s="5"/>
      <c r="N1051" s="5" t="s">
        <v>4</v>
      </c>
    </row>
    <row r="1052" spans="1:14" ht="21.75" customHeight="1" x14ac:dyDescent="0.25">
      <c r="A1052" s="1">
        <v>3423</v>
      </c>
      <c r="B1052" s="33">
        <v>45640</v>
      </c>
      <c r="D1052" s="4" t="s">
        <v>15</v>
      </c>
      <c r="F1052" s="5">
        <v>5</v>
      </c>
      <c r="H1052" s="34">
        <f t="shared" si="8"/>
        <v>45645</v>
      </c>
      <c r="I1052" s="5">
        <v>9</v>
      </c>
      <c r="J1052" s="34">
        <f t="shared" si="9"/>
        <v>45655</v>
      </c>
      <c r="K1052" s="5"/>
      <c r="L1052" s="5" t="s">
        <v>5</v>
      </c>
      <c r="M1052" s="5"/>
      <c r="N1052" s="5"/>
    </row>
    <row r="1053" spans="1:14" ht="21.75" customHeight="1" x14ac:dyDescent="0.25">
      <c r="A1053" s="1">
        <v>2927</v>
      </c>
      <c r="B1053" s="33">
        <v>45640</v>
      </c>
      <c r="D1053" s="4" t="s">
        <v>6</v>
      </c>
      <c r="F1053" s="5">
        <v>5</v>
      </c>
      <c r="H1053" s="34">
        <f t="shared" si="8"/>
        <v>45645</v>
      </c>
      <c r="I1053" s="5">
        <v>3</v>
      </c>
      <c r="J1053" s="34">
        <f t="shared" si="9"/>
        <v>45649</v>
      </c>
      <c r="K1053" s="5"/>
      <c r="L1053" s="5"/>
      <c r="M1053" s="5" t="s">
        <v>1</v>
      </c>
      <c r="N1053" s="5"/>
    </row>
    <row r="1054" spans="1:14" ht="21.75" customHeight="1" x14ac:dyDescent="0.25">
      <c r="A1054" s="1">
        <v>3671</v>
      </c>
      <c r="B1054" s="33">
        <v>45641</v>
      </c>
      <c r="D1054" s="4" t="s">
        <v>7</v>
      </c>
      <c r="F1054" s="5">
        <v>5</v>
      </c>
      <c r="H1054" s="34">
        <f t="shared" si="8"/>
        <v>45646</v>
      </c>
      <c r="I1054" s="5">
        <v>3</v>
      </c>
      <c r="J1054" s="34">
        <f t="shared" si="9"/>
        <v>45650</v>
      </c>
      <c r="K1054" s="5"/>
      <c r="L1054" s="5" t="s">
        <v>5</v>
      </c>
      <c r="M1054" s="5"/>
      <c r="N1054" s="5"/>
    </row>
    <row r="1055" spans="1:14" ht="21.75" customHeight="1" x14ac:dyDescent="0.25">
      <c r="A1055" s="1">
        <v>2567</v>
      </c>
      <c r="B1055" s="33">
        <v>45642</v>
      </c>
      <c r="D1055" s="4" t="s">
        <v>15</v>
      </c>
      <c r="F1055" s="5">
        <v>5</v>
      </c>
      <c r="H1055" s="34">
        <f t="shared" si="8"/>
        <v>45647</v>
      </c>
      <c r="I1055" s="5">
        <v>3</v>
      </c>
      <c r="J1055" s="34">
        <f t="shared" si="9"/>
        <v>45651</v>
      </c>
      <c r="K1055" s="5" t="s">
        <v>3</v>
      </c>
      <c r="L1055" s="5"/>
      <c r="M1055" s="5"/>
      <c r="N1055" s="5"/>
    </row>
    <row r="1056" spans="1:14" ht="21.75" customHeight="1" x14ac:dyDescent="0.25">
      <c r="A1056" s="1">
        <v>3148</v>
      </c>
      <c r="B1056" s="33">
        <v>45642</v>
      </c>
      <c r="D1056" s="4" t="s">
        <v>7</v>
      </c>
      <c r="F1056" s="5">
        <v>5</v>
      </c>
      <c r="H1056" s="34">
        <f t="shared" si="8"/>
        <v>45647</v>
      </c>
      <c r="I1056" s="5">
        <v>3</v>
      </c>
      <c r="J1056" s="34">
        <f t="shared" si="9"/>
        <v>45651</v>
      </c>
      <c r="K1056" s="5" t="s">
        <v>3</v>
      </c>
      <c r="L1056" s="5"/>
      <c r="M1056" s="5"/>
      <c r="N1056" s="5"/>
    </row>
    <row r="1057" spans="1:14" ht="21.75" customHeight="1" x14ac:dyDescent="0.25">
      <c r="A1057" s="1">
        <v>2877</v>
      </c>
      <c r="B1057" s="33">
        <v>45642</v>
      </c>
      <c r="D1057" s="4" t="s">
        <v>7</v>
      </c>
      <c r="F1057" s="5">
        <v>5</v>
      </c>
      <c r="H1057" s="34">
        <f t="shared" si="8"/>
        <v>45647</v>
      </c>
      <c r="I1057" s="5">
        <v>3</v>
      </c>
      <c r="J1057" s="34">
        <f t="shared" si="9"/>
        <v>45651</v>
      </c>
      <c r="K1057" s="5"/>
      <c r="L1057" s="5"/>
      <c r="M1057" s="5"/>
      <c r="N1057" s="5" t="s">
        <v>4</v>
      </c>
    </row>
    <row r="1058" spans="1:14" ht="21.75" customHeight="1" x14ac:dyDescent="0.25">
      <c r="A1058" s="1">
        <v>3221</v>
      </c>
      <c r="B1058" s="33">
        <v>45642</v>
      </c>
      <c r="D1058" s="4" t="s">
        <v>7</v>
      </c>
      <c r="F1058" s="5">
        <v>5</v>
      </c>
      <c r="H1058" s="34">
        <f t="shared" si="8"/>
        <v>45647</v>
      </c>
      <c r="I1058" s="5">
        <v>3</v>
      </c>
      <c r="J1058" s="34">
        <f t="shared" si="9"/>
        <v>45651</v>
      </c>
      <c r="K1058" s="5"/>
      <c r="L1058" s="5"/>
      <c r="M1058" s="5"/>
      <c r="N1058" s="5" t="s">
        <v>4</v>
      </c>
    </row>
    <row r="1059" spans="1:14" ht="21.75" customHeight="1" x14ac:dyDescent="0.25">
      <c r="A1059" s="1">
        <v>2595</v>
      </c>
      <c r="B1059" s="33">
        <v>45643</v>
      </c>
      <c r="D1059" s="4" t="s">
        <v>8</v>
      </c>
      <c r="F1059" s="5">
        <v>5</v>
      </c>
      <c r="H1059" s="34">
        <f t="shared" si="8"/>
        <v>45648</v>
      </c>
      <c r="I1059" s="5">
        <v>4</v>
      </c>
      <c r="J1059" s="34">
        <f t="shared" si="9"/>
        <v>45653</v>
      </c>
      <c r="K1059" s="5"/>
      <c r="L1059" s="5" t="s">
        <v>5</v>
      </c>
      <c r="M1059" s="5"/>
      <c r="N1059" s="5"/>
    </row>
    <row r="1060" spans="1:14" ht="21.75" customHeight="1" x14ac:dyDescent="0.25">
      <c r="A1060" s="1">
        <v>296</v>
      </c>
      <c r="B1060" s="33">
        <v>45643</v>
      </c>
      <c r="D1060" s="4" t="s">
        <v>8</v>
      </c>
      <c r="F1060" s="5">
        <v>5</v>
      </c>
      <c r="H1060" s="34">
        <f t="shared" si="8"/>
        <v>45648</v>
      </c>
      <c r="I1060" s="5">
        <v>4</v>
      </c>
      <c r="J1060" s="34">
        <f t="shared" si="9"/>
        <v>45653</v>
      </c>
      <c r="K1060" s="5"/>
      <c r="L1060" s="5" t="s">
        <v>5</v>
      </c>
      <c r="M1060" s="5" t="s">
        <v>1</v>
      </c>
      <c r="N1060" s="5" t="s">
        <v>4</v>
      </c>
    </row>
    <row r="1061" spans="1:14" ht="21.75" customHeight="1" x14ac:dyDescent="0.25">
      <c r="A1061" s="1">
        <v>3791</v>
      </c>
      <c r="B1061" s="33">
        <v>45643</v>
      </c>
      <c r="D1061" s="4" t="s">
        <v>8</v>
      </c>
      <c r="F1061" s="5">
        <v>5</v>
      </c>
      <c r="H1061" s="34">
        <f t="shared" si="8"/>
        <v>45648</v>
      </c>
      <c r="I1061" s="5">
        <v>4</v>
      </c>
      <c r="J1061" s="34">
        <f t="shared" si="9"/>
        <v>45653</v>
      </c>
      <c r="K1061" s="5" t="s">
        <v>3</v>
      </c>
      <c r="L1061" s="5"/>
      <c r="M1061" s="5"/>
      <c r="N1061" s="5"/>
    </row>
    <row r="1062" spans="1:14" ht="21.75" customHeight="1" x14ac:dyDescent="0.25">
      <c r="A1062" s="1">
        <v>2567</v>
      </c>
      <c r="B1062" s="33">
        <v>45643</v>
      </c>
      <c r="D1062" s="4" t="s">
        <v>8</v>
      </c>
      <c r="F1062" s="5">
        <v>5</v>
      </c>
      <c r="H1062" s="34">
        <f t="shared" si="8"/>
        <v>45648</v>
      </c>
      <c r="I1062" s="5">
        <v>4</v>
      </c>
      <c r="J1062" s="34">
        <f t="shared" si="9"/>
        <v>45653</v>
      </c>
      <c r="K1062" s="5" t="s">
        <v>3</v>
      </c>
      <c r="L1062" s="5" t="s">
        <v>5</v>
      </c>
      <c r="M1062" s="5" t="s">
        <v>1</v>
      </c>
      <c r="N1062" s="5" t="s">
        <v>4</v>
      </c>
    </row>
    <row r="1063" spans="1:14" ht="21.75" customHeight="1" x14ac:dyDescent="0.25">
      <c r="A1063" s="1">
        <v>2879</v>
      </c>
      <c r="B1063" s="33">
        <v>45643</v>
      </c>
      <c r="D1063" s="4" t="s">
        <v>7</v>
      </c>
      <c r="F1063" s="5">
        <v>5</v>
      </c>
      <c r="H1063" s="34">
        <f t="shared" si="8"/>
        <v>45648</v>
      </c>
      <c r="I1063" s="5">
        <v>3</v>
      </c>
      <c r="J1063" s="34">
        <f t="shared" si="9"/>
        <v>45652</v>
      </c>
      <c r="K1063" s="5"/>
      <c r="L1063" s="5"/>
      <c r="M1063" s="5" t="s">
        <v>1</v>
      </c>
      <c r="N1063" s="5"/>
    </row>
    <row r="1064" spans="1:14" ht="21.75" customHeight="1" x14ac:dyDescent="0.25">
      <c r="A1064" s="1">
        <v>3754</v>
      </c>
      <c r="B1064" s="33">
        <v>45643</v>
      </c>
      <c r="D1064" s="4" t="s">
        <v>7</v>
      </c>
      <c r="F1064" s="5">
        <v>4</v>
      </c>
      <c r="H1064" s="34">
        <f t="shared" si="8"/>
        <v>45647</v>
      </c>
      <c r="I1064" s="5">
        <v>3</v>
      </c>
      <c r="J1064" s="34">
        <f t="shared" si="9"/>
        <v>45651</v>
      </c>
      <c r="K1064" s="5"/>
      <c r="L1064" s="5"/>
      <c r="M1064" s="5"/>
      <c r="N1064" s="5" t="s">
        <v>4</v>
      </c>
    </row>
    <row r="1065" spans="1:14" ht="21.75" customHeight="1" x14ac:dyDescent="0.25">
      <c r="A1065" s="1">
        <v>2567</v>
      </c>
      <c r="B1065" s="33">
        <v>45644</v>
      </c>
      <c r="D1065" s="4" t="s">
        <v>15</v>
      </c>
      <c r="F1065" s="5">
        <v>5</v>
      </c>
      <c r="H1065" s="34">
        <f t="shared" si="8"/>
        <v>45649</v>
      </c>
      <c r="I1065" s="5">
        <v>9</v>
      </c>
      <c r="J1065" s="34">
        <f t="shared" si="9"/>
        <v>45659</v>
      </c>
      <c r="K1065" s="5" t="s">
        <v>3</v>
      </c>
      <c r="L1065" s="5"/>
      <c r="M1065" s="5"/>
      <c r="N1065" s="5"/>
    </row>
    <row r="1066" spans="1:14" ht="21.75" customHeight="1" x14ac:dyDescent="0.25">
      <c r="A1066" s="1">
        <v>3787</v>
      </c>
      <c r="B1066" s="33">
        <v>45644</v>
      </c>
      <c r="D1066" s="4" t="s">
        <v>7</v>
      </c>
      <c r="F1066" s="5">
        <v>5</v>
      </c>
      <c r="H1066" s="34">
        <f t="shared" si="8"/>
        <v>45649</v>
      </c>
      <c r="I1066" s="5">
        <v>3</v>
      </c>
      <c r="J1066" s="34">
        <f t="shared" si="9"/>
        <v>45653</v>
      </c>
      <c r="K1066" s="5"/>
      <c r="L1066" s="5" t="s">
        <v>5</v>
      </c>
      <c r="M1066" s="5"/>
      <c r="N1066" s="5"/>
    </row>
    <row r="1067" spans="1:14" ht="21.75" customHeight="1" x14ac:dyDescent="0.25">
      <c r="A1067" s="1">
        <v>2248</v>
      </c>
      <c r="B1067" s="33">
        <v>45644</v>
      </c>
      <c r="D1067" s="4" t="s">
        <v>7</v>
      </c>
      <c r="F1067" s="5">
        <v>5</v>
      </c>
      <c r="H1067" s="34">
        <f t="shared" si="8"/>
        <v>45649</v>
      </c>
      <c r="I1067" s="5">
        <v>3</v>
      </c>
      <c r="J1067" s="34">
        <f t="shared" si="9"/>
        <v>45653</v>
      </c>
      <c r="K1067" s="5"/>
      <c r="L1067" s="5" t="s">
        <v>5</v>
      </c>
      <c r="M1067" s="5"/>
      <c r="N1067" s="5"/>
    </row>
    <row r="1068" spans="1:14" ht="21.75" customHeight="1" x14ac:dyDescent="0.25">
      <c r="A1068" s="1">
        <v>2225</v>
      </c>
      <c r="B1068" s="33">
        <v>45644</v>
      </c>
      <c r="D1068" s="4" t="s">
        <v>7</v>
      </c>
      <c r="F1068" s="5">
        <v>5</v>
      </c>
      <c r="H1068" s="34">
        <f t="shared" si="8"/>
        <v>45649</v>
      </c>
      <c r="I1068" s="5">
        <v>3</v>
      </c>
      <c r="J1068" s="34">
        <f t="shared" si="9"/>
        <v>45653</v>
      </c>
      <c r="K1068" s="5"/>
      <c r="L1068" s="5"/>
      <c r="M1068" s="5" t="s">
        <v>1</v>
      </c>
      <c r="N1068" s="5"/>
    </row>
    <row r="1069" spans="1:14" ht="21.75" customHeight="1" x14ac:dyDescent="0.25">
      <c r="A1069" s="1">
        <v>2238</v>
      </c>
      <c r="B1069" s="33">
        <v>45645</v>
      </c>
      <c r="D1069" s="4" t="s">
        <v>7</v>
      </c>
      <c r="F1069" s="5">
        <v>5</v>
      </c>
      <c r="H1069" s="34">
        <f t="shared" si="8"/>
        <v>45650</v>
      </c>
      <c r="I1069" s="5">
        <v>3</v>
      </c>
      <c r="J1069" s="34">
        <f t="shared" si="9"/>
        <v>45654</v>
      </c>
      <c r="K1069" s="5"/>
      <c r="L1069" s="5"/>
      <c r="M1069" s="5" t="s">
        <v>1</v>
      </c>
      <c r="N1069" s="5"/>
    </row>
    <row r="1070" spans="1:14" ht="21.75" customHeight="1" x14ac:dyDescent="0.25">
      <c r="A1070" s="1">
        <v>254</v>
      </c>
      <c r="B1070" s="33">
        <v>45645</v>
      </c>
      <c r="D1070" s="4" t="s">
        <v>6</v>
      </c>
      <c r="F1070" s="5">
        <v>5</v>
      </c>
      <c r="H1070" s="34">
        <f t="shared" ref="H1070:H1107" si="10">B1070+F1070</f>
        <v>45650</v>
      </c>
      <c r="I1070" s="5">
        <v>5</v>
      </c>
      <c r="J1070" s="34">
        <f t="shared" si="9"/>
        <v>45656</v>
      </c>
      <c r="K1070" s="5"/>
      <c r="L1070" s="5"/>
      <c r="M1070" s="5" t="s">
        <v>1</v>
      </c>
      <c r="N1070" s="5"/>
    </row>
    <row r="1071" spans="1:14" ht="21.75" customHeight="1" x14ac:dyDescent="0.25">
      <c r="A1071" s="1">
        <v>3791</v>
      </c>
      <c r="B1071" s="33">
        <v>45645</v>
      </c>
      <c r="D1071" s="4" t="s">
        <v>15</v>
      </c>
      <c r="F1071" s="5">
        <v>5</v>
      </c>
      <c r="H1071" s="34">
        <f t="shared" si="10"/>
        <v>45650</v>
      </c>
      <c r="I1071" s="5">
        <v>9</v>
      </c>
      <c r="J1071" s="34">
        <f t="shared" si="9"/>
        <v>45660</v>
      </c>
      <c r="K1071" s="5" t="s">
        <v>3</v>
      </c>
      <c r="L1071" s="5"/>
      <c r="M1071" s="5"/>
      <c r="N1071" s="5"/>
    </row>
    <row r="1072" spans="1:14" ht="21.75" customHeight="1" x14ac:dyDescent="0.25">
      <c r="A1072" s="1">
        <v>3402</v>
      </c>
      <c r="B1072" s="33">
        <v>45646</v>
      </c>
      <c r="D1072" s="4" t="s">
        <v>7</v>
      </c>
      <c r="F1072" s="5">
        <v>5</v>
      </c>
      <c r="H1072" s="34">
        <f t="shared" si="10"/>
        <v>45651</v>
      </c>
      <c r="I1072" s="5">
        <v>3</v>
      </c>
      <c r="J1072" s="34">
        <f t="shared" si="9"/>
        <v>45655</v>
      </c>
      <c r="K1072" s="5"/>
      <c r="L1072" s="5" t="s">
        <v>5</v>
      </c>
      <c r="M1072" s="5"/>
      <c r="N1072" s="5"/>
    </row>
    <row r="1073" spans="1:14" ht="21.75" customHeight="1" x14ac:dyDescent="0.25">
      <c r="A1073" s="1">
        <v>1193</v>
      </c>
      <c r="B1073" s="33">
        <v>45646</v>
      </c>
      <c r="D1073" s="4" t="s">
        <v>7</v>
      </c>
      <c r="F1073" s="5">
        <v>5</v>
      </c>
      <c r="H1073" s="34">
        <f t="shared" si="10"/>
        <v>45651</v>
      </c>
      <c r="I1073" s="5">
        <v>3</v>
      </c>
      <c r="J1073" s="34">
        <f t="shared" si="9"/>
        <v>45655</v>
      </c>
      <c r="K1073" s="5"/>
      <c r="L1073" s="5" t="s">
        <v>5</v>
      </c>
      <c r="M1073" s="5" t="s">
        <v>1</v>
      </c>
      <c r="N1073" s="5"/>
    </row>
    <row r="1074" spans="1:14" ht="21.75" customHeight="1" x14ac:dyDescent="0.25">
      <c r="A1074" s="1">
        <v>2225</v>
      </c>
      <c r="B1074" s="33">
        <v>45646</v>
      </c>
      <c r="D1074" s="4" t="s">
        <v>9</v>
      </c>
      <c r="F1074" s="5">
        <v>5</v>
      </c>
      <c r="H1074" s="34">
        <f t="shared" si="10"/>
        <v>45651</v>
      </c>
      <c r="I1074" s="5">
        <v>2</v>
      </c>
      <c r="J1074" s="34">
        <f t="shared" si="9"/>
        <v>45654</v>
      </c>
      <c r="K1074" s="5"/>
      <c r="L1074" s="5" t="s">
        <v>5</v>
      </c>
      <c r="M1074" s="5"/>
      <c r="N1074" s="5"/>
    </row>
    <row r="1075" spans="1:14" ht="21.75" customHeight="1" x14ac:dyDescent="0.25">
      <c r="A1075" s="1">
        <v>2879</v>
      </c>
      <c r="B1075" s="33">
        <v>45646</v>
      </c>
      <c r="D1075" s="4" t="s">
        <v>9</v>
      </c>
      <c r="F1075" s="5">
        <v>5</v>
      </c>
      <c r="H1075" s="34">
        <f t="shared" si="10"/>
        <v>45651</v>
      </c>
      <c r="I1075" s="5">
        <v>2</v>
      </c>
      <c r="J1075" s="34">
        <f t="shared" si="9"/>
        <v>45654</v>
      </c>
      <c r="K1075" s="5"/>
      <c r="L1075" s="5"/>
      <c r="M1075" s="5"/>
      <c r="N1075" s="5" t="s">
        <v>4</v>
      </c>
    </row>
    <row r="1076" spans="1:14" ht="21.75" customHeight="1" x14ac:dyDescent="0.25">
      <c r="A1076" s="1">
        <v>3194</v>
      </c>
      <c r="B1076" s="33">
        <v>45646</v>
      </c>
      <c r="D1076" s="4" t="s">
        <v>6</v>
      </c>
      <c r="F1076" s="5">
        <v>5</v>
      </c>
      <c r="H1076" s="34">
        <f t="shared" si="10"/>
        <v>45651</v>
      </c>
      <c r="I1076" s="5">
        <v>5</v>
      </c>
      <c r="J1076" s="34">
        <f t="shared" ref="J1076:J1107" si="11">H1076+I1076+1</f>
        <v>45657</v>
      </c>
      <c r="K1076" s="5" t="s">
        <v>3</v>
      </c>
      <c r="L1076" s="5"/>
      <c r="M1076" s="5"/>
      <c r="N1076" s="5"/>
    </row>
    <row r="1077" spans="1:14" ht="21.75" customHeight="1" x14ac:dyDescent="0.25">
      <c r="A1077" s="1">
        <v>3423</v>
      </c>
      <c r="B1077" s="33">
        <v>45646</v>
      </c>
      <c r="D1077" s="4" t="s">
        <v>6</v>
      </c>
      <c r="F1077" s="5">
        <v>5</v>
      </c>
      <c r="H1077" s="34">
        <f t="shared" si="10"/>
        <v>45651</v>
      </c>
      <c r="I1077" s="5">
        <v>5</v>
      </c>
      <c r="J1077" s="34">
        <f t="shared" si="11"/>
        <v>45657</v>
      </c>
      <c r="K1077" s="5"/>
      <c r="L1077" s="5"/>
      <c r="M1077" s="5"/>
      <c r="N1077" s="5" t="s">
        <v>4</v>
      </c>
    </row>
    <row r="1078" spans="1:14" ht="21.75" customHeight="1" x14ac:dyDescent="0.25">
      <c r="A1078" s="1">
        <v>2877</v>
      </c>
      <c r="B1078" s="33">
        <v>45646</v>
      </c>
      <c r="D1078" s="4" t="s">
        <v>6</v>
      </c>
      <c r="F1078" s="5">
        <v>5</v>
      </c>
      <c r="H1078" s="34">
        <f t="shared" si="10"/>
        <v>45651</v>
      </c>
      <c r="I1078" s="5">
        <v>5</v>
      </c>
      <c r="J1078" s="34">
        <f t="shared" si="11"/>
        <v>45657</v>
      </c>
      <c r="K1078" s="5"/>
      <c r="L1078" s="5"/>
      <c r="M1078" s="5" t="s">
        <v>1</v>
      </c>
      <c r="N1078" s="5"/>
    </row>
    <row r="1079" spans="1:14" ht="21.75" customHeight="1" x14ac:dyDescent="0.25">
      <c r="A1079" s="1">
        <v>3148</v>
      </c>
      <c r="B1079" s="33">
        <v>45646</v>
      </c>
      <c r="D1079" s="4" t="s">
        <v>6</v>
      </c>
      <c r="F1079" s="5">
        <v>5</v>
      </c>
      <c r="H1079" s="34">
        <f t="shared" si="10"/>
        <v>45651</v>
      </c>
      <c r="I1079" s="5">
        <v>5</v>
      </c>
      <c r="J1079" s="34">
        <f t="shared" si="11"/>
        <v>45657</v>
      </c>
      <c r="K1079" s="5"/>
      <c r="L1079" s="5"/>
      <c r="M1079" s="5" t="s">
        <v>1</v>
      </c>
      <c r="N1079" s="5"/>
    </row>
    <row r="1080" spans="1:14" ht="21.75" customHeight="1" x14ac:dyDescent="0.25">
      <c r="A1080" s="1">
        <v>3119</v>
      </c>
      <c r="B1080" s="33">
        <v>45646</v>
      </c>
      <c r="D1080" s="4" t="s">
        <v>6</v>
      </c>
      <c r="F1080" s="5">
        <v>5</v>
      </c>
      <c r="H1080" s="34">
        <f t="shared" si="10"/>
        <v>45651</v>
      </c>
      <c r="I1080" s="5">
        <v>5</v>
      </c>
      <c r="J1080" s="34">
        <f t="shared" si="11"/>
        <v>45657</v>
      </c>
      <c r="K1080" s="5"/>
      <c r="L1080" s="5"/>
      <c r="M1080" s="5"/>
      <c r="N1080" s="5" t="s">
        <v>4</v>
      </c>
    </row>
    <row r="1081" spans="1:14" ht="21.75" customHeight="1" x14ac:dyDescent="0.25">
      <c r="A1081" s="1">
        <v>4071</v>
      </c>
      <c r="B1081" s="33">
        <v>45647</v>
      </c>
      <c r="D1081" s="4" t="s">
        <v>7</v>
      </c>
      <c r="F1081" s="5">
        <v>5</v>
      </c>
      <c r="H1081" s="34">
        <f t="shared" si="10"/>
        <v>45652</v>
      </c>
      <c r="I1081" s="5">
        <v>3</v>
      </c>
      <c r="J1081" s="34">
        <f t="shared" si="11"/>
        <v>45656</v>
      </c>
      <c r="K1081" s="5"/>
      <c r="L1081" s="5"/>
      <c r="M1081" s="5"/>
      <c r="N1081" s="5" t="s">
        <v>4</v>
      </c>
    </row>
    <row r="1082" spans="1:14" ht="21.75" customHeight="1" x14ac:dyDescent="0.25">
      <c r="A1082" s="1">
        <v>3743</v>
      </c>
      <c r="B1082" s="33">
        <v>45648</v>
      </c>
      <c r="D1082" s="4" t="s">
        <v>7</v>
      </c>
      <c r="F1082" s="5">
        <v>5</v>
      </c>
      <c r="H1082" s="34">
        <f t="shared" si="10"/>
        <v>45653</v>
      </c>
      <c r="I1082" s="5">
        <v>5</v>
      </c>
      <c r="J1082" s="34">
        <f t="shared" si="11"/>
        <v>45659</v>
      </c>
      <c r="K1082" s="5"/>
      <c r="L1082" s="5"/>
      <c r="M1082" s="5"/>
      <c r="N1082" s="5" t="s">
        <v>4</v>
      </c>
    </row>
    <row r="1083" spans="1:14" ht="21.75" customHeight="1" x14ac:dyDescent="0.25">
      <c r="A1083" s="1">
        <v>154</v>
      </c>
      <c r="B1083" s="33">
        <v>45648</v>
      </c>
      <c r="D1083" s="4" t="s">
        <v>6</v>
      </c>
      <c r="F1083" s="5">
        <v>5</v>
      </c>
      <c r="H1083" s="34">
        <f t="shared" si="10"/>
        <v>45653</v>
      </c>
      <c r="I1083" s="5">
        <v>3</v>
      </c>
      <c r="J1083" s="34">
        <f t="shared" si="11"/>
        <v>45657</v>
      </c>
      <c r="K1083" s="5"/>
      <c r="L1083" s="5"/>
      <c r="M1083" s="5"/>
      <c r="N1083" s="5"/>
    </row>
    <row r="1084" spans="1:14" ht="21.75" customHeight="1" x14ac:dyDescent="0.25">
      <c r="A1084" s="1">
        <v>2879</v>
      </c>
      <c r="B1084" s="33">
        <v>45648</v>
      </c>
      <c r="D1084" s="4" t="s">
        <v>6</v>
      </c>
      <c r="F1084" s="5">
        <v>5</v>
      </c>
      <c r="H1084" s="34">
        <f t="shared" si="10"/>
        <v>45653</v>
      </c>
      <c r="I1084" s="5">
        <v>5</v>
      </c>
      <c r="J1084" s="34">
        <f t="shared" si="11"/>
        <v>45659</v>
      </c>
      <c r="K1084" s="5"/>
      <c r="L1084" s="5"/>
      <c r="M1084" s="5" t="s">
        <v>1</v>
      </c>
      <c r="N1084" s="5" t="s">
        <v>4</v>
      </c>
    </row>
    <row r="1085" spans="1:14" ht="21.75" customHeight="1" x14ac:dyDescent="0.25">
      <c r="A1085" s="1">
        <v>3754</v>
      </c>
      <c r="B1085" s="33">
        <v>45648</v>
      </c>
      <c r="D1085" s="4" t="s">
        <v>6</v>
      </c>
      <c r="F1085" s="5">
        <v>5</v>
      </c>
      <c r="H1085" s="34">
        <f t="shared" si="10"/>
        <v>45653</v>
      </c>
      <c r="I1085" s="5">
        <v>5</v>
      </c>
      <c r="J1085" s="34">
        <f t="shared" si="11"/>
        <v>45659</v>
      </c>
      <c r="K1085" s="5" t="s">
        <v>3</v>
      </c>
      <c r="L1085" s="5"/>
      <c r="M1085" s="5"/>
      <c r="N1085" s="5"/>
    </row>
    <row r="1086" spans="1:14" ht="21.75" customHeight="1" x14ac:dyDescent="0.25">
      <c r="A1086" s="1">
        <v>3515</v>
      </c>
      <c r="B1086" s="33">
        <v>45649</v>
      </c>
      <c r="D1086" s="4" t="s">
        <v>7</v>
      </c>
      <c r="F1086" s="5">
        <v>5</v>
      </c>
      <c r="H1086" s="34">
        <f t="shared" si="10"/>
        <v>45654</v>
      </c>
      <c r="I1086" s="5">
        <v>3</v>
      </c>
      <c r="J1086" s="34">
        <f t="shared" si="11"/>
        <v>45658</v>
      </c>
      <c r="K1086" s="5"/>
      <c r="L1086" s="5" t="s">
        <v>5</v>
      </c>
      <c r="M1086" s="5"/>
      <c r="N1086" s="5"/>
    </row>
    <row r="1087" spans="1:14" ht="21.75" customHeight="1" x14ac:dyDescent="0.25">
      <c r="A1087" s="1">
        <v>2845</v>
      </c>
      <c r="B1087" s="33">
        <v>45651</v>
      </c>
      <c r="D1087" s="4" t="s">
        <v>7</v>
      </c>
      <c r="F1087" s="5">
        <v>5</v>
      </c>
      <c r="H1087" s="34">
        <f t="shared" si="10"/>
        <v>45656</v>
      </c>
      <c r="I1087" s="5">
        <v>3</v>
      </c>
      <c r="J1087" s="34">
        <f t="shared" si="11"/>
        <v>45660</v>
      </c>
      <c r="K1087" s="5"/>
      <c r="L1087" s="5" t="s">
        <v>5</v>
      </c>
      <c r="M1087" s="5"/>
      <c r="N1087" s="5"/>
    </row>
    <row r="1088" spans="1:14" ht="21.75" customHeight="1" x14ac:dyDescent="0.25">
      <c r="A1088" s="1">
        <v>296</v>
      </c>
      <c r="B1088" s="33">
        <v>45651</v>
      </c>
      <c r="D1088" s="4" t="s">
        <v>7</v>
      </c>
      <c r="F1088" s="5">
        <v>5</v>
      </c>
      <c r="H1088" s="34">
        <f t="shared" si="10"/>
        <v>45656</v>
      </c>
      <c r="I1088" s="5">
        <v>3</v>
      </c>
      <c r="J1088" s="34">
        <f t="shared" si="11"/>
        <v>45660</v>
      </c>
      <c r="K1088" s="5"/>
      <c r="L1088" s="5"/>
      <c r="M1088" s="5" t="s">
        <v>1</v>
      </c>
      <c r="N1088" s="5"/>
    </row>
    <row r="1089" spans="1:14" ht="21.75" customHeight="1" x14ac:dyDescent="0.25">
      <c r="A1089" s="1">
        <v>3321</v>
      </c>
      <c r="B1089" s="33">
        <v>45651</v>
      </c>
      <c r="D1089" s="4" t="s">
        <v>7</v>
      </c>
      <c r="F1089" s="5">
        <v>5</v>
      </c>
      <c r="H1089" s="34">
        <f t="shared" si="10"/>
        <v>45656</v>
      </c>
      <c r="I1089" s="5">
        <v>3</v>
      </c>
      <c r="J1089" s="34">
        <f t="shared" si="11"/>
        <v>45660</v>
      </c>
      <c r="K1089" s="5"/>
      <c r="L1089" s="5" t="s">
        <v>5</v>
      </c>
      <c r="M1089" s="5"/>
      <c r="N1089" s="5" t="s">
        <v>4</v>
      </c>
    </row>
    <row r="1090" spans="1:14" ht="21.75" customHeight="1" x14ac:dyDescent="0.25">
      <c r="A1090" s="1">
        <v>3421</v>
      </c>
      <c r="B1090" s="33">
        <v>45651</v>
      </c>
      <c r="D1090" s="4" t="s">
        <v>7</v>
      </c>
      <c r="F1090" s="5">
        <v>5</v>
      </c>
      <c r="H1090" s="34">
        <f t="shared" si="10"/>
        <v>45656</v>
      </c>
      <c r="I1090" s="5">
        <v>3</v>
      </c>
      <c r="J1090" s="34">
        <f t="shared" si="11"/>
        <v>45660</v>
      </c>
      <c r="K1090" s="5"/>
      <c r="L1090" s="5"/>
      <c r="M1090" s="5" t="s">
        <v>1</v>
      </c>
      <c r="N1090" s="5"/>
    </row>
    <row r="1091" spans="1:14" ht="21.75" customHeight="1" x14ac:dyDescent="0.25">
      <c r="A1091" s="1">
        <v>2234</v>
      </c>
      <c r="B1091" s="33">
        <v>45652</v>
      </c>
      <c r="D1091" s="4" t="s">
        <v>7</v>
      </c>
      <c r="F1091" s="5">
        <v>5</v>
      </c>
      <c r="H1091" s="34">
        <f t="shared" si="10"/>
        <v>45657</v>
      </c>
      <c r="I1091" s="5">
        <v>3</v>
      </c>
      <c r="J1091" s="34">
        <f t="shared" si="11"/>
        <v>45661</v>
      </c>
      <c r="K1091" s="5"/>
      <c r="L1091" s="5"/>
      <c r="M1091" s="5" t="s">
        <v>1</v>
      </c>
      <c r="N1091" s="5"/>
    </row>
    <row r="1092" spans="1:14" ht="21.75" customHeight="1" x14ac:dyDescent="0.25">
      <c r="A1092" s="1">
        <v>3621</v>
      </c>
      <c r="B1092" s="33">
        <v>45652</v>
      </c>
      <c r="D1092" s="4" t="s">
        <v>15</v>
      </c>
      <c r="F1092" s="5">
        <v>5</v>
      </c>
      <c r="H1092" s="34">
        <f t="shared" si="10"/>
        <v>45657</v>
      </c>
      <c r="I1092" s="5">
        <v>9</v>
      </c>
      <c r="J1092" s="34">
        <f t="shared" si="11"/>
        <v>45667</v>
      </c>
      <c r="K1092" s="5"/>
      <c r="L1092" s="5"/>
      <c r="M1092" s="5" t="s">
        <v>1</v>
      </c>
      <c r="N1092" s="5"/>
    </row>
    <row r="1093" spans="1:14" ht="21.75" customHeight="1" x14ac:dyDescent="0.25">
      <c r="A1093" s="1">
        <v>3238</v>
      </c>
      <c r="B1093" s="33">
        <v>45652</v>
      </c>
      <c r="D1093" s="4" t="s">
        <v>7</v>
      </c>
      <c r="F1093" s="5">
        <v>5</v>
      </c>
      <c r="H1093" s="34">
        <f t="shared" si="10"/>
        <v>45657</v>
      </c>
      <c r="I1093" s="5">
        <v>3</v>
      </c>
      <c r="J1093" s="34">
        <f t="shared" si="11"/>
        <v>45661</v>
      </c>
      <c r="K1093" s="5"/>
      <c r="L1093" s="5"/>
      <c r="M1093" s="5"/>
      <c r="N1093" s="5" t="s">
        <v>4</v>
      </c>
    </row>
    <row r="1094" spans="1:14" ht="21.75" customHeight="1" x14ac:dyDescent="0.25">
      <c r="A1094" s="1">
        <v>2050</v>
      </c>
      <c r="B1094" s="33">
        <v>45652</v>
      </c>
      <c r="D1094" s="4" t="s">
        <v>7</v>
      </c>
      <c r="F1094" s="5">
        <v>5</v>
      </c>
      <c r="H1094" s="34">
        <f t="shared" si="10"/>
        <v>45657</v>
      </c>
      <c r="I1094" s="5">
        <v>3</v>
      </c>
      <c r="J1094" s="34">
        <f t="shared" si="11"/>
        <v>45661</v>
      </c>
      <c r="K1094" s="5" t="s">
        <v>3</v>
      </c>
      <c r="L1094" s="5" t="s">
        <v>5</v>
      </c>
      <c r="M1094" s="5"/>
      <c r="N1094" s="5"/>
    </row>
    <row r="1095" spans="1:14" ht="21.75" customHeight="1" x14ac:dyDescent="0.25">
      <c r="A1095" s="1">
        <v>3476</v>
      </c>
      <c r="B1095" s="33">
        <v>45653</v>
      </c>
      <c r="D1095" s="4" t="s">
        <v>7</v>
      </c>
      <c r="F1095" s="5">
        <v>5</v>
      </c>
      <c r="H1095" s="34">
        <f t="shared" si="10"/>
        <v>45658</v>
      </c>
      <c r="I1095" s="5">
        <v>3</v>
      </c>
      <c r="J1095" s="34">
        <f t="shared" si="11"/>
        <v>45662</v>
      </c>
      <c r="K1095" s="5"/>
      <c r="L1095" s="5" t="s">
        <v>5</v>
      </c>
      <c r="M1095" s="5"/>
      <c r="N1095" s="5" t="s">
        <v>4</v>
      </c>
    </row>
    <row r="1096" spans="1:14" ht="21.75" customHeight="1" x14ac:dyDescent="0.25">
      <c r="A1096" s="1">
        <v>2050</v>
      </c>
      <c r="B1096" s="33">
        <v>45655</v>
      </c>
      <c r="D1096" s="4" t="s">
        <v>15</v>
      </c>
      <c r="F1096" s="5">
        <v>5</v>
      </c>
      <c r="H1096" s="34">
        <f t="shared" si="10"/>
        <v>45660</v>
      </c>
      <c r="I1096" s="5">
        <v>9</v>
      </c>
      <c r="J1096" s="34">
        <f t="shared" si="11"/>
        <v>45670</v>
      </c>
      <c r="K1096" s="5"/>
      <c r="L1096" s="5" t="s">
        <v>5</v>
      </c>
      <c r="M1096" s="5"/>
      <c r="N1096" s="5" t="s">
        <v>4</v>
      </c>
    </row>
    <row r="1097" spans="1:14" ht="21.75" customHeight="1" x14ac:dyDescent="0.25">
      <c r="A1097" s="1">
        <v>2845</v>
      </c>
      <c r="B1097" s="33">
        <v>45655</v>
      </c>
      <c r="D1097" s="4" t="s">
        <v>15</v>
      </c>
      <c r="F1097" s="5">
        <v>5</v>
      </c>
      <c r="H1097" s="34">
        <f t="shared" si="10"/>
        <v>45660</v>
      </c>
      <c r="I1097" s="5">
        <v>9</v>
      </c>
      <c r="J1097" s="34">
        <f t="shared" si="11"/>
        <v>45670</v>
      </c>
      <c r="K1097" s="5"/>
      <c r="L1097" s="5" t="s">
        <v>5</v>
      </c>
      <c r="M1097" s="5" t="s">
        <v>1</v>
      </c>
      <c r="N1097" s="5"/>
    </row>
    <row r="1098" spans="1:14" ht="21.75" customHeight="1" x14ac:dyDescent="0.25">
      <c r="A1098" s="1">
        <v>4320</v>
      </c>
      <c r="B1098" s="33">
        <v>45655</v>
      </c>
      <c r="D1098" s="4" t="s">
        <v>6</v>
      </c>
      <c r="F1098" s="5">
        <v>5</v>
      </c>
      <c r="H1098" s="34">
        <f t="shared" si="10"/>
        <v>45660</v>
      </c>
      <c r="I1098" s="5">
        <v>5</v>
      </c>
      <c r="J1098" s="34">
        <f t="shared" si="11"/>
        <v>45666</v>
      </c>
      <c r="K1098" s="5"/>
      <c r="L1098" s="5"/>
      <c r="M1098" s="5"/>
      <c r="N1098" s="5" t="s">
        <v>4</v>
      </c>
    </row>
    <row r="1099" spans="1:14" ht="21.75" customHeight="1" x14ac:dyDescent="0.25">
      <c r="A1099" s="1">
        <v>3194</v>
      </c>
      <c r="B1099" s="33">
        <v>45655</v>
      </c>
      <c r="D1099" s="4" t="s">
        <v>7</v>
      </c>
      <c r="F1099" s="5">
        <v>5</v>
      </c>
      <c r="H1099" s="34">
        <f t="shared" si="10"/>
        <v>45660</v>
      </c>
      <c r="I1099" s="5">
        <v>3</v>
      </c>
      <c r="J1099" s="34">
        <f t="shared" si="11"/>
        <v>45664</v>
      </c>
      <c r="K1099" s="5"/>
      <c r="L1099" s="5"/>
      <c r="M1099" s="5" t="s">
        <v>1</v>
      </c>
      <c r="N1099" s="5"/>
    </row>
    <row r="1100" spans="1:14" ht="21.75" customHeight="1" x14ac:dyDescent="0.25">
      <c r="A1100" s="1">
        <v>2882</v>
      </c>
      <c r="B1100" s="33">
        <v>45656</v>
      </c>
      <c r="D1100" s="4" t="s">
        <v>7</v>
      </c>
      <c r="F1100" s="5">
        <v>5</v>
      </c>
      <c r="H1100" s="34">
        <f t="shared" si="10"/>
        <v>45661</v>
      </c>
      <c r="I1100" s="5">
        <v>3</v>
      </c>
      <c r="J1100" s="34">
        <f t="shared" si="11"/>
        <v>45665</v>
      </c>
      <c r="K1100" s="5" t="s">
        <v>3</v>
      </c>
      <c r="L1100" s="5" t="s">
        <v>5</v>
      </c>
      <c r="M1100" s="5" t="s">
        <v>1</v>
      </c>
      <c r="N1100" s="5"/>
    </row>
    <row r="1101" spans="1:14" ht="21.75" customHeight="1" x14ac:dyDescent="0.25">
      <c r="A1101" s="1">
        <v>2949</v>
      </c>
      <c r="B1101" s="33">
        <v>45656</v>
      </c>
      <c r="D1101" s="4" t="s">
        <v>7</v>
      </c>
      <c r="F1101" s="5">
        <v>5</v>
      </c>
      <c r="H1101" s="34">
        <f t="shared" si="10"/>
        <v>45661</v>
      </c>
      <c r="I1101" s="5">
        <v>3</v>
      </c>
      <c r="J1101" s="34">
        <f t="shared" si="11"/>
        <v>45665</v>
      </c>
      <c r="K1101" s="5"/>
      <c r="L1101" s="5"/>
      <c r="M1101" s="5" t="s">
        <v>1</v>
      </c>
      <c r="N1101" s="5"/>
    </row>
    <row r="1102" spans="1:14" ht="21.75" customHeight="1" x14ac:dyDescent="0.25">
      <c r="A1102" s="1">
        <v>3194</v>
      </c>
      <c r="B1102" s="33">
        <v>45657</v>
      </c>
      <c r="D1102" s="4" t="s">
        <v>15</v>
      </c>
      <c r="F1102" s="5">
        <v>5</v>
      </c>
      <c r="H1102" s="34">
        <f t="shared" si="10"/>
        <v>45662</v>
      </c>
      <c r="I1102" s="5">
        <v>9</v>
      </c>
      <c r="J1102" s="34">
        <f t="shared" si="11"/>
        <v>45672</v>
      </c>
      <c r="K1102" s="5"/>
      <c r="L1102" s="5"/>
      <c r="M1102" s="5" t="s">
        <v>1</v>
      </c>
      <c r="N1102" s="5"/>
    </row>
    <row r="1103" spans="1:14" ht="21.75" customHeight="1" x14ac:dyDescent="0.25">
      <c r="A1103" s="1">
        <v>3476</v>
      </c>
      <c r="B1103" s="33">
        <v>45657</v>
      </c>
      <c r="D1103" s="4" t="s">
        <v>15</v>
      </c>
      <c r="F1103" s="5">
        <v>5</v>
      </c>
      <c r="H1103" s="34">
        <f t="shared" si="10"/>
        <v>45662</v>
      </c>
      <c r="I1103" s="5">
        <v>9</v>
      </c>
      <c r="J1103" s="34">
        <f t="shared" si="11"/>
        <v>45672</v>
      </c>
      <c r="K1103" s="5"/>
      <c r="L1103" s="5"/>
      <c r="M1103" s="5"/>
      <c r="N1103" s="5" t="s">
        <v>4</v>
      </c>
    </row>
    <row r="1104" spans="1:14" ht="21.75" customHeight="1" x14ac:dyDescent="0.25">
      <c r="A1104" s="1">
        <v>1867</v>
      </c>
      <c r="B1104" s="33">
        <v>45657</v>
      </c>
      <c r="D1104" s="4" t="s">
        <v>6</v>
      </c>
      <c r="F1104" s="5">
        <v>5</v>
      </c>
      <c r="H1104" s="34">
        <f t="shared" si="10"/>
        <v>45662</v>
      </c>
      <c r="I1104" s="5">
        <v>5</v>
      </c>
      <c r="J1104" s="34">
        <f t="shared" si="11"/>
        <v>45668</v>
      </c>
      <c r="K1104" s="5"/>
      <c r="L1104" s="5" t="s">
        <v>5</v>
      </c>
      <c r="M1104" s="5" t="s">
        <v>4</v>
      </c>
      <c r="N1104" s="5"/>
    </row>
    <row r="1105" spans="1:14" ht="21.75" customHeight="1" x14ac:dyDescent="0.25">
      <c r="A1105" s="1">
        <v>3304</v>
      </c>
      <c r="B1105" s="33">
        <v>45657</v>
      </c>
      <c r="D1105" s="4" t="s">
        <v>7</v>
      </c>
      <c r="F1105" s="5">
        <v>5</v>
      </c>
      <c r="H1105" s="34">
        <f t="shared" si="10"/>
        <v>45662</v>
      </c>
      <c r="I1105" s="5">
        <v>3</v>
      </c>
      <c r="J1105" s="34">
        <f t="shared" si="11"/>
        <v>45666</v>
      </c>
      <c r="K1105" s="5" t="s">
        <v>3</v>
      </c>
      <c r="L1105" s="5"/>
      <c r="M1105" s="5"/>
      <c r="N1105" s="5"/>
    </row>
    <row r="1106" spans="1:14" ht="21.75" customHeight="1" x14ac:dyDescent="0.25">
      <c r="A1106" s="1">
        <v>4419</v>
      </c>
      <c r="B1106" s="33">
        <v>45657</v>
      </c>
      <c r="D1106" s="4" t="s">
        <v>6</v>
      </c>
      <c r="F1106" s="5">
        <v>5</v>
      </c>
      <c r="H1106" s="34">
        <f t="shared" si="10"/>
        <v>45662</v>
      </c>
      <c r="I1106" s="5">
        <v>5</v>
      </c>
      <c r="J1106" s="34">
        <f t="shared" si="11"/>
        <v>45668</v>
      </c>
      <c r="K1106" s="5"/>
      <c r="L1106" s="5"/>
      <c r="M1106" s="5"/>
      <c r="N1106" s="5" t="s">
        <v>4</v>
      </c>
    </row>
    <row r="1107" spans="1:14" ht="21.75" customHeight="1" x14ac:dyDescent="0.25">
      <c r="A1107" s="1">
        <v>3836</v>
      </c>
      <c r="B1107" s="33">
        <v>45657</v>
      </c>
      <c r="D1107" s="4" t="s">
        <v>7</v>
      </c>
      <c r="F1107" s="5">
        <v>5</v>
      </c>
      <c r="H1107" s="34">
        <f t="shared" si="10"/>
        <v>45662</v>
      </c>
      <c r="I1107" s="5">
        <v>3</v>
      </c>
      <c r="J1107" s="34">
        <f t="shared" si="11"/>
        <v>45666</v>
      </c>
      <c r="K1107" s="5"/>
      <c r="L1107" s="5"/>
      <c r="M1107" s="5" t="s">
        <v>1</v>
      </c>
      <c r="N1107" s="5"/>
    </row>
    <row r="1121" s="38" customFormat="1" ht="21.75" customHeight="1" x14ac:dyDescent="0.25"/>
    <row r="1122" s="38" customFormat="1" ht="21.75" customHeight="1" x14ac:dyDescent="0.25"/>
    <row r="1123" s="38" customFormat="1" ht="21.75" customHeight="1" x14ac:dyDescent="0.25"/>
    <row r="1124" s="38" customFormat="1" ht="21.75" customHeight="1" x14ac:dyDescent="0.25"/>
    <row r="1125" s="38" customFormat="1" ht="21.75" customHeight="1" x14ac:dyDescent="0.25"/>
    <row r="1126" s="38" customFormat="1" ht="21.75" customHeight="1" x14ac:dyDescent="0.25"/>
    <row r="1127" s="38" customFormat="1" ht="21.75" customHeight="1" x14ac:dyDescent="0.25"/>
    <row r="1128" s="38" customFormat="1" ht="21.75" customHeight="1" x14ac:dyDescent="0.25"/>
    <row r="1129" s="38" customFormat="1" ht="21.75" customHeight="1" x14ac:dyDescent="0.25"/>
    <row r="1130" s="38" customFormat="1" ht="21.75" customHeight="1" x14ac:dyDescent="0.25"/>
    <row r="1131" s="38" customFormat="1" ht="21.75" customHeight="1" x14ac:dyDescent="0.25"/>
    <row r="1132" s="38" customFormat="1" ht="21.75" customHeight="1" x14ac:dyDescent="0.25"/>
    <row r="1133" s="38" customFormat="1" ht="21.75" customHeight="1" x14ac:dyDescent="0.25"/>
    <row r="1134" s="38" customFormat="1" ht="21.75" customHeight="1" x14ac:dyDescent="0.25"/>
    <row r="1135" s="38" customFormat="1" ht="21.75" customHeight="1" x14ac:dyDescent="0.25"/>
    <row r="1136" s="38" customFormat="1" ht="21.75" customHeight="1" x14ac:dyDescent="0.25"/>
    <row r="1137" s="38" customFormat="1" ht="21.75" customHeight="1" x14ac:dyDescent="0.25"/>
    <row r="1138" s="38" customFormat="1" ht="21.75" customHeight="1" x14ac:dyDescent="0.25"/>
    <row r="1139" s="38" customFormat="1" ht="21.75" customHeight="1" x14ac:dyDescent="0.25"/>
    <row r="1140" s="38" customFormat="1" ht="21.75" customHeight="1" x14ac:dyDescent="0.25"/>
    <row r="1141" s="38" customFormat="1" ht="21.75" customHeight="1" x14ac:dyDescent="0.25"/>
    <row r="1142" s="38" customFormat="1" ht="21.75" customHeight="1" x14ac:dyDescent="0.25"/>
    <row r="1143" s="38" customFormat="1" ht="21.75" customHeight="1" x14ac:dyDescent="0.25"/>
    <row r="1144" s="38" customFormat="1" ht="21.75" customHeight="1" x14ac:dyDescent="0.25"/>
    <row r="1145" s="38" customFormat="1" ht="21.75" customHeight="1" x14ac:dyDescent="0.25"/>
    <row r="1146" s="38" customFormat="1" ht="21.75" customHeight="1" x14ac:dyDescent="0.25"/>
    <row r="1147" s="38" customFormat="1" ht="21.75" customHeight="1" x14ac:dyDescent="0.25"/>
    <row r="1148" s="38" customFormat="1" ht="21.75" customHeight="1" x14ac:dyDescent="0.25"/>
    <row r="1149" s="38" customFormat="1" ht="21.75" customHeight="1" x14ac:dyDescent="0.25"/>
    <row r="1150" s="38" customFormat="1" ht="21.75" customHeight="1" x14ac:dyDescent="0.25"/>
    <row r="1151" s="38" customFormat="1" ht="21.75" customHeight="1" x14ac:dyDescent="0.25"/>
    <row r="1152" s="38" customFormat="1" ht="21.75" customHeight="1" x14ac:dyDescent="0.25"/>
    <row r="1153" s="38" customFormat="1" ht="21.75" customHeight="1" x14ac:dyDescent="0.25"/>
    <row r="1154" s="38" customFormat="1" ht="21.75" customHeight="1" x14ac:dyDescent="0.25"/>
    <row r="1155" s="38" customFormat="1" ht="21.75" customHeight="1" x14ac:dyDescent="0.25"/>
    <row r="1156" s="38" customFormat="1" ht="21.75" customHeight="1" x14ac:dyDescent="0.25"/>
    <row r="1157" s="38" customFormat="1" ht="21.75" customHeight="1" x14ac:dyDescent="0.25"/>
    <row r="1158" s="38" customFormat="1" ht="21.75" customHeight="1" x14ac:dyDescent="0.25"/>
    <row r="1159" s="38" customFormat="1" ht="21.75" customHeight="1" x14ac:dyDescent="0.25"/>
    <row r="1160" s="38" customFormat="1" ht="21.75" customHeight="1" x14ac:dyDescent="0.25"/>
    <row r="1161" s="38" customFormat="1" ht="21.75" customHeight="1" x14ac:dyDescent="0.25"/>
    <row r="1162" s="38" customFormat="1" ht="21.75" customHeight="1" x14ac:dyDescent="0.25"/>
    <row r="1163" s="38" customFormat="1" ht="21.75" customHeight="1" x14ac:dyDescent="0.25"/>
    <row r="1164" s="38" customFormat="1" ht="21.75" customHeight="1" x14ac:dyDescent="0.25"/>
    <row r="1165" s="38" customFormat="1" ht="21.75" customHeight="1" x14ac:dyDescent="0.25"/>
    <row r="1166" s="38" customFormat="1" ht="21.75" customHeight="1" x14ac:dyDescent="0.25"/>
    <row r="1167" s="38" customFormat="1" ht="21.75" customHeight="1" x14ac:dyDescent="0.25"/>
    <row r="1168" s="38" customFormat="1" ht="21.75" customHeight="1" x14ac:dyDescent="0.25"/>
    <row r="1169" s="38" customFormat="1" ht="21.75" customHeight="1" x14ac:dyDescent="0.25"/>
    <row r="1170" s="38" customFormat="1" ht="21.75" customHeight="1" x14ac:dyDescent="0.25"/>
    <row r="1171" s="38" customFormat="1" ht="21.75" customHeight="1" x14ac:dyDescent="0.25"/>
    <row r="1172" s="38" customFormat="1" ht="21.75" customHeight="1" x14ac:dyDescent="0.25"/>
    <row r="1173" s="38" customFormat="1" ht="21.75" customHeight="1" x14ac:dyDescent="0.25"/>
    <row r="1174" s="38" customFormat="1" ht="21.75" customHeight="1" x14ac:dyDescent="0.25"/>
    <row r="1175" s="38" customFormat="1" ht="21.75" customHeight="1" x14ac:dyDescent="0.25"/>
    <row r="1176" s="38" customFormat="1" ht="21.75" customHeight="1" x14ac:dyDescent="0.25"/>
    <row r="1177" s="38" customFormat="1" ht="21.75" customHeight="1" x14ac:dyDescent="0.25"/>
    <row r="1178" s="38" customFormat="1" ht="21.75" customHeight="1" x14ac:dyDescent="0.25"/>
    <row r="1179" s="38" customFormat="1" ht="21.75" customHeight="1" x14ac:dyDescent="0.25"/>
    <row r="1180" s="38" customFormat="1" ht="21.75" customHeight="1" x14ac:dyDescent="0.25"/>
    <row r="1181" s="38" customFormat="1" ht="21.75" customHeight="1" x14ac:dyDescent="0.25"/>
    <row r="1182" s="38" customFormat="1" ht="21.75" customHeight="1" x14ac:dyDescent="0.25"/>
    <row r="1183" s="38" customFormat="1" ht="21.75" customHeight="1" x14ac:dyDescent="0.25"/>
    <row r="1184" s="38" customFormat="1" ht="21.75" customHeight="1" x14ac:dyDescent="0.25"/>
    <row r="1185" s="38" customFormat="1" ht="21.75" customHeight="1" x14ac:dyDescent="0.25"/>
    <row r="1186" s="38" customFormat="1" ht="21.75" customHeight="1" x14ac:dyDescent="0.25"/>
    <row r="1187" s="38" customFormat="1" ht="21.75" customHeight="1" x14ac:dyDescent="0.25"/>
    <row r="1188" s="38" customFormat="1" ht="21.75" customHeight="1" x14ac:dyDescent="0.25"/>
    <row r="1189" s="38" customFormat="1" ht="21.75" customHeight="1" x14ac:dyDescent="0.25"/>
    <row r="1190" s="38" customFormat="1" ht="21.75" customHeight="1" x14ac:dyDescent="0.25"/>
    <row r="1191" s="38" customFormat="1" ht="21.75" customHeight="1" x14ac:dyDescent="0.25"/>
    <row r="1192" s="38" customFormat="1" ht="21.75" customHeight="1" x14ac:dyDescent="0.25"/>
    <row r="1193" s="38" customFormat="1" ht="21.75" customHeight="1" x14ac:dyDescent="0.25"/>
    <row r="1194" s="38" customFormat="1" ht="21.75" customHeight="1" x14ac:dyDescent="0.25"/>
    <row r="1195" s="38" customFormat="1" ht="21.75" customHeight="1" x14ac:dyDescent="0.25"/>
    <row r="1196" s="38" customFormat="1" ht="21.75" customHeight="1" x14ac:dyDescent="0.25"/>
    <row r="1197" s="38" customFormat="1" ht="21.75" customHeight="1" x14ac:dyDescent="0.25"/>
    <row r="1198" s="38" customFormat="1" ht="21.75" customHeight="1" x14ac:dyDescent="0.25"/>
    <row r="1199" s="38" customFormat="1" ht="21.75" customHeight="1" x14ac:dyDescent="0.25"/>
    <row r="1200" s="38" customFormat="1" ht="21.75" customHeight="1" x14ac:dyDescent="0.25"/>
    <row r="1201" s="38" customFormat="1" ht="21.75" customHeight="1" x14ac:dyDescent="0.25"/>
    <row r="1202" s="38" customFormat="1" ht="21.75" customHeight="1" x14ac:dyDescent="0.25"/>
    <row r="1203" s="38" customFormat="1" ht="21.75" customHeight="1" x14ac:dyDescent="0.25"/>
    <row r="1204" s="38" customFormat="1" ht="21.75" customHeight="1" x14ac:dyDescent="0.25"/>
    <row r="1205" s="38" customFormat="1" ht="21.75" customHeight="1" x14ac:dyDescent="0.25"/>
    <row r="1206" s="38" customFormat="1" ht="21.75" customHeight="1" x14ac:dyDescent="0.25"/>
    <row r="1207" s="38" customFormat="1" ht="21.75" customHeight="1" x14ac:dyDescent="0.25"/>
    <row r="1208" s="38" customFormat="1" ht="21.75" customHeight="1" x14ac:dyDescent="0.25"/>
    <row r="1209" s="38" customFormat="1" ht="21.75" customHeight="1" x14ac:dyDescent="0.25"/>
    <row r="1210" s="38" customFormat="1" ht="21.75" customHeight="1" x14ac:dyDescent="0.25"/>
    <row r="1211" s="38" customFormat="1" ht="21.75" customHeight="1" x14ac:dyDescent="0.25"/>
    <row r="1212" s="38" customFormat="1" ht="21.75" customHeight="1" x14ac:dyDescent="0.25"/>
    <row r="1213" s="38" customFormat="1" ht="21.75" customHeight="1" x14ac:dyDescent="0.25"/>
    <row r="1214" s="38" customFormat="1" ht="21.75" customHeight="1" x14ac:dyDescent="0.25"/>
    <row r="1215" s="38" customFormat="1" ht="21.75" customHeight="1" x14ac:dyDescent="0.25"/>
    <row r="1216" s="38" customFormat="1" ht="21.75" customHeight="1" x14ac:dyDescent="0.25"/>
    <row r="1217" s="38" customFormat="1" ht="21.75" customHeight="1" x14ac:dyDescent="0.25"/>
    <row r="1218" s="38" customFormat="1" ht="21.75" customHeight="1" x14ac:dyDescent="0.25"/>
    <row r="1219" s="38" customFormat="1" ht="21.75" customHeight="1" x14ac:dyDescent="0.25"/>
    <row r="1220" s="38" customFormat="1" ht="21.75" customHeight="1" x14ac:dyDescent="0.25"/>
    <row r="1221" s="38" customFormat="1" ht="21.75" customHeight="1" x14ac:dyDescent="0.25"/>
    <row r="1222" s="38" customFormat="1" ht="21.75" customHeight="1" x14ac:dyDescent="0.25"/>
    <row r="1223" s="38" customFormat="1" ht="21.75" customHeight="1" x14ac:dyDescent="0.25"/>
    <row r="1224" s="38" customFormat="1" ht="21.75" customHeight="1" x14ac:dyDescent="0.25"/>
    <row r="1225" s="38" customFormat="1" ht="21.75" customHeight="1" x14ac:dyDescent="0.25"/>
    <row r="1226" s="38" customFormat="1" ht="21.75" customHeight="1" x14ac:dyDescent="0.25"/>
    <row r="1227" s="38" customFormat="1" ht="21.75" customHeight="1" x14ac:dyDescent="0.25"/>
    <row r="1228" s="38" customFormat="1" ht="21.75" customHeight="1" x14ac:dyDescent="0.25"/>
    <row r="1229" s="38" customFormat="1" ht="21.75" customHeight="1" x14ac:dyDescent="0.25"/>
    <row r="1230" s="38" customFormat="1" ht="21.75" customHeight="1" x14ac:dyDescent="0.25"/>
    <row r="1231" s="38" customFormat="1" ht="21.75" customHeight="1" x14ac:dyDescent="0.25"/>
    <row r="1232" s="38" customFormat="1" ht="21.75" customHeight="1" x14ac:dyDescent="0.25"/>
    <row r="1233" s="38" customFormat="1" ht="21.75" customHeight="1" x14ac:dyDescent="0.25"/>
    <row r="1234" s="38" customFormat="1" ht="21.75" customHeight="1" x14ac:dyDescent="0.25"/>
    <row r="1235" s="38" customFormat="1" ht="21.75" customHeight="1" x14ac:dyDescent="0.25"/>
    <row r="1236" s="38" customFormat="1" ht="21.75" customHeight="1" x14ac:dyDescent="0.25"/>
    <row r="1237" s="38" customFormat="1" ht="21.75" customHeight="1" x14ac:dyDescent="0.25"/>
    <row r="1238" s="38" customFormat="1" ht="21.75" customHeight="1" x14ac:dyDescent="0.25"/>
    <row r="1239" s="38" customFormat="1" ht="21.75" customHeight="1" x14ac:dyDescent="0.25"/>
    <row r="1240" s="38" customFormat="1" ht="21.75" customHeight="1" x14ac:dyDescent="0.25"/>
    <row r="1241" s="38" customFormat="1" ht="21.75" customHeight="1" x14ac:dyDescent="0.25"/>
    <row r="1242" s="38" customFormat="1" ht="21.75" customHeight="1" x14ac:dyDescent="0.25"/>
    <row r="1243" s="38" customFormat="1" ht="21.75" customHeight="1" x14ac:dyDescent="0.25"/>
    <row r="1244" s="38" customFormat="1" ht="21.75" customHeight="1" x14ac:dyDescent="0.25"/>
    <row r="1245" s="38" customFormat="1" ht="21.75" customHeight="1" x14ac:dyDescent="0.25"/>
    <row r="1246" s="38" customFormat="1" ht="21.75" customHeight="1" x14ac:dyDescent="0.25"/>
    <row r="1247" s="38" customFormat="1" ht="21.75" customHeight="1" x14ac:dyDescent="0.25"/>
    <row r="1248" s="38" customFormat="1" ht="21.75" customHeight="1" x14ac:dyDescent="0.25"/>
    <row r="1249" s="38" customFormat="1" ht="21.75" customHeight="1" x14ac:dyDescent="0.25"/>
    <row r="1250" s="38" customFormat="1" ht="21.75" customHeight="1" x14ac:dyDescent="0.25"/>
    <row r="1251" s="38" customFormat="1" ht="21.75" customHeight="1" x14ac:dyDescent="0.25"/>
    <row r="1252" s="38" customFormat="1" ht="21.75" customHeight="1" x14ac:dyDescent="0.25"/>
    <row r="1253" s="38" customFormat="1" ht="21.75" customHeight="1" x14ac:dyDescent="0.25"/>
    <row r="1254" s="38" customFormat="1" ht="21.75" customHeight="1" x14ac:dyDescent="0.25"/>
    <row r="1255" s="38" customFormat="1" ht="21.75" customHeight="1" x14ac:dyDescent="0.25"/>
    <row r="1256" s="38" customFormat="1" ht="21.75" customHeight="1" x14ac:dyDescent="0.25"/>
    <row r="1257" s="38" customFormat="1" ht="21.75" customHeight="1" x14ac:dyDescent="0.25"/>
    <row r="1258" s="38" customFormat="1" ht="21.75" customHeight="1" x14ac:dyDescent="0.25"/>
    <row r="1259" s="38" customFormat="1" ht="21.75" customHeight="1" x14ac:dyDescent="0.25"/>
    <row r="1260" s="38" customFormat="1" ht="21.75" customHeight="1" x14ac:dyDescent="0.25"/>
    <row r="1261" s="38" customFormat="1" ht="21.75" customHeight="1" x14ac:dyDescent="0.25"/>
    <row r="1262" s="38" customFormat="1" ht="21.75" customHeight="1" x14ac:dyDescent="0.25"/>
    <row r="1263" s="38" customFormat="1" ht="21.75" customHeight="1" x14ac:dyDescent="0.25"/>
    <row r="1264" s="38" customFormat="1" ht="21.75" customHeight="1" x14ac:dyDescent="0.25"/>
    <row r="1265" s="38" customFormat="1" ht="21.75" customHeight="1" x14ac:dyDescent="0.25"/>
    <row r="1266" s="38" customFormat="1" ht="21.75" customHeight="1" x14ac:dyDescent="0.25"/>
    <row r="1267" s="38" customFormat="1" ht="21.75" customHeight="1" x14ac:dyDescent="0.25"/>
    <row r="1268" s="38" customFormat="1" ht="21.75" customHeight="1" x14ac:dyDescent="0.25"/>
    <row r="1269" s="38" customFormat="1" ht="21.75" customHeight="1" x14ac:dyDescent="0.25"/>
    <row r="1270" s="38" customFormat="1" ht="21.75" customHeight="1" x14ac:dyDescent="0.25"/>
    <row r="1271" s="38" customFormat="1" ht="21.75" customHeight="1" x14ac:dyDescent="0.25"/>
    <row r="1272" s="38" customFormat="1" ht="21.75" customHeight="1" x14ac:dyDescent="0.25"/>
    <row r="1273" s="38" customFormat="1" ht="21.75" customHeight="1" x14ac:dyDescent="0.25"/>
    <row r="1274" s="38" customFormat="1" ht="21.75" customHeight="1" x14ac:dyDescent="0.25"/>
    <row r="1275" s="38" customFormat="1" ht="21.75" customHeight="1" x14ac:dyDescent="0.25"/>
    <row r="1276" s="38" customFormat="1" ht="21.75" customHeight="1" x14ac:dyDescent="0.25"/>
    <row r="1277" s="38" customFormat="1" ht="21.75" customHeight="1" x14ac:dyDescent="0.25"/>
    <row r="1278" s="38" customFormat="1" ht="21.75" customHeight="1" x14ac:dyDescent="0.25"/>
    <row r="1279" s="38" customFormat="1" ht="21.75" customHeight="1" x14ac:dyDescent="0.25"/>
    <row r="1280" s="38" customFormat="1" ht="21.75" customHeight="1" x14ac:dyDescent="0.25"/>
    <row r="1281" s="38" customFormat="1" ht="21.75" customHeight="1" x14ac:dyDescent="0.25"/>
    <row r="1282" s="38" customFormat="1" ht="21.75" customHeight="1" x14ac:dyDescent="0.25"/>
    <row r="1283" s="38" customFormat="1" ht="21.75" customHeight="1" x14ac:dyDescent="0.25"/>
    <row r="1284" s="38" customFormat="1" ht="21.75" customHeight="1" x14ac:dyDescent="0.25"/>
    <row r="1285" s="38" customFormat="1" ht="21.75" customHeight="1" x14ac:dyDescent="0.25"/>
    <row r="1286" s="38" customFormat="1" ht="21.75" customHeight="1" x14ac:dyDescent="0.25"/>
    <row r="1287" s="38" customFormat="1" ht="21.75" customHeight="1" x14ac:dyDescent="0.25"/>
    <row r="1288" s="38" customFormat="1" ht="21.75" customHeight="1" x14ac:dyDescent="0.25"/>
    <row r="1289" s="38" customFormat="1" ht="21.75" customHeight="1" x14ac:dyDescent="0.25"/>
    <row r="1290" s="38" customFormat="1" ht="21.75" customHeight="1" x14ac:dyDescent="0.25"/>
    <row r="1291" s="38" customFormat="1" ht="21.75" customHeight="1" x14ac:dyDescent="0.25"/>
    <row r="1292" s="38" customFormat="1" ht="21.75" customHeight="1" x14ac:dyDescent="0.25"/>
    <row r="1293" s="38" customFormat="1" ht="21.75" customHeight="1" x14ac:dyDescent="0.25"/>
    <row r="1294" s="38" customFormat="1" ht="21.75" customHeight="1" x14ac:dyDescent="0.25"/>
    <row r="1295" s="38" customFormat="1" ht="21.75" customHeight="1" x14ac:dyDescent="0.25"/>
    <row r="1296" s="38" customFormat="1" ht="21.75" customHeight="1" x14ac:dyDescent="0.25"/>
    <row r="1310" spans="4:4" ht="21.75" customHeight="1" x14ac:dyDescent="0.25">
      <c r="D1310" s="9" t="s">
        <v>7</v>
      </c>
    </row>
    <row r="1311" spans="4:4" ht="21.75" customHeight="1" x14ac:dyDescent="0.25">
      <c r="D1311" s="9" t="s">
        <v>7</v>
      </c>
    </row>
    <row r="1312" spans="4:4" ht="21.75" customHeight="1" x14ac:dyDescent="0.25">
      <c r="D1312" s="4" t="s">
        <v>0</v>
      </c>
    </row>
    <row r="1313" spans="4:4" ht="21.75" customHeight="1" x14ac:dyDescent="0.25">
      <c r="D1313" s="4" t="s">
        <v>0</v>
      </c>
    </row>
    <row r="1314" spans="4:4" ht="21.75" customHeight="1" x14ac:dyDescent="0.25">
      <c r="D1314" s="9" t="s">
        <v>7</v>
      </c>
    </row>
    <row r="1315" spans="4:4" ht="21.75" customHeight="1" x14ac:dyDescent="0.25">
      <c r="D1315" s="9" t="s">
        <v>7</v>
      </c>
    </row>
    <row r="1316" spans="4:4" ht="21.75" customHeight="1" x14ac:dyDescent="0.25">
      <c r="D1316" s="4" t="s">
        <v>2</v>
      </c>
    </row>
    <row r="1317" spans="4:4" ht="21.75" customHeight="1" x14ac:dyDescent="0.25">
      <c r="D1317" s="4" t="s">
        <v>0</v>
      </c>
    </row>
    <row r="1318" spans="4:4" ht="21.75" customHeight="1" x14ac:dyDescent="0.25">
      <c r="D1318" s="4" t="s">
        <v>2</v>
      </c>
    </row>
    <row r="1319" spans="4:4" ht="21.75" customHeight="1" x14ac:dyDescent="0.25">
      <c r="D1319" s="9" t="s">
        <v>7</v>
      </c>
    </row>
    <row r="1320" spans="4:4" ht="21.75" customHeight="1" x14ac:dyDescent="0.25">
      <c r="D1320" s="4" t="s">
        <v>13</v>
      </c>
    </row>
    <row r="1321" spans="4:4" ht="21.75" customHeight="1" x14ac:dyDescent="0.25">
      <c r="D1321" s="4" t="s">
        <v>0</v>
      </c>
    </row>
    <row r="1322" spans="4:4" ht="21.75" customHeight="1" x14ac:dyDescent="0.25">
      <c r="D1322" s="4" t="s">
        <v>2</v>
      </c>
    </row>
    <row r="1323" spans="4:4" ht="21.75" customHeight="1" x14ac:dyDescent="0.25">
      <c r="D1323" s="9" t="s">
        <v>7</v>
      </c>
    </row>
    <row r="1324" spans="4:4" ht="21.75" customHeight="1" x14ac:dyDescent="0.25">
      <c r="D1324" s="9" t="s">
        <v>7</v>
      </c>
    </row>
    <row r="1325" spans="4:4" ht="21.75" customHeight="1" x14ac:dyDescent="0.25">
      <c r="D1325" s="9" t="s">
        <v>7</v>
      </c>
    </row>
    <row r="1326" spans="4:4" ht="21.75" customHeight="1" x14ac:dyDescent="0.25">
      <c r="D1326" s="9" t="s">
        <v>7</v>
      </c>
    </row>
    <row r="1327" spans="4:4" ht="21.75" customHeight="1" x14ac:dyDescent="0.25">
      <c r="D1327" s="9" t="s">
        <v>7</v>
      </c>
    </row>
    <row r="1328" spans="4:4" ht="21.75" customHeight="1" x14ac:dyDescent="0.25">
      <c r="D1328" s="4" t="s">
        <v>13</v>
      </c>
    </row>
    <row r="1329" spans="4:4" ht="21.75" customHeight="1" x14ac:dyDescent="0.25">
      <c r="D1329" s="9" t="s">
        <v>7</v>
      </c>
    </row>
    <row r="1330" spans="4:4" ht="21.75" customHeight="1" x14ac:dyDescent="0.25">
      <c r="D1330" s="4" t="s">
        <v>2</v>
      </c>
    </row>
    <row r="1331" spans="4:4" ht="21.75" customHeight="1" x14ac:dyDescent="0.25">
      <c r="D1331" s="4" t="s">
        <v>2</v>
      </c>
    </row>
    <row r="1332" spans="4:4" ht="21.75" customHeight="1" x14ac:dyDescent="0.25">
      <c r="D1332" s="4" t="s">
        <v>2</v>
      </c>
    </row>
    <row r="1333" spans="4:4" ht="21.75" customHeight="1" x14ac:dyDescent="0.25">
      <c r="D1333" s="9" t="s">
        <v>7</v>
      </c>
    </row>
    <row r="1334" spans="4:4" ht="21.75" customHeight="1" x14ac:dyDescent="0.25">
      <c r="D1334" s="9" t="s">
        <v>7</v>
      </c>
    </row>
    <row r="1335" spans="4:4" ht="21.75" customHeight="1" x14ac:dyDescent="0.25">
      <c r="D1335" s="9" t="s">
        <v>7</v>
      </c>
    </row>
    <row r="1336" spans="4:4" ht="21.75" customHeight="1" x14ac:dyDescent="0.25">
      <c r="D1336" s="9" t="s">
        <v>7</v>
      </c>
    </row>
    <row r="1337" spans="4:4" ht="21.75" customHeight="1" x14ac:dyDescent="0.25">
      <c r="D1337" s="9" t="s">
        <v>7</v>
      </c>
    </row>
    <row r="1338" spans="4:4" ht="21.75" customHeight="1" x14ac:dyDescent="0.25">
      <c r="D1338" s="4" t="s">
        <v>2</v>
      </c>
    </row>
    <row r="1339" spans="4:4" ht="21.75" customHeight="1" x14ac:dyDescent="0.25">
      <c r="D1339" s="9" t="s">
        <v>7</v>
      </c>
    </row>
    <row r="1340" spans="4:4" ht="21.75" customHeight="1" x14ac:dyDescent="0.25">
      <c r="D1340" s="4" t="s">
        <v>13</v>
      </c>
    </row>
    <row r="1341" spans="4:4" ht="21.75" customHeight="1" x14ac:dyDescent="0.25">
      <c r="D1341" s="9" t="s">
        <v>7</v>
      </c>
    </row>
    <row r="1342" spans="4:4" ht="21.75" customHeight="1" x14ac:dyDescent="0.25">
      <c r="D1342" s="9" t="s">
        <v>7</v>
      </c>
    </row>
    <row r="1343" spans="4:4" ht="21.75" customHeight="1" x14ac:dyDescent="0.25">
      <c r="D1343" s="4" t="s">
        <v>2</v>
      </c>
    </row>
    <row r="1344" spans="4:4" ht="21.75" customHeight="1" x14ac:dyDescent="0.25">
      <c r="D1344" s="4" t="s">
        <v>2</v>
      </c>
    </row>
    <row r="1345" spans="4:4" ht="21.75" customHeight="1" x14ac:dyDescent="0.25">
      <c r="D1345" s="4" t="s">
        <v>7</v>
      </c>
    </row>
    <row r="1346" spans="4:4" ht="21.75" customHeight="1" x14ac:dyDescent="0.25">
      <c r="D1346" s="4" t="s">
        <v>6</v>
      </c>
    </row>
    <row r="1347" spans="4:4" ht="21.75" customHeight="1" x14ac:dyDescent="0.25">
      <c r="D1347" s="4" t="s">
        <v>2</v>
      </c>
    </row>
    <row r="1348" spans="4:4" ht="21.75" customHeight="1" x14ac:dyDescent="0.25">
      <c r="D1348" s="4" t="s">
        <v>2</v>
      </c>
    </row>
    <row r="1349" spans="4:4" ht="21.75" customHeight="1" x14ac:dyDescent="0.25">
      <c r="D1349" s="4" t="s">
        <v>2</v>
      </c>
    </row>
    <row r="1350" spans="4:4" ht="21.75" customHeight="1" x14ac:dyDescent="0.25">
      <c r="D1350" s="4" t="s">
        <v>2</v>
      </c>
    </row>
    <row r="1351" spans="4:4" ht="21.75" customHeight="1" x14ac:dyDescent="0.25">
      <c r="D1351" s="4" t="s">
        <v>2</v>
      </c>
    </row>
    <row r="1352" spans="4:4" ht="21.75" customHeight="1" x14ac:dyDescent="0.25">
      <c r="D1352" s="4" t="s">
        <v>7</v>
      </c>
    </row>
    <row r="1353" spans="4:4" ht="21.75" customHeight="1" x14ac:dyDescent="0.25">
      <c r="D1353" s="4" t="s">
        <v>2</v>
      </c>
    </row>
    <row r="1354" spans="4:4" ht="21.75" customHeight="1" x14ac:dyDescent="0.25">
      <c r="D1354" s="4" t="s">
        <v>7</v>
      </c>
    </row>
    <row r="1355" spans="4:4" ht="21.75" customHeight="1" x14ac:dyDescent="0.25">
      <c r="D1355" s="4" t="s">
        <v>6</v>
      </c>
    </row>
    <row r="1356" spans="4:4" ht="21.75" customHeight="1" x14ac:dyDescent="0.25">
      <c r="D1356" s="4" t="s">
        <v>6</v>
      </c>
    </row>
    <row r="1357" spans="4:4" ht="21.75" customHeight="1" x14ac:dyDescent="0.25">
      <c r="D1357" s="4" t="s">
        <v>2</v>
      </c>
    </row>
    <row r="1358" spans="4:4" ht="21.75" customHeight="1" x14ac:dyDescent="0.25">
      <c r="D1358" s="4" t="s">
        <v>14</v>
      </c>
    </row>
    <row r="1359" spans="4:4" ht="21.75" customHeight="1" x14ac:dyDescent="0.25">
      <c r="D1359" s="4" t="s">
        <v>14</v>
      </c>
    </row>
    <row r="1360" spans="4:4" ht="21.75" customHeight="1" x14ac:dyDescent="0.25">
      <c r="D1360" s="4" t="s">
        <v>7</v>
      </c>
    </row>
    <row r="1361" spans="4:4" ht="21.75" customHeight="1" x14ac:dyDescent="0.25">
      <c r="D1361" s="4" t="s">
        <v>7</v>
      </c>
    </row>
    <row r="1362" spans="4:4" ht="21.75" customHeight="1" x14ac:dyDescent="0.25">
      <c r="D1362" s="4" t="s">
        <v>7</v>
      </c>
    </row>
    <row r="1363" spans="4:4" ht="21.75" customHeight="1" x14ac:dyDescent="0.25">
      <c r="D1363" s="4" t="s">
        <v>7</v>
      </c>
    </row>
    <row r="1364" spans="4:4" ht="21.75" customHeight="1" x14ac:dyDescent="0.25">
      <c r="D1364" s="4" t="s">
        <v>7</v>
      </c>
    </row>
    <row r="1365" spans="4:4" ht="21.75" customHeight="1" x14ac:dyDescent="0.25">
      <c r="D1365" s="4" t="s">
        <v>7</v>
      </c>
    </row>
    <row r="1366" spans="4:4" ht="21.75" customHeight="1" x14ac:dyDescent="0.25">
      <c r="D1366" s="4" t="s">
        <v>13</v>
      </c>
    </row>
    <row r="1367" spans="4:4" ht="21.75" customHeight="1" x14ac:dyDescent="0.25">
      <c r="D1367" s="4" t="s">
        <v>7</v>
      </c>
    </row>
    <row r="1368" spans="4:4" ht="21.75" customHeight="1" x14ac:dyDescent="0.25">
      <c r="D1368" s="4" t="s">
        <v>13</v>
      </c>
    </row>
    <row r="1369" spans="4:4" ht="21.75" customHeight="1" x14ac:dyDescent="0.25">
      <c r="D1369" s="4" t="s">
        <v>2</v>
      </c>
    </row>
    <row r="1370" spans="4:4" ht="21.75" customHeight="1" x14ac:dyDescent="0.25">
      <c r="D1370" s="4" t="s">
        <v>2</v>
      </c>
    </row>
    <row r="1371" spans="4:4" ht="21.75" customHeight="1" x14ac:dyDescent="0.25">
      <c r="D1371" s="4" t="s">
        <v>7</v>
      </c>
    </row>
    <row r="1372" spans="4:4" ht="21.75" customHeight="1" x14ac:dyDescent="0.25">
      <c r="D1372" s="4" t="s">
        <v>7</v>
      </c>
    </row>
    <row r="1373" spans="4:4" ht="21.75" customHeight="1" x14ac:dyDescent="0.25">
      <c r="D1373" s="4" t="s">
        <v>7</v>
      </c>
    </row>
    <row r="1374" spans="4:4" ht="21.75" customHeight="1" x14ac:dyDescent="0.25">
      <c r="D1374" s="4" t="s">
        <v>6</v>
      </c>
    </row>
    <row r="1375" spans="4:4" ht="21.75" customHeight="1" x14ac:dyDescent="0.25">
      <c r="D1375" s="4" t="s">
        <v>2</v>
      </c>
    </row>
    <row r="1376" spans="4:4" ht="21.75" customHeight="1" x14ac:dyDescent="0.25">
      <c r="D1376" s="4" t="s">
        <v>10</v>
      </c>
    </row>
    <row r="1377" spans="4:4" ht="21.75" customHeight="1" x14ac:dyDescent="0.25">
      <c r="D1377" s="4" t="s">
        <v>7</v>
      </c>
    </row>
    <row r="1378" spans="4:4" ht="21.75" customHeight="1" x14ac:dyDescent="0.25">
      <c r="D1378" s="4" t="s">
        <v>7</v>
      </c>
    </row>
    <row r="1379" spans="4:4" ht="21.75" customHeight="1" x14ac:dyDescent="0.25">
      <c r="D1379" s="4" t="s">
        <v>7</v>
      </c>
    </row>
    <row r="1380" spans="4:4" ht="21.75" customHeight="1" x14ac:dyDescent="0.25">
      <c r="D1380" s="4" t="s">
        <v>2</v>
      </c>
    </row>
    <row r="1381" spans="4:4" ht="21.75" customHeight="1" x14ac:dyDescent="0.25">
      <c r="D1381" s="4" t="s">
        <v>8</v>
      </c>
    </row>
    <row r="1382" spans="4:4" ht="21.75" customHeight="1" x14ac:dyDescent="0.25">
      <c r="D1382" s="4" t="s">
        <v>7</v>
      </c>
    </row>
    <row r="1383" spans="4:4" ht="21.75" customHeight="1" x14ac:dyDescent="0.25">
      <c r="D1383" s="4" t="s">
        <v>7</v>
      </c>
    </row>
    <row r="1384" spans="4:4" ht="21.75" customHeight="1" x14ac:dyDescent="0.25">
      <c r="D1384" s="4" t="s">
        <v>7</v>
      </c>
    </row>
    <row r="1385" spans="4:4" ht="21.75" customHeight="1" x14ac:dyDescent="0.25">
      <c r="D1385" s="4" t="s">
        <v>2</v>
      </c>
    </row>
    <row r="1386" spans="4:4" ht="21.75" customHeight="1" x14ac:dyDescent="0.25">
      <c r="D1386" s="4" t="s">
        <v>7</v>
      </c>
    </row>
    <row r="1387" spans="4:4" ht="21.75" customHeight="1" x14ac:dyDescent="0.25">
      <c r="D1387" s="4" t="s">
        <v>7</v>
      </c>
    </row>
    <row r="1388" spans="4:4" ht="21.75" customHeight="1" x14ac:dyDescent="0.25">
      <c r="D1388" s="4" t="s">
        <v>7</v>
      </c>
    </row>
    <row r="1389" spans="4:4" ht="21.75" customHeight="1" x14ac:dyDescent="0.25">
      <c r="D1389" s="4" t="s">
        <v>7</v>
      </c>
    </row>
    <row r="1390" spans="4:4" ht="21.75" customHeight="1" x14ac:dyDescent="0.25">
      <c r="D1390" s="4" t="s">
        <v>2</v>
      </c>
    </row>
    <row r="1391" spans="4:4" ht="21.75" customHeight="1" x14ac:dyDescent="0.25">
      <c r="D1391" s="4" t="s">
        <v>10</v>
      </c>
    </row>
    <row r="1392" spans="4:4" ht="21.75" customHeight="1" x14ac:dyDescent="0.25">
      <c r="D1392" s="4" t="s">
        <v>10</v>
      </c>
    </row>
    <row r="1393" spans="4:4" ht="21.75" customHeight="1" x14ac:dyDescent="0.25">
      <c r="D1393" s="4" t="s">
        <v>10</v>
      </c>
    </row>
    <row r="1394" spans="4:4" ht="21.75" customHeight="1" x14ac:dyDescent="0.25">
      <c r="D1394" s="4" t="s">
        <v>2</v>
      </c>
    </row>
    <row r="1395" spans="4:4" ht="21.75" customHeight="1" x14ac:dyDescent="0.25">
      <c r="D1395" s="4" t="s">
        <v>10</v>
      </c>
    </row>
    <row r="1396" spans="4:4" ht="21.75" customHeight="1" x14ac:dyDescent="0.25">
      <c r="D1396" s="4" t="s">
        <v>7</v>
      </c>
    </row>
    <row r="1397" spans="4:4" ht="21.75" customHeight="1" x14ac:dyDescent="0.25">
      <c r="D1397" s="4" t="s">
        <v>7</v>
      </c>
    </row>
    <row r="1398" spans="4:4" ht="21.75" customHeight="1" x14ac:dyDescent="0.25">
      <c r="D1398" s="4" t="s">
        <v>7</v>
      </c>
    </row>
    <row r="1399" spans="4:4" ht="21.75" customHeight="1" x14ac:dyDescent="0.25">
      <c r="D1399" s="4" t="s">
        <v>7</v>
      </c>
    </row>
    <row r="1400" spans="4:4" ht="21.75" customHeight="1" x14ac:dyDescent="0.25">
      <c r="D1400" s="4" t="s">
        <v>7</v>
      </c>
    </row>
    <row r="1401" spans="4:4" ht="21.75" customHeight="1" x14ac:dyDescent="0.25">
      <c r="D1401" s="4" t="s">
        <v>7</v>
      </c>
    </row>
    <row r="1402" spans="4:4" ht="21.75" customHeight="1" x14ac:dyDescent="0.25">
      <c r="D1402" s="4" t="s">
        <v>2</v>
      </c>
    </row>
    <row r="1403" spans="4:4" ht="21.75" customHeight="1" x14ac:dyDescent="0.25">
      <c r="D1403" s="4" t="s">
        <v>7</v>
      </c>
    </row>
    <row r="1404" spans="4:4" ht="21.75" customHeight="1" x14ac:dyDescent="0.25">
      <c r="D1404" s="4" t="s">
        <v>0</v>
      </c>
    </row>
    <row r="1405" spans="4:4" ht="21.75" customHeight="1" x14ac:dyDescent="0.25">
      <c r="D1405" s="4" t="s">
        <v>7</v>
      </c>
    </row>
    <row r="1406" spans="4:4" ht="21.75" customHeight="1" x14ac:dyDescent="0.25">
      <c r="D1406" s="4" t="s">
        <v>15</v>
      </c>
    </row>
    <row r="1407" spans="4:4" ht="21.75" customHeight="1" x14ac:dyDescent="0.25">
      <c r="D1407" s="4" t="s">
        <v>15</v>
      </c>
    </row>
    <row r="1408" spans="4:4" ht="21.75" customHeight="1" x14ac:dyDescent="0.25">
      <c r="D1408" s="4" t="s">
        <v>15</v>
      </c>
    </row>
    <row r="1409" spans="4:4" ht="21.75" customHeight="1" x14ac:dyDescent="0.25">
      <c r="D1409" s="4" t="s">
        <v>15</v>
      </c>
    </row>
    <row r="1410" spans="4:4" ht="21.75" customHeight="1" x14ac:dyDescent="0.25">
      <c r="D1410" s="4" t="s">
        <v>2</v>
      </c>
    </row>
    <row r="1411" spans="4:4" ht="21.75" customHeight="1" x14ac:dyDescent="0.25">
      <c r="D1411" s="4" t="s">
        <v>16</v>
      </c>
    </row>
    <row r="1412" spans="4:4" ht="21.75" customHeight="1" x14ac:dyDescent="0.25">
      <c r="D1412" s="4" t="s">
        <v>7</v>
      </c>
    </row>
    <row r="1413" spans="4:4" ht="21.75" customHeight="1" x14ac:dyDescent="0.25">
      <c r="D1413" s="4" t="s">
        <v>7</v>
      </c>
    </row>
    <row r="1414" spans="4:4" ht="21.75" customHeight="1" x14ac:dyDescent="0.25">
      <c r="D1414" s="4" t="s">
        <v>2</v>
      </c>
    </row>
    <row r="1415" spans="4:4" ht="21.75" customHeight="1" x14ac:dyDescent="0.25">
      <c r="D1415" s="4" t="s">
        <v>0</v>
      </c>
    </row>
    <row r="1416" spans="4:4" ht="21.75" customHeight="1" x14ac:dyDescent="0.25">
      <c r="D1416" s="4" t="s">
        <v>0</v>
      </c>
    </row>
    <row r="1417" spans="4:4" ht="21.75" customHeight="1" x14ac:dyDescent="0.25">
      <c r="D1417" s="4" t="s">
        <v>7</v>
      </c>
    </row>
    <row r="1418" spans="4:4" ht="21.75" customHeight="1" x14ac:dyDescent="0.25">
      <c r="D1418" s="4" t="s">
        <v>7</v>
      </c>
    </row>
    <row r="1419" spans="4:4" ht="21.75" customHeight="1" x14ac:dyDescent="0.25">
      <c r="D1419" s="4" t="s">
        <v>7</v>
      </c>
    </row>
    <row r="1420" spans="4:4" ht="21.75" customHeight="1" x14ac:dyDescent="0.25">
      <c r="D1420" s="4" t="s">
        <v>2</v>
      </c>
    </row>
    <row r="1421" spans="4:4" ht="21.75" customHeight="1" x14ac:dyDescent="0.25">
      <c r="D1421" s="4" t="s">
        <v>7</v>
      </c>
    </row>
    <row r="1422" spans="4:4" ht="21.75" customHeight="1" x14ac:dyDescent="0.25">
      <c r="D1422" s="4" t="s">
        <v>7</v>
      </c>
    </row>
    <row r="1423" spans="4:4" ht="21.75" customHeight="1" x14ac:dyDescent="0.25">
      <c r="D1423" s="4" t="s">
        <v>10</v>
      </c>
    </row>
    <row r="1424" spans="4:4" ht="21.75" customHeight="1" x14ac:dyDescent="0.25">
      <c r="D1424" s="4" t="s">
        <v>7</v>
      </c>
    </row>
    <row r="1425" spans="4:4" ht="21.75" customHeight="1" x14ac:dyDescent="0.25">
      <c r="D1425" s="4" t="s">
        <v>7</v>
      </c>
    </row>
    <row r="1426" spans="4:4" ht="21.75" customHeight="1" x14ac:dyDescent="0.25">
      <c r="D1426" s="4" t="s">
        <v>6</v>
      </c>
    </row>
    <row r="1427" spans="4:4" ht="21.75" customHeight="1" x14ac:dyDescent="0.25">
      <c r="D1427" s="4" t="s">
        <v>7</v>
      </c>
    </row>
    <row r="1428" spans="4:4" ht="21.75" customHeight="1" x14ac:dyDescent="0.25">
      <c r="D1428" s="4" t="s">
        <v>7</v>
      </c>
    </row>
    <row r="1429" spans="4:4" ht="21.75" customHeight="1" x14ac:dyDescent="0.25">
      <c r="D1429" s="4" t="s">
        <v>13</v>
      </c>
    </row>
    <row r="1430" spans="4:4" ht="21.75" customHeight="1" x14ac:dyDescent="0.25">
      <c r="D1430" s="4" t="s">
        <v>13</v>
      </c>
    </row>
    <row r="1431" spans="4:4" ht="21.75" customHeight="1" x14ac:dyDescent="0.25">
      <c r="D1431" s="4" t="s">
        <v>15</v>
      </c>
    </row>
    <row r="1432" spans="4:4" ht="21.75" customHeight="1" x14ac:dyDescent="0.25">
      <c r="D1432" s="4" t="s">
        <v>15</v>
      </c>
    </row>
    <row r="1433" spans="4:4" ht="21.75" customHeight="1" x14ac:dyDescent="0.25">
      <c r="D1433" s="4" t="s">
        <v>7</v>
      </c>
    </row>
    <row r="1434" spans="4:4" ht="21.75" customHeight="1" x14ac:dyDescent="0.25">
      <c r="D1434" s="4" t="s">
        <v>7</v>
      </c>
    </row>
    <row r="1435" spans="4:4" ht="21.75" customHeight="1" x14ac:dyDescent="0.25">
      <c r="D1435" s="4" t="s">
        <v>7</v>
      </c>
    </row>
    <row r="1436" spans="4:4" ht="21.75" customHeight="1" x14ac:dyDescent="0.25">
      <c r="D1436" s="4" t="s">
        <v>7</v>
      </c>
    </row>
    <row r="1437" spans="4:4" ht="21.75" customHeight="1" x14ac:dyDescent="0.25">
      <c r="D1437" s="4" t="s">
        <v>7</v>
      </c>
    </row>
    <row r="1438" spans="4:4" ht="21.75" customHeight="1" x14ac:dyDescent="0.25">
      <c r="D1438" s="4" t="s">
        <v>7</v>
      </c>
    </row>
    <row r="1439" spans="4:4" ht="21.75" customHeight="1" x14ac:dyDescent="0.25">
      <c r="D1439" s="4" t="s">
        <v>7</v>
      </c>
    </row>
    <row r="1440" spans="4:4" ht="21.75" customHeight="1" x14ac:dyDescent="0.25">
      <c r="D1440" s="4" t="s">
        <v>7</v>
      </c>
    </row>
    <row r="1441" spans="4:4" ht="21.75" customHeight="1" x14ac:dyDescent="0.25">
      <c r="D1441" s="4" t="s">
        <v>13</v>
      </c>
    </row>
    <row r="1442" spans="4:4" ht="21.75" customHeight="1" x14ac:dyDescent="0.25">
      <c r="D1442" s="4" t="s">
        <v>13</v>
      </c>
    </row>
    <row r="1443" spans="4:4" ht="21.75" customHeight="1" x14ac:dyDescent="0.25">
      <c r="D1443" s="4" t="s">
        <v>13</v>
      </c>
    </row>
    <row r="1444" spans="4:4" ht="21.75" customHeight="1" x14ac:dyDescent="0.25">
      <c r="D1444" s="4" t="s">
        <v>13</v>
      </c>
    </row>
    <row r="1445" spans="4:4" ht="21.75" customHeight="1" x14ac:dyDescent="0.25">
      <c r="D1445" s="4" t="s">
        <v>7</v>
      </c>
    </row>
    <row r="1446" spans="4:4" ht="21.75" customHeight="1" x14ac:dyDescent="0.25">
      <c r="D1446" s="4" t="s">
        <v>7</v>
      </c>
    </row>
    <row r="1447" spans="4:4" ht="21.75" customHeight="1" x14ac:dyDescent="0.25">
      <c r="D1447" s="4" t="s">
        <v>2</v>
      </c>
    </row>
    <row r="1448" spans="4:4" ht="21.75" customHeight="1" x14ac:dyDescent="0.25">
      <c r="D1448" s="4" t="s">
        <v>2</v>
      </c>
    </row>
    <row r="1449" spans="4:4" ht="21.75" customHeight="1" x14ac:dyDescent="0.25">
      <c r="D1449" s="4" t="s">
        <v>2</v>
      </c>
    </row>
    <row r="1450" spans="4:4" ht="21.75" customHeight="1" x14ac:dyDescent="0.25">
      <c r="D1450" s="4" t="s">
        <v>17</v>
      </c>
    </row>
    <row r="1451" spans="4:4" ht="21.75" customHeight="1" x14ac:dyDescent="0.25">
      <c r="D1451" s="4" t="s">
        <v>17</v>
      </c>
    </row>
    <row r="1452" spans="4:4" ht="21.75" customHeight="1" x14ac:dyDescent="0.25">
      <c r="D1452" s="4" t="s">
        <v>7</v>
      </c>
    </row>
    <row r="1453" spans="4:4" ht="21.75" customHeight="1" x14ac:dyDescent="0.25">
      <c r="D1453" s="4" t="s">
        <v>7</v>
      </c>
    </row>
    <row r="1454" spans="4:4" ht="21.75" customHeight="1" x14ac:dyDescent="0.25">
      <c r="D1454" s="4" t="s">
        <v>7</v>
      </c>
    </row>
    <row r="1455" spans="4:4" ht="21.75" customHeight="1" x14ac:dyDescent="0.25">
      <c r="D1455" s="4" t="s">
        <v>7</v>
      </c>
    </row>
    <row r="1456" spans="4:4" ht="21.75" customHeight="1" x14ac:dyDescent="0.25">
      <c r="D1456" s="4" t="s">
        <v>15</v>
      </c>
    </row>
    <row r="1457" spans="4:4" ht="21.75" customHeight="1" x14ac:dyDescent="0.25">
      <c r="D1457" s="4" t="s">
        <v>7</v>
      </c>
    </row>
    <row r="1458" spans="4:4" ht="21.75" customHeight="1" x14ac:dyDescent="0.25">
      <c r="D1458" s="4" t="s">
        <v>7</v>
      </c>
    </row>
    <row r="1459" spans="4:4" ht="21.75" customHeight="1" x14ac:dyDescent="0.25">
      <c r="D1459" s="4" t="s">
        <v>7</v>
      </c>
    </row>
    <row r="1460" spans="4:4" ht="21.75" customHeight="1" x14ac:dyDescent="0.25">
      <c r="D1460" s="4" t="s">
        <v>7</v>
      </c>
    </row>
    <row r="1461" spans="4:4" ht="21.75" customHeight="1" x14ac:dyDescent="0.25">
      <c r="D1461" s="4" t="s">
        <v>7</v>
      </c>
    </row>
    <row r="1462" spans="4:4" ht="21.75" customHeight="1" x14ac:dyDescent="0.25">
      <c r="D1462" s="4" t="s">
        <v>13</v>
      </c>
    </row>
    <row r="1463" spans="4:4" ht="21.75" customHeight="1" x14ac:dyDescent="0.25">
      <c r="D1463" s="4" t="s">
        <v>7</v>
      </c>
    </row>
    <row r="1464" spans="4:4" ht="21.75" customHeight="1" x14ac:dyDescent="0.25">
      <c r="D1464" s="4" t="s">
        <v>7</v>
      </c>
    </row>
    <row r="1465" spans="4:4" ht="21.75" customHeight="1" x14ac:dyDescent="0.25">
      <c r="D1465" s="4" t="s">
        <v>7</v>
      </c>
    </row>
    <row r="1466" spans="4:4" ht="21.75" customHeight="1" x14ac:dyDescent="0.25">
      <c r="D1466" s="4" t="s">
        <v>6</v>
      </c>
    </row>
    <row r="1467" spans="4:4" ht="21.75" customHeight="1" x14ac:dyDescent="0.25">
      <c r="D1467" s="4" t="s">
        <v>15</v>
      </c>
    </row>
    <row r="1468" spans="4:4" ht="21.75" customHeight="1" x14ac:dyDescent="0.25">
      <c r="D1468" s="4" t="s">
        <v>15</v>
      </c>
    </row>
    <row r="1469" spans="4:4" ht="21.75" customHeight="1" x14ac:dyDescent="0.25">
      <c r="D1469" s="4" t="s">
        <v>2</v>
      </c>
    </row>
    <row r="1470" spans="4:4" ht="21.75" customHeight="1" x14ac:dyDescent="0.25">
      <c r="D1470" s="4" t="s">
        <v>7</v>
      </c>
    </row>
    <row r="1471" spans="4:4" ht="21.75" customHeight="1" x14ac:dyDescent="0.25">
      <c r="D1471" s="4" t="s">
        <v>7</v>
      </c>
    </row>
    <row r="1472" spans="4:4" ht="21.75" customHeight="1" x14ac:dyDescent="0.25">
      <c r="D1472" s="4" t="s">
        <v>6</v>
      </c>
    </row>
    <row r="1473" spans="4:4" ht="21.75" customHeight="1" x14ac:dyDescent="0.25">
      <c r="D1473" s="4" t="s">
        <v>7</v>
      </c>
    </row>
    <row r="1474" spans="4:4" ht="21.75" customHeight="1" x14ac:dyDescent="0.25">
      <c r="D1474" s="4" t="s">
        <v>7</v>
      </c>
    </row>
    <row r="1475" spans="4:4" ht="21.75" customHeight="1" x14ac:dyDescent="0.25">
      <c r="D1475" s="4" t="s">
        <v>2</v>
      </c>
    </row>
    <row r="1476" spans="4:4" ht="21.75" customHeight="1" x14ac:dyDescent="0.25">
      <c r="D1476" s="4" t="s">
        <v>2</v>
      </c>
    </row>
    <row r="1477" spans="4:4" ht="21.75" customHeight="1" x14ac:dyDescent="0.25">
      <c r="D1477" s="4" t="s">
        <v>7</v>
      </c>
    </row>
    <row r="1478" spans="4:4" ht="21.75" customHeight="1" x14ac:dyDescent="0.25">
      <c r="D1478" s="4" t="s">
        <v>7</v>
      </c>
    </row>
    <row r="1479" spans="4:4" ht="21.75" customHeight="1" x14ac:dyDescent="0.25">
      <c r="D1479" s="4" t="s">
        <v>18</v>
      </c>
    </row>
    <row r="1480" spans="4:4" ht="21.75" customHeight="1" x14ac:dyDescent="0.25">
      <c r="D1480" s="4" t="s">
        <v>7</v>
      </c>
    </row>
    <row r="1481" spans="4:4" ht="21.75" customHeight="1" x14ac:dyDescent="0.25">
      <c r="D1481" s="4" t="s">
        <v>6</v>
      </c>
    </row>
    <row r="1482" spans="4:4" ht="21.75" customHeight="1" x14ac:dyDescent="0.25">
      <c r="D1482" s="4" t="s">
        <v>6</v>
      </c>
    </row>
    <row r="1483" spans="4:4" ht="21.75" customHeight="1" x14ac:dyDescent="0.25">
      <c r="D1483" s="4" t="s">
        <v>6</v>
      </c>
    </row>
    <row r="1484" spans="4:4" ht="21.75" customHeight="1" x14ac:dyDescent="0.25">
      <c r="D1484" s="4" t="s">
        <v>6</v>
      </c>
    </row>
    <row r="1485" spans="4:4" ht="21.75" customHeight="1" x14ac:dyDescent="0.25">
      <c r="D1485" s="4" t="s">
        <v>6</v>
      </c>
    </row>
    <row r="1486" spans="4:4" ht="21.75" customHeight="1" x14ac:dyDescent="0.25">
      <c r="D1486" s="4" t="s">
        <v>6</v>
      </c>
    </row>
    <row r="1487" spans="4:4" ht="21.75" customHeight="1" x14ac:dyDescent="0.25">
      <c r="D1487" s="4" t="s">
        <v>6</v>
      </c>
    </row>
    <row r="1488" spans="4:4" ht="21.75" customHeight="1" x14ac:dyDescent="0.25">
      <c r="D1488" s="4" t="s">
        <v>2</v>
      </c>
    </row>
    <row r="1489" spans="4:4" ht="21.75" customHeight="1" x14ac:dyDescent="0.25">
      <c r="D1489" s="4" t="s">
        <v>2</v>
      </c>
    </row>
    <row r="1490" spans="4:4" ht="21.75" customHeight="1" x14ac:dyDescent="0.25">
      <c r="D1490" s="4" t="s">
        <v>6</v>
      </c>
    </row>
    <row r="1491" spans="4:4" ht="21.75" customHeight="1" x14ac:dyDescent="0.25">
      <c r="D1491" s="4" t="s">
        <v>7</v>
      </c>
    </row>
    <row r="1492" spans="4:4" ht="21.75" customHeight="1" x14ac:dyDescent="0.25">
      <c r="D1492" s="4" t="s">
        <v>7</v>
      </c>
    </row>
    <row r="1493" spans="4:4" ht="21.75" customHeight="1" x14ac:dyDescent="0.25">
      <c r="D1493" s="4" t="s">
        <v>7</v>
      </c>
    </row>
    <row r="1494" spans="4:4" ht="21.75" customHeight="1" x14ac:dyDescent="0.25">
      <c r="D1494" s="4" t="s">
        <v>7</v>
      </c>
    </row>
    <row r="1495" spans="4:4" ht="21.75" customHeight="1" x14ac:dyDescent="0.25">
      <c r="D1495" s="4" t="s">
        <v>7</v>
      </c>
    </row>
    <row r="1496" spans="4:4" ht="21.75" customHeight="1" x14ac:dyDescent="0.25">
      <c r="D1496" s="4" t="s">
        <v>7</v>
      </c>
    </row>
    <row r="1497" spans="4:4" ht="21.75" customHeight="1" x14ac:dyDescent="0.25">
      <c r="D1497" s="4" t="s">
        <v>7</v>
      </c>
    </row>
    <row r="1498" spans="4:4" ht="21.75" customHeight="1" x14ac:dyDescent="0.25">
      <c r="D1498" s="4" t="s">
        <v>2</v>
      </c>
    </row>
    <row r="1499" spans="4:4" ht="21.75" customHeight="1" x14ac:dyDescent="0.25">
      <c r="D1499" s="4" t="s">
        <v>2</v>
      </c>
    </row>
    <row r="1500" spans="4:4" ht="21.75" customHeight="1" x14ac:dyDescent="0.25">
      <c r="D1500" s="4" t="s">
        <v>2</v>
      </c>
    </row>
    <row r="1501" spans="4:4" ht="21.75" customHeight="1" x14ac:dyDescent="0.25">
      <c r="D1501" s="4" t="s">
        <v>13</v>
      </c>
    </row>
    <row r="1502" spans="4:4" ht="21.75" customHeight="1" x14ac:dyDescent="0.25">
      <c r="D1502" s="4" t="s">
        <v>13</v>
      </c>
    </row>
    <row r="1503" spans="4:4" ht="21.75" customHeight="1" x14ac:dyDescent="0.25">
      <c r="D1503" s="4" t="s">
        <v>13</v>
      </c>
    </row>
    <row r="1504" spans="4:4" ht="21.75" customHeight="1" x14ac:dyDescent="0.25">
      <c r="D1504" s="4" t="s">
        <v>13</v>
      </c>
    </row>
    <row r="1505" spans="4:4" ht="21.75" customHeight="1" x14ac:dyDescent="0.25">
      <c r="D1505" s="4" t="s">
        <v>13</v>
      </c>
    </row>
    <row r="1506" spans="4:4" ht="21.75" customHeight="1" x14ac:dyDescent="0.25">
      <c r="D1506" s="4" t="s">
        <v>13</v>
      </c>
    </row>
    <row r="1507" spans="4:4" ht="21.75" customHeight="1" x14ac:dyDescent="0.25">
      <c r="D1507" s="4" t="s">
        <v>7</v>
      </c>
    </row>
    <row r="1508" spans="4:4" ht="21.75" customHeight="1" x14ac:dyDescent="0.25">
      <c r="D1508" s="4" t="s">
        <v>2</v>
      </c>
    </row>
    <row r="1509" spans="4:4" ht="21.75" customHeight="1" x14ac:dyDescent="0.25">
      <c r="D1509" s="4" t="s">
        <v>2</v>
      </c>
    </row>
    <row r="1510" spans="4:4" ht="21.75" customHeight="1" x14ac:dyDescent="0.25">
      <c r="D1510" s="4" t="s">
        <v>13</v>
      </c>
    </row>
    <row r="1511" spans="4:4" ht="21.75" customHeight="1" x14ac:dyDescent="0.25">
      <c r="D1511" s="4" t="s">
        <v>13</v>
      </c>
    </row>
    <row r="1512" spans="4:4" ht="21.75" customHeight="1" x14ac:dyDescent="0.25">
      <c r="D1512" s="4" t="s">
        <v>7</v>
      </c>
    </row>
    <row r="1513" spans="4:4" ht="21.75" customHeight="1" x14ac:dyDescent="0.25">
      <c r="D1513" s="4" t="s">
        <v>7</v>
      </c>
    </row>
    <row r="1514" spans="4:4" ht="21.75" customHeight="1" x14ac:dyDescent="0.25">
      <c r="D1514" s="4" t="s">
        <v>7</v>
      </c>
    </row>
    <row r="1515" spans="4:4" ht="21.75" customHeight="1" x14ac:dyDescent="0.25">
      <c r="D1515" s="4" t="s">
        <v>15</v>
      </c>
    </row>
    <row r="1516" spans="4:4" ht="21.75" customHeight="1" x14ac:dyDescent="0.25">
      <c r="D1516" s="4" t="s">
        <v>7</v>
      </c>
    </row>
    <row r="1517" spans="4:4" ht="21.75" customHeight="1" x14ac:dyDescent="0.25">
      <c r="D1517" s="4" t="s">
        <v>7</v>
      </c>
    </row>
    <row r="1518" spans="4:4" ht="21.75" customHeight="1" x14ac:dyDescent="0.25">
      <c r="D1518" s="4" t="s">
        <v>7</v>
      </c>
    </row>
    <row r="1519" spans="4:4" ht="21.75" customHeight="1" x14ac:dyDescent="0.25">
      <c r="D1519" s="4" t="s">
        <v>13</v>
      </c>
    </row>
    <row r="1520" spans="4:4" ht="21.75" customHeight="1" x14ac:dyDescent="0.25">
      <c r="D1520" s="4" t="s">
        <v>15</v>
      </c>
    </row>
    <row r="1521" spans="4:4" ht="21.75" customHeight="1" x14ac:dyDescent="0.25">
      <c r="D1521" s="4" t="s">
        <v>0</v>
      </c>
    </row>
    <row r="1522" spans="4:4" ht="21.75" customHeight="1" x14ac:dyDescent="0.25">
      <c r="D1522" s="4" t="s">
        <v>7</v>
      </c>
    </row>
    <row r="1523" spans="4:4" ht="21.75" customHeight="1" x14ac:dyDescent="0.25">
      <c r="D1523" s="4" t="s">
        <v>13</v>
      </c>
    </row>
    <row r="1524" spans="4:4" ht="21.75" customHeight="1" x14ac:dyDescent="0.25">
      <c r="D1524" s="4" t="s">
        <v>13</v>
      </c>
    </row>
    <row r="1525" spans="4:4" ht="21.75" customHeight="1" x14ac:dyDescent="0.25">
      <c r="D1525" s="4" t="s">
        <v>13</v>
      </c>
    </row>
    <row r="1526" spans="4:4" ht="21.75" customHeight="1" x14ac:dyDescent="0.25">
      <c r="D1526" s="4" t="s">
        <v>13</v>
      </c>
    </row>
    <row r="1527" spans="4:4" ht="21.75" customHeight="1" x14ac:dyDescent="0.25">
      <c r="D1527" s="4" t="s">
        <v>2</v>
      </c>
    </row>
    <row r="1528" spans="4:4" ht="21.75" customHeight="1" x14ac:dyDescent="0.25">
      <c r="D1528" s="4" t="s">
        <v>8</v>
      </c>
    </row>
    <row r="1529" spans="4:4" ht="21.75" customHeight="1" x14ac:dyDescent="0.25">
      <c r="D1529" s="4" t="s">
        <v>8</v>
      </c>
    </row>
    <row r="1530" spans="4:4" ht="21.75" customHeight="1" x14ac:dyDescent="0.25">
      <c r="D1530" s="4" t="s">
        <v>8</v>
      </c>
    </row>
    <row r="1531" spans="4:4" ht="21.75" customHeight="1" x14ac:dyDescent="0.25">
      <c r="D1531" s="4" t="s">
        <v>8</v>
      </c>
    </row>
    <row r="1532" spans="4:4" ht="21.75" customHeight="1" x14ac:dyDescent="0.25">
      <c r="D1532" s="4" t="s">
        <v>8</v>
      </c>
    </row>
    <row r="1533" spans="4:4" ht="21.75" customHeight="1" x14ac:dyDescent="0.25">
      <c r="D1533" s="4" t="s">
        <v>8</v>
      </c>
    </row>
    <row r="1534" spans="4:4" ht="21.75" customHeight="1" x14ac:dyDescent="0.25">
      <c r="D1534" s="4" t="s">
        <v>15</v>
      </c>
    </row>
    <row r="1535" spans="4:4" ht="21.75" customHeight="1" x14ac:dyDescent="0.25">
      <c r="D1535" s="4" t="s">
        <v>15</v>
      </c>
    </row>
    <row r="1536" spans="4:4" ht="21.75" customHeight="1" x14ac:dyDescent="0.25">
      <c r="D1536" s="4" t="s">
        <v>13</v>
      </c>
    </row>
    <row r="1537" spans="4:4" ht="21.75" customHeight="1" x14ac:dyDescent="0.25">
      <c r="D1537" s="4" t="s">
        <v>7</v>
      </c>
    </row>
    <row r="1538" spans="4:4" ht="21.75" customHeight="1" x14ac:dyDescent="0.25">
      <c r="D1538" s="4" t="s">
        <v>7</v>
      </c>
    </row>
    <row r="1539" spans="4:4" ht="21.75" customHeight="1" x14ac:dyDescent="0.25">
      <c r="D1539" s="4" t="s">
        <v>7</v>
      </c>
    </row>
    <row r="1540" spans="4:4" ht="21.75" customHeight="1" x14ac:dyDescent="0.25">
      <c r="D1540" s="4" t="s">
        <v>7</v>
      </c>
    </row>
    <row r="1541" spans="4:4" ht="21.75" customHeight="1" x14ac:dyDescent="0.25">
      <c r="D1541" s="4" t="s">
        <v>17</v>
      </c>
    </row>
    <row r="1542" spans="4:4" ht="21.75" customHeight="1" x14ac:dyDescent="0.25">
      <c r="D1542" s="4" t="s">
        <v>7</v>
      </c>
    </row>
    <row r="1543" spans="4:4" ht="21.75" customHeight="1" x14ac:dyDescent="0.25">
      <c r="D1543" s="4" t="s">
        <v>15</v>
      </c>
    </row>
    <row r="1544" spans="4:4" ht="21.75" customHeight="1" x14ac:dyDescent="0.25">
      <c r="D1544" s="4" t="s">
        <v>7</v>
      </c>
    </row>
    <row r="1545" spans="4:4" ht="21.75" customHeight="1" x14ac:dyDescent="0.25">
      <c r="D1545" s="4" t="s">
        <v>7</v>
      </c>
    </row>
    <row r="1546" spans="4:4" ht="21.75" customHeight="1" x14ac:dyDescent="0.25">
      <c r="D1546" s="4" t="s">
        <v>0</v>
      </c>
    </row>
    <row r="1547" spans="4:4" ht="21.75" customHeight="1" x14ac:dyDescent="0.25">
      <c r="D1547" s="4" t="s">
        <v>7</v>
      </c>
    </row>
    <row r="1548" spans="4:4" ht="21.75" customHeight="1" x14ac:dyDescent="0.25">
      <c r="D1548" s="4" t="s">
        <v>13</v>
      </c>
    </row>
    <row r="1549" spans="4:4" ht="21.75" customHeight="1" x14ac:dyDescent="0.25">
      <c r="D1549" s="4" t="s">
        <v>10</v>
      </c>
    </row>
    <row r="1550" spans="4:4" ht="21.75" customHeight="1" x14ac:dyDescent="0.25">
      <c r="D1550" s="4" t="s">
        <v>10</v>
      </c>
    </row>
    <row r="1551" spans="4:4" ht="21.75" customHeight="1" x14ac:dyDescent="0.25">
      <c r="D1551" s="4" t="s">
        <v>10</v>
      </c>
    </row>
    <row r="1552" spans="4:4" ht="21.75" customHeight="1" x14ac:dyDescent="0.25">
      <c r="D1552" s="4" t="s">
        <v>10</v>
      </c>
    </row>
    <row r="1553" spans="4:4" ht="21.75" customHeight="1" x14ac:dyDescent="0.25">
      <c r="D1553" s="4" t="s">
        <v>10</v>
      </c>
    </row>
    <row r="1554" spans="4:4" ht="21.75" customHeight="1" x14ac:dyDescent="0.25">
      <c r="D1554" s="4" t="s">
        <v>10</v>
      </c>
    </row>
    <row r="1555" spans="4:4" ht="21.75" customHeight="1" x14ac:dyDescent="0.25">
      <c r="D1555" s="4" t="s">
        <v>10</v>
      </c>
    </row>
    <row r="1556" spans="4:4" ht="21.75" customHeight="1" x14ac:dyDescent="0.25">
      <c r="D1556" s="4" t="s">
        <v>10</v>
      </c>
    </row>
    <row r="1557" spans="4:4" ht="21.75" customHeight="1" x14ac:dyDescent="0.25">
      <c r="D1557" s="4" t="s">
        <v>7</v>
      </c>
    </row>
    <row r="1558" spans="4:4" ht="21.75" customHeight="1" x14ac:dyDescent="0.25">
      <c r="D1558" s="4" t="s">
        <v>6</v>
      </c>
    </row>
    <row r="1559" spans="4:4" ht="21.75" customHeight="1" x14ac:dyDescent="0.25">
      <c r="D1559" s="4" t="s">
        <v>7</v>
      </c>
    </row>
    <row r="1560" spans="4:4" ht="21.75" customHeight="1" x14ac:dyDescent="0.25">
      <c r="D1560" s="4" t="s">
        <v>10</v>
      </c>
    </row>
    <row r="1561" spans="4:4" ht="21.75" customHeight="1" x14ac:dyDescent="0.25">
      <c r="D1561" s="4" t="s">
        <v>7</v>
      </c>
    </row>
    <row r="1562" spans="4:4" ht="21.75" customHeight="1" x14ac:dyDescent="0.25">
      <c r="D1562" s="4" t="s">
        <v>0</v>
      </c>
    </row>
    <row r="1563" spans="4:4" ht="21.75" customHeight="1" x14ac:dyDescent="0.25">
      <c r="D1563" s="4" t="s">
        <v>7</v>
      </c>
    </row>
    <row r="1564" spans="4:4" ht="21.75" customHeight="1" x14ac:dyDescent="0.25">
      <c r="D1564" s="4" t="s">
        <v>7</v>
      </c>
    </row>
    <row r="1565" spans="4:4" ht="21.75" customHeight="1" x14ac:dyDescent="0.25">
      <c r="D1565" s="4" t="s">
        <v>7</v>
      </c>
    </row>
    <row r="1566" spans="4:4" ht="21.75" customHeight="1" x14ac:dyDescent="0.25">
      <c r="D1566" s="4" t="s">
        <v>7</v>
      </c>
    </row>
    <row r="1567" spans="4:4" ht="21.75" customHeight="1" x14ac:dyDescent="0.25">
      <c r="D1567" s="4" t="s">
        <v>10</v>
      </c>
    </row>
    <row r="1568" spans="4:4" ht="21.75" customHeight="1" x14ac:dyDescent="0.25">
      <c r="D1568" s="4" t="s">
        <v>7</v>
      </c>
    </row>
    <row r="1569" spans="4:4" ht="21.75" customHeight="1" x14ac:dyDescent="0.25">
      <c r="D1569" s="4" t="s">
        <v>13</v>
      </c>
    </row>
    <row r="1570" spans="4:4" ht="21.75" customHeight="1" x14ac:dyDescent="0.25">
      <c r="D1570" s="4" t="s">
        <v>7</v>
      </c>
    </row>
    <row r="1571" spans="4:4" ht="21.75" customHeight="1" x14ac:dyDescent="0.25">
      <c r="D1571" s="4" t="s">
        <v>7</v>
      </c>
    </row>
    <row r="1572" spans="4:4" ht="21.75" customHeight="1" x14ac:dyDescent="0.25">
      <c r="D1572" s="4" t="s">
        <v>7</v>
      </c>
    </row>
    <row r="1573" spans="4:4" ht="21.75" customHeight="1" x14ac:dyDescent="0.25">
      <c r="D1573" s="4" t="s">
        <v>7</v>
      </c>
    </row>
    <row r="1574" spans="4:4" ht="21.75" customHeight="1" x14ac:dyDescent="0.25">
      <c r="D1574" s="4" t="s">
        <v>7</v>
      </c>
    </row>
    <row r="1575" spans="4:4" ht="21.75" customHeight="1" x14ac:dyDescent="0.25">
      <c r="D1575" s="4" t="s">
        <v>7</v>
      </c>
    </row>
    <row r="1576" spans="4:4" ht="21.75" customHeight="1" x14ac:dyDescent="0.25">
      <c r="D1576" s="4" t="s">
        <v>7</v>
      </c>
    </row>
    <row r="1577" spans="4:4" ht="21.75" customHeight="1" x14ac:dyDescent="0.25">
      <c r="D1577" s="4" t="s">
        <v>7</v>
      </c>
    </row>
    <row r="1578" spans="4:4" ht="21.75" customHeight="1" x14ac:dyDescent="0.25">
      <c r="D1578" s="4" t="s">
        <v>17</v>
      </c>
    </row>
    <row r="1579" spans="4:4" ht="21.75" customHeight="1" x14ac:dyDescent="0.25">
      <c r="D1579" s="4" t="s">
        <v>7</v>
      </c>
    </row>
    <row r="1580" spans="4:4" ht="21.75" customHeight="1" x14ac:dyDescent="0.25">
      <c r="D1580" s="4" t="s">
        <v>0</v>
      </c>
    </row>
    <row r="1581" spans="4:4" ht="21.75" customHeight="1" x14ac:dyDescent="0.25">
      <c r="D1581" s="4" t="s">
        <v>7</v>
      </c>
    </row>
    <row r="1582" spans="4:4" ht="21.75" customHeight="1" x14ac:dyDescent="0.25">
      <c r="D1582" s="4" t="s">
        <v>7</v>
      </c>
    </row>
    <row r="1583" spans="4:4" ht="21.75" customHeight="1" x14ac:dyDescent="0.25">
      <c r="D1583" s="4" t="s">
        <v>17</v>
      </c>
    </row>
    <row r="1584" spans="4:4" ht="21.75" customHeight="1" x14ac:dyDescent="0.25">
      <c r="D1584" s="4" t="s">
        <v>7</v>
      </c>
    </row>
    <row r="1585" spans="4:4" ht="21.75" customHeight="1" x14ac:dyDescent="0.25">
      <c r="D1585" s="4" t="s">
        <v>7</v>
      </c>
    </row>
    <row r="1586" spans="4:4" ht="21.75" customHeight="1" x14ac:dyDescent="0.25">
      <c r="D1586" s="4" t="s">
        <v>7</v>
      </c>
    </row>
    <row r="1587" spans="4:4" ht="21.75" customHeight="1" x14ac:dyDescent="0.25">
      <c r="D1587" s="4" t="s">
        <v>7</v>
      </c>
    </row>
    <row r="1588" spans="4:4" ht="21.75" customHeight="1" x14ac:dyDescent="0.25">
      <c r="D1588" s="4" t="s">
        <v>7</v>
      </c>
    </row>
    <row r="1589" spans="4:4" ht="21.75" customHeight="1" x14ac:dyDescent="0.25">
      <c r="D1589" s="4" t="s">
        <v>7</v>
      </c>
    </row>
    <row r="1590" spans="4:4" ht="21.75" customHeight="1" x14ac:dyDescent="0.25">
      <c r="D1590" s="4" t="s">
        <v>7</v>
      </c>
    </row>
    <row r="1591" spans="4:4" ht="21.75" customHeight="1" x14ac:dyDescent="0.25">
      <c r="D1591" s="4" t="s">
        <v>15</v>
      </c>
    </row>
    <row r="1592" spans="4:4" ht="21.75" customHeight="1" x14ac:dyDescent="0.25">
      <c r="D1592" s="4" t="s">
        <v>7</v>
      </c>
    </row>
    <row r="1593" spans="4:4" ht="21.75" customHeight="1" x14ac:dyDescent="0.25">
      <c r="D1593" s="4" t="s">
        <v>7</v>
      </c>
    </row>
    <row r="1594" spans="4:4" ht="21.75" customHeight="1" x14ac:dyDescent="0.25">
      <c r="D1594" s="4" t="s">
        <v>7</v>
      </c>
    </row>
    <row r="1595" spans="4:4" ht="21.75" customHeight="1" x14ac:dyDescent="0.25">
      <c r="D1595" s="4" t="s">
        <v>7</v>
      </c>
    </row>
    <row r="1596" spans="4:4" ht="21.75" customHeight="1" x14ac:dyDescent="0.25">
      <c r="D1596" s="4" t="s">
        <v>7</v>
      </c>
    </row>
    <row r="1597" spans="4:4" ht="21.75" customHeight="1" x14ac:dyDescent="0.25">
      <c r="D1597" s="4" t="s">
        <v>0</v>
      </c>
    </row>
    <row r="1598" spans="4:4" ht="21.75" customHeight="1" x14ac:dyDescent="0.25">
      <c r="D1598" s="4" t="s">
        <v>7</v>
      </c>
    </row>
    <row r="1599" spans="4:4" ht="21.75" customHeight="1" x14ac:dyDescent="0.25">
      <c r="D1599" s="4" t="s">
        <v>7</v>
      </c>
    </row>
    <row r="1600" spans="4:4" ht="21.75" customHeight="1" x14ac:dyDescent="0.25">
      <c r="D1600" s="4" t="s">
        <v>7</v>
      </c>
    </row>
    <row r="1601" spans="4:4" ht="21.75" customHeight="1" x14ac:dyDescent="0.25">
      <c r="D1601" s="4" t="s">
        <v>7</v>
      </c>
    </row>
    <row r="1602" spans="4:4" ht="21.75" customHeight="1" x14ac:dyDescent="0.25">
      <c r="D1602" s="4" t="s">
        <v>7</v>
      </c>
    </row>
    <row r="1603" spans="4:4" ht="21.75" customHeight="1" x14ac:dyDescent="0.25">
      <c r="D1603" s="4" t="s">
        <v>7</v>
      </c>
    </row>
    <row r="1604" spans="4:4" ht="21.75" customHeight="1" x14ac:dyDescent="0.25">
      <c r="D1604" s="4" t="s">
        <v>7</v>
      </c>
    </row>
    <row r="1605" spans="4:4" ht="21.75" customHeight="1" x14ac:dyDescent="0.25">
      <c r="D1605" s="4" t="s">
        <v>7</v>
      </c>
    </row>
    <row r="1606" spans="4:4" ht="21.75" customHeight="1" x14ac:dyDescent="0.25">
      <c r="D1606" s="4" t="s">
        <v>7</v>
      </c>
    </row>
    <row r="1607" spans="4:4" ht="21.75" customHeight="1" x14ac:dyDescent="0.25">
      <c r="D1607" s="4" t="s">
        <v>7</v>
      </c>
    </row>
    <row r="1608" spans="4:4" ht="21.75" customHeight="1" x14ac:dyDescent="0.25">
      <c r="D1608" s="4" t="s">
        <v>2</v>
      </c>
    </row>
    <row r="1609" spans="4:4" ht="21.75" customHeight="1" x14ac:dyDescent="0.25">
      <c r="D1609" s="4" t="s">
        <v>2</v>
      </c>
    </row>
    <row r="1610" spans="4:4" ht="21.75" customHeight="1" x14ac:dyDescent="0.25">
      <c r="D1610" s="4" t="s">
        <v>7</v>
      </c>
    </row>
    <row r="1611" spans="4:4" ht="21.75" customHeight="1" x14ac:dyDescent="0.25">
      <c r="D1611" s="4" t="s">
        <v>7</v>
      </c>
    </row>
    <row r="1612" spans="4:4" ht="21.75" customHeight="1" x14ac:dyDescent="0.25">
      <c r="D1612" s="4" t="s">
        <v>7</v>
      </c>
    </row>
    <row r="1613" spans="4:4" ht="21.75" customHeight="1" x14ac:dyDescent="0.25">
      <c r="D1613" s="4" t="s">
        <v>13</v>
      </c>
    </row>
    <row r="1614" spans="4:4" ht="21.75" customHeight="1" x14ac:dyDescent="0.25">
      <c r="D1614" s="4" t="s">
        <v>13</v>
      </c>
    </row>
    <row r="1615" spans="4:4" ht="21.75" customHeight="1" x14ac:dyDescent="0.25">
      <c r="D1615" s="4" t="s">
        <v>13</v>
      </c>
    </row>
    <row r="1616" spans="4:4" ht="21.75" customHeight="1" x14ac:dyDescent="0.25">
      <c r="D1616" s="4" t="s">
        <v>13</v>
      </c>
    </row>
    <row r="1617" spans="4:4" ht="21.75" customHeight="1" x14ac:dyDescent="0.25">
      <c r="D1617" s="4" t="s">
        <v>2</v>
      </c>
    </row>
    <row r="1618" spans="4:4" ht="21.75" customHeight="1" x14ac:dyDescent="0.25">
      <c r="D1618" s="4" t="s">
        <v>2</v>
      </c>
    </row>
    <row r="1619" spans="4:4" ht="21.75" customHeight="1" x14ac:dyDescent="0.25">
      <c r="D1619" s="4" t="s">
        <v>2</v>
      </c>
    </row>
    <row r="1620" spans="4:4" ht="21.75" customHeight="1" x14ac:dyDescent="0.25">
      <c r="D1620" s="4" t="s">
        <v>7</v>
      </c>
    </row>
    <row r="1621" spans="4:4" ht="21.75" customHeight="1" x14ac:dyDescent="0.25">
      <c r="D1621" s="4" t="s">
        <v>7</v>
      </c>
    </row>
    <row r="1622" spans="4:4" ht="21.75" customHeight="1" x14ac:dyDescent="0.25">
      <c r="D1622" s="4" t="s">
        <v>7</v>
      </c>
    </row>
    <row r="1623" spans="4:4" ht="21.75" customHeight="1" x14ac:dyDescent="0.25">
      <c r="D1623" s="4" t="s">
        <v>7</v>
      </c>
    </row>
    <row r="1624" spans="4:4" ht="21.75" customHeight="1" x14ac:dyDescent="0.25">
      <c r="D1624" s="4" t="s">
        <v>7</v>
      </c>
    </row>
    <row r="1625" spans="4:4" ht="21.75" customHeight="1" x14ac:dyDescent="0.25">
      <c r="D1625" s="4" t="s">
        <v>15</v>
      </c>
    </row>
    <row r="1626" spans="4:4" ht="21.75" customHeight="1" x14ac:dyDescent="0.25">
      <c r="D1626" s="4" t="s">
        <v>15</v>
      </c>
    </row>
    <row r="1627" spans="4:4" ht="21.75" customHeight="1" x14ac:dyDescent="0.25">
      <c r="D1627" s="4" t="s">
        <v>7</v>
      </c>
    </row>
    <row r="1628" spans="4:4" ht="21.75" customHeight="1" x14ac:dyDescent="0.25">
      <c r="D1628" s="4" t="s">
        <v>7</v>
      </c>
    </row>
    <row r="1629" spans="4:4" ht="21.75" customHeight="1" x14ac:dyDescent="0.25">
      <c r="D1629" s="4" t="s">
        <v>13</v>
      </c>
    </row>
    <row r="1630" spans="4:4" ht="21.75" customHeight="1" x14ac:dyDescent="0.25">
      <c r="D1630" s="4" t="s">
        <v>7</v>
      </c>
    </row>
    <row r="1631" spans="4:4" ht="21.75" customHeight="1" x14ac:dyDescent="0.25">
      <c r="D1631" s="4" t="s">
        <v>10</v>
      </c>
    </row>
    <row r="1632" spans="4:4" ht="21.75" customHeight="1" x14ac:dyDescent="0.25">
      <c r="D1632" s="4" t="s">
        <v>7</v>
      </c>
    </row>
    <row r="1633" spans="4:4" ht="21.75" customHeight="1" x14ac:dyDescent="0.25">
      <c r="D1633" s="4" t="s">
        <v>7</v>
      </c>
    </row>
    <row r="1634" spans="4:4" ht="21.75" customHeight="1" x14ac:dyDescent="0.25">
      <c r="D1634" s="4" t="s">
        <v>2</v>
      </c>
    </row>
    <row r="1635" spans="4:4" ht="21.75" customHeight="1" x14ac:dyDescent="0.25">
      <c r="D1635" s="4" t="s">
        <v>2</v>
      </c>
    </row>
    <row r="1636" spans="4:4" ht="21.75" customHeight="1" x14ac:dyDescent="0.25">
      <c r="D1636" s="4" t="s">
        <v>7</v>
      </c>
    </row>
    <row r="1637" spans="4:4" ht="21.75" customHeight="1" x14ac:dyDescent="0.25">
      <c r="D1637" s="4" t="s">
        <v>7</v>
      </c>
    </row>
    <row r="1638" spans="4:4" ht="21.75" customHeight="1" x14ac:dyDescent="0.25">
      <c r="D1638" s="4" t="s">
        <v>10</v>
      </c>
    </row>
    <row r="1639" spans="4:4" ht="21.75" customHeight="1" x14ac:dyDescent="0.25">
      <c r="D1639" s="4" t="s">
        <v>7</v>
      </c>
    </row>
    <row r="1640" spans="4:4" ht="21.75" customHeight="1" x14ac:dyDescent="0.25">
      <c r="D1640" s="4" t="s">
        <v>7</v>
      </c>
    </row>
    <row r="1641" spans="4:4" ht="21.75" customHeight="1" x14ac:dyDescent="0.25">
      <c r="D1641" s="4" t="s">
        <v>7</v>
      </c>
    </row>
    <row r="1642" spans="4:4" ht="21.75" customHeight="1" x14ac:dyDescent="0.25">
      <c r="D1642" s="4" t="s">
        <v>7</v>
      </c>
    </row>
    <row r="1643" spans="4:4" ht="21.75" customHeight="1" x14ac:dyDescent="0.25">
      <c r="D1643" s="4" t="s">
        <v>10</v>
      </c>
    </row>
    <row r="1644" spans="4:4" ht="21.75" customHeight="1" x14ac:dyDescent="0.25">
      <c r="D1644" s="4" t="s">
        <v>15</v>
      </c>
    </row>
    <row r="1645" spans="4:4" ht="21.75" customHeight="1" x14ac:dyDescent="0.25">
      <c r="D1645" s="4" t="s">
        <v>7</v>
      </c>
    </row>
    <row r="1646" spans="4:4" ht="21.75" customHeight="1" x14ac:dyDescent="0.25">
      <c r="D1646" s="4" t="s">
        <v>2</v>
      </c>
    </row>
    <row r="1647" spans="4:4" ht="21.75" customHeight="1" x14ac:dyDescent="0.25">
      <c r="D1647" s="4" t="s">
        <v>7</v>
      </c>
    </row>
    <row r="1648" spans="4:4" ht="21.75" customHeight="1" x14ac:dyDescent="0.25">
      <c r="D1648" s="4" t="s">
        <v>2</v>
      </c>
    </row>
    <row r="1649" spans="4:4" ht="21.75" customHeight="1" x14ac:dyDescent="0.25">
      <c r="D1649" s="4" t="s">
        <v>7</v>
      </c>
    </row>
    <row r="1650" spans="4:4" ht="21.75" customHeight="1" x14ac:dyDescent="0.25">
      <c r="D1650" s="4" t="s">
        <v>6</v>
      </c>
    </row>
    <row r="1651" spans="4:4" ht="21.75" customHeight="1" x14ac:dyDescent="0.25">
      <c r="D1651" s="4" t="s">
        <v>6</v>
      </c>
    </row>
    <row r="1652" spans="4:4" ht="21.75" customHeight="1" x14ac:dyDescent="0.25">
      <c r="D1652" s="4" t="s">
        <v>6</v>
      </c>
    </row>
    <row r="1653" spans="4:4" ht="21.75" customHeight="1" x14ac:dyDescent="0.25">
      <c r="D1653" s="4" t="s">
        <v>6</v>
      </c>
    </row>
    <row r="1654" spans="4:4" ht="21.75" customHeight="1" x14ac:dyDescent="0.25">
      <c r="D1654" s="4" t="s">
        <v>15</v>
      </c>
    </row>
    <row r="1655" spans="4:4" ht="21.75" customHeight="1" x14ac:dyDescent="0.25">
      <c r="D1655" s="4" t="s">
        <v>15</v>
      </c>
    </row>
    <row r="1656" spans="4:4" ht="21.75" customHeight="1" x14ac:dyDescent="0.25">
      <c r="D1656" s="4" t="s">
        <v>15</v>
      </c>
    </row>
    <row r="1657" spans="4:4" ht="21.75" customHeight="1" x14ac:dyDescent="0.25">
      <c r="D1657" s="4" t="s">
        <v>15</v>
      </c>
    </row>
    <row r="1658" spans="4:4" ht="21.75" customHeight="1" x14ac:dyDescent="0.25">
      <c r="D1658" s="4" t="s">
        <v>13</v>
      </c>
    </row>
    <row r="1659" spans="4:4" ht="21.75" customHeight="1" x14ac:dyDescent="0.25">
      <c r="D1659" s="4" t="s">
        <v>7</v>
      </c>
    </row>
    <row r="1660" spans="4:4" ht="21.75" customHeight="1" x14ac:dyDescent="0.25">
      <c r="D1660" s="4" t="s">
        <v>13</v>
      </c>
    </row>
    <row r="1661" spans="4:4" ht="21.75" customHeight="1" x14ac:dyDescent="0.25">
      <c r="D1661" s="4" t="s">
        <v>6</v>
      </c>
    </row>
    <row r="1662" spans="4:4" ht="21.75" customHeight="1" x14ac:dyDescent="0.25">
      <c r="D1662" s="4" t="s">
        <v>6</v>
      </c>
    </row>
    <row r="1663" spans="4:4" ht="21.75" customHeight="1" x14ac:dyDescent="0.25">
      <c r="D1663" s="4" t="s">
        <v>7</v>
      </c>
    </row>
    <row r="1664" spans="4:4" ht="21.75" customHeight="1" x14ac:dyDescent="0.25">
      <c r="D1664" s="4" t="s">
        <v>13</v>
      </c>
    </row>
    <row r="1665" spans="4:4" ht="21.75" customHeight="1" x14ac:dyDescent="0.25">
      <c r="D1665" s="4" t="s">
        <v>15</v>
      </c>
    </row>
    <row r="1666" spans="4:4" ht="21.75" customHeight="1" x14ac:dyDescent="0.25">
      <c r="D1666" s="4" t="s">
        <v>15</v>
      </c>
    </row>
    <row r="1667" spans="4:4" ht="21.75" customHeight="1" x14ac:dyDescent="0.25">
      <c r="D1667" s="4" t="s">
        <v>6</v>
      </c>
    </row>
    <row r="1668" spans="4:4" ht="21.75" customHeight="1" x14ac:dyDescent="0.25">
      <c r="D1668" s="4" t="s">
        <v>7</v>
      </c>
    </row>
    <row r="1669" spans="4:4" ht="21.75" customHeight="1" x14ac:dyDescent="0.25">
      <c r="D1669" s="4" t="s">
        <v>7</v>
      </c>
    </row>
    <row r="1670" spans="4:4" ht="21.75" customHeight="1" x14ac:dyDescent="0.25">
      <c r="D1670" s="4" t="s">
        <v>7</v>
      </c>
    </row>
    <row r="1671" spans="4:4" ht="21.75" customHeight="1" x14ac:dyDescent="0.25">
      <c r="D1671" s="4" t="s">
        <v>15</v>
      </c>
    </row>
    <row r="1672" spans="4:4" ht="21.75" customHeight="1" x14ac:dyDescent="0.25">
      <c r="D1672" s="4" t="s">
        <v>7</v>
      </c>
    </row>
    <row r="1673" spans="4:4" ht="21.75" customHeight="1" x14ac:dyDescent="0.25">
      <c r="D1673" s="4" t="s">
        <v>7</v>
      </c>
    </row>
    <row r="1674" spans="4:4" ht="21.75" customHeight="1" x14ac:dyDescent="0.25">
      <c r="D1674" s="4" t="s">
        <v>7</v>
      </c>
    </row>
    <row r="1675" spans="4:4" ht="21.75" customHeight="1" x14ac:dyDescent="0.25">
      <c r="D1675" s="4" t="s">
        <v>7</v>
      </c>
    </row>
    <row r="1676" spans="4:4" ht="21.75" customHeight="1" x14ac:dyDescent="0.25">
      <c r="D1676" s="4" t="s">
        <v>6</v>
      </c>
    </row>
    <row r="1677" spans="4:4" ht="21.75" customHeight="1" x14ac:dyDescent="0.25">
      <c r="D1677" s="4" t="s">
        <v>7</v>
      </c>
    </row>
    <row r="1678" spans="4:4" ht="21.75" customHeight="1" x14ac:dyDescent="0.25">
      <c r="D1678" s="4" t="s">
        <v>7</v>
      </c>
    </row>
    <row r="1679" spans="4:4" ht="21.75" customHeight="1" x14ac:dyDescent="0.25">
      <c r="D1679" s="4" t="s">
        <v>6</v>
      </c>
    </row>
    <row r="1680" spans="4:4" ht="21.75" customHeight="1" x14ac:dyDescent="0.25">
      <c r="D1680" s="4" t="s">
        <v>19</v>
      </c>
    </row>
    <row r="1681" spans="4:4" ht="21.75" customHeight="1" x14ac:dyDescent="0.25">
      <c r="D1681" s="4" t="s">
        <v>7</v>
      </c>
    </row>
    <row r="1682" spans="4:4" ht="21.75" customHeight="1" x14ac:dyDescent="0.25">
      <c r="D1682" s="4" t="s">
        <v>7</v>
      </c>
    </row>
    <row r="1683" spans="4:4" ht="21.75" customHeight="1" x14ac:dyDescent="0.25">
      <c r="D1683" s="4" t="s">
        <v>7</v>
      </c>
    </row>
    <row r="1684" spans="4:4" ht="21.75" customHeight="1" x14ac:dyDescent="0.25">
      <c r="D1684" s="4" t="s">
        <v>7</v>
      </c>
    </row>
    <row r="1685" spans="4:4" ht="21.75" customHeight="1" x14ac:dyDescent="0.25">
      <c r="D1685" s="4" t="s">
        <v>7</v>
      </c>
    </row>
    <row r="1686" spans="4:4" ht="21.75" customHeight="1" x14ac:dyDescent="0.25">
      <c r="D1686" s="4" t="s">
        <v>7</v>
      </c>
    </row>
    <row r="1687" spans="4:4" ht="21.75" customHeight="1" x14ac:dyDescent="0.25">
      <c r="D1687" s="4" t="s">
        <v>7</v>
      </c>
    </row>
    <row r="1688" spans="4:4" ht="21.75" customHeight="1" x14ac:dyDescent="0.25">
      <c r="D1688" s="4" t="s">
        <v>7</v>
      </c>
    </row>
    <row r="1689" spans="4:4" ht="21.75" customHeight="1" x14ac:dyDescent="0.25">
      <c r="D1689" s="4" t="s">
        <v>7</v>
      </c>
    </row>
    <row r="1690" spans="4:4" ht="21.75" customHeight="1" x14ac:dyDescent="0.25">
      <c r="D1690" s="4" t="s">
        <v>7</v>
      </c>
    </row>
    <row r="1691" spans="4:4" ht="21.75" customHeight="1" x14ac:dyDescent="0.25">
      <c r="D1691" s="4" t="s">
        <v>15</v>
      </c>
    </row>
    <row r="1692" spans="4:4" ht="21.75" customHeight="1" x14ac:dyDescent="0.25">
      <c r="D1692" s="4" t="s">
        <v>9</v>
      </c>
    </row>
    <row r="1693" spans="4:4" ht="21.75" customHeight="1" x14ac:dyDescent="0.25">
      <c r="D1693" s="4" t="s">
        <v>15</v>
      </c>
    </row>
    <row r="1694" spans="4:4" ht="21.75" customHeight="1" x14ac:dyDescent="0.25">
      <c r="D1694" s="4" t="s">
        <v>6</v>
      </c>
    </row>
    <row r="1695" spans="4:4" ht="21.75" customHeight="1" x14ac:dyDescent="0.25">
      <c r="D1695" s="4" t="s">
        <v>7</v>
      </c>
    </row>
    <row r="1696" spans="4:4" ht="21.75" customHeight="1" x14ac:dyDescent="0.25">
      <c r="D1696" s="4" t="s">
        <v>15</v>
      </c>
    </row>
    <row r="1697" spans="4:4" ht="21.75" customHeight="1" x14ac:dyDescent="0.25">
      <c r="D1697" s="4" t="s">
        <v>7</v>
      </c>
    </row>
    <row r="1698" spans="4:4" ht="21.75" customHeight="1" x14ac:dyDescent="0.25">
      <c r="D1698" s="4" t="s">
        <v>7</v>
      </c>
    </row>
    <row r="1699" spans="4:4" ht="21.75" customHeight="1" x14ac:dyDescent="0.25">
      <c r="D1699" s="4" t="s">
        <v>9</v>
      </c>
    </row>
    <row r="1700" spans="4:4" ht="21.75" customHeight="1" x14ac:dyDescent="0.25">
      <c r="D1700" s="4" t="s">
        <v>7</v>
      </c>
    </row>
    <row r="1701" spans="4:4" ht="21.75" customHeight="1" x14ac:dyDescent="0.25">
      <c r="D1701" s="4" t="s">
        <v>7</v>
      </c>
    </row>
    <row r="1702" spans="4:4" ht="21.75" customHeight="1" x14ac:dyDescent="0.25">
      <c r="D1702" s="4" t="s">
        <v>7</v>
      </c>
    </row>
    <row r="1703" spans="4:4" ht="21.75" customHeight="1" x14ac:dyDescent="0.25">
      <c r="D1703" s="4" t="s">
        <v>7</v>
      </c>
    </row>
    <row r="1704" spans="4:4" ht="21.75" customHeight="1" x14ac:dyDescent="0.25">
      <c r="D1704" s="4" t="s">
        <v>7</v>
      </c>
    </row>
    <row r="1705" spans="4:4" ht="21.75" customHeight="1" x14ac:dyDescent="0.25">
      <c r="D1705" s="4" t="s">
        <v>7</v>
      </c>
    </row>
    <row r="1706" spans="4:4" ht="21.75" customHeight="1" x14ac:dyDescent="0.25">
      <c r="D1706" s="4" t="s">
        <v>15</v>
      </c>
    </row>
    <row r="1707" spans="4:4" ht="21.75" customHeight="1" x14ac:dyDescent="0.25">
      <c r="D1707" s="4" t="s">
        <v>15</v>
      </c>
    </row>
    <row r="1708" spans="4:4" ht="21.75" customHeight="1" x14ac:dyDescent="0.25">
      <c r="D1708" s="4" t="s">
        <v>6</v>
      </c>
    </row>
    <row r="1709" spans="4:4" ht="21.75" customHeight="1" x14ac:dyDescent="0.25">
      <c r="D1709" s="4" t="s">
        <v>7</v>
      </c>
    </row>
    <row r="1710" spans="4:4" ht="21.75" customHeight="1" x14ac:dyDescent="0.25">
      <c r="D1710" s="4" t="s">
        <v>15</v>
      </c>
    </row>
    <row r="1711" spans="4:4" ht="21.75" customHeight="1" x14ac:dyDescent="0.25">
      <c r="D1711" s="4" t="s">
        <v>7</v>
      </c>
    </row>
    <row r="1712" spans="4:4" ht="21.75" customHeight="1" x14ac:dyDescent="0.25">
      <c r="D1712" s="4" t="s">
        <v>7</v>
      </c>
    </row>
    <row r="1713" spans="4:4" ht="21.75" customHeight="1" x14ac:dyDescent="0.25">
      <c r="D1713" s="4" t="s">
        <v>7</v>
      </c>
    </row>
    <row r="1714" spans="4:4" ht="21.75" customHeight="1" x14ac:dyDescent="0.25">
      <c r="D1714" s="4" t="s">
        <v>8</v>
      </c>
    </row>
    <row r="1715" spans="4:4" ht="21.75" customHeight="1" x14ac:dyDescent="0.25">
      <c r="D1715" s="4" t="s">
        <v>8</v>
      </c>
    </row>
    <row r="1716" spans="4:4" ht="21.75" customHeight="1" x14ac:dyDescent="0.25">
      <c r="D1716" s="4" t="s">
        <v>8</v>
      </c>
    </row>
    <row r="1717" spans="4:4" ht="21.75" customHeight="1" x14ac:dyDescent="0.25">
      <c r="D1717" s="4" t="s">
        <v>8</v>
      </c>
    </row>
    <row r="1718" spans="4:4" ht="21.75" customHeight="1" x14ac:dyDescent="0.25">
      <c r="D1718" s="4" t="s">
        <v>7</v>
      </c>
    </row>
    <row r="1719" spans="4:4" ht="21.75" customHeight="1" x14ac:dyDescent="0.25">
      <c r="D1719" s="4" t="s">
        <v>7</v>
      </c>
    </row>
    <row r="1720" spans="4:4" ht="21.75" customHeight="1" x14ac:dyDescent="0.25">
      <c r="D1720" s="4" t="s">
        <v>15</v>
      </c>
    </row>
    <row r="1721" spans="4:4" ht="21.75" customHeight="1" x14ac:dyDescent="0.25">
      <c r="D1721" s="4" t="s">
        <v>7</v>
      </c>
    </row>
    <row r="1722" spans="4:4" ht="21.75" customHeight="1" x14ac:dyDescent="0.25">
      <c r="D1722" s="4" t="s">
        <v>7</v>
      </c>
    </row>
    <row r="1723" spans="4:4" ht="21.75" customHeight="1" x14ac:dyDescent="0.25">
      <c r="D1723" s="4" t="s">
        <v>7</v>
      </c>
    </row>
    <row r="1724" spans="4:4" ht="21.75" customHeight="1" x14ac:dyDescent="0.25">
      <c r="D1724" s="4" t="s">
        <v>7</v>
      </c>
    </row>
    <row r="1725" spans="4:4" ht="21.75" customHeight="1" x14ac:dyDescent="0.25">
      <c r="D1725" s="4" t="s">
        <v>6</v>
      </c>
    </row>
    <row r="1726" spans="4:4" ht="21.75" customHeight="1" x14ac:dyDescent="0.25">
      <c r="D1726" s="4" t="s">
        <v>15</v>
      </c>
    </row>
    <row r="1727" spans="4:4" ht="21.75" customHeight="1" x14ac:dyDescent="0.25">
      <c r="D1727" s="4" t="s">
        <v>7</v>
      </c>
    </row>
    <row r="1728" spans="4:4" ht="21.75" customHeight="1" x14ac:dyDescent="0.25">
      <c r="D1728" s="4" t="s">
        <v>7</v>
      </c>
    </row>
    <row r="1729" spans="4:4" ht="21.75" customHeight="1" x14ac:dyDescent="0.25">
      <c r="D1729" s="4" t="s">
        <v>9</v>
      </c>
    </row>
    <row r="1730" spans="4:4" ht="21.75" customHeight="1" x14ac:dyDescent="0.25">
      <c r="D1730" s="4" t="s">
        <v>9</v>
      </c>
    </row>
    <row r="1731" spans="4:4" ht="21.75" customHeight="1" x14ac:dyDescent="0.25">
      <c r="D1731" s="4" t="s">
        <v>6</v>
      </c>
    </row>
    <row r="1732" spans="4:4" ht="21.75" customHeight="1" x14ac:dyDescent="0.25">
      <c r="D1732" s="4" t="s">
        <v>6</v>
      </c>
    </row>
    <row r="1733" spans="4:4" ht="21.75" customHeight="1" x14ac:dyDescent="0.25">
      <c r="D1733" s="4" t="s">
        <v>6</v>
      </c>
    </row>
    <row r="1734" spans="4:4" ht="21.75" customHeight="1" x14ac:dyDescent="0.25">
      <c r="D1734" s="4" t="s">
        <v>6</v>
      </c>
    </row>
    <row r="1735" spans="4:4" ht="21.75" customHeight="1" x14ac:dyDescent="0.25">
      <c r="D1735" s="4" t="s">
        <v>6</v>
      </c>
    </row>
    <row r="1736" spans="4:4" ht="21.75" customHeight="1" x14ac:dyDescent="0.25">
      <c r="D1736" s="4" t="s">
        <v>7</v>
      </c>
    </row>
    <row r="1737" spans="4:4" ht="21.75" customHeight="1" x14ac:dyDescent="0.25">
      <c r="D1737" s="4" t="s">
        <v>7</v>
      </c>
    </row>
    <row r="1738" spans="4:4" ht="21.75" customHeight="1" x14ac:dyDescent="0.25">
      <c r="D1738" s="4" t="s">
        <v>6</v>
      </c>
    </row>
    <row r="1739" spans="4:4" ht="21.75" customHeight="1" x14ac:dyDescent="0.25">
      <c r="D1739" s="4" t="s">
        <v>6</v>
      </c>
    </row>
    <row r="1740" spans="4:4" ht="21.75" customHeight="1" x14ac:dyDescent="0.25">
      <c r="D1740" s="4" t="s">
        <v>6</v>
      </c>
    </row>
    <row r="1741" spans="4:4" ht="21.75" customHeight="1" x14ac:dyDescent="0.25">
      <c r="D1741" s="4" t="s">
        <v>7</v>
      </c>
    </row>
    <row r="1742" spans="4:4" ht="21.75" customHeight="1" x14ac:dyDescent="0.25">
      <c r="D1742" s="4" t="s">
        <v>7</v>
      </c>
    </row>
    <row r="1743" spans="4:4" ht="21.75" customHeight="1" x14ac:dyDescent="0.25">
      <c r="D1743" s="4" t="s">
        <v>7</v>
      </c>
    </row>
    <row r="1744" spans="4:4" ht="21.75" customHeight="1" x14ac:dyDescent="0.25">
      <c r="D1744" s="4" t="s">
        <v>7</v>
      </c>
    </row>
    <row r="1745" spans="4:4" ht="21.75" customHeight="1" x14ac:dyDescent="0.25">
      <c r="D1745" s="4" t="s">
        <v>7</v>
      </c>
    </row>
    <row r="1746" spans="4:4" ht="21.75" customHeight="1" x14ac:dyDescent="0.25">
      <c r="D1746" s="4" t="s">
        <v>7</v>
      </c>
    </row>
    <row r="1747" spans="4:4" ht="21.75" customHeight="1" x14ac:dyDescent="0.25">
      <c r="D1747" s="4" t="s">
        <v>15</v>
      </c>
    </row>
    <row r="1748" spans="4:4" ht="21.75" customHeight="1" x14ac:dyDescent="0.25">
      <c r="D1748" s="4" t="s">
        <v>7</v>
      </c>
    </row>
    <row r="1749" spans="4:4" ht="21.75" customHeight="1" x14ac:dyDescent="0.25">
      <c r="D1749" s="4" t="s">
        <v>7</v>
      </c>
    </row>
    <row r="1750" spans="4:4" ht="21.75" customHeight="1" x14ac:dyDescent="0.25">
      <c r="D1750" s="4" t="s">
        <v>7</v>
      </c>
    </row>
    <row r="1751" spans="4:4" ht="21.75" customHeight="1" x14ac:dyDescent="0.25">
      <c r="D1751" s="4" t="s">
        <v>15</v>
      </c>
    </row>
    <row r="1752" spans="4:4" ht="21.75" customHeight="1" x14ac:dyDescent="0.25">
      <c r="D1752" s="4" t="s">
        <v>15</v>
      </c>
    </row>
    <row r="1753" spans="4:4" ht="21.75" customHeight="1" x14ac:dyDescent="0.25">
      <c r="D1753" s="4" t="s">
        <v>6</v>
      </c>
    </row>
    <row r="1754" spans="4:4" ht="21.75" customHeight="1" x14ac:dyDescent="0.25">
      <c r="D1754" s="4" t="s">
        <v>7</v>
      </c>
    </row>
    <row r="1755" spans="4:4" ht="21.75" customHeight="1" x14ac:dyDescent="0.25">
      <c r="D1755" s="4" t="s">
        <v>7</v>
      </c>
    </row>
    <row r="1756" spans="4:4" ht="21.75" customHeight="1" x14ac:dyDescent="0.25">
      <c r="D1756" s="4" t="s">
        <v>7</v>
      </c>
    </row>
    <row r="1757" spans="4:4" ht="21.75" customHeight="1" x14ac:dyDescent="0.25">
      <c r="D1757" s="4" t="s">
        <v>15</v>
      </c>
    </row>
    <row r="1758" spans="4:4" ht="21.75" customHeight="1" x14ac:dyDescent="0.25">
      <c r="D1758" s="4" t="s">
        <v>15</v>
      </c>
    </row>
    <row r="1759" spans="4:4" ht="21.75" customHeight="1" x14ac:dyDescent="0.25">
      <c r="D1759" s="4" t="s">
        <v>6</v>
      </c>
    </row>
    <row r="1760" spans="4:4" ht="21.75" customHeight="1" x14ac:dyDescent="0.25">
      <c r="D1760" s="4" t="s">
        <v>7</v>
      </c>
    </row>
    <row r="1761" spans="4:4" ht="21.75" customHeight="1" x14ac:dyDescent="0.25">
      <c r="D1761" s="4" t="s">
        <v>6</v>
      </c>
    </row>
    <row r="1762" spans="4:4" ht="21.75" customHeight="1" x14ac:dyDescent="0.25">
      <c r="D1762" s="4" t="s">
        <v>7</v>
      </c>
    </row>
  </sheetData>
  <mergeCells count="1"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0E62-18B6-43BB-AB38-A5829A156499}">
  <dimension ref="A1:N733"/>
  <sheetViews>
    <sheetView workbookViewId="0">
      <selection activeCell="J15" sqref="J15"/>
    </sheetView>
  </sheetViews>
  <sheetFormatPr defaultRowHeight="19.5" customHeight="1" x14ac:dyDescent="0.25"/>
  <cols>
    <col min="1" max="1" width="9.140625" style="38"/>
    <col min="2" max="2" width="19" style="38" bestFit="1" customWidth="1"/>
    <col min="3" max="3" width="9.140625" style="38"/>
    <col min="4" max="4" width="15.42578125" style="38" bestFit="1" customWidth="1"/>
    <col min="5" max="5" width="9.140625" style="38"/>
    <col min="6" max="6" width="15.28515625" style="38" bestFit="1" customWidth="1"/>
    <col min="7" max="7" width="9.140625" style="38"/>
    <col min="8" max="8" width="18.85546875" style="38" bestFit="1" customWidth="1"/>
    <col min="9" max="9" width="10" style="38" bestFit="1" customWidth="1"/>
    <col min="10" max="10" width="18.140625" style="38" customWidth="1"/>
    <col min="11" max="14" width="5.42578125" style="38" customWidth="1"/>
  </cols>
  <sheetData>
    <row r="1" spans="1:14" ht="32.25" customHeight="1" x14ac:dyDescent="0.25">
      <c r="A1" s="97" t="s">
        <v>36</v>
      </c>
      <c r="B1" s="97" t="s">
        <v>37</v>
      </c>
      <c r="C1" s="97"/>
      <c r="D1" s="97" t="s">
        <v>87</v>
      </c>
      <c r="E1" s="97"/>
      <c r="F1" s="97" t="s">
        <v>39</v>
      </c>
      <c r="G1" s="97"/>
      <c r="H1" s="97" t="s">
        <v>88</v>
      </c>
      <c r="I1" s="97" t="s">
        <v>89</v>
      </c>
      <c r="J1" s="97" t="s">
        <v>88</v>
      </c>
      <c r="K1" s="101" t="s">
        <v>90</v>
      </c>
      <c r="L1" s="101"/>
      <c r="M1" s="101"/>
      <c r="N1" s="101"/>
    </row>
    <row r="2" spans="1:14" ht="19.5" customHeight="1" x14ac:dyDescent="0.25">
      <c r="A2" s="1">
        <v>3677</v>
      </c>
      <c r="B2" s="33">
        <v>45658</v>
      </c>
      <c r="C2" s="4"/>
      <c r="D2" s="4" t="s">
        <v>7</v>
      </c>
      <c r="E2" s="4"/>
      <c r="F2" s="5">
        <v>5</v>
      </c>
      <c r="G2" s="5"/>
      <c r="H2" s="34">
        <f t="shared" ref="H2:H65" si="0">B2+F2-1</f>
        <v>45662</v>
      </c>
      <c r="I2" s="5">
        <v>3</v>
      </c>
      <c r="J2" s="34">
        <f t="shared" ref="J2:J65" si="1">H2+I2+1</f>
        <v>45666</v>
      </c>
      <c r="K2" s="5" t="s">
        <v>3</v>
      </c>
      <c r="L2" s="5"/>
      <c r="M2" s="5"/>
      <c r="N2" s="5"/>
    </row>
    <row r="3" spans="1:14" ht="19.5" customHeight="1" x14ac:dyDescent="0.25">
      <c r="A3" s="1">
        <v>3705</v>
      </c>
      <c r="B3" s="33">
        <v>45659</v>
      </c>
      <c r="C3" s="4"/>
      <c r="D3" s="4" t="s">
        <v>7</v>
      </c>
      <c r="E3" s="4"/>
      <c r="F3" s="5">
        <v>5</v>
      </c>
      <c r="G3" s="5"/>
      <c r="H3" s="34">
        <f t="shared" si="0"/>
        <v>45663</v>
      </c>
      <c r="I3" s="5">
        <v>3</v>
      </c>
      <c r="J3" s="34">
        <f t="shared" si="1"/>
        <v>45667</v>
      </c>
      <c r="K3" s="5"/>
      <c r="L3" s="5"/>
      <c r="M3" s="5" t="s">
        <v>1</v>
      </c>
      <c r="N3" s="5"/>
    </row>
    <row r="4" spans="1:14" ht="19.5" customHeight="1" x14ac:dyDescent="0.25">
      <c r="A4" s="1">
        <v>3863</v>
      </c>
      <c r="B4" s="33">
        <v>1</v>
      </c>
      <c r="C4" s="4"/>
      <c r="D4" s="4" t="s">
        <v>7</v>
      </c>
      <c r="E4" s="4"/>
      <c r="F4" s="5">
        <v>5</v>
      </c>
      <c r="G4" s="5"/>
      <c r="H4" s="34">
        <f t="shared" si="0"/>
        <v>5</v>
      </c>
      <c r="I4" s="5">
        <v>3</v>
      </c>
      <c r="J4" s="34">
        <f t="shared" si="1"/>
        <v>9</v>
      </c>
      <c r="K4" s="5" t="s">
        <v>3</v>
      </c>
      <c r="L4" s="5"/>
      <c r="M4" s="5"/>
      <c r="N4" s="5"/>
    </row>
    <row r="5" spans="1:14" ht="19.5" customHeight="1" x14ac:dyDescent="0.25">
      <c r="A5" s="1">
        <v>2193</v>
      </c>
      <c r="B5" s="33">
        <v>45660</v>
      </c>
      <c r="C5" s="4"/>
      <c r="D5" s="4" t="s">
        <v>15</v>
      </c>
      <c r="E5" s="4"/>
      <c r="F5" s="5">
        <v>5</v>
      </c>
      <c r="G5" s="5"/>
      <c r="H5" s="34">
        <f t="shared" si="0"/>
        <v>45664</v>
      </c>
      <c r="I5" s="5">
        <v>9</v>
      </c>
      <c r="J5" s="34">
        <f t="shared" si="1"/>
        <v>45674</v>
      </c>
      <c r="K5" s="5"/>
      <c r="L5" s="5" t="s">
        <v>5</v>
      </c>
      <c r="M5" s="5"/>
      <c r="N5" s="5"/>
    </row>
    <row r="6" spans="1:14" ht="19.5" customHeight="1" x14ac:dyDescent="0.25">
      <c r="A6" s="1">
        <v>3211</v>
      </c>
      <c r="B6" s="33">
        <v>45661</v>
      </c>
      <c r="C6" s="4"/>
      <c r="D6" s="4" t="s">
        <v>15</v>
      </c>
      <c r="E6" s="4"/>
      <c r="F6" s="5">
        <v>5</v>
      </c>
      <c r="G6" s="5"/>
      <c r="H6" s="34">
        <f t="shared" si="0"/>
        <v>45665</v>
      </c>
      <c r="I6" s="5">
        <v>9</v>
      </c>
      <c r="J6" s="34">
        <f t="shared" si="1"/>
        <v>45675</v>
      </c>
      <c r="K6" s="5" t="s">
        <v>3</v>
      </c>
      <c r="L6" s="5"/>
      <c r="M6" s="5"/>
      <c r="N6" s="5"/>
    </row>
    <row r="7" spans="1:14" ht="19.5" customHeight="1" x14ac:dyDescent="0.25">
      <c r="A7" s="1">
        <v>1738</v>
      </c>
      <c r="B7" s="33">
        <v>45662</v>
      </c>
      <c r="C7" s="4"/>
      <c r="D7" s="4" t="s">
        <v>7</v>
      </c>
      <c r="E7" s="4"/>
      <c r="F7" s="5">
        <v>5</v>
      </c>
      <c r="G7" s="5"/>
      <c r="H7" s="34">
        <f t="shared" si="0"/>
        <v>45666</v>
      </c>
      <c r="I7" s="5">
        <v>3</v>
      </c>
      <c r="J7" s="34">
        <f t="shared" si="1"/>
        <v>45670</v>
      </c>
      <c r="K7" s="5"/>
      <c r="L7" s="5" t="s">
        <v>5</v>
      </c>
      <c r="M7" s="5"/>
      <c r="N7" s="5"/>
    </row>
    <row r="8" spans="1:14" ht="19.5" customHeight="1" x14ac:dyDescent="0.25">
      <c r="A8" s="1">
        <v>3677</v>
      </c>
      <c r="B8" s="33">
        <v>45663</v>
      </c>
      <c r="C8" s="4"/>
      <c r="D8" s="4" t="s">
        <v>15</v>
      </c>
      <c r="E8" s="4"/>
      <c r="F8" s="5">
        <v>5</v>
      </c>
      <c r="G8" s="5"/>
      <c r="H8" s="34">
        <f t="shared" si="0"/>
        <v>45667</v>
      </c>
      <c r="I8" s="5">
        <v>9</v>
      </c>
      <c r="J8" s="34">
        <f t="shared" si="1"/>
        <v>45677</v>
      </c>
      <c r="K8" s="5"/>
      <c r="L8" s="5"/>
      <c r="M8" s="5" t="s">
        <v>1</v>
      </c>
      <c r="N8" s="5"/>
    </row>
    <row r="9" spans="1:14" ht="19.5" customHeight="1" x14ac:dyDescent="0.25">
      <c r="A9" s="1">
        <v>3745</v>
      </c>
      <c r="B9" s="33">
        <v>45663</v>
      </c>
      <c r="C9" s="4"/>
      <c r="D9" s="4" t="s">
        <v>7</v>
      </c>
      <c r="E9" s="4"/>
      <c r="F9" s="5">
        <v>5</v>
      </c>
      <c r="G9" s="5"/>
      <c r="H9" s="34">
        <f t="shared" si="0"/>
        <v>45667</v>
      </c>
      <c r="I9" s="5">
        <v>3</v>
      </c>
      <c r="J9" s="34">
        <f t="shared" si="1"/>
        <v>45671</v>
      </c>
      <c r="K9" s="5"/>
      <c r="L9" s="5"/>
      <c r="M9" s="5" t="s">
        <v>1</v>
      </c>
      <c r="N9" s="5"/>
    </row>
    <row r="10" spans="1:14" ht="19.5" customHeight="1" x14ac:dyDescent="0.25">
      <c r="A10" s="1">
        <v>3787</v>
      </c>
      <c r="B10" s="33">
        <v>45664</v>
      </c>
      <c r="C10" s="4"/>
      <c r="D10" s="4" t="s">
        <v>7</v>
      </c>
      <c r="E10" s="4"/>
      <c r="F10" s="5">
        <v>5</v>
      </c>
      <c r="G10" s="5"/>
      <c r="H10" s="34">
        <f t="shared" si="0"/>
        <v>45668</v>
      </c>
      <c r="I10" s="5">
        <v>3</v>
      </c>
      <c r="J10" s="34">
        <f t="shared" si="1"/>
        <v>45672</v>
      </c>
      <c r="K10" s="5" t="s">
        <v>3</v>
      </c>
      <c r="L10" s="5"/>
      <c r="M10" s="5"/>
      <c r="N10" s="5"/>
    </row>
    <row r="11" spans="1:14" ht="19.5" customHeight="1" x14ac:dyDescent="0.25">
      <c r="A11" s="1">
        <v>3754</v>
      </c>
      <c r="B11" s="33">
        <v>45664</v>
      </c>
      <c r="C11" s="4"/>
      <c r="D11" s="4" t="s">
        <v>6</v>
      </c>
      <c r="E11" s="4"/>
      <c r="F11" s="5">
        <v>5</v>
      </c>
      <c r="G11" s="5"/>
      <c r="H11" s="34">
        <f t="shared" si="0"/>
        <v>45668</v>
      </c>
      <c r="I11" s="5">
        <v>5</v>
      </c>
      <c r="J11" s="34">
        <f t="shared" si="1"/>
        <v>45674</v>
      </c>
      <c r="K11" s="5" t="s">
        <v>3</v>
      </c>
      <c r="L11" s="5"/>
      <c r="M11" s="5"/>
      <c r="N11" s="5"/>
    </row>
    <row r="12" spans="1:14" ht="19.5" customHeight="1" x14ac:dyDescent="0.25">
      <c r="A12" s="1">
        <v>3621</v>
      </c>
      <c r="B12" s="33">
        <v>45664</v>
      </c>
      <c r="C12" s="4"/>
      <c r="D12" s="4" t="s">
        <v>6</v>
      </c>
      <c r="E12" s="4"/>
      <c r="F12" s="5">
        <v>5</v>
      </c>
      <c r="G12" s="5"/>
      <c r="H12" s="34">
        <f t="shared" si="0"/>
        <v>45668</v>
      </c>
      <c r="I12" s="5">
        <v>5</v>
      </c>
      <c r="J12" s="34">
        <f t="shared" si="1"/>
        <v>45674</v>
      </c>
      <c r="K12" s="5"/>
      <c r="L12" s="5" t="s">
        <v>5</v>
      </c>
      <c r="M12" s="5"/>
      <c r="N12" s="5"/>
    </row>
    <row r="13" spans="1:14" ht="19.5" customHeight="1" x14ac:dyDescent="0.25">
      <c r="A13" s="1">
        <v>2949</v>
      </c>
      <c r="B13" s="33">
        <v>45664</v>
      </c>
      <c r="C13" s="4"/>
      <c r="D13" s="4" t="s">
        <v>6</v>
      </c>
      <c r="E13" s="4"/>
      <c r="F13" s="5">
        <v>5</v>
      </c>
      <c r="G13" s="5"/>
      <c r="H13" s="34">
        <f t="shared" si="0"/>
        <v>45668</v>
      </c>
      <c r="I13" s="5">
        <v>5</v>
      </c>
      <c r="J13" s="34">
        <f t="shared" si="1"/>
        <v>45674</v>
      </c>
      <c r="K13" s="5" t="s">
        <v>3</v>
      </c>
      <c r="L13" s="5"/>
      <c r="M13" s="5" t="s">
        <v>1</v>
      </c>
      <c r="N13" s="5"/>
    </row>
    <row r="14" spans="1:14" ht="19.5" customHeight="1" x14ac:dyDescent="0.25">
      <c r="A14" s="1">
        <v>296</v>
      </c>
      <c r="B14" s="33">
        <v>45664</v>
      </c>
      <c r="C14" s="4"/>
      <c r="D14" s="4" t="s">
        <v>6</v>
      </c>
      <c r="E14" s="4"/>
      <c r="F14" s="5">
        <v>5</v>
      </c>
      <c r="G14" s="5"/>
      <c r="H14" s="34">
        <f t="shared" si="0"/>
        <v>45668</v>
      </c>
      <c r="I14" s="5">
        <v>5</v>
      </c>
      <c r="J14" s="34">
        <f t="shared" si="1"/>
        <v>45674</v>
      </c>
      <c r="K14" s="5"/>
      <c r="L14" s="5"/>
      <c r="M14" s="5" t="s">
        <v>1</v>
      </c>
      <c r="N14" s="5"/>
    </row>
    <row r="15" spans="1:14" ht="19.5" customHeight="1" x14ac:dyDescent="0.25">
      <c r="A15" s="1">
        <v>2906</v>
      </c>
      <c r="B15" s="33">
        <v>45665</v>
      </c>
      <c r="C15" s="4"/>
      <c r="D15" s="4" t="s">
        <v>7</v>
      </c>
      <c r="E15" s="4"/>
      <c r="F15" s="5">
        <v>5</v>
      </c>
      <c r="G15" s="5"/>
      <c r="H15" s="34">
        <f t="shared" si="0"/>
        <v>45669</v>
      </c>
      <c r="I15" s="5">
        <v>3</v>
      </c>
      <c r="J15" s="34">
        <f t="shared" si="1"/>
        <v>45673</v>
      </c>
      <c r="K15" s="5" t="s">
        <v>3</v>
      </c>
      <c r="L15" s="5"/>
      <c r="M15" s="5"/>
      <c r="N15" s="5"/>
    </row>
    <row r="16" spans="1:14" ht="19.5" customHeight="1" x14ac:dyDescent="0.25">
      <c r="A16" s="1">
        <v>3787</v>
      </c>
      <c r="B16" s="33">
        <v>45665</v>
      </c>
      <c r="C16" s="4"/>
      <c r="D16" s="4" t="s">
        <v>6</v>
      </c>
      <c r="E16" s="4"/>
      <c r="F16" s="5">
        <v>5</v>
      </c>
      <c r="G16" s="5"/>
      <c r="H16" s="34">
        <f t="shared" si="0"/>
        <v>45669</v>
      </c>
      <c r="I16" s="5">
        <v>5</v>
      </c>
      <c r="J16" s="34">
        <f t="shared" si="1"/>
        <v>45675</v>
      </c>
      <c r="K16" s="5"/>
      <c r="L16" s="5" t="s">
        <v>5</v>
      </c>
      <c r="M16" s="5"/>
      <c r="N16" s="5"/>
    </row>
    <row r="17" spans="1:14" ht="19.5" customHeight="1" x14ac:dyDescent="0.25">
      <c r="A17" s="1">
        <v>2696</v>
      </c>
      <c r="B17" s="33">
        <v>45666</v>
      </c>
      <c r="C17" s="4"/>
      <c r="D17" s="4" t="s">
        <v>6</v>
      </c>
      <c r="E17" s="4"/>
      <c r="F17" s="5">
        <v>5</v>
      </c>
      <c r="G17" s="5"/>
      <c r="H17" s="34">
        <f t="shared" si="0"/>
        <v>45670</v>
      </c>
      <c r="I17" s="5">
        <v>5</v>
      </c>
      <c r="J17" s="34">
        <f t="shared" si="1"/>
        <v>45676</v>
      </c>
      <c r="K17" s="5"/>
      <c r="L17" s="5"/>
      <c r="M17" s="5"/>
      <c r="N17" s="5" t="s">
        <v>4</v>
      </c>
    </row>
    <row r="18" spans="1:14" ht="19.5" customHeight="1" x14ac:dyDescent="0.25">
      <c r="A18" s="1">
        <v>1185</v>
      </c>
      <c r="B18" s="33">
        <v>45668</v>
      </c>
      <c r="C18" s="4"/>
      <c r="D18" s="4" t="s">
        <v>7</v>
      </c>
      <c r="E18" s="4"/>
      <c r="F18" s="5">
        <v>5</v>
      </c>
      <c r="G18" s="5"/>
      <c r="H18" s="34">
        <f t="shared" si="0"/>
        <v>45672</v>
      </c>
      <c r="I18" s="5">
        <v>3</v>
      </c>
      <c r="J18" s="34">
        <f t="shared" si="1"/>
        <v>45676</v>
      </c>
      <c r="K18" s="5" t="s">
        <v>3</v>
      </c>
      <c r="L18" s="5" t="s">
        <v>5</v>
      </c>
      <c r="M18" s="5"/>
      <c r="N18" s="5"/>
    </row>
    <row r="19" spans="1:14" ht="19.5" customHeight="1" x14ac:dyDescent="0.25">
      <c r="A19" s="1">
        <v>3304</v>
      </c>
      <c r="B19" s="33">
        <v>45668</v>
      </c>
      <c r="C19" s="4"/>
      <c r="D19" s="4" t="s">
        <v>20</v>
      </c>
      <c r="E19" s="4"/>
      <c r="F19" s="5">
        <v>5</v>
      </c>
      <c r="G19" s="5"/>
      <c r="H19" s="34">
        <f t="shared" si="0"/>
        <v>45672</v>
      </c>
      <c r="I19" s="5">
        <v>9</v>
      </c>
      <c r="J19" s="34">
        <f t="shared" si="1"/>
        <v>45682</v>
      </c>
      <c r="K19" s="5" t="s">
        <v>3</v>
      </c>
      <c r="L19" s="5"/>
      <c r="M19" s="5" t="s">
        <v>1</v>
      </c>
      <c r="N19" s="5"/>
    </row>
    <row r="20" spans="1:14" ht="19.5" customHeight="1" x14ac:dyDescent="0.25">
      <c r="A20" s="1">
        <v>2238</v>
      </c>
      <c r="B20" s="33">
        <v>45669</v>
      </c>
      <c r="C20" s="4"/>
      <c r="D20" s="4" t="s">
        <v>18</v>
      </c>
      <c r="E20" s="4"/>
      <c r="F20" s="5">
        <v>5</v>
      </c>
      <c r="G20" s="5"/>
      <c r="H20" s="34">
        <f t="shared" si="0"/>
        <v>45673</v>
      </c>
      <c r="I20" s="5">
        <v>3</v>
      </c>
      <c r="J20" s="34">
        <f t="shared" si="1"/>
        <v>45677</v>
      </c>
      <c r="K20" s="5" t="s">
        <v>3</v>
      </c>
      <c r="L20" s="5"/>
      <c r="M20" s="5" t="s">
        <v>1</v>
      </c>
      <c r="N20" s="5" t="s">
        <v>4</v>
      </c>
    </row>
    <row r="21" spans="1:14" ht="19.5" customHeight="1" x14ac:dyDescent="0.25">
      <c r="A21" s="1">
        <v>4192</v>
      </c>
      <c r="B21" s="33">
        <v>45670</v>
      </c>
      <c r="C21" s="4"/>
      <c r="D21" s="4" t="s">
        <v>7</v>
      </c>
      <c r="E21" s="4"/>
      <c r="F21" s="5">
        <v>5</v>
      </c>
      <c r="G21" s="5"/>
      <c r="H21" s="34">
        <f t="shared" si="0"/>
        <v>45674</v>
      </c>
      <c r="I21" s="5">
        <v>3</v>
      </c>
      <c r="J21" s="34">
        <f t="shared" si="1"/>
        <v>45678</v>
      </c>
      <c r="K21" s="5"/>
      <c r="L21" s="5"/>
      <c r="M21" s="5"/>
      <c r="N21" s="5" t="s">
        <v>4</v>
      </c>
    </row>
    <row r="22" spans="1:14" ht="19.5" customHeight="1" x14ac:dyDescent="0.25">
      <c r="A22" s="1">
        <v>1119</v>
      </c>
      <c r="B22" s="33">
        <v>45670</v>
      </c>
      <c r="C22" s="4"/>
      <c r="D22" s="4" t="s">
        <v>7</v>
      </c>
      <c r="E22" s="4"/>
      <c r="F22" s="5">
        <v>5</v>
      </c>
      <c r="G22" s="5"/>
      <c r="H22" s="34">
        <f t="shared" si="0"/>
        <v>45674</v>
      </c>
      <c r="I22" s="5">
        <v>3</v>
      </c>
      <c r="J22" s="34">
        <f t="shared" si="1"/>
        <v>45678</v>
      </c>
      <c r="K22" s="5"/>
      <c r="L22" s="5"/>
      <c r="M22" s="5" t="s">
        <v>1</v>
      </c>
      <c r="N22" s="5" t="s">
        <v>4</v>
      </c>
    </row>
    <row r="23" spans="1:14" ht="19.5" customHeight="1" x14ac:dyDescent="0.25">
      <c r="A23" s="1">
        <v>4202</v>
      </c>
      <c r="B23" s="33">
        <v>45670</v>
      </c>
      <c r="C23" s="4"/>
      <c r="D23" s="4" t="s">
        <v>7</v>
      </c>
      <c r="E23" s="4"/>
      <c r="F23" s="5">
        <v>5</v>
      </c>
      <c r="G23" s="5"/>
      <c r="H23" s="34">
        <f t="shared" si="0"/>
        <v>45674</v>
      </c>
      <c r="I23" s="5">
        <v>3</v>
      </c>
      <c r="J23" s="34">
        <f t="shared" si="1"/>
        <v>45678</v>
      </c>
      <c r="K23" s="5" t="s">
        <v>3</v>
      </c>
      <c r="L23" s="5"/>
      <c r="M23" s="5"/>
      <c r="N23" s="5"/>
    </row>
    <row r="24" spans="1:14" ht="19.5" customHeight="1" x14ac:dyDescent="0.25">
      <c r="A24" s="1">
        <v>3278</v>
      </c>
      <c r="B24" s="33">
        <v>45671</v>
      </c>
      <c r="C24" s="4"/>
      <c r="D24" s="4" t="s">
        <v>7</v>
      </c>
      <c r="E24" s="4"/>
      <c r="F24" s="5">
        <v>5</v>
      </c>
      <c r="G24" s="5"/>
      <c r="H24" s="34">
        <f t="shared" si="0"/>
        <v>45675</v>
      </c>
      <c r="I24" s="5">
        <v>3</v>
      </c>
      <c r="J24" s="34">
        <f t="shared" si="1"/>
        <v>45679</v>
      </c>
      <c r="K24" s="5"/>
      <c r="L24" s="5" t="s">
        <v>5</v>
      </c>
      <c r="M24" s="5"/>
      <c r="N24" s="5"/>
    </row>
    <row r="25" spans="1:14" ht="19.5" customHeight="1" x14ac:dyDescent="0.25">
      <c r="A25" s="1">
        <v>4206</v>
      </c>
      <c r="B25" s="33">
        <v>45671</v>
      </c>
      <c r="C25" s="4"/>
      <c r="D25" s="4" t="s">
        <v>7</v>
      </c>
      <c r="E25" s="4"/>
      <c r="F25" s="5">
        <v>5</v>
      </c>
      <c r="G25" s="5"/>
      <c r="H25" s="34">
        <f t="shared" si="0"/>
        <v>45675</v>
      </c>
      <c r="I25" s="5">
        <v>3</v>
      </c>
      <c r="J25" s="34">
        <f t="shared" si="1"/>
        <v>45679</v>
      </c>
      <c r="K25" s="5"/>
      <c r="L25" s="5"/>
      <c r="M25" s="5" t="s">
        <v>1</v>
      </c>
      <c r="N25" s="5"/>
    </row>
    <row r="26" spans="1:14" ht="19.5" customHeight="1" x14ac:dyDescent="0.25">
      <c r="A26" s="1">
        <v>1749</v>
      </c>
      <c r="B26" s="33">
        <v>45672</v>
      </c>
      <c r="C26" s="4"/>
      <c r="D26" s="4" t="s">
        <v>6</v>
      </c>
      <c r="E26" s="4"/>
      <c r="F26" s="5">
        <v>5</v>
      </c>
      <c r="G26" s="5"/>
      <c r="H26" s="34">
        <f t="shared" si="0"/>
        <v>45676</v>
      </c>
      <c r="I26" s="5">
        <v>5</v>
      </c>
      <c r="J26" s="34">
        <f t="shared" si="1"/>
        <v>45682</v>
      </c>
      <c r="K26" s="5"/>
      <c r="L26" s="5"/>
      <c r="M26" s="5"/>
      <c r="N26" s="5" t="s">
        <v>4</v>
      </c>
    </row>
    <row r="27" spans="1:14" ht="19.5" customHeight="1" x14ac:dyDescent="0.25">
      <c r="A27" s="1">
        <v>3617</v>
      </c>
      <c r="B27" s="33">
        <v>45672</v>
      </c>
      <c r="C27" s="4"/>
      <c r="D27" s="4" t="s">
        <v>7</v>
      </c>
      <c r="E27" s="4"/>
      <c r="F27" s="5">
        <v>5</v>
      </c>
      <c r="G27" s="5"/>
      <c r="H27" s="34">
        <f t="shared" si="0"/>
        <v>45676</v>
      </c>
      <c r="I27" s="5">
        <v>3</v>
      </c>
      <c r="J27" s="34">
        <f t="shared" si="1"/>
        <v>45680</v>
      </c>
      <c r="K27" s="5"/>
      <c r="L27" s="5"/>
      <c r="M27" s="5" t="s">
        <v>1</v>
      </c>
      <c r="N27" s="5"/>
    </row>
    <row r="28" spans="1:14" ht="19.5" customHeight="1" x14ac:dyDescent="0.25">
      <c r="A28" s="1">
        <v>3512</v>
      </c>
      <c r="B28" s="33">
        <v>45674</v>
      </c>
      <c r="C28" s="4"/>
      <c r="D28" s="4" t="s">
        <v>7</v>
      </c>
      <c r="E28" s="4"/>
      <c r="F28" s="5">
        <v>5</v>
      </c>
      <c r="G28" s="5"/>
      <c r="H28" s="34">
        <f t="shared" si="0"/>
        <v>45678</v>
      </c>
      <c r="I28" s="5">
        <v>3</v>
      </c>
      <c r="J28" s="34">
        <f t="shared" si="1"/>
        <v>45682</v>
      </c>
      <c r="K28" s="5" t="s">
        <v>3</v>
      </c>
      <c r="L28" s="5"/>
      <c r="M28" s="5"/>
      <c r="N28" s="5"/>
    </row>
    <row r="29" spans="1:14" ht="19.5" customHeight="1" x14ac:dyDescent="0.25">
      <c r="A29" s="1">
        <v>1180</v>
      </c>
      <c r="B29" s="35">
        <v>45673</v>
      </c>
      <c r="C29" s="32"/>
      <c r="D29" s="4" t="s">
        <v>7</v>
      </c>
      <c r="E29" s="32"/>
      <c r="F29" s="5">
        <v>5</v>
      </c>
      <c r="G29" s="32"/>
      <c r="H29" s="34">
        <f t="shared" si="0"/>
        <v>45677</v>
      </c>
      <c r="I29" s="5">
        <v>3</v>
      </c>
      <c r="J29" s="34">
        <f t="shared" si="1"/>
        <v>45681</v>
      </c>
      <c r="K29" s="32" t="s">
        <v>3</v>
      </c>
      <c r="L29" s="32"/>
      <c r="M29" s="32"/>
      <c r="N29" s="32"/>
    </row>
    <row r="30" spans="1:14" ht="19.5" customHeight="1" x14ac:dyDescent="0.25">
      <c r="A30" s="1">
        <v>3051</v>
      </c>
      <c r="B30" s="36">
        <v>45673</v>
      </c>
      <c r="C30" s="32"/>
      <c r="D30" s="4" t="s">
        <v>7</v>
      </c>
      <c r="E30" s="32"/>
      <c r="F30" s="5">
        <v>5</v>
      </c>
      <c r="G30" s="32"/>
      <c r="H30" s="34">
        <f t="shared" si="0"/>
        <v>45677</v>
      </c>
      <c r="I30" s="5">
        <v>3</v>
      </c>
      <c r="J30" s="34">
        <f t="shared" si="1"/>
        <v>45681</v>
      </c>
      <c r="K30" s="32"/>
      <c r="L30" s="32" t="s">
        <v>5</v>
      </c>
      <c r="M30" s="32"/>
      <c r="N30" s="32"/>
    </row>
    <row r="31" spans="1:14" ht="19.5" customHeight="1" x14ac:dyDescent="0.25">
      <c r="A31" s="1">
        <v>3110</v>
      </c>
      <c r="B31" s="35">
        <v>45674</v>
      </c>
      <c r="C31" s="32"/>
      <c r="D31" s="4" t="s">
        <v>7</v>
      </c>
      <c r="E31" s="32"/>
      <c r="F31" s="5">
        <v>5</v>
      </c>
      <c r="G31" s="32"/>
      <c r="H31" s="34">
        <f t="shared" si="0"/>
        <v>45678</v>
      </c>
      <c r="I31" s="5">
        <v>3</v>
      </c>
      <c r="J31" s="34">
        <f t="shared" si="1"/>
        <v>45682</v>
      </c>
      <c r="K31" s="32"/>
      <c r="L31" s="32" t="s">
        <v>5</v>
      </c>
      <c r="M31" s="32"/>
      <c r="N31" s="32" t="s">
        <v>4</v>
      </c>
    </row>
    <row r="32" spans="1:14" ht="19.5" customHeight="1" x14ac:dyDescent="0.25">
      <c r="A32" s="1">
        <v>1749</v>
      </c>
      <c r="B32" s="35">
        <v>45675</v>
      </c>
      <c r="C32" s="32"/>
      <c r="D32" s="4" t="s">
        <v>20</v>
      </c>
      <c r="E32" s="32"/>
      <c r="F32" s="5">
        <v>5</v>
      </c>
      <c r="G32" s="32"/>
      <c r="H32" s="34">
        <f t="shared" si="0"/>
        <v>45679</v>
      </c>
      <c r="I32" s="5">
        <v>9</v>
      </c>
      <c r="J32" s="34">
        <f t="shared" si="1"/>
        <v>45689</v>
      </c>
      <c r="K32" s="32"/>
      <c r="L32" s="32" t="s">
        <v>5</v>
      </c>
      <c r="M32" s="32"/>
      <c r="N32" s="32" t="s">
        <v>4</v>
      </c>
    </row>
    <row r="33" spans="1:14" ht="19.5" customHeight="1" x14ac:dyDescent="0.25">
      <c r="A33" s="1">
        <v>3568</v>
      </c>
      <c r="B33" s="36">
        <v>45675</v>
      </c>
      <c r="C33" s="32"/>
      <c r="D33" s="4" t="s">
        <v>7</v>
      </c>
      <c r="E33" s="32"/>
      <c r="F33" s="5">
        <v>5</v>
      </c>
      <c r="G33" s="32"/>
      <c r="H33" s="34">
        <f t="shared" si="0"/>
        <v>45679</v>
      </c>
      <c r="I33" s="5">
        <v>3</v>
      </c>
      <c r="J33" s="34">
        <f t="shared" si="1"/>
        <v>45683</v>
      </c>
      <c r="K33" s="32" t="s">
        <v>3</v>
      </c>
      <c r="L33" s="32"/>
      <c r="M33" s="32"/>
      <c r="N33" s="32" t="s">
        <v>4</v>
      </c>
    </row>
    <row r="34" spans="1:14" ht="19.5" customHeight="1" x14ac:dyDescent="0.25">
      <c r="A34" s="1">
        <v>2488</v>
      </c>
      <c r="B34" s="36">
        <v>45675</v>
      </c>
      <c r="C34" s="32"/>
      <c r="D34" s="4" t="s">
        <v>7</v>
      </c>
      <c r="E34" s="32"/>
      <c r="F34" s="5">
        <v>5</v>
      </c>
      <c r="G34" s="32"/>
      <c r="H34" s="34">
        <f t="shared" si="0"/>
        <v>45679</v>
      </c>
      <c r="I34" s="5">
        <v>3</v>
      </c>
      <c r="J34" s="34">
        <f t="shared" si="1"/>
        <v>45683</v>
      </c>
      <c r="K34" s="32"/>
      <c r="L34" s="32" t="s">
        <v>5</v>
      </c>
      <c r="M34" s="32"/>
      <c r="N34" s="32"/>
    </row>
    <row r="35" spans="1:14" ht="19.5" customHeight="1" x14ac:dyDescent="0.25">
      <c r="A35" s="1">
        <v>3901</v>
      </c>
      <c r="B35" s="36">
        <v>45675</v>
      </c>
      <c r="C35" s="32"/>
      <c r="D35" s="4" t="s">
        <v>7</v>
      </c>
      <c r="E35" s="32"/>
      <c r="F35" s="5">
        <v>5</v>
      </c>
      <c r="G35" s="32"/>
      <c r="H35" s="34">
        <f t="shared" si="0"/>
        <v>45679</v>
      </c>
      <c r="I35" s="5">
        <v>3</v>
      </c>
      <c r="J35" s="34">
        <f t="shared" si="1"/>
        <v>45683</v>
      </c>
      <c r="K35" s="32"/>
      <c r="L35" s="32"/>
      <c r="M35" s="32"/>
      <c r="N35" s="32" t="s">
        <v>4</v>
      </c>
    </row>
    <row r="36" spans="1:14" ht="19.5" customHeight="1" x14ac:dyDescent="0.25">
      <c r="A36" s="1">
        <v>578</v>
      </c>
      <c r="B36" s="36">
        <v>45676</v>
      </c>
      <c r="C36" s="32"/>
      <c r="D36" s="4" t="s">
        <v>7</v>
      </c>
      <c r="E36" s="32"/>
      <c r="F36" s="5">
        <v>5</v>
      </c>
      <c r="G36" s="32"/>
      <c r="H36" s="34">
        <f t="shared" si="0"/>
        <v>45680</v>
      </c>
      <c r="I36" s="5">
        <v>3</v>
      </c>
      <c r="J36" s="34">
        <f t="shared" si="1"/>
        <v>45684</v>
      </c>
      <c r="K36" s="32"/>
      <c r="L36" s="32"/>
      <c r="M36" s="32"/>
      <c r="N36" s="32" t="s">
        <v>4</v>
      </c>
    </row>
    <row r="37" spans="1:14" ht="19.5" customHeight="1" x14ac:dyDescent="0.25">
      <c r="A37" s="1">
        <v>3986</v>
      </c>
      <c r="B37" s="36">
        <v>45676</v>
      </c>
      <c r="C37" s="32"/>
      <c r="D37" s="4" t="s">
        <v>7</v>
      </c>
      <c r="E37" s="32"/>
      <c r="F37" s="5">
        <v>5</v>
      </c>
      <c r="G37" s="32"/>
      <c r="H37" s="34">
        <f t="shared" si="0"/>
        <v>45680</v>
      </c>
      <c r="I37" s="5">
        <v>3</v>
      </c>
      <c r="J37" s="34">
        <f t="shared" si="1"/>
        <v>45684</v>
      </c>
      <c r="K37" s="32"/>
      <c r="L37" s="32" t="s">
        <v>5</v>
      </c>
      <c r="M37" s="32"/>
      <c r="N37" s="32"/>
    </row>
    <row r="38" spans="1:14" ht="19.5" customHeight="1" x14ac:dyDescent="0.25">
      <c r="A38" s="1">
        <v>2949</v>
      </c>
      <c r="B38" s="36">
        <v>45677</v>
      </c>
      <c r="C38" s="32"/>
      <c r="D38" s="4" t="s">
        <v>21</v>
      </c>
      <c r="E38" s="32"/>
      <c r="F38" s="5">
        <v>5</v>
      </c>
      <c r="G38" s="32"/>
      <c r="H38" s="34">
        <f t="shared" si="0"/>
        <v>45681</v>
      </c>
      <c r="I38" s="5">
        <v>9</v>
      </c>
      <c r="J38" s="34">
        <f t="shared" si="1"/>
        <v>45691</v>
      </c>
      <c r="K38" s="32"/>
      <c r="L38" s="32" t="s">
        <v>5</v>
      </c>
      <c r="M38" s="32"/>
      <c r="N38" s="32"/>
    </row>
    <row r="39" spans="1:14" ht="19.5" customHeight="1" x14ac:dyDescent="0.25">
      <c r="A39" s="1">
        <v>3791</v>
      </c>
      <c r="B39" s="36">
        <v>45677</v>
      </c>
      <c r="C39" s="32"/>
      <c r="D39" s="4" t="s">
        <v>6</v>
      </c>
      <c r="E39" s="32"/>
      <c r="F39" s="5">
        <v>5</v>
      </c>
      <c r="G39" s="32"/>
      <c r="H39" s="34">
        <f t="shared" si="0"/>
        <v>45681</v>
      </c>
      <c r="I39" s="5">
        <v>5</v>
      </c>
      <c r="J39" s="34">
        <f t="shared" si="1"/>
        <v>45687</v>
      </c>
      <c r="K39" s="32" t="s">
        <v>3</v>
      </c>
      <c r="L39" s="32"/>
      <c r="M39" s="32" t="s">
        <v>1</v>
      </c>
      <c r="N39" s="32" t="s">
        <v>4</v>
      </c>
    </row>
    <row r="40" spans="1:14" ht="19.5" customHeight="1" x14ac:dyDescent="0.25">
      <c r="A40" s="1">
        <v>4054</v>
      </c>
      <c r="B40" s="36">
        <v>45677</v>
      </c>
      <c r="C40" s="32"/>
      <c r="D40" s="4" t="s">
        <v>7</v>
      </c>
      <c r="E40" s="32"/>
      <c r="F40" s="5">
        <v>5</v>
      </c>
      <c r="G40" s="32"/>
      <c r="H40" s="34">
        <f t="shared" si="0"/>
        <v>45681</v>
      </c>
      <c r="I40" s="5">
        <v>3</v>
      </c>
      <c r="J40" s="34">
        <f t="shared" si="1"/>
        <v>45685</v>
      </c>
      <c r="K40" s="32"/>
      <c r="L40" s="32" t="s">
        <v>5</v>
      </c>
      <c r="M40" s="32"/>
      <c r="N40" s="32"/>
    </row>
    <row r="41" spans="1:14" ht="19.5" customHeight="1" x14ac:dyDescent="0.25">
      <c r="A41" s="1">
        <v>3745</v>
      </c>
      <c r="B41" s="36">
        <v>45677</v>
      </c>
      <c r="C41" s="32"/>
      <c r="D41" s="4" t="s">
        <v>7</v>
      </c>
      <c r="E41" s="32"/>
      <c r="F41" s="5">
        <v>5</v>
      </c>
      <c r="G41" s="32"/>
      <c r="H41" s="34">
        <f t="shared" si="0"/>
        <v>45681</v>
      </c>
      <c r="I41" s="5">
        <v>3</v>
      </c>
      <c r="J41" s="34">
        <f t="shared" si="1"/>
        <v>45685</v>
      </c>
      <c r="K41" s="32" t="s">
        <v>3</v>
      </c>
      <c r="L41" s="32"/>
      <c r="M41" s="32"/>
      <c r="N41" s="32"/>
    </row>
    <row r="42" spans="1:14" ht="19.5" customHeight="1" x14ac:dyDescent="0.25">
      <c r="A42" s="1">
        <v>3284</v>
      </c>
      <c r="B42" s="36">
        <v>45678</v>
      </c>
      <c r="C42" s="32"/>
      <c r="D42" s="4" t="s">
        <v>7</v>
      </c>
      <c r="E42" s="32"/>
      <c r="F42" s="5">
        <v>5</v>
      </c>
      <c r="G42" s="32"/>
      <c r="H42" s="34">
        <f t="shared" si="0"/>
        <v>45682</v>
      </c>
      <c r="I42" s="5">
        <v>3</v>
      </c>
      <c r="J42" s="34">
        <f t="shared" si="1"/>
        <v>45686</v>
      </c>
      <c r="K42" s="32"/>
      <c r="L42" s="32" t="s">
        <v>5</v>
      </c>
      <c r="M42" s="32"/>
      <c r="N42" s="32"/>
    </row>
    <row r="43" spans="1:14" ht="19.5" customHeight="1" x14ac:dyDescent="0.25">
      <c r="A43" s="1">
        <v>3729</v>
      </c>
      <c r="B43" s="36">
        <v>45313</v>
      </c>
      <c r="C43" s="32"/>
      <c r="D43" s="4" t="s">
        <v>7</v>
      </c>
      <c r="E43" s="32"/>
      <c r="F43" s="5">
        <v>5</v>
      </c>
      <c r="G43" s="32"/>
      <c r="H43" s="34">
        <f t="shared" si="0"/>
        <v>45317</v>
      </c>
      <c r="I43" s="5">
        <v>3</v>
      </c>
      <c r="J43" s="34">
        <f t="shared" si="1"/>
        <v>45321</v>
      </c>
      <c r="K43" s="32"/>
      <c r="L43" s="32"/>
      <c r="M43" s="32"/>
      <c r="N43" s="32" t="s">
        <v>4</v>
      </c>
    </row>
    <row r="44" spans="1:14" ht="19.5" customHeight="1" x14ac:dyDescent="0.25">
      <c r="A44" s="1">
        <v>2238</v>
      </c>
      <c r="B44" s="36">
        <v>45679</v>
      </c>
      <c r="C44" s="32"/>
      <c r="D44" s="4" t="s">
        <v>20</v>
      </c>
      <c r="E44" s="32"/>
      <c r="F44" s="5">
        <v>5</v>
      </c>
      <c r="G44" s="32"/>
      <c r="H44" s="34">
        <f t="shared" si="0"/>
        <v>45683</v>
      </c>
      <c r="I44" s="5">
        <v>9</v>
      </c>
      <c r="J44" s="34">
        <f t="shared" si="1"/>
        <v>45693</v>
      </c>
      <c r="K44" s="32"/>
      <c r="L44" s="32"/>
      <c r="M44" s="32"/>
      <c r="N44" s="32" t="s">
        <v>4</v>
      </c>
    </row>
    <row r="45" spans="1:14" ht="19.5" customHeight="1" x14ac:dyDescent="0.25">
      <c r="A45" s="1">
        <v>3617</v>
      </c>
      <c r="B45" s="36">
        <v>45679</v>
      </c>
      <c r="C45" s="32"/>
      <c r="D45" s="4" t="s">
        <v>20</v>
      </c>
      <c r="E45" s="32"/>
      <c r="F45" s="5">
        <v>5</v>
      </c>
      <c r="G45" s="32"/>
      <c r="H45" s="34">
        <f t="shared" si="0"/>
        <v>45683</v>
      </c>
      <c r="I45" s="5">
        <v>9</v>
      </c>
      <c r="J45" s="34">
        <f t="shared" si="1"/>
        <v>45693</v>
      </c>
      <c r="K45" s="32"/>
      <c r="L45" s="32"/>
      <c r="M45" s="32" t="s">
        <v>1</v>
      </c>
      <c r="N45" s="32"/>
    </row>
    <row r="46" spans="1:14" ht="19.5" customHeight="1" x14ac:dyDescent="0.25">
      <c r="A46" s="1">
        <v>2477</v>
      </c>
      <c r="B46" s="36">
        <v>45680</v>
      </c>
      <c r="C46" s="32"/>
      <c r="D46" s="4" t="s">
        <v>7</v>
      </c>
      <c r="E46" s="32"/>
      <c r="F46" s="5">
        <v>5</v>
      </c>
      <c r="G46" s="32"/>
      <c r="H46" s="34">
        <f t="shared" si="0"/>
        <v>45684</v>
      </c>
      <c r="I46" s="5">
        <v>3</v>
      </c>
      <c r="J46" s="34">
        <f t="shared" si="1"/>
        <v>45688</v>
      </c>
      <c r="K46" s="32"/>
      <c r="L46" s="32" t="s">
        <v>5</v>
      </c>
      <c r="M46" s="32"/>
      <c r="N46" s="32"/>
    </row>
    <row r="47" spans="1:14" ht="19.5" customHeight="1" x14ac:dyDescent="0.25">
      <c r="A47" s="1">
        <v>3284</v>
      </c>
      <c r="B47" s="36">
        <v>45680</v>
      </c>
      <c r="C47" s="32"/>
      <c r="D47" s="4" t="s">
        <v>6</v>
      </c>
      <c r="E47" s="32"/>
      <c r="F47" s="5">
        <v>5</v>
      </c>
      <c r="G47" s="32"/>
      <c r="H47" s="34">
        <f t="shared" si="0"/>
        <v>45684</v>
      </c>
      <c r="I47" s="5">
        <v>5</v>
      </c>
      <c r="J47" s="34">
        <f t="shared" si="1"/>
        <v>45690</v>
      </c>
      <c r="K47" s="32"/>
      <c r="L47" s="32" t="s">
        <v>5</v>
      </c>
      <c r="M47" s="32"/>
      <c r="N47" s="32"/>
    </row>
    <row r="48" spans="1:14" ht="19.5" customHeight="1" x14ac:dyDescent="0.25">
      <c r="A48" s="1">
        <v>3745</v>
      </c>
      <c r="B48" s="36">
        <v>45680</v>
      </c>
      <c r="C48" s="32"/>
      <c r="D48" s="4" t="s">
        <v>6</v>
      </c>
      <c r="E48" s="32"/>
      <c r="F48" s="5">
        <v>5</v>
      </c>
      <c r="G48" s="32"/>
      <c r="H48" s="34">
        <f t="shared" si="0"/>
        <v>45684</v>
      </c>
      <c r="I48" s="5">
        <v>5</v>
      </c>
      <c r="J48" s="34">
        <f t="shared" si="1"/>
        <v>45690</v>
      </c>
      <c r="K48" s="32" t="s">
        <v>3</v>
      </c>
      <c r="L48" s="32"/>
      <c r="M48" s="32"/>
      <c r="N48" s="32"/>
    </row>
    <row r="49" spans="1:14" ht="19.5" customHeight="1" x14ac:dyDescent="0.25">
      <c r="A49" s="1">
        <v>3238</v>
      </c>
      <c r="B49" s="36">
        <v>45681</v>
      </c>
      <c r="C49" s="32"/>
      <c r="D49" s="4" t="s">
        <v>7</v>
      </c>
      <c r="E49" s="32"/>
      <c r="F49" s="5">
        <v>5</v>
      </c>
      <c r="G49" s="32"/>
      <c r="H49" s="34">
        <f t="shared" si="0"/>
        <v>45685</v>
      </c>
      <c r="I49" s="5">
        <v>3</v>
      </c>
      <c r="J49" s="34">
        <f t="shared" si="1"/>
        <v>45689</v>
      </c>
      <c r="K49" s="32"/>
      <c r="L49" s="32"/>
      <c r="M49" s="32"/>
      <c r="N49" s="32" t="s">
        <v>4</v>
      </c>
    </row>
    <row r="50" spans="1:14" ht="19.5" customHeight="1" x14ac:dyDescent="0.25">
      <c r="A50" s="1">
        <v>2900</v>
      </c>
      <c r="B50" s="36">
        <v>45681</v>
      </c>
      <c r="C50" s="32"/>
      <c r="D50" s="4" t="s">
        <v>7</v>
      </c>
      <c r="E50" s="32"/>
      <c r="F50" s="5">
        <v>5</v>
      </c>
      <c r="G50" s="32"/>
      <c r="H50" s="34">
        <f t="shared" si="0"/>
        <v>45685</v>
      </c>
      <c r="I50" s="5">
        <v>3</v>
      </c>
      <c r="J50" s="34">
        <f t="shared" si="1"/>
        <v>45689</v>
      </c>
      <c r="K50" s="32"/>
      <c r="L50" s="32" t="s">
        <v>5</v>
      </c>
      <c r="M50" s="32"/>
      <c r="N50" s="32"/>
    </row>
    <row r="51" spans="1:14" ht="19.5" customHeight="1" x14ac:dyDescent="0.25">
      <c r="A51" s="1">
        <v>1180</v>
      </c>
      <c r="B51" s="36">
        <v>45682</v>
      </c>
      <c r="C51" s="32"/>
      <c r="D51" s="4" t="s">
        <v>6</v>
      </c>
      <c r="E51" s="32"/>
      <c r="F51" s="5">
        <v>5</v>
      </c>
      <c r="G51" s="32"/>
      <c r="H51" s="34">
        <f t="shared" si="0"/>
        <v>45686</v>
      </c>
      <c r="I51" s="5">
        <v>5</v>
      </c>
      <c r="J51" s="34">
        <f t="shared" si="1"/>
        <v>45692</v>
      </c>
      <c r="K51" s="32" t="s">
        <v>3</v>
      </c>
      <c r="L51" s="32" t="s">
        <v>5</v>
      </c>
      <c r="M51" s="32"/>
      <c r="N51" s="32"/>
    </row>
    <row r="52" spans="1:14" ht="19.5" customHeight="1" x14ac:dyDescent="0.25">
      <c r="A52" s="1">
        <v>3512</v>
      </c>
      <c r="B52" s="36">
        <v>45682</v>
      </c>
      <c r="C52" s="32"/>
      <c r="D52" s="4" t="s">
        <v>6</v>
      </c>
      <c r="E52" s="32"/>
      <c r="F52" s="5">
        <v>5</v>
      </c>
      <c r="G52" s="32"/>
      <c r="H52" s="34">
        <f t="shared" si="0"/>
        <v>45686</v>
      </c>
      <c r="I52" s="5">
        <v>5</v>
      </c>
      <c r="J52" s="34">
        <f t="shared" si="1"/>
        <v>45692</v>
      </c>
      <c r="K52" s="32" t="s">
        <v>3</v>
      </c>
      <c r="L52" s="32"/>
      <c r="M52" s="32" t="s">
        <v>1</v>
      </c>
      <c r="N52" s="32"/>
    </row>
    <row r="53" spans="1:14" ht="19.5" customHeight="1" x14ac:dyDescent="0.25">
      <c r="A53" s="1">
        <v>3051</v>
      </c>
      <c r="B53" s="36">
        <v>45682</v>
      </c>
      <c r="C53" s="32"/>
      <c r="D53" s="4" t="s">
        <v>6</v>
      </c>
      <c r="E53" s="32"/>
      <c r="F53" s="5">
        <v>5</v>
      </c>
      <c r="G53" s="32"/>
      <c r="H53" s="34">
        <f t="shared" si="0"/>
        <v>45686</v>
      </c>
      <c r="I53" s="5">
        <v>5</v>
      </c>
      <c r="J53" s="34">
        <f t="shared" si="1"/>
        <v>45692</v>
      </c>
      <c r="K53" s="32" t="s">
        <v>3</v>
      </c>
      <c r="L53" s="32" t="s">
        <v>5</v>
      </c>
      <c r="M53" s="32"/>
      <c r="N53" s="32"/>
    </row>
    <row r="54" spans="1:14" ht="19.5" customHeight="1" x14ac:dyDescent="0.25">
      <c r="A54" s="1">
        <v>649</v>
      </c>
      <c r="B54" s="36">
        <v>45682</v>
      </c>
      <c r="C54" s="32"/>
      <c r="D54" s="4" t="s">
        <v>7</v>
      </c>
      <c r="E54" s="32"/>
      <c r="F54" s="5">
        <v>5</v>
      </c>
      <c r="G54" s="32"/>
      <c r="H54" s="34">
        <f t="shared" si="0"/>
        <v>45686</v>
      </c>
      <c r="I54" s="5">
        <v>3</v>
      </c>
      <c r="J54" s="34">
        <f t="shared" si="1"/>
        <v>45690</v>
      </c>
      <c r="K54" s="32"/>
      <c r="L54" s="32" t="s">
        <v>5</v>
      </c>
      <c r="M54" s="32"/>
      <c r="N54" s="32"/>
    </row>
    <row r="55" spans="1:14" ht="19.5" customHeight="1" x14ac:dyDescent="0.25">
      <c r="A55" s="1">
        <v>2679</v>
      </c>
      <c r="B55" s="36">
        <v>45683</v>
      </c>
      <c r="C55" s="32"/>
      <c r="D55" s="4" t="s">
        <v>7</v>
      </c>
      <c r="E55" s="32"/>
      <c r="F55" s="5">
        <v>5</v>
      </c>
      <c r="G55" s="32"/>
      <c r="H55" s="34">
        <f t="shared" si="0"/>
        <v>45687</v>
      </c>
      <c r="I55" s="5">
        <v>3</v>
      </c>
      <c r="J55" s="34">
        <f t="shared" si="1"/>
        <v>45691</v>
      </c>
      <c r="K55" s="32"/>
      <c r="L55" s="32" t="s">
        <v>5</v>
      </c>
      <c r="M55" s="32"/>
      <c r="N55" s="32"/>
    </row>
    <row r="56" spans="1:14" ht="19.5" customHeight="1" x14ac:dyDescent="0.25">
      <c r="A56" s="1">
        <v>4303</v>
      </c>
      <c r="B56" s="36">
        <v>45683</v>
      </c>
      <c r="C56" s="32"/>
      <c r="D56" s="4" t="s">
        <v>7</v>
      </c>
      <c r="E56" s="32"/>
      <c r="F56" s="5">
        <v>5</v>
      </c>
      <c r="G56" s="32"/>
      <c r="H56" s="34">
        <f t="shared" si="0"/>
        <v>45687</v>
      </c>
      <c r="I56" s="5">
        <v>3</v>
      </c>
      <c r="J56" s="34">
        <f t="shared" si="1"/>
        <v>45691</v>
      </c>
      <c r="K56" s="32"/>
      <c r="L56" s="32"/>
      <c r="M56" s="32" t="s">
        <v>1</v>
      </c>
      <c r="N56" s="32"/>
    </row>
    <row r="57" spans="1:14" ht="19.5" customHeight="1" x14ac:dyDescent="0.25">
      <c r="A57" s="1">
        <v>3059</v>
      </c>
      <c r="B57" s="36">
        <v>45684</v>
      </c>
      <c r="C57" s="32"/>
      <c r="D57" s="4" t="s">
        <v>7</v>
      </c>
      <c r="E57" s="32"/>
      <c r="F57" s="5">
        <v>5</v>
      </c>
      <c r="G57" s="32">
        <v>3</v>
      </c>
      <c r="H57" s="34">
        <f t="shared" si="0"/>
        <v>45688</v>
      </c>
      <c r="I57" s="5">
        <v>3</v>
      </c>
      <c r="J57" s="34">
        <f t="shared" si="1"/>
        <v>45692</v>
      </c>
      <c r="K57" s="32"/>
      <c r="L57" s="32" t="s">
        <v>5</v>
      </c>
      <c r="M57" s="32"/>
      <c r="N57" s="32"/>
    </row>
    <row r="58" spans="1:14" ht="19.5" customHeight="1" x14ac:dyDescent="0.25">
      <c r="A58" s="1">
        <v>1738</v>
      </c>
      <c r="B58" s="36">
        <v>45684</v>
      </c>
      <c r="C58" s="32"/>
      <c r="D58" s="4" t="s">
        <v>7</v>
      </c>
      <c r="E58" s="32"/>
      <c r="F58" s="5">
        <v>5</v>
      </c>
      <c r="G58" s="32"/>
      <c r="H58" s="34">
        <f t="shared" si="0"/>
        <v>45688</v>
      </c>
      <c r="I58" s="5">
        <v>3</v>
      </c>
      <c r="J58" s="34">
        <f t="shared" si="1"/>
        <v>45692</v>
      </c>
      <c r="K58" s="32"/>
      <c r="L58" s="32"/>
      <c r="M58" s="32" t="s">
        <v>1</v>
      </c>
      <c r="N58" s="32"/>
    </row>
    <row r="59" spans="1:14" ht="19.5" customHeight="1" x14ac:dyDescent="0.25">
      <c r="A59" s="1">
        <v>2850</v>
      </c>
      <c r="B59" s="36">
        <v>45685</v>
      </c>
      <c r="C59" s="32"/>
      <c r="D59" s="4" t="s">
        <v>7</v>
      </c>
      <c r="E59" s="32"/>
      <c r="F59" s="5">
        <v>5</v>
      </c>
      <c r="G59" s="32"/>
      <c r="H59" s="34">
        <f t="shared" si="0"/>
        <v>45689</v>
      </c>
      <c r="I59" s="5">
        <v>3</v>
      </c>
      <c r="J59" s="34">
        <f t="shared" si="1"/>
        <v>45693</v>
      </c>
      <c r="K59" s="32"/>
      <c r="L59" s="32" t="s">
        <v>5</v>
      </c>
      <c r="M59" s="32"/>
      <c r="N59" s="32"/>
    </row>
    <row r="60" spans="1:14" ht="19.5" customHeight="1" x14ac:dyDescent="0.25">
      <c r="A60" s="1">
        <v>1749</v>
      </c>
      <c r="B60" s="36">
        <v>45685</v>
      </c>
      <c r="C60" s="32"/>
      <c r="D60" s="4" t="s">
        <v>20</v>
      </c>
      <c r="E60" s="32"/>
      <c r="F60" s="5">
        <v>5</v>
      </c>
      <c r="G60" s="32"/>
      <c r="H60" s="34">
        <f t="shared" si="0"/>
        <v>45689</v>
      </c>
      <c r="I60" s="5">
        <v>9</v>
      </c>
      <c r="J60" s="34">
        <f t="shared" si="1"/>
        <v>45699</v>
      </c>
      <c r="K60" s="32"/>
      <c r="L60" s="32"/>
      <c r="M60" s="32"/>
      <c r="N60" s="32" t="s">
        <v>4</v>
      </c>
    </row>
    <row r="61" spans="1:14" ht="19.5" customHeight="1" x14ac:dyDescent="0.25">
      <c r="A61" s="1">
        <v>1036</v>
      </c>
      <c r="B61" s="36">
        <v>45685</v>
      </c>
      <c r="C61" s="32"/>
      <c r="D61" s="4" t="s">
        <v>7</v>
      </c>
      <c r="E61" s="32"/>
      <c r="F61" s="5">
        <v>5</v>
      </c>
      <c r="G61" s="32"/>
      <c r="H61" s="34">
        <f t="shared" si="0"/>
        <v>45689</v>
      </c>
      <c r="I61" s="5">
        <v>3</v>
      </c>
      <c r="J61" s="34">
        <f t="shared" si="1"/>
        <v>45693</v>
      </c>
      <c r="K61" s="32"/>
      <c r="L61" s="32"/>
      <c r="M61" s="32"/>
      <c r="N61" s="32" t="s">
        <v>4</v>
      </c>
    </row>
    <row r="62" spans="1:14" ht="19.5" customHeight="1" x14ac:dyDescent="0.25">
      <c r="A62" s="1">
        <v>3284</v>
      </c>
      <c r="B62" s="36">
        <v>45686</v>
      </c>
      <c r="C62" s="32"/>
      <c r="D62" s="4" t="s">
        <v>20</v>
      </c>
      <c r="E62" s="32"/>
      <c r="F62" s="5">
        <v>5</v>
      </c>
      <c r="G62" s="32"/>
      <c r="H62" s="34">
        <f t="shared" si="0"/>
        <v>45690</v>
      </c>
      <c r="I62" s="5">
        <v>9</v>
      </c>
      <c r="J62" s="34">
        <f t="shared" si="1"/>
        <v>45700</v>
      </c>
      <c r="K62" s="32"/>
      <c r="L62" s="32" t="s">
        <v>5</v>
      </c>
      <c r="M62" s="32"/>
      <c r="N62" s="32"/>
    </row>
    <row r="63" spans="1:14" ht="19.5" customHeight="1" x14ac:dyDescent="0.25">
      <c r="A63" s="1">
        <v>3745</v>
      </c>
      <c r="B63" s="36">
        <v>45686</v>
      </c>
      <c r="C63" s="32"/>
      <c r="D63" s="4" t="s">
        <v>20</v>
      </c>
      <c r="E63" s="32"/>
      <c r="F63" s="5">
        <v>5</v>
      </c>
      <c r="G63" s="32"/>
      <c r="H63" s="34">
        <f t="shared" si="0"/>
        <v>45690</v>
      </c>
      <c r="I63" s="5">
        <v>9</v>
      </c>
      <c r="J63" s="34">
        <f t="shared" si="1"/>
        <v>45700</v>
      </c>
      <c r="K63" s="32" t="s">
        <v>3</v>
      </c>
      <c r="L63" s="32"/>
      <c r="M63" s="32" t="s">
        <v>1</v>
      </c>
      <c r="N63" s="32"/>
    </row>
    <row r="64" spans="1:14" ht="19.5" customHeight="1" x14ac:dyDescent="0.25">
      <c r="A64" s="1">
        <v>578</v>
      </c>
      <c r="B64" s="36">
        <v>45687</v>
      </c>
      <c r="C64" s="32"/>
      <c r="D64" s="4" t="s">
        <v>7</v>
      </c>
      <c r="E64" s="32"/>
      <c r="F64" s="5">
        <v>5</v>
      </c>
      <c r="G64" s="32"/>
      <c r="H64" s="34">
        <f t="shared" si="0"/>
        <v>45691</v>
      </c>
      <c r="I64" s="5">
        <v>3</v>
      </c>
      <c r="J64" s="34">
        <f t="shared" si="1"/>
        <v>45695</v>
      </c>
      <c r="K64" s="32"/>
      <c r="L64" s="32"/>
      <c r="M64" s="32" t="s">
        <v>1</v>
      </c>
      <c r="N64" s="32"/>
    </row>
    <row r="65" spans="1:14" ht="19.5" customHeight="1" x14ac:dyDescent="0.25">
      <c r="A65" s="1">
        <v>4315</v>
      </c>
      <c r="B65" s="36">
        <v>45687</v>
      </c>
      <c r="C65" s="32"/>
      <c r="D65" s="4" t="s">
        <v>7</v>
      </c>
      <c r="E65" s="32"/>
      <c r="F65" s="5">
        <v>5</v>
      </c>
      <c r="G65" s="32"/>
      <c r="H65" s="34">
        <f t="shared" si="0"/>
        <v>45691</v>
      </c>
      <c r="I65" s="5">
        <v>3</v>
      </c>
      <c r="J65" s="34">
        <f t="shared" si="1"/>
        <v>45695</v>
      </c>
      <c r="K65" s="32"/>
      <c r="L65" s="32" t="s">
        <v>5</v>
      </c>
      <c r="M65" s="32"/>
      <c r="N65" s="32"/>
    </row>
    <row r="66" spans="1:14" ht="19.5" customHeight="1" x14ac:dyDescent="0.25">
      <c r="A66" s="1">
        <v>4202</v>
      </c>
      <c r="B66" s="36">
        <v>45687</v>
      </c>
      <c r="C66" s="32"/>
      <c r="D66" s="4" t="s">
        <v>7</v>
      </c>
      <c r="E66" s="32"/>
      <c r="F66" s="5">
        <v>5</v>
      </c>
      <c r="G66" s="32"/>
      <c r="H66" s="34">
        <f t="shared" ref="H66:H129" si="2">B66+F66-1</f>
        <v>45691</v>
      </c>
      <c r="I66" s="5">
        <v>3</v>
      </c>
      <c r="J66" s="34">
        <f t="shared" ref="J66:J129" si="3">H66+I66+1</f>
        <v>45695</v>
      </c>
      <c r="K66" s="32" t="s">
        <v>3</v>
      </c>
      <c r="L66" s="32"/>
      <c r="M66" s="32"/>
      <c r="N66" s="32"/>
    </row>
    <row r="67" spans="1:14" ht="19.5" customHeight="1" x14ac:dyDescent="0.25">
      <c r="A67" s="1">
        <v>3724</v>
      </c>
      <c r="B67" s="36">
        <v>45687</v>
      </c>
      <c r="C67" s="32"/>
      <c r="D67" s="4" t="s">
        <v>7</v>
      </c>
      <c r="E67" s="32"/>
      <c r="F67" s="5">
        <v>5</v>
      </c>
      <c r="G67" s="32"/>
      <c r="H67" s="34">
        <f t="shared" si="2"/>
        <v>45691</v>
      </c>
      <c r="I67" s="5">
        <v>3</v>
      </c>
      <c r="J67" s="34">
        <f t="shared" si="3"/>
        <v>45695</v>
      </c>
      <c r="K67" s="32"/>
      <c r="L67" s="32"/>
      <c r="M67" s="32"/>
      <c r="N67" s="32" t="s">
        <v>4</v>
      </c>
    </row>
    <row r="68" spans="1:14" ht="19.5" customHeight="1" x14ac:dyDescent="0.25">
      <c r="A68" s="1">
        <v>3423</v>
      </c>
      <c r="B68" s="36">
        <v>45688</v>
      </c>
      <c r="C68" s="32"/>
      <c r="D68" s="4" t="s">
        <v>20</v>
      </c>
      <c r="E68" s="32"/>
      <c r="F68" s="5">
        <v>5</v>
      </c>
      <c r="G68" s="32"/>
      <c r="H68" s="34">
        <f t="shared" si="2"/>
        <v>45692</v>
      </c>
      <c r="I68" s="5">
        <v>9</v>
      </c>
      <c r="J68" s="34">
        <f t="shared" si="3"/>
        <v>45702</v>
      </c>
      <c r="K68" s="32"/>
      <c r="L68" s="32"/>
      <c r="M68" s="32" t="s">
        <v>1</v>
      </c>
      <c r="N68" s="32"/>
    </row>
    <row r="69" spans="1:14" ht="19.5" customHeight="1" x14ac:dyDescent="0.25">
      <c r="A69" s="1">
        <v>4333</v>
      </c>
      <c r="B69" s="36">
        <v>45689</v>
      </c>
      <c r="C69" s="32"/>
      <c r="D69" s="4" t="s">
        <v>6</v>
      </c>
      <c r="E69" s="32"/>
      <c r="F69" s="5">
        <v>5</v>
      </c>
      <c r="G69" s="32"/>
      <c r="H69" s="34">
        <f t="shared" si="2"/>
        <v>45693</v>
      </c>
      <c r="I69" s="5">
        <v>3</v>
      </c>
      <c r="J69" s="34">
        <f t="shared" si="3"/>
        <v>45697</v>
      </c>
      <c r="K69" s="32"/>
      <c r="L69" s="32" t="s">
        <v>5</v>
      </c>
      <c r="M69" s="32"/>
      <c r="N69" s="32"/>
    </row>
    <row r="70" spans="1:14" ht="19.5" customHeight="1" x14ac:dyDescent="0.25">
      <c r="A70" s="1">
        <v>3573</v>
      </c>
      <c r="B70" s="36">
        <v>45690</v>
      </c>
      <c r="C70" s="32"/>
      <c r="D70" s="4" t="s">
        <v>7</v>
      </c>
      <c r="E70" s="32"/>
      <c r="F70" s="5">
        <v>5</v>
      </c>
      <c r="G70" s="32"/>
      <c r="H70" s="34">
        <f t="shared" si="2"/>
        <v>45694</v>
      </c>
      <c r="I70" s="5">
        <v>3</v>
      </c>
      <c r="J70" s="34">
        <f t="shared" si="3"/>
        <v>45698</v>
      </c>
      <c r="K70" s="32" t="s">
        <v>3</v>
      </c>
      <c r="L70" s="32"/>
      <c r="M70" s="32"/>
      <c r="N70" s="32"/>
    </row>
    <row r="71" spans="1:14" ht="19.5" customHeight="1" x14ac:dyDescent="0.25">
      <c r="A71" s="1">
        <v>1749</v>
      </c>
      <c r="B71" s="36">
        <v>45690</v>
      </c>
      <c r="C71" s="32"/>
      <c r="D71" s="4" t="s">
        <v>7</v>
      </c>
      <c r="E71" s="32"/>
      <c r="F71" s="5">
        <v>5</v>
      </c>
      <c r="G71" s="32"/>
      <c r="H71" s="34">
        <f t="shared" si="2"/>
        <v>45694</v>
      </c>
      <c r="I71" s="5">
        <v>3</v>
      </c>
      <c r="J71" s="34">
        <f t="shared" si="3"/>
        <v>45698</v>
      </c>
      <c r="K71" s="32"/>
      <c r="L71" s="32" t="s">
        <v>5</v>
      </c>
      <c r="M71" s="32"/>
      <c r="N71" s="32" t="s">
        <v>4</v>
      </c>
    </row>
    <row r="72" spans="1:14" ht="19.5" customHeight="1" x14ac:dyDescent="0.25">
      <c r="A72" s="1">
        <v>2787</v>
      </c>
      <c r="B72" s="36">
        <v>45690</v>
      </c>
      <c r="C72" s="32"/>
      <c r="D72" s="4" t="s">
        <v>7</v>
      </c>
      <c r="E72" s="32"/>
      <c r="F72" s="5">
        <v>5</v>
      </c>
      <c r="G72" s="32"/>
      <c r="H72" s="34">
        <f t="shared" si="2"/>
        <v>45694</v>
      </c>
      <c r="I72" s="5">
        <v>3</v>
      </c>
      <c r="J72" s="34">
        <f t="shared" si="3"/>
        <v>45698</v>
      </c>
      <c r="K72" s="32"/>
      <c r="L72" s="32" t="s">
        <v>5</v>
      </c>
      <c r="M72" s="32"/>
      <c r="N72" s="32"/>
    </row>
    <row r="73" spans="1:14" ht="19.5" customHeight="1" x14ac:dyDescent="0.25">
      <c r="A73" s="1">
        <v>3059</v>
      </c>
      <c r="B73" s="36">
        <v>45690</v>
      </c>
      <c r="C73" s="32"/>
      <c r="D73" s="4" t="s">
        <v>20</v>
      </c>
      <c r="E73" s="32"/>
      <c r="F73" s="5">
        <v>5</v>
      </c>
      <c r="G73" s="32"/>
      <c r="H73" s="34">
        <f t="shared" si="2"/>
        <v>45694</v>
      </c>
      <c r="I73" s="5">
        <v>9</v>
      </c>
      <c r="J73" s="34">
        <f t="shared" si="3"/>
        <v>45704</v>
      </c>
      <c r="K73" s="32"/>
      <c r="L73" s="32" t="s">
        <v>5</v>
      </c>
      <c r="M73" s="32"/>
      <c r="N73" s="32"/>
    </row>
    <row r="74" spans="1:14" ht="19.5" customHeight="1" x14ac:dyDescent="0.25">
      <c r="A74" s="1">
        <v>3520</v>
      </c>
      <c r="B74" s="36">
        <v>45690</v>
      </c>
      <c r="C74" s="32"/>
      <c r="D74" s="4" t="s">
        <v>20</v>
      </c>
      <c r="E74" s="32"/>
      <c r="F74" s="5">
        <v>5</v>
      </c>
      <c r="G74" s="32"/>
      <c r="H74" s="34">
        <f t="shared" si="2"/>
        <v>45694</v>
      </c>
      <c r="I74" s="5">
        <v>9</v>
      </c>
      <c r="J74" s="34">
        <f t="shared" si="3"/>
        <v>45704</v>
      </c>
      <c r="K74" s="32"/>
      <c r="L74" s="32"/>
      <c r="M74" s="32" t="s">
        <v>1</v>
      </c>
      <c r="N74" s="32"/>
    </row>
    <row r="75" spans="1:14" ht="19.5" customHeight="1" x14ac:dyDescent="0.25">
      <c r="A75" s="1">
        <v>3875</v>
      </c>
      <c r="B75" s="36">
        <v>45690</v>
      </c>
      <c r="C75" s="32"/>
      <c r="D75" s="4" t="s">
        <v>7</v>
      </c>
      <c r="E75" s="32"/>
      <c r="F75" s="5">
        <v>5</v>
      </c>
      <c r="G75" s="32"/>
      <c r="H75" s="34">
        <f t="shared" si="2"/>
        <v>45694</v>
      </c>
      <c r="I75" s="5">
        <v>3</v>
      </c>
      <c r="J75" s="34">
        <f t="shared" si="3"/>
        <v>45698</v>
      </c>
      <c r="K75" s="32"/>
      <c r="L75" s="32" t="s">
        <v>5</v>
      </c>
      <c r="M75" s="32"/>
      <c r="N75" s="32"/>
    </row>
    <row r="76" spans="1:14" ht="19.5" customHeight="1" x14ac:dyDescent="0.25">
      <c r="A76" s="1">
        <v>4311</v>
      </c>
      <c r="B76" s="36">
        <v>45690</v>
      </c>
      <c r="C76" s="32"/>
      <c r="D76" s="4" t="s">
        <v>7</v>
      </c>
      <c r="E76" s="32"/>
      <c r="F76" s="5">
        <v>5</v>
      </c>
      <c r="G76" s="32"/>
      <c r="H76" s="34">
        <f t="shared" si="2"/>
        <v>45694</v>
      </c>
      <c r="I76" s="5">
        <v>3</v>
      </c>
      <c r="J76" s="34">
        <f t="shared" si="3"/>
        <v>45698</v>
      </c>
      <c r="K76" s="32" t="s">
        <v>3</v>
      </c>
      <c r="L76" s="32"/>
      <c r="M76" s="32" t="s">
        <v>1</v>
      </c>
      <c r="N76" s="32"/>
    </row>
    <row r="77" spans="1:14" ht="19.5" customHeight="1" x14ac:dyDescent="0.25">
      <c r="A77" s="1">
        <v>3901</v>
      </c>
      <c r="B77" s="36">
        <v>45691</v>
      </c>
      <c r="C77" s="32"/>
      <c r="D77" s="4" t="s">
        <v>7</v>
      </c>
      <c r="E77" s="32"/>
      <c r="F77" s="5">
        <v>5</v>
      </c>
      <c r="G77" s="32"/>
      <c r="H77" s="34">
        <f t="shared" si="2"/>
        <v>45695</v>
      </c>
      <c r="I77" s="5">
        <v>3</v>
      </c>
      <c r="J77" s="34">
        <f t="shared" si="3"/>
        <v>45699</v>
      </c>
      <c r="K77" s="32"/>
      <c r="L77" s="32"/>
      <c r="M77" s="32"/>
      <c r="N77" s="32" t="s">
        <v>4</v>
      </c>
    </row>
    <row r="78" spans="1:14" ht="19.5" customHeight="1" x14ac:dyDescent="0.25">
      <c r="A78" s="1">
        <v>3513</v>
      </c>
      <c r="B78" s="36">
        <v>45692</v>
      </c>
      <c r="C78" s="32"/>
      <c r="D78" s="4" t="s">
        <v>7</v>
      </c>
      <c r="E78" s="32"/>
      <c r="F78" s="5">
        <v>5</v>
      </c>
      <c r="G78" s="32"/>
      <c r="H78" s="34">
        <f t="shared" si="2"/>
        <v>45696</v>
      </c>
      <c r="I78" s="5">
        <v>3</v>
      </c>
      <c r="J78" s="34">
        <f t="shared" si="3"/>
        <v>45700</v>
      </c>
      <c r="K78" s="32" t="s">
        <v>3</v>
      </c>
      <c r="L78" s="32"/>
      <c r="M78" s="32"/>
      <c r="N78" s="32"/>
    </row>
    <row r="79" spans="1:14" ht="19.5" customHeight="1" x14ac:dyDescent="0.25">
      <c r="A79" s="1">
        <v>3063</v>
      </c>
      <c r="B79" s="36">
        <v>45692</v>
      </c>
      <c r="C79" s="32"/>
      <c r="D79" s="4" t="s">
        <v>7</v>
      </c>
      <c r="E79" s="32"/>
      <c r="F79" s="5">
        <v>5</v>
      </c>
      <c r="G79" s="32"/>
      <c r="H79" s="34">
        <f t="shared" si="2"/>
        <v>45696</v>
      </c>
      <c r="I79" s="5">
        <v>3</v>
      </c>
      <c r="J79" s="34">
        <f t="shared" si="3"/>
        <v>45700</v>
      </c>
      <c r="K79" s="32"/>
      <c r="L79" s="32" t="s">
        <v>5</v>
      </c>
      <c r="M79" s="32"/>
      <c r="N79" s="32"/>
    </row>
    <row r="80" spans="1:14" ht="19.5" customHeight="1" x14ac:dyDescent="0.25">
      <c r="A80" s="1">
        <v>1142</v>
      </c>
      <c r="B80" s="36">
        <v>45692</v>
      </c>
      <c r="C80" s="32"/>
      <c r="D80" s="4" t="s">
        <v>7</v>
      </c>
      <c r="E80" s="32"/>
      <c r="F80" s="5">
        <v>5</v>
      </c>
      <c r="G80" s="32"/>
      <c r="H80" s="34">
        <f t="shared" si="2"/>
        <v>45696</v>
      </c>
      <c r="I80" s="5">
        <v>3</v>
      </c>
      <c r="J80" s="34">
        <f t="shared" si="3"/>
        <v>45700</v>
      </c>
      <c r="K80" s="32"/>
      <c r="L80" s="32" t="s">
        <v>5</v>
      </c>
      <c r="M80" s="32"/>
      <c r="N80" s="32"/>
    </row>
    <row r="81" spans="1:14" ht="19.5" customHeight="1" x14ac:dyDescent="0.25">
      <c r="A81" s="1">
        <v>3746</v>
      </c>
      <c r="B81" s="36">
        <v>45692</v>
      </c>
      <c r="C81" s="32"/>
      <c r="D81" s="4" t="s">
        <v>7</v>
      </c>
      <c r="E81" s="32"/>
      <c r="F81" s="5">
        <v>5</v>
      </c>
      <c r="G81" s="32"/>
      <c r="H81" s="34">
        <f t="shared" si="2"/>
        <v>45696</v>
      </c>
      <c r="I81" s="5">
        <v>3</v>
      </c>
      <c r="J81" s="34">
        <f t="shared" si="3"/>
        <v>45700</v>
      </c>
      <c r="K81" s="32"/>
      <c r="L81" s="32"/>
      <c r="M81" s="32"/>
      <c r="N81" s="32" t="s">
        <v>4</v>
      </c>
    </row>
    <row r="82" spans="1:14" ht="19.5" customHeight="1" x14ac:dyDescent="0.25">
      <c r="A82" s="1">
        <v>3247</v>
      </c>
      <c r="B82" s="36">
        <v>45693</v>
      </c>
      <c r="C82" s="32"/>
      <c r="D82" s="4" t="s">
        <v>7</v>
      </c>
      <c r="E82" s="32"/>
      <c r="F82" s="5">
        <v>5</v>
      </c>
      <c r="G82" s="32"/>
      <c r="H82" s="34">
        <f t="shared" si="2"/>
        <v>45697</v>
      </c>
      <c r="I82" s="5">
        <v>3</v>
      </c>
      <c r="J82" s="34">
        <f t="shared" si="3"/>
        <v>45701</v>
      </c>
      <c r="K82" s="32" t="s">
        <v>3</v>
      </c>
      <c r="L82" s="32"/>
      <c r="M82" s="32"/>
      <c r="N82" s="32"/>
    </row>
    <row r="83" spans="1:14" ht="19.5" customHeight="1" x14ac:dyDescent="0.25">
      <c r="A83" s="1">
        <v>3064</v>
      </c>
      <c r="B83" s="36">
        <v>45693</v>
      </c>
      <c r="C83" s="32"/>
      <c r="D83" s="4" t="s">
        <v>7</v>
      </c>
      <c r="E83" s="32"/>
      <c r="F83" s="5">
        <v>5</v>
      </c>
      <c r="G83" s="32"/>
      <c r="H83" s="34">
        <f t="shared" si="2"/>
        <v>45697</v>
      </c>
      <c r="I83" s="5">
        <v>3</v>
      </c>
      <c r="J83" s="34">
        <f t="shared" si="3"/>
        <v>45701</v>
      </c>
      <c r="K83" s="32" t="s">
        <v>3</v>
      </c>
      <c r="L83" s="32"/>
      <c r="M83" s="32"/>
      <c r="N83" s="32" t="s">
        <v>4</v>
      </c>
    </row>
    <row r="84" spans="1:14" ht="19.5" customHeight="1" x14ac:dyDescent="0.25">
      <c r="A84" s="1">
        <v>4478</v>
      </c>
      <c r="B84" s="36">
        <v>45693</v>
      </c>
      <c r="C84" s="32"/>
      <c r="D84" s="4" t="s">
        <v>7</v>
      </c>
      <c r="E84" s="32"/>
      <c r="F84" s="5">
        <v>5</v>
      </c>
      <c r="G84" s="32"/>
      <c r="H84" s="34">
        <f t="shared" si="2"/>
        <v>45697</v>
      </c>
      <c r="I84" s="5">
        <v>3</v>
      </c>
      <c r="J84" s="34">
        <f t="shared" si="3"/>
        <v>45701</v>
      </c>
      <c r="K84" s="32"/>
      <c r="L84" s="32"/>
      <c r="M84" s="32"/>
      <c r="N84" s="32" t="s">
        <v>4</v>
      </c>
    </row>
    <row r="85" spans="1:14" ht="19.5" customHeight="1" x14ac:dyDescent="0.25">
      <c r="A85" s="1">
        <v>4202</v>
      </c>
      <c r="B85" s="36">
        <v>45696</v>
      </c>
      <c r="C85" s="32"/>
      <c r="D85" s="4" t="s">
        <v>6</v>
      </c>
      <c r="E85" s="32"/>
      <c r="F85" s="5">
        <v>5</v>
      </c>
      <c r="G85" s="32"/>
      <c r="H85" s="34">
        <f t="shared" si="2"/>
        <v>45700</v>
      </c>
      <c r="I85" s="5">
        <v>5</v>
      </c>
      <c r="J85" s="34">
        <f t="shared" si="3"/>
        <v>45706</v>
      </c>
      <c r="K85" s="32" t="s">
        <v>3</v>
      </c>
      <c r="L85" s="32"/>
      <c r="M85" s="32"/>
      <c r="N85" s="32"/>
    </row>
    <row r="86" spans="1:14" ht="19.5" customHeight="1" x14ac:dyDescent="0.25">
      <c r="A86" s="1">
        <v>3901</v>
      </c>
      <c r="B86" s="36">
        <v>45696</v>
      </c>
      <c r="C86" s="32"/>
      <c r="D86" s="4" t="s">
        <v>20</v>
      </c>
      <c r="E86" s="32"/>
      <c r="F86" s="5">
        <v>5</v>
      </c>
      <c r="G86" s="32"/>
      <c r="H86" s="34">
        <f t="shared" si="2"/>
        <v>45700</v>
      </c>
      <c r="I86" s="5">
        <v>9</v>
      </c>
      <c r="J86" s="34">
        <f t="shared" si="3"/>
        <v>45710</v>
      </c>
      <c r="K86" s="32"/>
      <c r="L86" s="32"/>
      <c r="M86" s="32" t="s">
        <v>1</v>
      </c>
      <c r="N86" s="32"/>
    </row>
    <row r="87" spans="1:14" ht="19.5" customHeight="1" x14ac:dyDescent="0.25">
      <c r="A87" s="1">
        <v>3745</v>
      </c>
      <c r="B87" s="36">
        <v>45696</v>
      </c>
      <c r="C87" s="32"/>
      <c r="D87" s="4" t="s">
        <v>20</v>
      </c>
      <c r="E87" s="32"/>
      <c r="F87" s="5">
        <v>5</v>
      </c>
      <c r="G87" s="32"/>
      <c r="H87" s="34">
        <f t="shared" si="2"/>
        <v>45700</v>
      </c>
      <c r="I87" s="5">
        <v>9</v>
      </c>
      <c r="J87" s="34">
        <f t="shared" si="3"/>
        <v>45710</v>
      </c>
      <c r="K87" s="32"/>
      <c r="L87" s="32"/>
      <c r="M87" s="32" t="s">
        <v>1</v>
      </c>
      <c r="N87" s="32"/>
    </row>
    <row r="88" spans="1:14" ht="19.5" customHeight="1" x14ac:dyDescent="0.25">
      <c r="A88" s="1">
        <v>3746</v>
      </c>
      <c r="B88" s="36">
        <v>45696</v>
      </c>
      <c r="C88" s="32"/>
      <c r="D88" s="4" t="s">
        <v>20</v>
      </c>
      <c r="E88" s="32"/>
      <c r="F88" s="5">
        <v>5</v>
      </c>
      <c r="G88" s="32"/>
      <c r="H88" s="34">
        <f t="shared" si="2"/>
        <v>45700</v>
      </c>
      <c r="I88" s="5">
        <v>9</v>
      </c>
      <c r="J88" s="34">
        <f t="shared" si="3"/>
        <v>45710</v>
      </c>
      <c r="K88" s="32"/>
      <c r="L88" s="32" t="s">
        <v>5</v>
      </c>
      <c r="M88" s="32"/>
      <c r="N88" s="32" t="s">
        <v>4</v>
      </c>
    </row>
    <row r="89" spans="1:14" ht="19.5" customHeight="1" x14ac:dyDescent="0.25">
      <c r="A89" s="1">
        <v>3059</v>
      </c>
      <c r="B89" s="36">
        <v>45696</v>
      </c>
      <c r="C89" s="32"/>
      <c r="D89" s="4" t="s">
        <v>6</v>
      </c>
      <c r="E89" s="32"/>
      <c r="F89" s="5">
        <v>5</v>
      </c>
      <c r="G89" s="32"/>
      <c r="H89" s="34">
        <f t="shared" si="2"/>
        <v>45700</v>
      </c>
      <c r="I89" s="5">
        <v>5</v>
      </c>
      <c r="J89" s="34">
        <f t="shared" si="3"/>
        <v>45706</v>
      </c>
      <c r="K89" s="32"/>
      <c r="L89" s="32" t="s">
        <v>5</v>
      </c>
      <c r="M89" s="32"/>
      <c r="N89" s="32"/>
    </row>
    <row r="90" spans="1:14" ht="19.5" customHeight="1" x14ac:dyDescent="0.25">
      <c r="A90" s="1">
        <v>850</v>
      </c>
      <c r="B90" s="36">
        <v>45696</v>
      </c>
      <c r="C90" s="32"/>
      <c r="D90" s="4" t="s">
        <v>7</v>
      </c>
      <c r="E90" s="32"/>
      <c r="F90" s="5">
        <v>5</v>
      </c>
      <c r="G90" s="32"/>
      <c r="H90" s="34">
        <f t="shared" si="2"/>
        <v>45700</v>
      </c>
      <c r="I90" s="5">
        <v>3</v>
      </c>
      <c r="J90" s="34">
        <f t="shared" si="3"/>
        <v>45704</v>
      </c>
      <c r="K90" s="32"/>
      <c r="L90" s="32"/>
      <c r="M90" s="32"/>
      <c r="N90" s="32" t="s">
        <v>4</v>
      </c>
    </row>
    <row r="91" spans="1:14" ht="19.5" customHeight="1" x14ac:dyDescent="0.25">
      <c r="A91" s="1">
        <v>3316</v>
      </c>
      <c r="B91" s="36">
        <v>45696</v>
      </c>
      <c r="C91" s="32"/>
      <c r="D91" s="4" t="s">
        <v>7</v>
      </c>
      <c r="E91" s="32"/>
      <c r="F91" s="5">
        <v>5</v>
      </c>
      <c r="G91" s="32"/>
      <c r="H91" s="34">
        <f t="shared" si="2"/>
        <v>45700</v>
      </c>
      <c r="I91" s="5">
        <v>3</v>
      </c>
      <c r="J91" s="34">
        <f t="shared" si="3"/>
        <v>45704</v>
      </c>
      <c r="K91" s="32"/>
      <c r="L91" s="32"/>
      <c r="M91" s="32" t="s">
        <v>1</v>
      </c>
      <c r="N91" s="32"/>
    </row>
    <row r="92" spans="1:14" ht="19.5" customHeight="1" x14ac:dyDescent="0.25">
      <c r="A92" s="1">
        <v>3511</v>
      </c>
      <c r="B92" s="36">
        <v>45697</v>
      </c>
      <c r="C92" s="32"/>
      <c r="D92" s="4" t="s">
        <v>7</v>
      </c>
      <c r="E92" s="32"/>
      <c r="F92" s="5">
        <v>5</v>
      </c>
      <c r="G92" s="32"/>
      <c r="H92" s="34">
        <f t="shared" si="2"/>
        <v>45701</v>
      </c>
      <c r="I92" s="5">
        <v>3</v>
      </c>
      <c r="J92" s="34">
        <f t="shared" si="3"/>
        <v>45705</v>
      </c>
      <c r="K92" s="32"/>
      <c r="L92" s="32" t="s">
        <v>5</v>
      </c>
      <c r="M92" s="32"/>
      <c r="N92" s="32"/>
    </row>
    <row r="93" spans="1:14" ht="19.5" customHeight="1" x14ac:dyDescent="0.25">
      <c r="A93" s="1">
        <v>2787</v>
      </c>
      <c r="B93" s="36">
        <v>45699</v>
      </c>
      <c r="C93" s="32"/>
      <c r="D93" s="4" t="s">
        <v>6</v>
      </c>
      <c r="E93" s="32"/>
      <c r="F93" s="5">
        <v>5</v>
      </c>
      <c r="G93" s="32"/>
      <c r="H93" s="34">
        <f t="shared" si="2"/>
        <v>45703</v>
      </c>
      <c r="I93" s="5">
        <v>3</v>
      </c>
      <c r="J93" s="34">
        <f t="shared" si="3"/>
        <v>45707</v>
      </c>
      <c r="K93" s="32"/>
      <c r="L93" s="32" t="s">
        <v>5</v>
      </c>
      <c r="M93" s="32"/>
      <c r="N93" s="32"/>
    </row>
    <row r="94" spans="1:14" ht="19.5" customHeight="1" x14ac:dyDescent="0.25">
      <c r="A94" s="1">
        <v>3051</v>
      </c>
      <c r="B94" s="36">
        <v>45701</v>
      </c>
      <c r="C94" s="32"/>
      <c r="D94" s="4" t="s">
        <v>20</v>
      </c>
      <c r="E94" s="32"/>
      <c r="F94" s="5">
        <v>5</v>
      </c>
      <c r="G94" s="32"/>
      <c r="H94" s="34">
        <f t="shared" si="2"/>
        <v>45705</v>
      </c>
      <c r="I94" s="5">
        <v>9</v>
      </c>
      <c r="J94" s="34">
        <f t="shared" si="3"/>
        <v>45715</v>
      </c>
      <c r="K94" s="32"/>
      <c r="L94" s="32"/>
      <c r="M94" s="32" t="s">
        <v>1</v>
      </c>
      <c r="N94" s="32" t="s">
        <v>4</v>
      </c>
    </row>
    <row r="95" spans="1:14" ht="19.5" customHeight="1" x14ac:dyDescent="0.25">
      <c r="A95" s="1">
        <v>3629</v>
      </c>
      <c r="B95" s="36">
        <v>45701</v>
      </c>
      <c r="C95" s="32"/>
      <c r="D95" s="4" t="s">
        <v>20</v>
      </c>
      <c r="E95" s="32"/>
      <c r="F95" s="5">
        <v>5</v>
      </c>
      <c r="G95" s="32"/>
      <c r="H95" s="34">
        <f t="shared" si="2"/>
        <v>45705</v>
      </c>
      <c r="I95" s="5">
        <v>9</v>
      </c>
      <c r="J95" s="34">
        <f t="shared" si="3"/>
        <v>45715</v>
      </c>
      <c r="K95" s="32"/>
      <c r="L95" s="32" t="s">
        <v>5</v>
      </c>
      <c r="M95" s="32"/>
      <c r="N95" s="32"/>
    </row>
    <row r="96" spans="1:14" ht="19.5" customHeight="1" x14ac:dyDescent="0.25">
      <c r="A96" s="1">
        <v>5044</v>
      </c>
      <c r="B96" s="36">
        <v>45701</v>
      </c>
      <c r="C96" s="32"/>
      <c r="D96" s="4" t="s">
        <v>7</v>
      </c>
      <c r="E96" s="32"/>
      <c r="F96" s="5">
        <v>5</v>
      </c>
      <c r="G96" s="32"/>
      <c r="H96" s="34">
        <f t="shared" si="2"/>
        <v>45705</v>
      </c>
      <c r="I96" s="5">
        <v>3</v>
      </c>
      <c r="J96" s="34">
        <f t="shared" si="3"/>
        <v>45709</v>
      </c>
      <c r="K96" s="32"/>
      <c r="L96" s="32" t="s">
        <v>5</v>
      </c>
      <c r="M96" s="32"/>
      <c r="N96" s="32"/>
    </row>
    <row r="97" spans="1:14" ht="19.5" customHeight="1" x14ac:dyDescent="0.25">
      <c r="A97" s="1">
        <v>4326</v>
      </c>
      <c r="B97" s="36">
        <v>45703</v>
      </c>
      <c r="C97" s="32"/>
      <c r="D97" s="4" t="s">
        <v>7</v>
      </c>
      <c r="E97" s="32"/>
      <c r="F97" s="5">
        <v>5</v>
      </c>
      <c r="G97" s="32"/>
      <c r="H97" s="34">
        <f t="shared" si="2"/>
        <v>45707</v>
      </c>
      <c r="I97" s="5">
        <v>3</v>
      </c>
      <c r="J97" s="34">
        <f t="shared" si="3"/>
        <v>45711</v>
      </c>
      <c r="K97" s="32"/>
      <c r="L97" s="32"/>
      <c r="M97" s="32"/>
      <c r="N97" s="32" t="s">
        <v>4</v>
      </c>
    </row>
    <row r="98" spans="1:14" ht="19.5" customHeight="1" x14ac:dyDescent="0.25">
      <c r="A98" s="1">
        <v>4303</v>
      </c>
      <c r="B98" s="35">
        <v>45703</v>
      </c>
      <c r="C98" s="32"/>
      <c r="D98" s="4" t="s">
        <v>7</v>
      </c>
      <c r="E98" s="32"/>
      <c r="F98" s="5">
        <v>5</v>
      </c>
      <c r="G98" s="32"/>
      <c r="H98" s="34">
        <f t="shared" si="2"/>
        <v>45707</v>
      </c>
      <c r="I98" s="5">
        <v>3</v>
      </c>
      <c r="J98" s="34">
        <f t="shared" si="3"/>
        <v>45711</v>
      </c>
      <c r="K98" s="32"/>
      <c r="L98" s="32"/>
      <c r="M98" s="32" t="s">
        <v>1</v>
      </c>
      <c r="N98" s="32"/>
    </row>
    <row r="99" spans="1:14" ht="19.5" customHeight="1" x14ac:dyDescent="0.25">
      <c r="A99" s="1">
        <v>4089</v>
      </c>
      <c r="B99" s="36">
        <v>45703</v>
      </c>
      <c r="C99" s="32"/>
      <c r="D99" s="4" t="s">
        <v>7</v>
      </c>
      <c r="E99" s="32"/>
      <c r="F99" s="5">
        <v>5</v>
      </c>
      <c r="G99" s="32"/>
      <c r="H99" s="34">
        <f t="shared" si="2"/>
        <v>45707</v>
      </c>
      <c r="I99" s="5">
        <v>3</v>
      </c>
      <c r="J99" s="34">
        <f t="shared" si="3"/>
        <v>45711</v>
      </c>
      <c r="K99" s="32" t="s">
        <v>3</v>
      </c>
      <c r="L99" s="32"/>
      <c r="M99" s="32"/>
      <c r="N99" s="32"/>
    </row>
    <row r="100" spans="1:14" ht="19.5" customHeight="1" x14ac:dyDescent="0.25">
      <c r="A100" s="1">
        <v>3562</v>
      </c>
      <c r="B100" s="36">
        <v>45704</v>
      </c>
      <c r="C100" s="32"/>
      <c r="D100" s="4" t="s">
        <v>7</v>
      </c>
      <c r="E100" s="32"/>
      <c r="F100" s="5">
        <v>5</v>
      </c>
      <c r="G100" s="32"/>
      <c r="H100" s="34">
        <f t="shared" si="2"/>
        <v>45708</v>
      </c>
      <c r="I100" s="5">
        <v>3</v>
      </c>
      <c r="J100" s="34">
        <f t="shared" si="3"/>
        <v>45712</v>
      </c>
      <c r="K100" s="32"/>
      <c r="L100" s="32"/>
      <c r="M100" s="32" t="s">
        <v>1</v>
      </c>
      <c r="N100" s="32"/>
    </row>
    <row r="101" spans="1:14" ht="19.5" customHeight="1" x14ac:dyDescent="0.25">
      <c r="A101" s="1">
        <v>2996</v>
      </c>
      <c r="B101" s="36">
        <v>45705</v>
      </c>
      <c r="C101" s="32"/>
      <c r="D101" s="4" t="s">
        <v>7</v>
      </c>
      <c r="E101" s="32"/>
      <c r="F101" s="5">
        <v>5</v>
      </c>
      <c r="G101" s="32"/>
      <c r="H101" s="34">
        <f t="shared" si="2"/>
        <v>45709</v>
      </c>
      <c r="I101" s="5">
        <v>3</v>
      </c>
      <c r="J101" s="34">
        <f t="shared" si="3"/>
        <v>45713</v>
      </c>
      <c r="K101" s="32"/>
      <c r="L101" s="32" t="s">
        <v>5</v>
      </c>
      <c r="M101" s="32"/>
      <c r="N101" s="32"/>
    </row>
    <row r="102" spans="1:14" ht="19.5" customHeight="1" x14ac:dyDescent="0.25">
      <c r="A102" s="1">
        <v>3646</v>
      </c>
      <c r="B102" s="36">
        <v>45705</v>
      </c>
      <c r="C102" s="32"/>
      <c r="D102" s="4" t="s">
        <v>7</v>
      </c>
      <c r="E102" s="32"/>
      <c r="F102" s="5">
        <v>5</v>
      </c>
      <c r="G102" s="32"/>
      <c r="H102" s="34">
        <f t="shared" si="2"/>
        <v>45709</v>
      </c>
      <c r="I102" s="5">
        <v>3</v>
      </c>
      <c r="J102" s="34">
        <f t="shared" si="3"/>
        <v>45713</v>
      </c>
      <c r="K102" s="32"/>
      <c r="L102" s="32" t="s">
        <v>5</v>
      </c>
      <c r="M102" s="32"/>
      <c r="N102" s="32"/>
    </row>
    <row r="103" spans="1:14" ht="19.5" customHeight="1" x14ac:dyDescent="0.25">
      <c r="A103" s="1">
        <v>3562</v>
      </c>
      <c r="B103" s="36">
        <v>45706</v>
      </c>
      <c r="C103" s="32"/>
      <c r="D103" s="4" t="s">
        <v>20</v>
      </c>
      <c r="E103" s="32"/>
      <c r="F103" s="5">
        <v>5</v>
      </c>
      <c r="G103" s="32"/>
      <c r="H103" s="34">
        <f t="shared" si="2"/>
        <v>45710</v>
      </c>
      <c r="I103" s="5">
        <v>9</v>
      </c>
      <c r="J103" s="34">
        <f t="shared" si="3"/>
        <v>45720</v>
      </c>
      <c r="K103" s="32"/>
      <c r="L103" s="32"/>
      <c r="M103" s="32"/>
      <c r="N103" s="32"/>
    </row>
    <row r="104" spans="1:14" ht="19.5" customHeight="1" x14ac:dyDescent="0.25">
      <c r="A104" s="1">
        <v>3130</v>
      </c>
      <c r="B104" s="36">
        <v>45706</v>
      </c>
      <c r="C104" s="32"/>
      <c r="D104" s="4" t="s">
        <v>7</v>
      </c>
      <c r="E104" s="32"/>
      <c r="F104" s="5">
        <v>5</v>
      </c>
      <c r="G104" s="32"/>
      <c r="H104" s="34">
        <f t="shared" si="2"/>
        <v>45710</v>
      </c>
      <c r="I104" s="5">
        <v>3</v>
      </c>
      <c r="J104" s="34">
        <f t="shared" si="3"/>
        <v>45714</v>
      </c>
      <c r="K104" s="32"/>
      <c r="L104" s="32" t="s">
        <v>5</v>
      </c>
      <c r="M104" s="32"/>
      <c r="N104" s="32"/>
    </row>
    <row r="105" spans="1:14" ht="19.5" customHeight="1" x14ac:dyDescent="0.25">
      <c r="A105" s="1">
        <v>2821</v>
      </c>
      <c r="B105" s="36">
        <v>45708</v>
      </c>
      <c r="C105" s="32"/>
      <c r="D105" s="4" t="s">
        <v>7</v>
      </c>
      <c r="E105" s="32"/>
      <c r="F105" s="5">
        <v>5</v>
      </c>
      <c r="G105" s="32"/>
      <c r="H105" s="34">
        <f t="shared" si="2"/>
        <v>45712</v>
      </c>
      <c r="I105" s="5">
        <v>3</v>
      </c>
      <c r="J105" s="34">
        <f t="shared" si="3"/>
        <v>45716</v>
      </c>
      <c r="K105" s="32"/>
      <c r="L105" s="32" t="s">
        <v>5</v>
      </c>
      <c r="M105" s="32"/>
      <c r="N105" s="32"/>
    </row>
    <row r="106" spans="1:14" ht="19.5" customHeight="1" x14ac:dyDescent="0.25">
      <c r="A106" s="1">
        <v>3289</v>
      </c>
      <c r="B106" s="36">
        <v>45708</v>
      </c>
      <c r="C106" s="32"/>
      <c r="D106" s="4" t="s">
        <v>7</v>
      </c>
      <c r="E106" s="32"/>
      <c r="F106" s="5">
        <v>5</v>
      </c>
      <c r="G106" s="32"/>
      <c r="H106" s="34">
        <f t="shared" si="2"/>
        <v>45712</v>
      </c>
      <c r="I106" s="5">
        <v>3</v>
      </c>
      <c r="J106" s="34">
        <f t="shared" si="3"/>
        <v>45716</v>
      </c>
      <c r="K106" s="32" t="s">
        <v>3</v>
      </c>
      <c r="L106" s="32" t="s">
        <v>5</v>
      </c>
      <c r="M106" s="32"/>
      <c r="N106" s="32"/>
    </row>
    <row r="107" spans="1:14" ht="19.5" customHeight="1" x14ac:dyDescent="0.25">
      <c r="A107" s="1">
        <v>3853</v>
      </c>
      <c r="B107" s="36">
        <v>45709</v>
      </c>
      <c r="C107" s="32"/>
      <c r="D107" s="4" t="s">
        <v>20</v>
      </c>
      <c r="E107" s="32"/>
      <c r="F107" s="5">
        <v>5</v>
      </c>
      <c r="G107" s="32"/>
      <c r="H107" s="34">
        <f t="shared" si="2"/>
        <v>45713</v>
      </c>
      <c r="I107" s="5">
        <v>9</v>
      </c>
      <c r="J107" s="34">
        <f t="shared" si="3"/>
        <v>45723</v>
      </c>
      <c r="K107" s="32" t="s">
        <v>3</v>
      </c>
      <c r="L107" s="32"/>
      <c r="M107" s="32"/>
      <c r="N107" s="32"/>
    </row>
    <row r="108" spans="1:14" ht="19.5" customHeight="1" x14ac:dyDescent="0.25">
      <c r="A108" s="1">
        <v>4326</v>
      </c>
      <c r="B108" s="36">
        <v>45709</v>
      </c>
      <c r="C108" s="32"/>
      <c r="D108" s="4" t="s">
        <v>20</v>
      </c>
      <c r="E108" s="32"/>
      <c r="F108" s="5">
        <v>5</v>
      </c>
      <c r="G108" s="32"/>
      <c r="H108" s="34">
        <f t="shared" si="2"/>
        <v>45713</v>
      </c>
      <c r="I108" s="5">
        <v>9</v>
      </c>
      <c r="J108" s="34">
        <f t="shared" si="3"/>
        <v>45723</v>
      </c>
      <c r="K108" s="32"/>
      <c r="L108" s="32"/>
      <c r="M108" s="32"/>
      <c r="N108" s="32" t="s">
        <v>4</v>
      </c>
    </row>
    <row r="109" spans="1:14" ht="19.5" customHeight="1" x14ac:dyDescent="0.25">
      <c r="A109" s="1">
        <v>2996</v>
      </c>
      <c r="B109" s="36">
        <v>45709</v>
      </c>
      <c r="C109" s="32"/>
      <c r="D109" s="4" t="s">
        <v>6</v>
      </c>
      <c r="E109" s="32"/>
      <c r="F109" s="5">
        <v>5</v>
      </c>
      <c r="G109" s="32"/>
      <c r="H109" s="34">
        <f t="shared" si="2"/>
        <v>45713</v>
      </c>
      <c r="I109" s="5">
        <v>5</v>
      </c>
      <c r="J109" s="34">
        <f t="shared" si="3"/>
        <v>45719</v>
      </c>
      <c r="K109" s="32"/>
      <c r="L109" s="32" t="s">
        <v>5</v>
      </c>
      <c r="M109" s="32"/>
      <c r="N109" s="32"/>
    </row>
    <row r="110" spans="1:14" ht="19.5" customHeight="1" x14ac:dyDescent="0.25">
      <c r="A110" s="1">
        <v>4191</v>
      </c>
      <c r="B110" s="36">
        <v>45709</v>
      </c>
      <c r="C110" s="32"/>
      <c r="D110" s="4" t="s">
        <v>6</v>
      </c>
      <c r="E110" s="32"/>
      <c r="F110" s="5">
        <v>5</v>
      </c>
      <c r="G110" s="32"/>
      <c r="H110" s="34">
        <f t="shared" si="2"/>
        <v>45713</v>
      </c>
      <c r="I110" s="5">
        <v>5</v>
      </c>
      <c r="J110" s="34">
        <f t="shared" si="3"/>
        <v>45719</v>
      </c>
      <c r="K110" s="32" t="s">
        <v>3</v>
      </c>
      <c r="L110" s="32"/>
      <c r="M110" s="32"/>
      <c r="N110" s="32"/>
    </row>
    <row r="111" spans="1:14" ht="19.5" customHeight="1" x14ac:dyDescent="0.25">
      <c r="A111" s="1">
        <v>3553</v>
      </c>
      <c r="B111" s="36">
        <v>45709</v>
      </c>
      <c r="C111" s="32"/>
      <c r="D111" s="4" t="s">
        <v>7</v>
      </c>
      <c r="E111" s="32"/>
      <c r="F111" s="5">
        <v>5</v>
      </c>
      <c r="G111" s="32"/>
      <c r="H111" s="34">
        <f t="shared" si="2"/>
        <v>45713</v>
      </c>
      <c r="I111" s="5">
        <v>3</v>
      </c>
      <c r="J111" s="34">
        <f t="shared" si="3"/>
        <v>45717</v>
      </c>
      <c r="K111" s="32"/>
      <c r="L111" s="32"/>
      <c r="M111" s="32" t="s">
        <v>1</v>
      </c>
      <c r="N111" s="32"/>
    </row>
    <row r="112" spans="1:14" ht="19.5" customHeight="1" x14ac:dyDescent="0.25">
      <c r="A112" s="1">
        <v>2688</v>
      </c>
      <c r="B112" s="36">
        <v>45709</v>
      </c>
      <c r="C112" s="32"/>
      <c r="D112" s="4" t="s">
        <v>7</v>
      </c>
      <c r="E112" s="32"/>
      <c r="F112" s="5">
        <v>5</v>
      </c>
      <c r="G112" s="32"/>
      <c r="H112" s="34">
        <f t="shared" si="2"/>
        <v>45713</v>
      </c>
      <c r="I112" s="5">
        <v>3</v>
      </c>
      <c r="J112" s="34">
        <f t="shared" si="3"/>
        <v>45717</v>
      </c>
      <c r="K112" s="32"/>
      <c r="L112" s="32"/>
      <c r="M112" s="32" t="s">
        <v>1</v>
      </c>
      <c r="N112" s="32"/>
    </row>
    <row r="113" spans="1:14" ht="19.5" customHeight="1" x14ac:dyDescent="0.25">
      <c r="A113" s="1">
        <v>3595</v>
      </c>
      <c r="B113" s="36">
        <v>45709</v>
      </c>
      <c r="C113" s="32"/>
      <c r="D113" s="4" t="s">
        <v>7</v>
      </c>
      <c r="E113" s="32"/>
      <c r="F113" s="5">
        <v>5</v>
      </c>
      <c r="G113" s="32"/>
      <c r="H113" s="34">
        <f t="shared" si="2"/>
        <v>45713</v>
      </c>
      <c r="I113" s="5">
        <v>3</v>
      </c>
      <c r="J113" s="34">
        <f t="shared" si="3"/>
        <v>45717</v>
      </c>
      <c r="K113" s="32"/>
      <c r="L113" s="32"/>
      <c r="M113" s="32" t="s">
        <v>1</v>
      </c>
      <c r="N113" s="32"/>
    </row>
    <row r="114" spans="1:14" ht="19.5" customHeight="1" x14ac:dyDescent="0.25">
      <c r="A114" s="1">
        <v>3470</v>
      </c>
      <c r="B114" s="36">
        <v>45709</v>
      </c>
      <c r="C114" s="32"/>
      <c r="D114" s="4" t="s">
        <v>7</v>
      </c>
      <c r="E114" s="32"/>
      <c r="F114" s="5">
        <v>5</v>
      </c>
      <c r="G114" s="32"/>
      <c r="H114" s="34">
        <f t="shared" si="2"/>
        <v>45713</v>
      </c>
      <c r="I114" s="5">
        <v>3</v>
      </c>
      <c r="J114" s="34">
        <f t="shared" si="3"/>
        <v>45717</v>
      </c>
      <c r="K114" s="32" t="s">
        <v>3</v>
      </c>
      <c r="L114" s="32"/>
      <c r="M114" s="32" t="s">
        <v>1</v>
      </c>
      <c r="N114" s="32"/>
    </row>
    <row r="115" spans="1:14" ht="19.5" customHeight="1" x14ac:dyDescent="0.25">
      <c r="A115" s="1">
        <v>3051</v>
      </c>
      <c r="B115" s="36">
        <v>45709</v>
      </c>
      <c r="C115" s="32"/>
      <c r="D115" s="4" t="s">
        <v>20</v>
      </c>
      <c r="E115" s="32"/>
      <c r="F115" s="5">
        <v>5</v>
      </c>
      <c r="G115" s="32"/>
      <c r="H115" s="34">
        <f t="shared" si="2"/>
        <v>45713</v>
      </c>
      <c r="I115" s="5">
        <v>9</v>
      </c>
      <c r="J115" s="34">
        <f t="shared" si="3"/>
        <v>45723</v>
      </c>
      <c r="K115" s="32"/>
      <c r="L115" s="32"/>
      <c r="M115" s="32" t="s">
        <v>1</v>
      </c>
      <c r="N115" s="32"/>
    </row>
    <row r="116" spans="1:14" ht="19.5" customHeight="1" x14ac:dyDescent="0.25">
      <c r="A116" s="1">
        <v>3897</v>
      </c>
      <c r="B116" s="36">
        <v>45709</v>
      </c>
      <c r="C116" s="32"/>
      <c r="D116" s="4" t="s">
        <v>7</v>
      </c>
      <c r="E116" s="32"/>
      <c r="F116" s="5">
        <v>5</v>
      </c>
      <c r="G116" s="32"/>
      <c r="H116" s="34">
        <f t="shared" si="2"/>
        <v>45713</v>
      </c>
      <c r="I116" s="5">
        <v>3</v>
      </c>
      <c r="J116" s="34">
        <f t="shared" si="3"/>
        <v>45717</v>
      </c>
      <c r="K116" s="32"/>
      <c r="L116" s="32"/>
      <c r="M116" s="32"/>
      <c r="N116" s="32" t="s">
        <v>4</v>
      </c>
    </row>
    <row r="117" spans="1:14" ht="19.5" customHeight="1" x14ac:dyDescent="0.25">
      <c r="A117" s="1">
        <v>2599</v>
      </c>
      <c r="B117" s="36">
        <v>45709</v>
      </c>
      <c r="C117" s="32"/>
      <c r="D117" s="4" t="s">
        <v>7</v>
      </c>
      <c r="E117" s="32"/>
      <c r="F117" s="5">
        <v>5</v>
      </c>
      <c r="G117" s="32"/>
      <c r="H117" s="34">
        <f t="shared" si="2"/>
        <v>45713</v>
      </c>
      <c r="I117" s="5">
        <v>3</v>
      </c>
      <c r="J117" s="34">
        <f t="shared" si="3"/>
        <v>45717</v>
      </c>
      <c r="K117" s="32" t="s">
        <v>3</v>
      </c>
      <c r="L117" s="32"/>
      <c r="M117" s="32"/>
      <c r="N117" s="32"/>
    </row>
    <row r="118" spans="1:14" ht="19.5" customHeight="1" x14ac:dyDescent="0.25">
      <c r="A118" s="1">
        <v>2763</v>
      </c>
      <c r="B118" s="36">
        <v>45709</v>
      </c>
      <c r="C118" s="32"/>
      <c r="D118" s="4" t="s">
        <v>7</v>
      </c>
      <c r="E118" s="32"/>
      <c r="F118" s="5">
        <v>5</v>
      </c>
      <c r="G118" s="32"/>
      <c r="H118" s="34">
        <f t="shared" si="2"/>
        <v>45713</v>
      </c>
      <c r="I118" s="5">
        <v>3</v>
      </c>
      <c r="J118" s="34">
        <f t="shared" si="3"/>
        <v>45717</v>
      </c>
      <c r="K118" s="32"/>
      <c r="L118" s="32"/>
      <c r="M118" s="32"/>
      <c r="N118" s="32" t="s">
        <v>4</v>
      </c>
    </row>
    <row r="119" spans="1:14" ht="19.5" customHeight="1" x14ac:dyDescent="0.25">
      <c r="A119" s="1">
        <v>2618</v>
      </c>
      <c r="B119" s="36">
        <v>45711</v>
      </c>
      <c r="C119" s="32"/>
      <c r="D119" s="4" t="s">
        <v>7</v>
      </c>
      <c r="E119" s="32"/>
      <c r="F119" s="5">
        <v>5</v>
      </c>
      <c r="G119" s="32"/>
      <c r="H119" s="34">
        <f t="shared" si="2"/>
        <v>45715</v>
      </c>
      <c r="I119" s="5">
        <v>3</v>
      </c>
      <c r="J119" s="34">
        <f t="shared" si="3"/>
        <v>45719</v>
      </c>
      <c r="K119" s="32" t="s">
        <v>3</v>
      </c>
      <c r="L119" s="32"/>
      <c r="M119" s="32"/>
      <c r="N119" s="32"/>
    </row>
    <row r="120" spans="1:14" ht="19.5" customHeight="1" x14ac:dyDescent="0.25">
      <c r="A120" s="1">
        <v>2521</v>
      </c>
      <c r="B120" s="36">
        <v>45712</v>
      </c>
      <c r="C120" s="32"/>
      <c r="D120" s="4" t="s">
        <v>7</v>
      </c>
      <c r="E120" s="32"/>
      <c r="F120" s="5">
        <v>5</v>
      </c>
      <c r="G120" s="32"/>
      <c r="H120" s="34">
        <f t="shared" si="2"/>
        <v>45716</v>
      </c>
      <c r="I120" s="5">
        <v>3</v>
      </c>
      <c r="J120" s="34">
        <f t="shared" si="3"/>
        <v>45720</v>
      </c>
      <c r="K120" s="32"/>
      <c r="L120" s="32"/>
      <c r="M120" s="32"/>
      <c r="N120" s="32" t="s">
        <v>4</v>
      </c>
    </row>
    <row r="121" spans="1:14" ht="19.5" customHeight="1" x14ac:dyDescent="0.25">
      <c r="A121" s="1">
        <v>3479</v>
      </c>
      <c r="B121" s="36">
        <v>45714</v>
      </c>
      <c r="C121" s="32"/>
      <c r="D121" s="4" t="s">
        <v>7</v>
      </c>
      <c r="E121" s="32"/>
      <c r="F121" s="5">
        <v>5</v>
      </c>
      <c r="G121" s="32"/>
      <c r="H121" s="34">
        <f t="shared" si="2"/>
        <v>45718</v>
      </c>
      <c r="I121" s="5">
        <v>3</v>
      </c>
      <c r="J121" s="34">
        <f t="shared" si="3"/>
        <v>45722</v>
      </c>
      <c r="K121" s="32" t="s">
        <v>3</v>
      </c>
      <c r="L121" s="32"/>
      <c r="M121" s="32"/>
      <c r="N121" s="32"/>
    </row>
    <row r="122" spans="1:14" ht="19.5" customHeight="1" x14ac:dyDescent="0.25">
      <c r="A122" s="1">
        <v>3227</v>
      </c>
      <c r="B122" s="36">
        <v>45715</v>
      </c>
      <c r="C122" s="32"/>
      <c r="D122" s="4" t="s">
        <v>7</v>
      </c>
      <c r="E122" s="32"/>
      <c r="F122" s="5">
        <v>5</v>
      </c>
      <c r="G122" s="32"/>
      <c r="H122" s="34">
        <f t="shared" si="2"/>
        <v>45719</v>
      </c>
      <c r="I122" s="5">
        <v>3</v>
      </c>
      <c r="J122" s="34">
        <f t="shared" si="3"/>
        <v>45723</v>
      </c>
      <c r="K122" s="32" t="s">
        <v>3</v>
      </c>
      <c r="L122" s="32"/>
      <c r="M122" s="32"/>
      <c r="N122" s="32"/>
    </row>
    <row r="123" spans="1:14" ht="19.5" customHeight="1" x14ac:dyDescent="0.25">
      <c r="A123" s="1">
        <v>3110</v>
      </c>
      <c r="B123" s="36">
        <v>45713</v>
      </c>
      <c r="C123" s="32"/>
      <c r="D123" s="4" t="s">
        <v>7</v>
      </c>
      <c r="E123" s="32"/>
      <c r="F123" s="5">
        <v>5</v>
      </c>
      <c r="G123" s="32"/>
      <c r="H123" s="34">
        <f t="shared" si="2"/>
        <v>45717</v>
      </c>
      <c r="I123" s="5">
        <v>3</v>
      </c>
      <c r="J123" s="34">
        <f t="shared" si="3"/>
        <v>45721</v>
      </c>
      <c r="K123" s="32" t="s">
        <v>3</v>
      </c>
      <c r="L123" s="32"/>
      <c r="M123" s="32"/>
      <c r="N123" s="32"/>
    </row>
    <row r="124" spans="1:14" ht="19.5" customHeight="1" x14ac:dyDescent="0.25">
      <c r="A124" s="1">
        <v>2748</v>
      </c>
      <c r="B124" s="36">
        <v>45715</v>
      </c>
      <c r="C124" s="32"/>
      <c r="D124" s="4" t="s">
        <v>7</v>
      </c>
      <c r="E124" s="32"/>
      <c r="F124" s="5">
        <v>5</v>
      </c>
      <c r="G124" s="32"/>
      <c r="H124" s="34">
        <f t="shared" si="2"/>
        <v>45719</v>
      </c>
      <c r="I124" s="5">
        <v>3</v>
      </c>
      <c r="J124" s="34">
        <f t="shared" si="3"/>
        <v>45723</v>
      </c>
      <c r="K124" s="32"/>
      <c r="L124" s="32" t="s">
        <v>5</v>
      </c>
      <c r="M124" s="32"/>
      <c r="N124" s="32"/>
    </row>
    <row r="125" spans="1:14" ht="19.5" customHeight="1" x14ac:dyDescent="0.25">
      <c r="A125" s="1">
        <v>3063</v>
      </c>
      <c r="B125" s="36">
        <v>45715</v>
      </c>
      <c r="C125" s="32"/>
      <c r="D125" s="4" t="s">
        <v>7</v>
      </c>
      <c r="E125" s="32"/>
      <c r="F125" s="5">
        <v>5</v>
      </c>
      <c r="G125" s="32"/>
      <c r="H125" s="34">
        <f t="shared" si="2"/>
        <v>45719</v>
      </c>
      <c r="I125" s="5">
        <v>3</v>
      </c>
      <c r="J125" s="34">
        <f t="shared" si="3"/>
        <v>45723</v>
      </c>
      <c r="K125" s="32"/>
      <c r="L125" s="32" t="s">
        <v>5</v>
      </c>
      <c r="M125" s="32"/>
      <c r="N125" s="32"/>
    </row>
    <row r="126" spans="1:14" ht="19.5" customHeight="1" x14ac:dyDescent="0.25">
      <c r="A126" s="1">
        <v>4191</v>
      </c>
      <c r="B126" s="36">
        <v>45715</v>
      </c>
      <c r="C126" s="32"/>
      <c r="D126" s="4" t="s">
        <v>7</v>
      </c>
      <c r="E126" s="32"/>
      <c r="F126" s="5">
        <v>5</v>
      </c>
      <c r="G126" s="32"/>
      <c r="H126" s="34">
        <f t="shared" si="2"/>
        <v>45719</v>
      </c>
      <c r="I126" s="5">
        <v>3</v>
      </c>
      <c r="J126" s="34">
        <f t="shared" si="3"/>
        <v>45723</v>
      </c>
      <c r="K126" s="32" t="s">
        <v>3</v>
      </c>
      <c r="L126" s="32"/>
      <c r="M126" s="32" t="s">
        <v>1</v>
      </c>
      <c r="N126" s="32"/>
    </row>
    <row r="127" spans="1:14" ht="19.5" customHeight="1" x14ac:dyDescent="0.25">
      <c r="A127" s="1">
        <v>3768</v>
      </c>
      <c r="B127" s="36">
        <v>45716</v>
      </c>
      <c r="C127" s="32"/>
      <c r="D127" s="4" t="s">
        <v>7</v>
      </c>
      <c r="E127" s="32"/>
      <c r="F127" s="5">
        <v>5</v>
      </c>
      <c r="G127" s="32"/>
      <c r="H127" s="34">
        <f t="shared" si="2"/>
        <v>45720</v>
      </c>
      <c r="I127" s="5">
        <v>3</v>
      </c>
      <c r="J127" s="34">
        <f t="shared" si="3"/>
        <v>45724</v>
      </c>
      <c r="K127" s="32" t="s">
        <v>3</v>
      </c>
      <c r="L127" s="32"/>
      <c r="M127" s="32"/>
      <c r="N127" s="32"/>
    </row>
    <row r="128" spans="1:14" ht="19.5" customHeight="1" x14ac:dyDescent="0.25">
      <c r="A128" s="1">
        <v>3680</v>
      </c>
      <c r="B128" s="36">
        <v>45716</v>
      </c>
      <c r="C128" s="32"/>
      <c r="D128" s="4" t="s">
        <v>7</v>
      </c>
      <c r="E128" s="32"/>
      <c r="F128" s="5">
        <v>5</v>
      </c>
      <c r="G128" s="32"/>
      <c r="H128" s="34">
        <f t="shared" si="2"/>
        <v>45720</v>
      </c>
      <c r="I128" s="5">
        <v>3</v>
      </c>
      <c r="J128" s="34">
        <f t="shared" si="3"/>
        <v>45724</v>
      </c>
      <c r="K128" s="32"/>
      <c r="L128" s="32" t="s">
        <v>5</v>
      </c>
      <c r="M128" s="32"/>
      <c r="N128" s="32"/>
    </row>
    <row r="129" spans="1:14" ht="19.5" customHeight="1" x14ac:dyDescent="0.25">
      <c r="A129" s="1">
        <v>3235</v>
      </c>
      <c r="B129" s="36">
        <v>45718</v>
      </c>
      <c r="C129" s="32"/>
      <c r="D129" s="4" t="s">
        <v>7</v>
      </c>
      <c r="E129" s="32"/>
      <c r="F129" s="5">
        <v>5</v>
      </c>
      <c r="G129" s="32"/>
      <c r="H129" s="34">
        <f t="shared" si="2"/>
        <v>45722</v>
      </c>
      <c r="I129" s="5">
        <v>3</v>
      </c>
      <c r="J129" s="34">
        <f t="shared" si="3"/>
        <v>45726</v>
      </c>
      <c r="K129" s="32" t="s">
        <v>3</v>
      </c>
      <c r="L129" s="32" t="s">
        <v>5</v>
      </c>
      <c r="M129" s="32"/>
      <c r="N129" s="32"/>
    </row>
    <row r="130" spans="1:14" ht="19.5" customHeight="1" x14ac:dyDescent="0.25">
      <c r="A130" s="1">
        <v>3020</v>
      </c>
      <c r="B130" s="36">
        <v>45719</v>
      </c>
      <c r="C130" s="32"/>
      <c r="D130" s="4" t="s">
        <v>7</v>
      </c>
      <c r="E130" s="32"/>
      <c r="F130" s="5">
        <v>5</v>
      </c>
      <c r="G130" s="32"/>
      <c r="H130" s="34">
        <f t="shared" ref="H130:H193" si="4">B130+F130-1</f>
        <v>45723</v>
      </c>
      <c r="I130" s="5">
        <v>3</v>
      </c>
      <c r="J130" s="34">
        <f t="shared" ref="J130:J193" si="5">H130+I130+1</f>
        <v>45727</v>
      </c>
      <c r="K130" s="32"/>
      <c r="L130" s="32"/>
      <c r="M130" s="32" t="s">
        <v>1</v>
      </c>
      <c r="N130" s="32"/>
    </row>
    <row r="131" spans="1:14" ht="19.5" customHeight="1" x14ac:dyDescent="0.25">
      <c r="A131" s="1">
        <v>2279</v>
      </c>
      <c r="B131" s="36">
        <v>45719</v>
      </c>
      <c r="C131" s="32"/>
      <c r="D131" s="4" t="s">
        <v>7</v>
      </c>
      <c r="E131" s="32"/>
      <c r="F131" s="5">
        <v>5</v>
      </c>
      <c r="G131" s="32"/>
      <c r="H131" s="34">
        <f t="shared" si="4"/>
        <v>45723</v>
      </c>
      <c r="I131" s="5">
        <v>3</v>
      </c>
      <c r="J131" s="34">
        <f t="shared" si="5"/>
        <v>45727</v>
      </c>
      <c r="K131" s="32"/>
      <c r="L131" s="32" t="s">
        <v>5</v>
      </c>
      <c r="M131" s="32" t="s">
        <v>1</v>
      </c>
      <c r="N131" s="32"/>
    </row>
    <row r="132" spans="1:14" ht="19.5" customHeight="1" x14ac:dyDescent="0.25">
      <c r="A132" s="1">
        <v>3845</v>
      </c>
      <c r="B132" s="36">
        <v>45720</v>
      </c>
      <c r="C132" s="32"/>
      <c r="D132" s="4" t="s">
        <v>7</v>
      </c>
      <c r="E132" s="32"/>
      <c r="F132" s="5">
        <v>5</v>
      </c>
      <c r="G132" s="32"/>
      <c r="H132" s="34">
        <f t="shared" si="4"/>
        <v>45724</v>
      </c>
      <c r="I132" s="5">
        <v>3</v>
      </c>
      <c r="J132" s="34">
        <f t="shared" si="5"/>
        <v>45728</v>
      </c>
      <c r="K132" s="32" t="s">
        <v>3</v>
      </c>
      <c r="L132" s="32"/>
      <c r="M132" s="32" t="s">
        <v>1</v>
      </c>
      <c r="N132" s="32"/>
    </row>
    <row r="133" spans="1:14" ht="19.5" customHeight="1" x14ac:dyDescent="0.25">
      <c r="A133" s="1">
        <v>861</v>
      </c>
      <c r="B133" s="36">
        <v>45720</v>
      </c>
      <c r="C133" s="32"/>
      <c r="D133" s="4" t="s">
        <v>7</v>
      </c>
      <c r="E133" s="32"/>
      <c r="F133" s="5">
        <v>5</v>
      </c>
      <c r="G133" s="32"/>
      <c r="H133" s="34">
        <f t="shared" si="4"/>
        <v>45724</v>
      </c>
      <c r="I133" s="5">
        <v>3</v>
      </c>
      <c r="J133" s="34">
        <f t="shared" si="5"/>
        <v>45728</v>
      </c>
      <c r="K133" s="32"/>
      <c r="L133" s="32"/>
      <c r="M133" s="32" t="s">
        <v>1</v>
      </c>
      <c r="N133" s="32"/>
    </row>
    <row r="134" spans="1:14" ht="19.5" customHeight="1" x14ac:dyDescent="0.25">
      <c r="A134" s="1">
        <v>2020</v>
      </c>
      <c r="B134" s="36">
        <v>45720</v>
      </c>
      <c r="C134" s="32"/>
      <c r="D134" s="4" t="s">
        <v>7</v>
      </c>
      <c r="E134" s="32"/>
      <c r="F134" s="5">
        <v>5</v>
      </c>
      <c r="G134" s="32"/>
      <c r="H134" s="34">
        <f t="shared" si="4"/>
        <v>45724</v>
      </c>
      <c r="I134" s="5">
        <v>3</v>
      </c>
      <c r="J134" s="34">
        <f t="shared" si="5"/>
        <v>45728</v>
      </c>
      <c r="K134" s="32" t="s">
        <v>3</v>
      </c>
      <c r="L134" s="32"/>
      <c r="M134" s="32" t="s">
        <v>1</v>
      </c>
      <c r="N134" s="32"/>
    </row>
    <row r="135" spans="1:14" ht="19.5" customHeight="1" x14ac:dyDescent="0.25">
      <c r="A135" s="1">
        <v>4551</v>
      </c>
      <c r="B135" s="36">
        <v>45720</v>
      </c>
      <c r="C135" s="32"/>
      <c r="D135" s="4" t="s">
        <v>7</v>
      </c>
      <c r="E135" s="32"/>
      <c r="F135" s="5">
        <v>5</v>
      </c>
      <c r="G135" s="32"/>
      <c r="H135" s="34">
        <f t="shared" si="4"/>
        <v>45724</v>
      </c>
      <c r="I135" s="5">
        <v>3</v>
      </c>
      <c r="J135" s="34">
        <f t="shared" si="5"/>
        <v>45728</v>
      </c>
      <c r="K135" s="32"/>
      <c r="L135" s="32"/>
      <c r="M135" s="32"/>
      <c r="N135" s="32" t="s">
        <v>4</v>
      </c>
    </row>
    <row r="136" spans="1:14" ht="19.5" customHeight="1" x14ac:dyDescent="0.25">
      <c r="A136" s="1">
        <v>1166</v>
      </c>
      <c r="B136" s="36">
        <v>45720</v>
      </c>
      <c r="C136" s="32"/>
      <c r="D136" s="4" t="s">
        <v>7</v>
      </c>
      <c r="E136" s="32"/>
      <c r="F136" s="5">
        <v>5</v>
      </c>
      <c r="G136" s="32"/>
      <c r="H136" s="34">
        <f t="shared" si="4"/>
        <v>45724</v>
      </c>
      <c r="I136" s="5">
        <v>3</v>
      </c>
      <c r="J136" s="34">
        <f t="shared" si="5"/>
        <v>45728</v>
      </c>
      <c r="K136" s="32"/>
      <c r="L136" s="32"/>
      <c r="M136" s="32" t="s">
        <v>1</v>
      </c>
      <c r="N136" s="32"/>
    </row>
    <row r="137" spans="1:14" ht="19.5" customHeight="1" x14ac:dyDescent="0.25">
      <c r="A137" s="1">
        <v>4191</v>
      </c>
      <c r="B137" s="36">
        <v>45721</v>
      </c>
      <c r="C137" s="32"/>
      <c r="D137" s="4" t="s">
        <v>21</v>
      </c>
      <c r="E137" s="32"/>
      <c r="F137" s="5">
        <v>5</v>
      </c>
      <c r="G137" s="32"/>
      <c r="H137" s="34">
        <f t="shared" si="4"/>
        <v>45725</v>
      </c>
      <c r="I137" s="5">
        <v>9</v>
      </c>
      <c r="J137" s="34">
        <f t="shared" si="5"/>
        <v>45735</v>
      </c>
      <c r="K137" s="32" t="s">
        <v>3</v>
      </c>
      <c r="L137" s="32"/>
      <c r="M137" s="32" t="s">
        <v>1</v>
      </c>
      <c r="N137" s="32"/>
    </row>
    <row r="138" spans="1:14" ht="19.5" customHeight="1" x14ac:dyDescent="0.25">
      <c r="A138" s="1">
        <v>4537</v>
      </c>
      <c r="B138" s="36">
        <v>45721</v>
      </c>
      <c r="C138" s="32"/>
      <c r="D138" s="4" t="s">
        <v>7</v>
      </c>
      <c r="E138" s="32"/>
      <c r="F138" s="5">
        <v>5</v>
      </c>
      <c r="G138" s="32"/>
      <c r="H138" s="34">
        <f t="shared" si="4"/>
        <v>45725</v>
      </c>
      <c r="I138" s="5">
        <v>3</v>
      </c>
      <c r="J138" s="34">
        <f t="shared" si="5"/>
        <v>45729</v>
      </c>
      <c r="K138" s="32"/>
      <c r="L138" s="32"/>
      <c r="M138" s="32" t="s">
        <v>1</v>
      </c>
      <c r="N138" s="32"/>
    </row>
    <row r="139" spans="1:14" ht="19.5" customHeight="1" x14ac:dyDescent="0.25">
      <c r="A139" s="1">
        <v>4396</v>
      </c>
      <c r="B139" s="36">
        <v>45721</v>
      </c>
      <c r="C139" s="32"/>
      <c r="D139" s="4" t="s">
        <v>7</v>
      </c>
      <c r="E139" s="32"/>
      <c r="F139" s="5">
        <v>5</v>
      </c>
      <c r="G139" s="32"/>
      <c r="H139" s="34">
        <f t="shared" si="4"/>
        <v>45725</v>
      </c>
      <c r="I139" s="5">
        <v>3</v>
      </c>
      <c r="J139" s="34">
        <f t="shared" si="5"/>
        <v>45729</v>
      </c>
      <c r="K139" s="32"/>
      <c r="L139" s="32"/>
      <c r="M139" s="32" t="s">
        <v>1</v>
      </c>
      <c r="N139" s="32"/>
    </row>
    <row r="140" spans="1:14" ht="19.5" customHeight="1" x14ac:dyDescent="0.25">
      <c r="A140" s="1">
        <v>2089</v>
      </c>
      <c r="B140" s="36">
        <v>45721</v>
      </c>
      <c r="C140" s="32"/>
      <c r="D140" s="4" t="s">
        <v>7</v>
      </c>
      <c r="E140" s="32"/>
      <c r="F140" s="5">
        <v>5</v>
      </c>
      <c r="G140" s="32"/>
      <c r="H140" s="34">
        <f t="shared" si="4"/>
        <v>45725</v>
      </c>
      <c r="I140" s="5">
        <v>3</v>
      </c>
      <c r="J140" s="34">
        <f t="shared" si="5"/>
        <v>45729</v>
      </c>
      <c r="K140" s="32"/>
      <c r="L140" s="32"/>
      <c r="M140" s="32"/>
      <c r="N140" s="32" t="s">
        <v>4</v>
      </c>
    </row>
    <row r="141" spans="1:14" ht="19.5" customHeight="1" x14ac:dyDescent="0.25">
      <c r="A141" s="1">
        <v>2427</v>
      </c>
      <c r="B141" s="36">
        <v>45722</v>
      </c>
      <c r="C141" s="32"/>
      <c r="D141" s="4" t="s">
        <v>7</v>
      </c>
      <c r="E141" s="32"/>
      <c r="F141" s="5">
        <v>5</v>
      </c>
      <c r="G141" s="32"/>
      <c r="H141" s="34">
        <f t="shared" si="4"/>
        <v>45726</v>
      </c>
      <c r="I141" s="5">
        <v>3</v>
      </c>
      <c r="J141" s="34">
        <f t="shared" si="5"/>
        <v>45730</v>
      </c>
      <c r="K141" s="32"/>
      <c r="L141" s="32"/>
      <c r="M141" s="32" t="s">
        <v>1</v>
      </c>
      <c r="N141" s="32"/>
    </row>
    <row r="142" spans="1:14" ht="19.5" customHeight="1" x14ac:dyDescent="0.25">
      <c r="A142" s="1">
        <v>4089</v>
      </c>
      <c r="B142" s="36">
        <v>45723</v>
      </c>
      <c r="C142" s="32"/>
      <c r="D142" s="4" t="s">
        <v>7</v>
      </c>
      <c r="E142" s="32"/>
      <c r="F142" s="5">
        <v>5</v>
      </c>
      <c r="G142" s="32"/>
      <c r="H142" s="34">
        <f t="shared" si="4"/>
        <v>45727</v>
      </c>
      <c r="I142" s="5">
        <v>3</v>
      </c>
      <c r="J142" s="34">
        <f t="shared" si="5"/>
        <v>45731</v>
      </c>
      <c r="K142" s="32" t="s">
        <v>3</v>
      </c>
      <c r="L142" s="32"/>
      <c r="M142" s="32"/>
      <c r="N142" s="32"/>
    </row>
    <row r="143" spans="1:14" ht="19.5" customHeight="1" x14ac:dyDescent="0.25">
      <c r="A143" s="1">
        <v>3519</v>
      </c>
      <c r="B143" s="36">
        <v>45723</v>
      </c>
      <c r="C143" s="32"/>
      <c r="D143" s="4" t="s">
        <v>7</v>
      </c>
      <c r="E143" s="32"/>
      <c r="F143" s="5">
        <v>5</v>
      </c>
      <c r="G143" s="32"/>
      <c r="H143" s="34">
        <f t="shared" si="4"/>
        <v>45727</v>
      </c>
      <c r="I143" s="5">
        <v>3</v>
      </c>
      <c r="J143" s="34">
        <f t="shared" si="5"/>
        <v>45731</v>
      </c>
      <c r="K143" s="32" t="s">
        <v>3</v>
      </c>
      <c r="L143" s="32"/>
      <c r="M143" s="32"/>
      <c r="N143" s="32"/>
    </row>
    <row r="144" spans="1:14" ht="19.5" customHeight="1" x14ac:dyDescent="0.25">
      <c r="A144" s="1">
        <v>3701</v>
      </c>
      <c r="B144" s="36">
        <v>45723</v>
      </c>
      <c r="C144" s="32"/>
      <c r="D144" s="4" t="s">
        <v>7</v>
      </c>
      <c r="E144" s="32"/>
      <c r="F144" s="5">
        <v>5</v>
      </c>
      <c r="G144" s="32"/>
      <c r="H144" s="34">
        <f t="shared" si="4"/>
        <v>45727</v>
      </c>
      <c r="I144" s="5">
        <v>3</v>
      </c>
      <c r="J144" s="34">
        <f t="shared" si="5"/>
        <v>45731</v>
      </c>
      <c r="K144" s="32" t="s">
        <v>3</v>
      </c>
      <c r="L144" s="32"/>
      <c r="M144" s="32"/>
      <c r="N144" s="32"/>
    </row>
    <row r="145" spans="1:14" ht="19.5" customHeight="1" x14ac:dyDescent="0.25">
      <c r="A145" s="1">
        <v>2905</v>
      </c>
      <c r="B145" s="36">
        <v>45724</v>
      </c>
      <c r="C145" s="32"/>
      <c r="D145" s="4" t="s">
        <v>7</v>
      </c>
      <c r="E145" s="32"/>
      <c r="F145" s="5">
        <v>5</v>
      </c>
      <c r="G145" s="32"/>
      <c r="H145" s="34">
        <f t="shared" si="4"/>
        <v>45728</v>
      </c>
      <c r="I145" s="5">
        <v>3</v>
      </c>
      <c r="J145" s="34">
        <f t="shared" si="5"/>
        <v>45732</v>
      </c>
      <c r="K145" s="32" t="s">
        <v>3</v>
      </c>
      <c r="L145" s="32" t="s">
        <v>5</v>
      </c>
      <c r="M145" s="32" t="s">
        <v>1</v>
      </c>
      <c r="N145" s="32" t="s">
        <v>4</v>
      </c>
    </row>
    <row r="146" spans="1:14" ht="19.5" customHeight="1" x14ac:dyDescent="0.25">
      <c r="A146" s="1">
        <v>2561</v>
      </c>
      <c r="B146" s="36">
        <v>45725</v>
      </c>
      <c r="C146" s="32"/>
      <c r="D146" s="4" t="s">
        <v>7</v>
      </c>
      <c r="E146" s="32"/>
      <c r="F146" s="5">
        <v>5</v>
      </c>
      <c r="G146" s="32"/>
      <c r="H146" s="34">
        <f t="shared" si="4"/>
        <v>45729</v>
      </c>
      <c r="I146" s="5">
        <v>3</v>
      </c>
      <c r="J146" s="34">
        <f t="shared" si="5"/>
        <v>45733</v>
      </c>
      <c r="K146" s="32" t="s">
        <v>3</v>
      </c>
      <c r="L146" s="32"/>
      <c r="M146" s="32"/>
      <c r="N146" s="32"/>
    </row>
    <row r="147" spans="1:14" ht="19.5" customHeight="1" x14ac:dyDescent="0.25">
      <c r="A147" s="1">
        <v>3095</v>
      </c>
      <c r="B147" s="36">
        <v>45725</v>
      </c>
      <c r="C147" s="32"/>
      <c r="D147" s="4" t="s">
        <v>7</v>
      </c>
      <c r="E147" s="32"/>
      <c r="F147" s="5">
        <v>5</v>
      </c>
      <c r="G147" s="32"/>
      <c r="H147" s="34">
        <f t="shared" si="4"/>
        <v>45729</v>
      </c>
      <c r="I147" s="5">
        <v>3</v>
      </c>
      <c r="J147" s="34">
        <f t="shared" si="5"/>
        <v>45733</v>
      </c>
      <c r="K147" s="32"/>
      <c r="L147" s="32"/>
      <c r="M147" s="32"/>
      <c r="N147" s="32" t="s">
        <v>4</v>
      </c>
    </row>
    <row r="148" spans="1:14" ht="19.5" customHeight="1" x14ac:dyDescent="0.25">
      <c r="A148" s="1">
        <v>578</v>
      </c>
      <c r="B148" s="36">
        <v>45725</v>
      </c>
      <c r="C148" s="32"/>
      <c r="D148" s="4" t="s">
        <v>7</v>
      </c>
      <c r="E148" s="32"/>
      <c r="F148" s="5">
        <v>5</v>
      </c>
      <c r="G148" s="32"/>
      <c r="H148" s="34">
        <f t="shared" si="4"/>
        <v>45729</v>
      </c>
      <c r="I148" s="5">
        <v>3</v>
      </c>
      <c r="J148" s="34">
        <f t="shared" si="5"/>
        <v>45733</v>
      </c>
      <c r="K148" s="32"/>
      <c r="L148" s="32"/>
      <c r="M148" s="32"/>
      <c r="N148" s="32" t="s">
        <v>4</v>
      </c>
    </row>
    <row r="149" spans="1:14" ht="19.5" customHeight="1" x14ac:dyDescent="0.25">
      <c r="A149" s="1">
        <v>577</v>
      </c>
      <c r="B149" s="36">
        <v>45726</v>
      </c>
      <c r="C149" s="32"/>
      <c r="D149" s="4" t="s">
        <v>7</v>
      </c>
      <c r="E149" s="32"/>
      <c r="F149" s="5">
        <v>5</v>
      </c>
      <c r="G149" s="32"/>
      <c r="H149" s="34">
        <f t="shared" si="4"/>
        <v>45730</v>
      </c>
      <c r="I149" s="5">
        <v>3</v>
      </c>
      <c r="J149" s="34">
        <f t="shared" si="5"/>
        <v>45734</v>
      </c>
      <c r="K149" s="32"/>
      <c r="L149" s="32"/>
      <c r="M149" s="32"/>
      <c r="N149" s="32" t="s">
        <v>4</v>
      </c>
    </row>
    <row r="150" spans="1:14" ht="19.5" customHeight="1" x14ac:dyDescent="0.25">
      <c r="A150" s="1">
        <v>3470</v>
      </c>
      <c r="B150" s="36">
        <v>45727</v>
      </c>
      <c r="C150" s="32"/>
      <c r="D150" s="4" t="s">
        <v>20</v>
      </c>
      <c r="E150" s="32"/>
      <c r="F150" s="5">
        <v>5</v>
      </c>
      <c r="G150" s="32"/>
      <c r="H150" s="34">
        <f t="shared" si="4"/>
        <v>45731</v>
      </c>
      <c r="I150" s="5">
        <v>9</v>
      </c>
      <c r="J150" s="34">
        <f t="shared" si="5"/>
        <v>45741</v>
      </c>
      <c r="K150" s="32" t="s">
        <v>3</v>
      </c>
      <c r="L150" s="32"/>
      <c r="M150" s="32" t="s">
        <v>1</v>
      </c>
      <c r="N150" s="32"/>
    </row>
    <row r="151" spans="1:14" ht="19.5" customHeight="1" x14ac:dyDescent="0.25">
      <c r="A151" s="1">
        <v>4089</v>
      </c>
      <c r="B151" s="36">
        <v>45728</v>
      </c>
      <c r="C151" s="32"/>
      <c r="D151" s="4" t="s">
        <v>20</v>
      </c>
      <c r="E151" s="32"/>
      <c r="F151" s="5">
        <v>5</v>
      </c>
      <c r="G151" s="32"/>
      <c r="H151" s="34">
        <f t="shared" si="4"/>
        <v>45732</v>
      </c>
      <c r="I151" s="5">
        <v>9</v>
      </c>
      <c r="J151" s="34">
        <f t="shared" si="5"/>
        <v>45742</v>
      </c>
      <c r="K151" s="32" t="s">
        <v>3</v>
      </c>
      <c r="L151" s="32"/>
      <c r="M151" s="32"/>
      <c r="N151" s="32"/>
    </row>
    <row r="152" spans="1:14" ht="19.5" customHeight="1" x14ac:dyDescent="0.25">
      <c r="A152" s="1">
        <v>3020</v>
      </c>
      <c r="B152" s="36">
        <v>45728</v>
      </c>
      <c r="C152" s="32"/>
      <c r="D152" s="4" t="s">
        <v>6</v>
      </c>
      <c r="E152" s="32"/>
      <c r="F152" s="5">
        <v>5</v>
      </c>
      <c r="G152" s="32"/>
      <c r="H152" s="34">
        <f t="shared" si="4"/>
        <v>45732</v>
      </c>
      <c r="I152" s="5">
        <v>5</v>
      </c>
      <c r="J152" s="34">
        <f t="shared" si="5"/>
        <v>45738</v>
      </c>
      <c r="K152" s="32"/>
      <c r="L152" s="32"/>
      <c r="M152" s="32" t="s">
        <v>1</v>
      </c>
      <c r="N152" s="32"/>
    </row>
    <row r="153" spans="1:14" ht="19.5" customHeight="1" x14ac:dyDescent="0.25">
      <c r="A153" s="1">
        <v>2555</v>
      </c>
      <c r="B153" s="36">
        <v>45729</v>
      </c>
      <c r="C153" s="32"/>
      <c r="D153" s="4" t="s">
        <v>6</v>
      </c>
      <c r="E153" s="32"/>
      <c r="F153" s="5">
        <v>5</v>
      </c>
      <c r="G153" s="32"/>
      <c r="H153" s="34">
        <f t="shared" si="4"/>
        <v>45733</v>
      </c>
      <c r="I153" s="5">
        <v>5</v>
      </c>
      <c r="J153" s="34">
        <f t="shared" si="5"/>
        <v>45739</v>
      </c>
      <c r="K153" s="32" t="s">
        <v>3</v>
      </c>
      <c r="L153" s="32"/>
      <c r="M153" s="32"/>
      <c r="N153" s="32"/>
    </row>
    <row r="154" spans="1:14" ht="19.5" customHeight="1" x14ac:dyDescent="0.25">
      <c r="A154" s="1">
        <v>3591</v>
      </c>
      <c r="B154" s="36">
        <v>45729</v>
      </c>
      <c r="C154" s="32"/>
      <c r="D154" s="4" t="s">
        <v>14</v>
      </c>
      <c r="E154" s="32"/>
      <c r="F154" s="5">
        <v>5</v>
      </c>
      <c r="G154" s="32"/>
      <c r="H154" s="34">
        <f t="shared" si="4"/>
        <v>45733</v>
      </c>
      <c r="I154" s="5">
        <v>2</v>
      </c>
      <c r="J154" s="34">
        <f t="shared" si="5"/>
        <v>45736</v>
      </c>
      <c r="K154" s="32"/>
      <c r="L154" s="32"/>
      <c r="M154" s="32" t="s">
        <v>1</v>
      </c>
      <c r="N154" s="32"/>
    </row>
    <row r="155" spans="1:14" ht="19.5" customHeight="1" x14ac:dyDescent="0.25">
      <c r="A155" s="1">
        <v>1945</v>
      </c>
      <c r="B155" s="36">
        <v>45729</v>
      </c>
      <c r="C155" s="32"/>
      <c r="D155" s="4" t="s">
        <v>22</v>
      </c>
      <c r="E155" s="32"/>
      <c r="F155" s="5">
        <v>5</v>
      </c>
      <c r="G155" s="32"/>
      <c r="H155" s="34">
        <f t="shared" si="4"/>
        <v>45733</v>
      </c>
      <c r="I155" s="5">
        <v>2</v>
      </c>
      <c r="J155" s="34">
        <f t="shared" si="5"/>
        <v>45736</v>
      </c>
      <c r="K155" s="32"/>
      <c r="L155" s="32" t="s">
        <v>5</v>
      </c>
      <c r="M155" s="32"/>
      <c r="N155" s="32"/>
    </row>
    <row r="156" spans="1:14" ht="19.5" customHeight="1" x14ac:dyDescent="0.25">
      <c r="A156" s="1">
        <v>3187</v>
      </c>
      <c r="B156" s="36">
        <v>45701</v>
      </c>
      <c r="C156" s="32"/>
      <c r="D156" s="4" t="s">
        <v>14</v>
      </c>
      <c r="E156" s="32"/>
      <c r="F156" s="5">
        <v>5</v>
      </c>
      <c r="G156" s="32"/>
      <c r="H156" s="34">
        <f t="shared" si="4"/>
        <v>45705</v>
      </c>
      <c r="I156" s="5">
        <v>2</v>
      </c>
      <c r="J156" s="34">
        <f t="shared" si="5"/>
        <v>45708</v>
      </c>
      <c r="K156" s="32"/>
      <c r="L156" s="32"/>
      <c r="M156" s="32"/>
      <c r="N156" s="32" t="s">
        <v>4</v>
      </c>
    </row>
    <row r="157" spans="1:14" ht="19.5" customHeight="1" x14ac:dyDescent="0.25">
      <c r="A157" s="1">
        <v>3055</v>
      </c>
      <c r="B157" s="36">
        <v>45701</v>
      </c>
      <c r="C157" s="32"/>
      <c r="D157" s="4" t="s">
        <v>7</v>
      </c>
      <c r="E157" s="32"/>
      <c r="F157" s="5">
        <v>5</v>
      </c>
      <c r="G157" s="32"/>
      <c r="H157" s="34">
        <f t="shared" si="4"/>
        <v>45705</v>
      </c>
      <c r="I157" s="5">
        <v>3</v>
      </c>
      <c r="J157" s="34">
        <f t="shared" si="5"/>
        <v>45709</v>
      </c>
      <c r="K157" s="32"/>
      <c r="L157" s="32"/>
      <c r="M157" s="32"/>
      <c r="N157" s="32" t="s">
        <v>4</v>
      </c>
    </row>
    <row r="158" spans="1:14" ht="19.5" customHeight="1" x14ac:dyDescent="0.25">
      <c r="A158" s="1">
        <v>3617</v>
      </c>
      <c r="B158" s="36">
        <v>45729</v>
      </c>
      <c r="C158" s="32"/>
      <c r="D158" s="4" t="s">
        <v>7</v>
      </c>
      <c r="E158" s="32"/>
      <c r="F158" s="5">
        <v>5</v>
      </c>
      <c r="G158" s="32"/>
      <c r="H158" s="34">
        <f t="shared" si="4"/>
        <v>45733</v>
      </c>
      <c r="I158" s="5">
        <v>3</v>
      </c>
      <c r="J158" s="34">
        <f t="shared" si="5"/>
        <v>45737</v>
      </c>
      <c r="K158" s="32"/>
      <c r="L158" s="32"/>
      <c r="M158" s="32"/>
      <c r="N158" s="32" t="s">
        <v>4</v>
      </c>
    </row>
    <row r="159" spans="1:14" ht="19.5" customHeight="1" x14ac:dyDescent="0.25">
      <c r="A159" s="1">
        <v>3673</v>
      </c>
      <c r="B159" s="36">
        <v>45730</v>
      </c>
      <c r="C159" s="32"/>
      <c r="D159" s="4" t="s">
        <v>7</v>
      </c>
      <c r="E159" s="32"/>
      <c r="F159" s="5">
        <v>5</v>
      </c>
      <c r="G159" s="32"/>
      <c r="H159" s="34">
        <f t="shared" si="4"/>
        <v>45734</v>
      </c>
      <c r="I159" s="5">
        <v>3</v>
      </c>
      <c r="J159" s="34">
        <f t="shared" si="5"/>
        <v>45738</v>
      </c>
      <c r="K159" s="32" t="s">
        <v>3</v>
      </c>
      <c r="L159" s="32"/>
      <c r="M159" s="32"/>
      <c r="N159" s="32"/>
    </row>
    <row r="160" spans="1:14" ht="19.5" customHeight="1" x14ac:dyDescent="0.25">
      <c r="A160" s="1">
        <v>3113</v>
      </c>
      <c r="B160" s="36">
        <v>45731</v>
      </c>
      <c r="C160" s="32"/>
      <c r="D160" s="4" t="s">
        <v>7</v>
      </c>
      <c r="E160" s="32"/>
      <c r="F160" s="5">
        <v>5</v>
      </c>
      <c r="G160" s="32"/>
      <c r="H160" s="34">
        <f t="shared" si="4"/>
        <v>45735</v>
      </c>
      <c r="I160" s="5">
        <v>3</v>
      </c>
      <c r="J160" s="34">
        <f t="shared" si="5"/>
        <v>45739</v>
      </c>
      <c r="K160" s="32" t="s">
        <v>3</v>
      </c>
      <c r="L160" s="32"/>
      <c r="M160" s="32"/>
      <c r="N160" s="32" t="s">
        <v>4</v>
      </c>
    </row>
    <row r="161" spans="1:14" ht="19.5" customHeight="1" x14ac:dyDescent="0.25">
      <c r="A161" s="1">
        <v>1119</v>
      </c>
      <c r="B161" s="36">
        <v>45731</v>
      </c>
      <c r="C161" s="32"/>
      <c r="D161" s="4" t="s">
        <v>7</v>
      </c>
      <c r="E161" s="32"/>
      <c r="F161" s="5">
        <v>5</v>
      </c>
      <c r="G161" s="32"/>
      <c r="H161" s="34">
        <f t="shared" si="4"/>
        <v>45735</v>
      </c>
      <c r="I161" s="5">
        <v>3</v>
      </c>
      <c r="J161" s="34">
        <f t="shared" si="5"/>
        <v>45739</v>
      </c>
      <c r="K161" s="32" t="s">
        <v>3</v>
      </c>
      <c r="L161" s="32"/>
      <c r="M161" s="32" t="s">
        <v>1</v>
      </c>
      <c r="N161" s="32"/>
    </row>
    <row r="162" spans="1:14" ht="19.5" customHeight="1" x14ac:dyDescent="0.25">
      <c r="A162" s="1">
        <v>3661</v>
      </c>
      <c r="B162" s="36">
        <v>45731</v>
      </c>
      <c r="C162" s="32"/>
      <c r="D162" s="4" t="s">
        <v>7</v>
      </c>
      <c r="E162" s="32"/>
      <c r="F162" s="5">
        <v>5</v>
      </c>
      <c r="G162" s="32"/>
      <c r="H162" s="34">
        <f t="shared" si="4"/>
        <v>45735</v>
      </c>
      <c r="I162" s="5">
        <v>3</v>
      </c>
      <c r="J162" s="34">
        <f t="shared" si="5"/>
        <v>45739</v>
      </c>
      <c r="K162" s="32"/>
      <c r="L162" s="32" t="s">
        <v>5</v>
      </c>
      <c r="M162" s="32"/>
      <c r="N162" s="32"/>
    </row>
    <row r="163" spans="1:14" ht="19.5" customHeight="1" x14ac:dyDescent="0.25">
      <c r="A163" s="1">
        <v>3187</v>
      </c>
      <c r="B163" s="36">
        <v>45731</v>
      </c>
      <c r="C163" s="32"/>
      <c r="D163" s="4" t="s">
        <v>13</v>
      </c>
      <c r="E163" s="32"/>
      <c r="F163" s="5">
        <v>5</v>
      </c>
      <c r="G163" s="32"/>
      <c r="H163" s="34">
        <f t="shared" si="4"/>
        <v>45735</v>
      </c>
      <c r="I163" s="5">
        <v>5</v>
      </c>
      <c r="J163" s="34">
        <f t="shared" si="5"/>
        <v>45741</v>
      </c>
      <c r="K163" s="32" t="s">
        <v>3</v>
      </c>
      <c r="L163" s="32" t="s">
        <v>5</v>
      </c>
      <c r="M163" s="32" t="s">
        <v>1</v>
      </c>
      <c r="N163" s="32" t="s">
        <v>4</v>
      </c>
    </row>
    <row r="164" spans="1:14" ht="19.5" customHeight="1" x14ac:dyDescent="0.25">
      <c r="A164" s="1">
        <v>2799</v>
      </c>
      <c r="B164" s="36">
        <v>45732</v>
      </c>
      <c r="C164" s="32"/>
      <c r="D164" s="4" t="s">
        <v>7</v>
      </c>
      <c r="E164" s="32"/>
      <c r="F164" s="5">
        <v>5</v>
      </c>
      <c r="G164" s="32"/>
      <c r="H164" s="34">
        <f t="shared" si="4"/>
        <v>45736</v>
      </c>
      <c r="I164" s="5">
        <v>3</v>
      </c>
      <c r="J164" s="34">
        <f t="shared" si="5"/>
        <v>45740</v>
      </c>
      <c r="K164" s="32"/>
      <c r="L164" s="32" t="s">
        <v>5</v>
      </c>
      <c r="M164" s="32"/>
      <c r="N164" s="32"/>
    </row>
    <row r="165" spans="1:14" ht="19.5" customHeight="1" x14ac:dyDescent="0.25">
      <c r="A165" s="1">
        <v>2905</v>
      </c>
      <c r="B165" s="36">
        <v>45732</v>
      </c>
      <c r="C165" s="32"/>
      <c r="D165" s="4" t="s">
        <v>20</v>
      </c>
      <c r="E165" s="32"/>
      <c r="F165" s="5">
        <v>5</v>
      </c>
      <c r="G165" s="32"/>
      <c r="H165" s="34">
        <f t="shared" si="4"/>
        <v>45736</v>
      </c>
      <c r="I165" s="5">
        <v>9</v>
      </c>
      <c r="J165" s="34">
        <f t="shared" si="5"/>
        <v>45746</v>
      </c>
      <c r="K165" s="32" t="s">
        <v>3</v>
      </c>
      <c r="L165" s="32"/>
      <c r="M165" s="32"/>
      <c r="N165" s="32"/>
    </row>
    <row r="166" spans="1:14" ht="19.5" customHeight="1" x14ac:dyDescent="0.25">
      <c r="A166" s="1">
        <v>3176</v>
      </c>
      <c r="B166" s="36">
        <v>45733</v>
      </c>
      <c r="C166" s="32"/>
      <c r="D166" s="4" t="s">
        <v>7</v>
      </c>
      <c r="E166" s="32"/>
      <c r="F166" s="5">
        <v>5</v>
      </c>
      <c r="G166" s="32"/>
      <c r="H166" s="34">
        <f t="shared" si="4"/>
        <v>45737</v>
      </c>
      <c r="I166" s="5">
        <v>3</v>
      </c>
      <c r="J166" s="34">
        <f t="shared" si="5"/>
        <v>45741</v>
      </c>
      <c r="K166" s="32"/>
      <c r="L166" s="32" t="s">
        <v>5</v>
      </c>
      <c r="M166" s="32"/>
      <c r="N166" s="32"/>
    </row>
    <row r="167" spans="1:14" ht="19.5" customHeight="1" x14ac:dyDescent="0.25">
      <c r="A167" s="1">
        <v>4089</v>
      </c>
      <c r="B167" s="36">
        <v>45733</v>
      </c>
      <c r="C167" s="32"/>
      <c r="D167" s="4" t="s">
        <v>20</v>
      </c>
      <c r="E167" s="32"/>
      <c r="F167" s="5">
        <v>5</v>
      </c>
      <c r="G167" s="32"/>
      <c r="H167" s="34">
        <f t="shared" si="4"/>
        <v>45737</v>
      </c>
      <c r="I167" s="5">
        <v>9</v>
      </c>
      <c r="J167" s="34">
        <f t="shared" si="5"/>
        <v>45747</v>
      </c>
      <c r="K167" s="32" t="s">
        <v>3</v>
      </c>
      <c r="L167" s="32"/>
      <c r="M167" s="32" t="s">
        <v>1</v>
      </c>
      <c r="N167" s="32"/>
    </row>
    <row r="168" spans="1:14" ht="19.5" customHeight="1" x14ac:dyDescent="0.25">
      <c r="A168" s="1">
        <v>3423</v>
      </c>
      <c r="B168" s="36">
        <v>45733</v>
      </c>
      <c r="C168" s="32"/>
      <c r="D168" s="4" t="s">
        <v>7</v>
      </c>
      <c r="E168" s="32"/>
      <c r="F168" s="5">
        <v>5</v>
      </c>
      <c r="G168" s="32"/>
      <c r="H168" s="34">
        <f t="shared" si="4"/>
        <v>45737</v>
      </c>
      <c r="I168" s="5">
        <v>3</v>
      </c>
      <c r="J168" s="34">
        <f t="shared" si="5"/>
        <v>45741</v>
      </c>
      <c r="K168" s="32"/>
      <c r="L168" s="32"/>
      <c r="M168" s="32" t="s">
        <v>1</v>
      </c>
      <c r="N168" s="32"/>
    </row>
    <row r="169" spans="1:14" ht="19.5" customHeight="1" x14ac:dyDescent="0.25">
      <c r="A169" s="1">
        <v>2797</v>
      </c>
      <c r="B169" s="36">
        <v>45736</v>
      </c>
      <c r="C169" s="32"/>
      <c r="D169" s="4" t="s">
        <v>7</v>
      </c>
      <c r="E169" s="32"/>
      <c r="F169" s="5">
        <v>5</v>
      </c>
      <c r="G169" s="32"/>
      <c r="H169" s="34">
        <f t="shared" si="4"/>
        <v>45740</v>
      </c>
      <c r="I169" s="5">
        <v>3</v>
      </c>
      <c r="J169" s="34">
        <f t="shared" si="5"/>
        <v>45744</v>
      </c>
      <c r="K169" s="32"/>
      <c r="L169" s="32" t="s">
        <v>5</v>
      </c>
      <c r="M169" s="32"/>
      <c r="N169" s="32"/>
    </row>
    <row r="170" spans="1:14" ht="19.5" customHeight="1" x14ac:dyDescent="0.25">
      <c r="A170" s="1">
        <v>3174</v>
      </c>
      <c r="B170" s="36">
        <v>45737</v>
      </c>
      <c r="C170" s="32"/>
      <c r="D170" s="4" t="s">
        <v>7</v>
      </c>
      <c r="E170" s="32"/>
      <c r="F170" s="5">
        <v>5</v>
      </c>
      <c r="G170" s="32"/>
      <c r="H170" s="34">
        <f t="shared" si="4"/>
        <v>45741</v>
      </c>
      <c r="I170" s="5">
        <v>3</v>
      </c>
      <c r="J170" s="34">
        <f t="shared" si="5"/>
        <v>45745</v>
      </c>
      <c r="K170" s="32" t="s">
        <v>3</v>
      </c>
      <c r="L170" s="32"/>
      <c r="M170" s="32"/>
      <c r="N170" s="32"/>
    </row>
    <row r="171" spans="1:14" ht="19.5" customHeight="1" x14ac:dyDescent="0.25">
      <c r="A171" s="1">
        <v>4124</v>
      </c>
      <c r="B171" s="36">
        <v>45737</v>
      </c>
      <c r="C171" s="32"/>
      <c r="D171" s="4" t="s">
        <v>7</v>
      </c>
      <c r="E171" s="32"/>
      <c r="F171" s="5">
        <v>5</v>
      </c>
      <c r="G171" s="32"/>
      <c r="H171" s="34">
        <f t="shared" si="4"/>
        <v>45741</v>
      </c>
      <c r="I171" s="5">
        <v>3</v>
      </c>
      <c r="J171" s="34">
        <f t="shared" si="5"/>
        <v>45745</v>
      </c>
      <c r="K171" s="32"/>
      <c r="L171" s="32" t="s">
        <v>5</v>
      </c>
      <c r="M171" s="32"/>
      <c r="N171" s="32"/>
    </row>
    <row r="172" spans="1:14" ht="19.5" customHeight="1" x14ac:dyDescent="0.25">
      <c r="A172" s="1">
        <v>3831</v>
      </c>
      <c r="B172" s="36">
        <v>45737</v>
      </c>
      <c r="C172" s="32"/>
      <c r="D172" s="4" t="s">
        <v>7</v>
      </c>
      <c r="E172" s="32"/>
      <c r="F172" s="5">
        <v>5</v>
      </c>
      <c r="G172" s="32"/>
      <c r="H172" s="34">
        <f t="shared" si="4"/>
        <v>45741</v>
      </c>
      <c r="I172" s="5">
        <v>3</v>
      </c>
      <c r="J172" s="34">
        <f t="shared" si="5"/>
        <v>45745</v>
      </c>
      <c r="K172" s="32"/>
      <c r="L172" s="32" t="s">
        <v>5</v>
      </c>
      <c r="M172" s="32"/>
      <c r="N172" s="32"/>
    </row>
    <row r="173" spans="1:14" ht="19.5" customHeight="1" x14ac:dyDescent="0.25">
      <c r="A173" s="1">
        <v>2745</v>
      </c>
      <c r="B173" s="36">
        <v>45737</v>
      </c>
      <c r="C173" s="32"/>
      <c r="D173" s="4" t="s">
        <v>7</v>
      </c>
      <c r="E173" s="32"/>
      <c r="F173" s="5">
        <v>5</v>
      </c>
      <c r="G173" s="32"/>
      <c r="H173" s="34">
        <f t="shared" si="4"/>
        <v>45741</v>
      </c>
      <c r="I173" s="5">
        <v>3</v>
      </c>
      <c r="J173" s="34">
        <f t="shared" si="5"/>
        <v>45745</v>
      </c>
      <c r="K173" s="32"/>
      <c r="L173" s="32" t="s">
        <v>5</v>
      </c>
      <c r="M173" s="32"/>
      <c r="N173" s="32"/>
    </row>
    <row r="174" spans="1:14" ht="19.5" customHeight="1" x14ac:dyDescent="0.25">
      <c r="A174" s="1">
        <v>3673</v>
      </c>
      <c r="B174" s="36">
        <v>45738</v>
      </c>
      <c r="C174" s="32"/>
      <c r="D174" s="4" t="s">
        <v>13</v>
      </c>
      <c r="E174" s="32"/>
      <c r="F174" s="5">
        <v>5</v>
      </c>
      <c r="G174" s="32"/>
      <c r="H174" s="34">
        <f t="shared" si="4"/>
        <v>45742</v>
      </c>
      <c r="I174" s="5">
        <v>5</v>
      </c>
      <c r="J174" s="34">
        <f t="shared" si="5"/>
        <v>45748</v>
      </c>
      <c r="K174" s="32" t="s">
        <v>3</v>
      </c>
      <c r="L174" s="32"/>
      <c r="M174" s="32"/>
      <c r="N174" s="32"/>
    </row>
    <row r="175" spans="1:14" ht="19.5" customHeight="1" x14ac:dyDescent="0.25">
      <c r="A175" s="1">
        <v>3391</v>
      </c>
      <c r="B175" s="36">
        <v>45738</v>
      </c>
      <c r="C175" s="32"/>
      <c r="D175" s="4" t="s">
        <v>7</v>
      </c>
      <c r="E175" s="32"/>
      <c r="F175" s="5">
        <v>5</v>
      </c>
      <c r="G175" s="32"/>
      <c r="H175" s="34">
        <f t="shared" si="4"/>
        <v>45742</v>
      </c>
      <c r="I175" s="5">
        <v>3</v>
      </c>
      <c r="J175" s="34">
        <f t="shared" si="5"/>
        <v>45746</v>
      </c>
      <c r="K175" s="32" t="s">
        <v>3</v>
      </c>
      <c r="L175" s="32"/>
      <c r="M175" s="32"/>
      <c r="N175" s="32"/>
    </row>
    <row r="176" spans="1:14" ht="19.5" customHeight="1" x14ac:dyDescent="0.25">
      <c r="A176" s="1">
        <v>2886</v>
      </c>
      <c r="B176" s="36">
        <v>45739</v>
      </c>
      <c r="C176" s="32"/>
      <c r="D176" s="4" t="s">
        <v>7</v>
      </c>
      <c r="E176" s="32"/>
      <c r="F176" s="5">
        <v>5</v>
      </c>
      <c r="G176" s="32"/>
      <c r="H176" s="34">
        <f t="shared" si="4"/>
        <v>45743</v>
      </c>
      <c r="I176" s="5">
        <v>3</v>
      </c>
      <c r="J176" s="34">
        <f t="shared" si="5"/>
        <v>45747</v>
      </c>
      <c r="K176" s="32" t="s">
        <v>3</v>
      </c>
      <c r="L176" s="32"/>
      <c r="M176" s="32"/>
      <c r="N176" s="32"/>
    </row>
    <row r="177" spans="1:14" ht="19.5" customHeight="1" x14ac:dyDescent="0.25">
      <c r="A177" s="1">
        <v>2904</v>
      </c>
      <c r="B177" s="36">
        <v>45740</v>
      </c>
      <c r="C177" s="32"/>
      <c r="D177" s="4" t="s">
        <v>7</v>
      </c>
      <c r="E177" s="32"/>
      <c r="F177" s="5">
        <v>5</v>
      </c>
      <c r="G177" s="32"/>
      <c r="H177" s="34">
        <f t="shared" si="4"/>
        <v>45744</v>
      </c>
      <c r="I177" s="5">
        <v>3</v>
      </c>
      <c r="J177" s="34">
        <f t="shared" si="5"/>
        <v>45748</v>
      </c>
      <c r="K177" s="32"/>
      <c r="L177" s="32" t="s">
        <v>5</v>
      </c>
      <c r="M177" s="32"/>
      <c r="N177" s="32"/>
    </row>
    <row r="178" spans="1:14" ht="19.5" customHeight="1" x14ac:dyDescent="0.25">
      <c r="A178" s="1">
        <v>3412</v>
      </c>
      <c r="B178" s="36">
        <v>45740</v>
      </c>
      <c r="C178" s="32"/>
      <c r="D178" s="4" t="s">
        <v>7</v>
      </c>
      <c r="E178" s="32"/>
      <c r="F178" s="5">
        <v>5</v>
      </c>
      <c r="G178" s="32"/>
      <c r="H178" s="34">
        <f t="shared" si="4"/>
        <v>45744</v>
      </c>
      <c r="I178" s="5">
        <v>3</v>
      </c>
      <c r="J178" s="34">
        <f t="shared" si="5"/>
        <v>45748</v>
      </c>
      <c r="K178" s="32"/>
      <c r="L178" s="32" t="s">
        <v>5</v>
      </c>
      <c r="M178" s="32"/>
      <c r="N178" s="32"/>
    </row>
    <row r="179" spans="1:14" ht="19.5" customHeight="1" x14ac:dyDescent="0.25">
      <c r="A179" s="1">
        <v>3435</v>
      </c>
      <c r="B179" s="36">
        <v>45741</v>
      </c>
      <c r="C179" s="32"/>
      <c r="D179" s="4" t="s">
        <v>7</v>
      </c>
      <c r="E179" s="32"/>
      <c r="F179" s="5">
        <v>5</v>
      </c>
      <c r="G179" s="32"/>
      <c r="H179" s="34">
        <f t="shared" si="4"/>
        <v>45745</v>
      </c>
      <c r="I179" s="5">
        <v>3</v>
      </c>
      <c r="J179" s="34">
        <f t="shared" si="5"/>
        <v>45749</v>
      </c>
      <c r="K179" s="32"/>
      <c r="L179" s="32"/>
      <c r="M179" s="32" t="s">
        <v>1</v>
      </c>
      <c r="N179" s="32"/>
    </row>
    <row r="180" spans="1:14" ht="19.5" customHeight="1" x14ac:dyDescent="0.25">
      <c r="A180" s="1">
        <v>4089</v>
      </c>
      <c r="B180" s="36">
        <v>45741</v>
      </c>
      <c r="C180" s="32"/>
      <c r="D180" s="4" t="s">
        <v>7</v>
      </c>
      <c r="E180" s="32"/>
      <c r="F180" s="5">
        <v>5</v>
      </c>
      <c r="G180" s="32"/>
      <c r="H180" s="34">
        <f t="shared" si="4"/>
        <v>45745</v>
      </c>
      <c r="I180" s="5">
        <v>3</v>
      </c>
      <c r="J180" s="34">
        <f t="shared" si="5"/>
        <v>45749</v>
      </c>
      <c r="K180" s="32"/>
      <c r="L180" s="32"/>
      <c r="M180" s="32" t="s">
        <v>1</v>
      </c>
      <c r="N180" s="32"/>
    </row>
    <row r="181" spans="1:14" ht="19.5" customHeight="1" x14ac:dyDescent="0.25">
      <c r="A181" s="1">
        <v>3422</v>
      </c>
      <c r="B181" s="36">
        <v>45742</v>
      </c>
      <c r="C181" s="32"/>
      <c r="D181" s="4" t="s">
        <v>13</v>
      </c>
      <c r="E181" s="32"/>
      <c r="F181" s="5">
        <v>5</v>
      </c>
      <c r="G181" s="32"/>
      <c r="H181" s="34">
        <f t="shared" si="4"/>
        <v>45746</v>
      </c>
      <c r="I181" s="5">
        <v>5</v>
      </c>
      <c r="J181" s="34">
        <f t="shared" si="5"/>
        <v>45752</v>
      </c>
      <c r="K181" s="32"/>
      <c r="L181" s="32" t="s">
        <v>5</v>
      </c>
      <c r="M181" s="32"/>
      <c r="N181" s="32"/>
    </row>
    <row r="182" spans="1:14" ht="19.5" customHeight="1" x14ac:dyDescent="0.25">
      <c r="A182" s="1">
        <v>3831</v>
      </c>
      <c r="B182" s="36">
        <v>45743</v>
      </c>
      <c r="C182" s="32"/>
      <c r="D182" s="4" t="s">
        <v>20</v>
      </c>
      <c r="E182" s="32"/>
      <c r="F182" s="5">
        <v>5</v>
      </c>
      <c r="G182" s="32"/>
      <c r="H182" s="34">
        <f t="shared" si="4"/>
        <v>45747</v>
      </c>
      <c r="I182" s="5">
        <v>9</v>
      </c>
      <c r="J182" s="34">
        <f t="shared" si="5"/>
        <v>45757</v>
      </c>
      <c r="K182" s="32"/>
      <c r="L182" s="32" t="s">
        <v>5</v>
      </c>
      <c r="M182" s="32"/>
      <c r="N182" s="32"/>
    </row>
    <row r="183" spans="1:14" ht="19.5" customHeight="1" x14ac:dyDescent="0.25">
      <c r="A183" s="1">
        <v>2904</v>
      </c>
      <c r="B183" s="36">
        <v>45743</v>
      </c>
      <c r="C183" s="32"/>
      <c r="D183" s="4" t="s">
        <v>13</v>
      </c>
      <c r="E183" s="32"/>
      <c r="F183" s="5">
        <v>5</v>
      </c>
      <c r="G183" s="32"/>
      <c r="H183" s="34">
        <f t="shared" si="4"/>
        <v>45747</v>
      </c>
      <c r="I183" s="5">
        <v>5</v>
      </c>
      <c r="J183" s="34">
        <f t="shared" si="5"/>
        <v>45753</v>
      </c>
      <c r="K183" s="32"/>
      <c r="L183" s="32" t="s">
        <v>5</v>
      </c>
      <c r="M183" s="32"/>
      <c r="N183" s="32"/>
    </row>
    <row r="184" spans="1:14" ht="19.5" customHeight="1" x14ac:dyDescent="0.25">
      <c r="A184" s="1">
        <v>2234</v>
      </c>
      <c r="B184" s="36">
        <v>45744</v>
      </c>
      <c r="C184" s="32"/>
      <c r="D184" s="4" t="s">
        <v>7</v>
      </c>
      <c r="E184" s="32"/>
      <c r="F184" s="5">
        <v>5</v>
      </c>
      <c r="G184" s="32"/>
      <c r="H184" s="34">
        <f t="shared" si="4"/>
        <v>45748</v>
      </c>
      <c r="I184" s="5">
        <v>3</v>
      </c>
      <c r="J184" s="34">
        <f t="shared" si="5"/>
        <v>45752</v>
      </c>
      <c r="K184" s="32"/>
      <c r="L184" s="32"/>
      <c r="M184" s="32" t="s">
        <v>1</v>
      </c>
      <c r="N184" s="32"/>
    </row>
    <row r="185" spans="1:14" ht="19.5" customHeight="1" x14ac:dyDescent="0.25">
      <c r="A185" s="1">
        <v>3112</v>
      </c>
      <c r="B185" s="36">
        <v>45744</v>
      </c>
      <c r="C185" s="32"/>
      <c r="D185" s="4" t="s">
        <v>7</v>
      </c>
      <c r="E185" s="32"/>
      <c r="F185" s="5">
        <v>5</v>
      </c>
      <c r="G185" s="32"/>
      <c r="H185" s="34">
        <f t="shared" si="4"/>
        <v>45748</v>
      </c>
      <c r="I185" s="5">
        <v>3</v>
      </c>
      <c r="J185" s="34">
        <f t="shared" si="5"/>
        <v>45752</v>
      </c>
      <c r="K185" s="32" t="s">
        <v>3</v>
      </c>
      <c r="L185" s="32"/>
      <c r="M185" s="32"/>
      <c r="N185" s="32"/>
    </row>
    <row r="186" spans="1:14" ht="19.5" customHeight="1" x14ac:dyDescent="0.25">
      <c r="A186" s="1">
        <v>3673</v>
      </c>
      <c r="B186" s="36">
        <v>45744</v>
      </c>
      <c r="C186" s="32"/>
      <c r="D186" s="4" t="s">
        <v>20</v>
      </c>
      <c r="E186" s="32"/>
      <c r="F186" s="5">
        <v>5</v>
      </c>
      <c r="G186" s="32"/>
      <c r="H186" s="34">
        <f t="shared" si="4"/>
        <v>45748</v>
      </c>
      <c r="I186" s="5">
        <v>9</v>
      </c>
      <c r="J186" s="34">
        <f t="shared" si="5"/>
        <v>45758</v>
      </c>
      <c r="K186" s="32" t="s">
        <v>3</v>
      </c>
      <c r="L186" s="32"/>
      <c r="M186" s="32"/>
      <c r="N186" s="32"/>
    </row>
    <row r="187" spans="1:14" ht="19.5" customHeight="1" x14ac:dyDescent="0.25">
      <c r="A187" s="1">
        <v>3020</v>
      </c>
      <c r="B187" s="36">
        <v>45745</v>
      </c>
      <c r="C187" s="32"/>
      <c r="D187" s="4" t="s">
        <v>7</v>
      </c>
      <c r="E187" s="32"/>
      <c r="F187" s="5">
        <v>5</v>
      </c>
      <c r="G187" s="32"/>
      <c r="H187" s="34">
        <f t="shared" si="4"/>
        <v>45749</v>
      </c>
      <c r="I187" s="5">
        <v>3</v>
      </c>
      <c r="J187" s="34">
        <f t="shared" si="5"/>
        <v>45753</v>
      </c>
      <c r="K187" s="32" t="s">
        <v>3</v>
      </c>
      <c r="L187" s="32"/>
      <c r="M187" s="32"/>
      <c r="N187" s="32"/>
    </row>
    <row r="188" spans="1:14" ht="19.5" customHeight="1" x14ac:dyDescent="0.25">
      <c r="A188" s="1">
        <v>2745</v>
      </c>
      <c r="B188" s="36">
        <v>45745</v>
      </c>
      <c r="C188" s="32"/>
      <c r="D188" s="4" t="s">
        <v>13</v>
      </c>
      <c r="E188" s="32"/>
      <c r="F188" s="5">
        <v>5</v>
      </c>
      <c r="G188" s="32"/>
      <c r="H188" s="34">
        <f t="shared" si="4"/>
        <v>45749</v>
      </c>
      <c r="I188" s="5">
        <v>5</v>
      </c>
      <c r="J188" s="34">
        <f t="shared" si="5"/>
        <v>45755</v>
      </c>
      <c r="K188" s="32" t="s">
        <v>3</v>
      </c>
      <c r="L188" s="32"/>
      <c r="M188" s="32"/>
      <c r="N188" s="32"/>
    </row>
    <row r="189" spans="1:14" ht="19.5" customHeight="1" x14ac:dyDescent="0.25">
      <c r="A189" s="1">
        <v>3919</v>
      </c>
      <c r="B189" s="36">
        <v>45743</v>
      </c>
      <c r="C189" s="32"/>
      <c r="D189" s="4" t="s">
        <v>7</v>
      </c>
      <c r="E189" s="32"/>
      <c r="F189" s="5">
        <v>5</v>
      </c>
      <c r="G189" s="32"/>
      <c r="H189" s="34">
        <f t="shared" si="4"/>
        <v>45747</v>
      </c>
      <c r="I189" s="5">
        <v>3</v>
      </c>
      <c r="J189" s="34">
        <f t="shared" si="5"/>
        <v>45751</v>
      </c>
      <c r="K189" s="32" t="s">
        <v>3</v>
      </c>
      <c r="L189" s="32" t="s">
        <v>5</v>
      </c>
      <c r="M189" s="32"/>
      <c r="N189" s="32"/>
    </row>
    <row r="190" spans="1:14" ht="19.5" customHeight="1" x14ac:dyDescent="0.25">
      <c r="A190" s="1">
        <v>2760</v>
      </c>
      <c r="B190" s="36">
        <v>45746</v>
      </c>
      <c r="C190" s="32"/>
      <c r="D190" s="4" t="s">
        <v>7</v>
      </c>
      <c r="E190" s="32"/>
      <c r="F190" s="5">
        <v>5</v>
      </c>
      <c r="G190" s="32"/>
      <c r="H190" s="34">
        <f t="shared" si="4"/>
        <v>45750</v>
      </c>
      <c r="I190" s="5">
        <v>3</v>
      </c>
      <c r="J190" s="34">
        <f t="shared" si="5"/>
        <v>45754</v>
      </c>
      <c r="K190" s="32"/>
      <c r="L190" s="32" t="s">
        <v>5</v>
      </c>
      <c r="M190" s="32"/>
      <c r="N190" s="32"/>
    </row>
    <row r="191" spans="1:14" ht="19.5" customHeight="1" x14ac:dyDescent="0.25">
      <c r="A191" s="1">
        <v>2799</v>
      </c>
      <c r="B191" s="36">
        <v>45746</v>
      </c>
      <c r="C191" s="32"/>
      <c r="D191" s="4" t="s">
        <v>7</v>
      </c>
      <c r="E191" s="32"/>
      <c r="F191" s="5">
        <v>5</v>
      </c>
      <c r="G191" s="32"/>
      <c r="H191" s="34">
        <f t="shared" si="4"/>
        <v>45750</v>
      </c>
      <c r="I191" s="5">
        <v>3</v>
      </c>
      <c r="J191" s="34">
        <f t="shared" si="5"/>
        <v>45754</v>
      </c>
      <c r="K191" s="32"/>
      <c r="L191" s="32"/>
      <c r="M191" s="32"/>
      <c r="N191" s="32" t="s">
        <v>4</v>
      </c>
    </row>
    <row r="192" spans="1:14" ht="19.5" customHeight="1" x14ac:dyDescent="0.25">
      <c r="A192" s="1">
        <v>1945</v>
      </c>
      <c r="B192" s="36">
        <v>45746</v>
      </c>
      <c r="C192" s="32"/>
      <c r="D192" s="4" t="s">
        <v>7</v>
      </c>
      <c r="E192" s="32"/>
      <c r="F192" s="5">
        <v>5</v>
      </c>
      <c r="G192" s="32"/>
      <c r="H192" s="34">
        <f t="shared" si="4"/>
        <v>45750</v>
      </c>
      <c r="I192" s="5">
        <v>3</v>
      </c>
      <c r="J192" s="34">
        <f t="shared" si="5"/>
        <v>45754</v>
      </c>
      <c r="K192" s="32"/>
      <c r="L192" s="32" t="s">
        <v>5</v>
      </c>
      <c r="M192" s="32"/>
      <c r="N192" s="32"/>
    </row>
    <row r="193" spans="1:14" ht="19.5" customHeight="1" x14ac:dyDescent="0.25">
      <c r="A193" s="1">
        <v>4416</v>
      </c>
      <c r="B193" s="36">
        <v>45746</v>
      </c>
      <c r="C193" s="32"/>
      <c r="D193" s="4" t="s">
        <v>7</v>
      </c>
      <c r="E193" s="32"/>
      <c r="F193" s="5">
        <v>5</v>
      </c>
      <c r="G193" s="32"/>
      <c r="H193" s="34">
        <f t="shared" si="4"/>
        <v>45750</v>
      </c>
      <c r="I193" s="5">
        <v>3</v>
      </c>
      <c r="J193" s="34">
        <f t="shared" si="5"/>
        <v>45754</v>
      </c>
      <c r="K193" s="32"/>
      <c r="L193" s="32"/>
      <c r="M193" s="32"/>
      <c r="N193" s="32" t="s">
        <v>4</v>
      </c>
    </row>
    <row r="194" spans="1:14" ht="19.5" customHeight="1" x14ac:dyDescent="0.25">
      <c r="A194" s="1">
        <v>3317</v>
      </c>
      <c r="B194" s="36">
        <v>45747</v>
      </c>
      <c r="C194" s="32"/>
      <c r="D194" s="4" t="s">
        <v>7</v>
      </c>
      <c r="E194" s="32"/>
      <c r="F194" s="5">
        <v>5</v>
      </c>
      <c r="G194" s="32"/>
      <c r="H194" s="34">
        <f t="shared" ref="H194:H257" si="6">B194+F194-1</f>
        <v>45751</v>
      </c>
      <c r="I194" s="5">
        <v>3</v>
      </c>
      <c r="J194" s="34">
        <f t="shared" ref="J194:J257" si="7">H194+I194+1</f>
        <v>45755</v>
      </c>
      <c r="K194" s="32"/>
      <c r="L194" s="32" t="s">
        <v>5</v>
      </c>
      <c r="M194" s="32"/>
      <c r="N194" s="32"/>
    </row>
    <row r="195" spans="1:14" ht="19.5" customHeight="1" x14ac:dyDescent="0.25">
      <c r="A195" s="1">
        <v>2681</v>
      </c>
      <c r="B195" s="36">
        <v>45747</v>
      </c>
      <c r="C195" s="32"/>
      <c r="D195" s="4" t="s">
        <v>7</v>
      </c>
      <c r="E195" s="32"/>
      <c r="F195" s="5">
        <v>5</v>
      </c>
      <c r="G195" s="32"/>
      <c r="H195" s="34">
        <f t="shared" si="6"/>
        <v>45751</v>
      </c>
      <c r="I195" s="5">
        <v>3</v>
      </c>
      <c r="J195" s="34">
        <f t="shared" si="7"/>
        <v>45755</v>
      </c>
      <c r="K195" s="32"/>
      <c r="L195" s="32" t="s">
        <v>5</v>
      </c>
      <c r="M195" s="32"/>
      <c r="N195" s="32"/>
    </row>
    <row r="196" spans="1:14" ht="19.5" customHeight="1" x14ac:dyDescent="0.25">
      <c r="A196" s="1">
        <v>3250</v>
      </c>
      <c r="B196" s="36">
        <v>45747</v>
      </c>
      <c r="C196" s="32"/>
      <c r="D196" s="4" t="s">
        <v>7</v>
      </c>
      <c r="E196" s="32"/>
      <c r="F196" s="5">
        <v>5</v>
      </c>
      <c r="G196" s="32"/>
      <c r="H196" s="34">
        <f t="shared" si="6"/>
        <v>45751</v>
      </c>
      <c r="I196" s="5">
        <v>3</v>
      </c>
      <c r="J196" s="34">
        <f t="shared" si="7"/>
        <v>45755</v>
      </c>
      <c r="K196" s="32" t="s">
        <v>3</v>
      </c>
      <c r="L196" s="32"/>
      <c r="M196" s="32"/>
      <c r="N196" s="32"/>
    </row>
    <row r="197" spans="1:14" ht="19.5" customHeight="1" x14ac:dyDescent="0.25">
      <c r="A197" s="1">
        <v>3574</v>
      </c>
      <c r="B197" s="36">
        <v>45747</v>
      </c>
      <c r="C197" s="32"/>
      <c r="D197" s="4" t="s">
        <v>7</v>
      </c>
      <c r="E197" s="32"/>
      <c r="F197" s="5">
        <v>5</v>
      </c>
      <c r="G197" s="32"/>
      <c r="H197" s="34">
        <f t="shared" si="6"/>
        <v>45751</v>
      </c>
      <c r="I197" s="5">
        <v>3</v>
      </c>
      <c r="J197" s="34">
        <f t="shared" si="7"/>
        <v>45755</v>
      </c>
      <c r="K197" s="32" t="s">
        <v>3</v>
      </c>
      <c r="L197" s="32"/>
      <c r="M197" s="32"/>
      <c r="N197" s="32"/>
    </row>
    <row r="198" spans="1:14" ht="19.5" customHeight="1" x14ac:dyDescent="0.25">
      <c r="A198" s="1">
        <v>4610</v>
      </c>
      <c r="B198" s="36">
        <v>45748</v>
      </c>
      <c r="C198" s="32"/>
      <c r="D198" s="4" t="s">
        <v>7</v>
      </c>
      <c r="E198" s="32"/>
      <c r="F198" s="5">
        <v>5</v>
      </c>
      <c r="G198" s="32"/>
      <c r="H198" s="34">
        <f t="shared" si="6"/>
        <v>45752</v>
      </c>
      <c r="I198" s="5">
        <v>3</v>
      </c>
      <c r="J198" s="34">
        <f t="shared" si="7"/>
        <v>45756</v>
      </c>
      <c r="K198" s="32"/>
      <c r="L198" s="32" t="s">
        <v>5</v>
      </c>
      <c r="M198" s="32"/>
      <c r="N198" s="32"/>
    </row>
    <row r="199" spans="1:14" ht="19.5" customHeight="1" x14ac:dyDescent="0.25">
      <c r="A199" s="1">
        <v>3705</v>
      </c>
      <c r="B199" s="36">
        <v>45748</v>
      </c>
      <c r="C199" s="32"/>
      <c r="D199" s="4" t="s">
        <v>7</v>
      </c>
      <c r="E199" s="32"/>
      <c r="F199" s="5">
        <v>5</v>
      </c>
      <c r="G199" s="32"/>
      <c r="H199" s="34">
        <f t="shared" si="6"/>
        <v>45752</v>
      </c>
      <c r="I199" s="5">
        <v>3</v>
      </c>
      <c r="J199" s="34">
        <f t="shared" si="7"/>
        <v>45756</v>
      </c>
      <c r="K199" s="32"/>
      <c r="L199" s="32"/>
      <c r="M199" s="32" t="s">
        <v>1</v>
      </c>
      <c r="N199" s="32"/>
    </row>
    <row r="200" spans="1:14" ht="19.5" customHeight="1" x14ac:dyDescent="0.25">
      <c r="A200" s="1">
        <v>4297</v>
      </c>
      <c r="B200" s="35">
        <v>45748</v>
      </c>
      <c r="C200" s="32"/>
      <c r="D200" s="4" t="s">
        <v>7</v>
      </c>
      <c r="E200" s="32"/>
      <c r="F200" s="5">
        <v>5</v>
      </c>
      <c r="G200" s="32"/>
      <c r="H200" s="34">
        <f t="shared" si="6"/>
        <v>45752</v>
      </c>
      <c r="I200" s="5">
        <v>3</v>
      </c>
      <c r="J200" s="34">
        <f t="shared" si="7"/>
        <v>45756</v>
      </c>
      <c r="K200" s="32"/>
      <c r="L200" s="32"/>
      <c r="M200" s="32"/>
      <c r="N200" s="32" t="s">
        <v>4</v>
      </c>
    </row>
    <row r="201" spans="1:14" ht="19.5" customHeight="1" x14ac:dyDescent="0.25">
      <c r="A201" s="1">
        <v>2691</v>
      </c>
      <c r="B201" s="36">
        <v>45750</v>
      </c>
      <c r="C201" s="32"/>
      <c r="D201" s="4" t="s">
        <v>20</v>
      </c>
      <c r="E201" s="32"/>
      <c r="F201" s="5">
        <v>5</v>
      </c>
      <c r="G201" s="32"/>
      <c r="H201" s="34">
        <f t="shared" si="6"/>
        <v>45754</v>
      </c>
      <c r="I201" s="5">
        <v>9</v>
      </c>
      <c r="J201" s="34">
        <f t="shared" si="7"/>
        <v>45764</v>
      </c>
      <c r="K201" s="32"/>
      <c r="L201" s="32" t="s">
        <v>5</v>
      </c>
      <c r="M201" s="32"/>
      <c r="N201" s="32"/>
    </row>
    <row r="202" spans="1:14" ht="19.5" customHeight="1" x14ac:dyDescent="0.25">
      <c r="A202" s="1">
        <v>3212</v>
      </c>
      <c r="B202" s="36">
        <v>45751</v>
      </c>
      <c r="C202" s="32"/>
      <c r="D202" s="4" t="s">
        <v>7</v>
      </c>
      <c r="E202" s="32"/>
      <c r="F202" s="5">
        <v>5</v>
      </c>
      <c r="G202" s="32"/>
      <c r="H202" s="34">
        <f t="shared" si="6"/>
        <v>45755</v>
      </c>
      <c r="I202" s="5">
        <v>3</v>
      </c>
      <c r="J202" s="34">
        <f t="shared" si="7"/>
        <v>45759</v>
      </c>
      <c r="K202" s="32"/>
      <c r="L202" s="32" t="s">
        <v>5</v>
      </c>
      <c r="M202" s="32" t="s">
        <v>1</v>
      </c>
      <c r="N202" s="32"/>
    </row>
    <row r="203" spans="1:14" ht="19.5" customHeight="1" x14ac:dyDescent="0.25">
      <c r="A203" s="1">
        <v>3026</v>
      </c>
      <c r="B203" s="36">
        <v>45751</v>
      </c>
      <c r="C203" s="32"/>
      <c r="D203" s="4" t="s">
        <v>7</v>
      </c>
      <c r="E203" s="32"/>
      <c r="F203" s="5">
        <v>5</v>
      </c>
      <c r="G203" s="32"/>
      <c r="H203" s="34">
        <f t="shared" si="6"/>
        <v>45755</v>
      </c>
      <c r="I203" s="5">
        <v>3</v>
      </c>
      <c r="J203" s="34">
        <f t="shared" si="7"/>
        <v>45759</v>
      </c>
      <c r="K203" s="32"/>
      <c r="L203" s="32"/>
      <c r="M203" s="32" t="s">
        <v>1</v>
      </c>
      <c r="N203" s="32"/>
    </row>
    <row r="204" spans="1:14" ht="19.5" customHeight="1" x14ac:dyDescent="0.25">
      <c r="A204" s="1">
        <v>3412</v>
      </c>
      <c r="B204" s="36">
        <v>45751</v>
      </c>
      <c r="C204" s="32"/>
      <c r="D204" s="4" t="s">
        <v>20</v>
      </c>
      <c r="E204" s="32"/>
      <c r="F204" s="5">
        <v>5</v>
      </c>
      <c r="G204" s="32"/>
      <c r="H204" s="34">
        <f t="shared" si="6"/>
        <v>45755</v>
      </c>
      <c r="I204" s="5">
        <v>9</v>
      </c>
      <c r="J204" s="34">
        <f t="shared" si="7"/>
        <v>45765</v>
      </c>
      <c r="K204" s="32"/>
      <c r="L204" s="32" t="s">
        <v>5</v>
      </c>
      <c r="M204" s="32"/>
      <c r="N204" s="32"/>
    </row>
    <row r="205" spans="1:14" ht="19.5" customHeight="1" x14ac:dyDescent="0.25">
      <c r="A205" s="1">
        <v>3574</v>
      </c>
      <c r="B205" s="36">
        <v>45752</v>
      </c>
      <c r="C205" s="32"/>
      <c r="D205" s="4" t="s">
        <v>20</v>
      </c>
      <c r="E205" s="32"/>
      <c r="F205" s="5">
        <v>5</v>
      </c>
      <c r="G205" s="32"/>
      <c r="H205" s="34">
        <f t="shared" si="6"/>
        <v>45756</v>
      </c>
      <c r="I205" s="5">
        <v>9</v>
      </c>
      <c r="J205" s="34">
        <f t="shared" si="7"/>
        <v>45766</v>
      </c>
      <c r="K205" s="32" t="s">
        <v>3</v>
      </c>
      <c r="L205" s="32"/>
      <c r="M205" s="32"/>
      <c r="N205" s="32"/>
    </row>
    <row r="206" spans="1:14" ht="19.5" customHeight="1" x14ac:dyDescent="0.25">
      <c r="A206" s="1">
        <v>3020</v>
      </c>
      <c r="B206" s="36">
        <v>45752</v>
      </c>
      <c r="C206" s="32"/>
      <c r="D206" s="4" t="s">
        <v>20</v>
      </c>
      <c r="E206" s="32"/>
      <c r="F206" s="5">
        <v>5</v>
      </c>
      <c r="G206" s="32"/>
      <c r="H206" s="34">
        <f t="shared" si="6"/>
        <v>45756</v>
      </c>
      <c r="I206" s="5">
        <v>9</v>
      </c>
      <c r="J206" s="34">
        <f t="shared" si="7"/>
        <v>45766</v>
      </c>
      <c r="K206" s="32" t="s">
        <v>3</v>
      </c>
      <c r="L206" s="32"/>
      <c r="M206" s="32" t="s">
        <v>1</v>
      </c>
      <c r="N206" s="32"/>
    </row>
    <row r="207" spans="1:14" ht="19.5" customHeight="1" x14ac:dyDescent="0.25">
      <c r="A207" s="1">
        <v>3673</v>
      </c>
      <c r="B207" s="36">
        <v>45752</v>
      </c>
      <c r="C207" s="32"/>
      <c r="D207" s="4" t="s">
        <v>23</v>
      </c>
      <c r="E207" s="32"/>
      <c r="F207" s="5">
        <v>5</v>
      </c>
      <c r="G207" s="32"/>
      <c r="H207" s="34">
        <f t="shared" si="6"/>
        <v>45756</v>
      </c>
      <c r="I207" s="5">
        <v>2</v>
      </c>
      <c r="J207" s="34">
        <f t="shared" si="7"/>
        <v>45759</v>
      </c>
      <c r="K207" s="32" t="s">
        <v>3</v>
      </c>
      <c r="L207" s="32"/>
      <c r="M207" s="32"/>
      <c r="N207" s="32"/>
    </row>
    <row r="208" spans="1:14" ht="19.5" customHeight="1" x14ac:dyDescent="0.25">
      <c r="A208" s="1">
        <v>3054</v>
      </c>
      <c r="B208" s="36">
        <v>45752</v>
      </c>
      <c r="C208" s="32"/>
      <c r="D208" s="4" t="s">
        <v>7</v>
      </c>
      <c r="E208" s="32"/>
      <c r="F208" s="5">
        <v>5</v>
      </c>
      <c r="G208" s="32"/>
      <c r="H208" s="34">
        <f t="shared" si="6"/>
        <v>45756</v>
      </c>
      <c r="I208" s="5">
        <v>3</v>
      </c>
      <c r="J208" s="34">
        <f t="shared" si="7"/>
        <v>45760</v>
      </c>
      <c r="K208" s="32"/>
      <c r="L208" s="32"/>
      <c r="M208" s="32" t="s">
        <v>1</v>
      </c>
      <c r="N208" s="32"/>
    </row>
    <row r="209" spans="1:14" ht="19.5" customHeight="1" x14ac:dyDescent="0.25">
      <c r="A209" s="1">
        <v>4232</v>
      </c>
      <c r="B209" s="36">
        <v>45752</v>
      </c>
      <c r="C209" s="32"/>
      <c r="D209" s="4" t="s">
        <v>7</v>
      </c>
      <c r="E209" s="32"/>
      <c r="F209" s="5">
        <v>5</v>
      </c>
      <c r="G209" s="32"/>
      <c r="H209" s="34">
        <f t="shared" si="6"/>
        <v>45756</v>
      </c>
      <c r="I209" s="5">
        <v>3</v>
      </c>
      <c r="J209" s="34">
        <f t="shared" si="7"/>
        <v>45760</v>
      </c>
      <c r="K209" s="32"/>
      <c r="L209" s="32" t="s">
        <v>5</v>
      </c>
      <c r="M209" s="32"/>
      <c r="N209" s="32"/>
    </row>
    <row r="210" spans="1:14" ht="19.5" customHeight="1" x14ac:dyDescent="0.25">
      <c r="A210" s="1">
        <v>3895</v>
      </c>
      <c r="B210" s="36">
        <v>45753</v>
      </c>
      <c r="C210" s="32"/>
      <c r="D210" s="4" t="s">
        <v>7</v>
      </c>
      <c r="E210" s="32"/>
      <c r="F210" s="5">
        <v>5</v>
      </c>
      <c r="G210" s="32"/>
      <c r="H210" s="34">
        <f t="shared" si="6"/>
        <v>45757</v>
      </c>
      <c r="I210" s="5">
        <v>3</v>
      </c>
      <c r="J210" s="34">
        <f t="shared" si="7"/>
        <v>45761</v>
      </c>
      <c r="K210" s="32" t="s">
        <v>3</v>
      </c>
      <c r="L210" s="32"/>
      <c r="M210" s="32" t="s">
        <v>1</v>
      </c>
      <c r="N210" s="32"/>
    </row>
    <row r="211" spans="1:14" ht="19.5" customHeight="1" x14ac:dyDescent="0.25">
      <c r="A211" s="1">
        <v>897</v>
      </c>
      <c r="B211" s="36">
        <v>45753</v>
      </c>
      <c r="C211" s="32"/>
      <c r="D211" s="4" t="s">
        <v>7</v>
      </c>
      <c r="E211" s="32"/>
      <c r="F211" s="5">
        <v>5</v>
      </c>
      <c r="G211" s="32"/>
      <c r="H211" s="34">
        <f t="shared" si="6"/>
        <v>45757</v>
      </c>
      <c r="I211" s="5">
        <v>3</v>
      </c>
      <c r="J211" s="34">
        <f t="shared" si="7"/>
        <v>45761</v>
      </c>
      <c r="K211" s="32" t="s">
        <v>3</v>
      </c>
      <c r="L211" s="32"/>
      <c r="M211" s="32"/>
      <c r="N211" s="32"/>
    </row>
    <row r="212" spans="1:14" ht="19.5" customHeight="1" x14ac:dyDescent="0.25">
      <c r="A212" s="1">
        <v>3637</v>
      </c>
      <c r="B212" s="36">
        <v>45754</v>
      </c>
      <c r="C212" s="32"/>
      <c r="D212" s="4" t="s">
        <v>7</v>
      </c>
      <c r="E212" s="32"/>
      <c r="F212" s="5">
        <v>5</v>
      </c>
      <c r="G212" s="32"/>
      <c r="H212" s="34">
        <f t="shared" si="6"/>
        <v>45758</v>
      </c>
      <c r="I212" s="5">
        <v>3</v>
      </c>
      <c r="J212" s="34">
        <f t="shared" si="7"/>
        <v>45762</v>
      </c>
      <c r="K212" s="32" t="s">
        <v>3</v>
      </c>
      <c r="L212" s="32"/>
      <c r="M212" s="32"/>
      <c r="N212" s="32"/>
    </row>
    <row r="213" spans="1:14" ht="19.5" customHeight="1" x14ac:dyDescent="0.25">
      <c r="A213" s="1">
        <v>4713</v>
      </c>
      <c r="B213" s="36">
        <v>45754</v>
      </c>
      <c r="C213" s="32"/>
      <c r="D213" s="4" t="s">
        <v>7</v>
      </c>
      <c r="E213" s="32"/>
      <c r="F213" s="5">
        <v>5</v>
      </c>
      <c r="G213" s="32"/>
      <c r="H213" s="34">
        <f t="shared" si="6"/>
        <v>45758</v>
      </c>
      <c r="I213" s="5">
        <v>3</v>
      </c>
      <c r="J213" s="34">
        <f t="shared" si="7"/>
        <v>45762</v>
      </c>
      <c r="K213" s="32"/>
      <c r="L213" s="32"/>
      <c r="M213" s="32"/>
      <c r="N213" s="32" t="s">
        <v>4</v>
      </c>
    </row>
    <row r="214" spans="1:14" ht="19.5" customHeight="1" x14ac:dyDescent="0.25">
      <c r="A214" s="1">
        <v>4069</v>
      </c>
      <c r="B214" s="36">
        <v>45754</v>
      </c>
      <c r="C214" s="32"/>
      <c r="D214" s="4" t="s">
        <v>7</v>
      </c>
      <c r="E214" s="32"/>
      <c r="F214" s="5">
        <v>5</v>
      </c>
      <c r="G214" s="32"/>
      <c r="H214" s="34">
        <f t="shared" si="6"/>
        <v>45758</v>
      </c>
      <c r="I214" s="5">
        <v>3</v>
      </c>
      <c r="J214" s="34">
        <f t="shared" si="7"/>
        <v>45762</v>
      </c>
      <c r="K214" s="32" t="s">
        <v>3</v>
      </c>
      <c r="L214" s="32"/>
      <c r="M214" s="32"/>
      <c r="N214" s="32"/>
    </row>
    <row r="215" spans="1:14" ht="19.5" customHeight="1" x14ac:dyDescent="0.25">
      <c r="A215" s="1">
        <v>3672</v>
      </c>
      <c r="B215" s="36">
        <v>45755</v>
      </c>
      <c r="C215" s="32"/>
      <c r="D215" s="4" t="s">
        <v>24</v>
      </c>
      <c r="E215" s="32"/>
      <c r="F215" s="5">
        <v>3</v>
      </c>
      <c r="G215" s="32"/>
      <c r="H215" s="34">
        <f t="shared" si="6"/>
        <v>45757</v>
      </c>
      <c r="I215" s="5">
        <v>0</v>
      </c>
      <c r="J215" s="34">
        <f t="shared" si="7"/>
        <v>45758</v>
      </c>
      <c r="K215" s="32" t="s">
        <v>3</v>
      </c>
      <c r="L215" s="32"/>
      <c r="M215" s="32"/>
      <c r="N215" s="32"/>
    </row>
    <row r="216" spans="1:14" ht="19.5" customHeight="1" x14ac:dyDescent="0.25">
      <c r="A216" s="1">
        <v>3095</v>
      </c>
      <c r="B216" s="36">
        <v>45755</v>
      </c>
      <c r="C216" s="32"/>
      <c r="D216" s="4" t="s">
        <v>7</v>
      </c>
      <c r="E216" s="32"/>
      <c r="F216" s="5">
        <v>5</v>
      </c>
      <c r="G216" s="32"/>
      <c r="H216" s="34">
        <f t="shared" si="6"/>
        <v>45759</v>
      </c>
      <c r="I216" s="5">
        <v>3</v>
      </c>
      <c r="J216" s="34">
        <f t="shared" si="7"/>
        <v>45763</v>
      </c>
      <c r="K216" s="32"/>
      <c r="L216" s="32"/>
      <c r="M216" s="32"/>
      <c r="N216" s="32" t="s">
        <v>4</v>
      </c>
    </row>
    <row r="217" spans="1:14" ht="19.5" customHeight="1" x14ac:dyDescent="0.25">
      <c r="A217" s="1">
        <v>1144</v>
      </c>
      <c r="B217" s="36">
        <v>45755</v>
      </c>
      <c r="C217" s="32"/>
      <c r="D217" s="4" t="s">
        <v>7</v>
      </c>
      <c r="E217" s="32"/>
      <c r="F217" s="5">
        <v>5</v>
      </c>
      <c r="G217" s="32"/>
      <c r="H217" s="34">
        <f t="shared" si="6"/>
        <v>45759</v>
      </c>
      <c r="I217" s="5">
        <v>3</v>
      </c>
      <c r="J217" s="34">
        <f t="shared" si="7"/>
        <v>45763</v>
      </c>
      <c r="K217" s="32" t="s">
        <v>3</v>
      </c>
      <c r="L217" s="32"/>
      <c r="M217" s="32"/>
      <c r="N217" s="32"/>
    </row>
    <row r="218" spans="1:14" ht="19.5" customHeight="1" x14ac:dyDescent="0.25">
      <c r="A218" s="1">
        <v>4821</v>
      </c>
      <c r="B218" s="36">
        <v>45755</v>
      </c>
      <c r="C218" s="32"/>
      <c r="D218" s="4" t="s">
        <v>7</v>
      </c>
      <c r="E218" s="32"/>
      <c r="F218" s="5">
        <v>5</v>
      </c>
      <c r="G218" s="32"/>
      <c r="H218" s="34">
        <f t="shared" si="6"/>
        <v>45759</v>
      </c>
      <c r="I218" s="5">
        <v>3</v>
      </c>
      <c r="J218" s="34">
        <f t="shared" si="7"/>
        <v>45763</v>
      </c>
      <c r="K218" s="32"/>
      <c r="L218" s="32" t="s">
        <v>5</v>
      </c>
      <c r="M218" s="32"/>
      <c r="N218" s="32"/>
    </row>
    <row r="219" spans="1:14" ht="19.5" customHeight="1" x14ac:dyDescent="0.25">
      <c r="A219" s="1">
        <v>3391</v>
      </c>
      <c r="B219" s="36">
        <v>45756</v>
      </c>
      <c r="C219" s="32"/>
      <c r="D219" s="4" t="s">
        <v>7</v>
      </c>
      <c r="E219" s="32"/>
      <c r="F219" s="5">
        <v>5</v>
      </c>
      <c r="G219" s="32"/>
      <c r="H219" s="34">
        <f t="shared" si="6"/>
        <v>45760</v>
      </c>
      <c r="I219" s="5">
        <v>3</v>
      </c>
      <c r="J219" s="34">
        <f t="shared" si="7"/>
        <v>45764</v>
      </c>
      <c r="K219" s="32" t="s">
        <v>3</v>
      </c>
      <c r="L219" s="32"/>
      <c r="M219" s="32"/>
      <c r="N219" s="32"/>
    </row>
    <row r="220" spans="1:14" ht="19.5" customHeight="1" x14ac:dyDescent="0.25">
      <c r="A220" s="1">
        <v>3687</v>
      </c>
      <c r="B220" s="36">
        <v>45756</v>
      </c>
      <c r="C220" s="32"/>
      <c r="D220" s="4" t="s">
        <v>7</v>
      </c>
      <c r="E220" s="32"/>
      <c r="F220" s="5">
        <v>5</v>
      </c>
      <c r="G220" s="32"/>
      <c r="H220" s="34">
        <f t="shared" si="6"/>
        <v>45760</v>
      </c>
      <c r="I220" s="5">
        <v>3</v>
      </c>
      <c r="J220" s="34">
        <f t="shared" si="7"/>
        <v>45764</v>
      </c>
      <c r="K220" s="32"/>
      <c r="L220" s="32" t="s">
        <v>5</v>
      </c>
      <c r="M220" s="32"/>
      <c r="N220" s="32"/>
    </row>
    <row r="221" spans="1:14" ht="19.5" customHeight="1" x14ac:dyDescent="0.25">
      <c r="A221" s="1">
        <v>2139</v>
      </c>
      <c r="B221" s="36">
        <v>45756</v>
      </c>
      <c r="C221" s="32"/>
      <c r="D221" s="4" t="s">
        <v>7</v>
      </c>
      <c r="E221" s="32"/>
      <c r="F221" s="5">
        <v>5</v>
      </c>
      <c r="G221" s="32"/>
      <c r="H221" s="34">
        <f t="shared" si="6"/>
        <v>45760</v>
      </c>
      <c r="I221" s="5">
        <v>3</v>
      </c>
      <c r="J221" s="34">
        <f t="shared" si="7"/>
        <v>45764</v>
      </c>
      <c r="K221" s="32" t="s">
        <v>3</v>
      </c>
      <c r="L221" s="32" t="s">
        <v>5</v>
      </c>
      <c r="M221" s="32"/>
      <c r="N221" s="32"/>
    </row>
    <row r="222" spans="1:14" ht="19.5" customHeight="1" x14ac:dyDescent="0.25">
      <c r="A222" s="1">
        <v>3400</v>
      </c>
      <c r="B222" s="36">
        <v>45756</v>
      </c>
      <c r="C222" s="32"/>
      <c r="D222" s="4" t="s">
        <v>7</v>
      </c>
      <c r="E222" s="32"/>
      <c r="F222" s="5">
        <v>5</v>
      </c>
      <c r="G222" s="32"/>
      <c r="H222" s="34">
        <f t="shared" si="6"/>
        <v>45760</v>
      </c>
      <c r="I222" s="5">
        <v>3</v>
      </c>
      <c r="J222" s="34">
        <f t="shared" si="7"/>
        <v>45764</v>
      </c>
      <c r="K222" s="32"/>
      <c r="L222" s="32"/>
      <c r="M222" s="32" t="s">
        <v>1</v>
      </c>
      <c r="N222" s="32"/>
    </row>
    <row r="223" spans="1:14" ht="19.5" customHeight="1" x14ac:dyDescent="0.25">
      <c r="A223" s="1">
        <v>3700</v>
      </c>
      <c r="B223" s="36">
        <v>45756</v>
      </c>
      <c r="C223" s="32"/>
      <c r="D223" s="4" t="s">
        <v>7</v>
      </c>
      <c r="E223" s="32"/>
      <c r="F223" s="5">
        <v>5</v>
      </c>
      <c r="G223" s="32"/>
      <c r="H223" s="34">
        <f t="shared" si="6"/>
        <v>45760</v>
      </c>
      <c r="I223" s="5">
        <v>3</v>
      </c>
      <c r="J223" s="34">
        <f t="shared" si="7"/>
        <v>45764</v>
      </c>
      <c r="K223" s="32"/>
      <c r="L223" s="32" t="s">
        <v>5</v>
      </c>
      <c r="M223" s="32"/>
      <c r="N223" s="32"/>
    </row>
    <row r="224" spans="1:14" ht="19.5" customHeight="1" x14ac:dyDescent="0.25">
      <c r="A224" s="1">
        <v>2361</v>
      </c>
      <c r="B224" s="36">
        <v>45758</v>
      </c>
      <c r="C224" s="32"/>
      <c r="D224" s="4" t="s">
        <v>7</v>
      </c>
      <c r="E224" s="32"/>
      <c r="F224" s="5">
        <v>5</v>
      </c>
      <c r="G224" s="32"/>
      <c r="H224" s="34">
        <f t="shared" si="6"/>
        <v>45762</v>
      </c>
      <c r="I224" s="5">
        <v>3</v>
      </c>
      <c r="J224" s="34">
        <f t="shared" si="7"/>
        <v>45766</v>
      </c>
      <c r="K224" s="32"/>
      <c r="L224" s="32" t="s">
        <v>5</v>
      </c>
      <c r="M224" s="32"/>
      <c r="N224" s="32"/>
    </row>
    <row r="225" spans="1:14" ht="19.5" customHeight="1" x14ac:dyDescent="0.25">
      <c r="A225" s="1">
        <v>4214</v>
      </c>
      <c r="B225" s="36">
        <v>45758</v>
      </c>
      <c r="C225" s="32"/>
      <c r="D225" s="4" t="s">
        <v>7</v>
      </c>
      <c r="E225" s="32"/>
      <c r="F225" s="5">
        <v>5</v>
      </c>
      <c r="G225" s="32"/>
      <c r="H225" s="34">
        <f t="shared" si="6"/>
        <v>45762</v>
      </c>
      <c r="I225" s="5">
        <v>3</v>
      </c>
      <c r="J225" s="34">
        <f t="shared" si="7"/>
        <v>45766</v>
      </c>
      <c r="K225" s="32"/>
      <c r="L225" s="32"/>
      <c r="M225" s="32" t="s">
        <v>1</v>
      </c>
      <c r="N225" s="32" t="s">
        <v>4</v>
      </c>
    </row>
    <row r="226" spans="1:14" ht="19.5" customHeight="1" x14ac:dyDescent="0.25">
      <c r="A226" s="1">
        <v>3435</v>
      </c>
      <c r="B226" s="36">
        <v>45758</v>
      </c>
      <c r="C226" s="32"/>
      <c r="D226" s="4" t="s">
        <v>21</v>
      </c>
      <c r="E226" s="32"/>
      <c r="F226" s="5">
        <v>5</v>
      </c>
      <c r="G226" s="32"/>
      <c r="H226" s="34">
        <f t="shared" si="6"/>
        <v>45762</v>
      </c>
      <c r="I226" s="5">
        <v>9</v>
      </c>
      <c r="J226" s="34">
        <f t="shared" si="7"/>
        <v>45772</v>
      </c>
      <c r="K226" s="32"/>
      <c r="L226" s="32"/>
      <c r="M226" s="32" t="s">
        <v>1</v>
      </c>
      <c r="N226" s="32"/>
    </row>
    <row r="227" spans="1:14" ht="19.5" customHeight="1" x14ac:dyDescent="0.25">
      <c r="A227" s="1">
        <v>4871</v>
      </c>
      <c r="B227" s="36">
        <v>45759</v>
      </c>
      <c r="C227" s="32"/>
      <c r="D227" s="4" t="s">
        <v>7</v>
      </c>
      <c r="E227" s="32"/>
      <c r="F227" s="5">
        <v>5</v>
      </c>
      <c r="G227" s="32"/>
      <c r="H227" s="34">
        <f t="shared" si="6"/>
        <v>45763</v>
      </c>
      <c r="I227" s="5">
        <v>3</v>
      </c>
      <c r="J227" s="34">
        <f t="shared" si="7"/>
        <v>45767</v>
      </c>
      <c r="K227" s="32"/>
      <c r="L227" s="32"/>
      <c r="M227" s="32" t="s">
        <v>1</v>
      </c>
      <c r="N227" s="32"/>
    </row>
    <row r="228" spans="1:14" ht="19.5" customHeight="1" x14ac:dyDescent="0.25">
      <c r="A228" s="1">
        <v>4391</v>
      </c>
      <c r="B228" s="36">
        <v>45759</v>
      </c>
      <c r="C228" s="32"/>
      <c r="D228" s="4" t="s">
        <v>7</v>
      </c>
      <c r="E228" s="32"/>
      <c r="F228" s="5">
        <v>5</v>
      </c>
      <c r="G228" s="32"/>
      <c r="H228" s="34">
        <f t="shared" si="6"/>
        <v>45763</v>
      </c>
      <c r="I228" s="5">
        <v>3</v>
      </c>
      <c r="J228" s="34">
        <f t="shared" si="7"/>
        <v>45767</v>
      </c>
      <c r="K228" s="32" t="s">
        <v>3</v>
      </c>
      <c r="L228" s="32"/>
      <c r="M228" s="32"/>
      <c r="N228" s="32"/>
    </row>
    <row r="229" spans="1:14" ht="19.5" customHeight="1" x14ac:dyDescent="0.25">
      <c r="A229" s="1">
        <v>2997</v>
      </c>
      <c r="B229" s="36">
        <v>45759</v>
      </c>
      <c r="C229" s="32"/>
      <c r="D229" s="4" t="s">
        <v>7</v>
      </c>
      <c r="E229" s="32"/>
      <c r="F229" s="5">
        <v>5</v>
      </c>
      <c r="G229" s="32"/>
      <c r="H229" s="34">
        <f t="shared" si="6"/>
        <v>45763</v>
      </c>
      <c r="I229" s="5">
        <v>3</v>
      </c>
      <c r="J229" s="34">
        <f t="shared" si="7"/>
        <v>45767</v>
      </c>
      <c r="K229" s="32"/>
      <c r="L229" s="32" t="s">
        <v>5</v>
      </c>
      <c r="M229" s="32"/>
      <c r="N229" s="32"/>
    </row>
    <row r="230" spans="1:14" ht="19.5" customHeight="1" x14ac:dyDescent="0.25">
      <c r="A230" s="1">
        <v>4548</v>
      </c>
      <c r="B230" s="36">
        <v>45760</v>
      </c>
      <c r="C230" s="32"/>
      <c r="D230" s="4" t="s">
        <v>7</v>
      </c>
      <c r="E230" s="32"/>
      <c r="F230" s="5">
        <v>5</v>
      </c>
      <c r="G230" s="32"/>
      <c r="H230" s="34">
        <f t="shared" si="6"/>
        <v>45764</v>
      </c>
      <c r="I230" s="5">
        <v>3</v>
      </c>
      <c r="J230" s="34">
        <f t="shared" si="7"/>
        <v>45768</v>
      </c>
      <c r="K230" s="32"/>
      <c r="L230" s="32"/>
      <c r="M230" s="32" t="s">
        <v>1</v>
      </c>
      <c r="N230" s="32"/>
    </row>
    <row r="231" spans="1:14" ht="19.5" customHeight="1" x14ac:dyDescent="0.25">
      <c r="A231" s="1">
        <v>3055</v>
      </c>
      <c r="B231" s="36">
        <v>45761</v>
      </c>
      <c r="C231" s="32"/>
      <c r="D231" s="4" t="s">
        <v>7</v>
      </c>
      <c r="E231" s="32"/>
      <c r="F231" s="5">
        <v>5</v>
      </c>
      <c r="G231" s="32"/>
      <c r="H231" s="34">
        <f t="shared" si="6"/>
        <v>45765</v>
      </c>
      <c r="I231" s="5">
        <v>3</v>
      </c>
      <c r="J231" s="34">
        <f t="shared" si="7"/>
        <v>45769</v>
      </c>
      <c r="K231" s="32"/>
      <c r="L231" s="32" t="s">
        <v>5</v>
      </c>
      <c r="M231" s="32"/>
      <c r="N231" s="32"/>
    </row>
    <row r="232" spans="1:14" ht="19.5" customHeight="1" x14ac:dyDescent="0.25">
      <c r="A232" s="1">
        <v>1788</v>
      </c>
      <c r="B232" s="36">
        <v>45761</v>
      </c>
      <c r="C232" s="32"/>
      <c r="D232" s="4" t="s">
        <v>7</v>
      </c>
      <c r="E232" s="32"/>
      <c r="F232" s="5">
        <v>5</v>
      </c>
      <c r="G232" s="32"/>
      <c r="H232" s="34">
        <f t="shared" si="6"/>
        <v>45765</v>
      </c>
      <c r="I232" s="5">
        <v>3</v>
      </c>
      <c r="J232" s="34">
        <f t="shared" si="7"/>
        <v>45769</v>
      </c>
      <c r="K232" s="32"/>
      <c r="L232" s="32" t="s">
        <v>5</v>
      </c>
      <c r="M232" s="32"/>
      <c r="N232" s="32"/>
    </row>
    <row r="233" spans="1:14" ht="19.5" customHeight="1" x14ac:dyDescent="0.25">
      <c r="A233" s="1">
        <v>3289</v>
      </c>
      <c r="B233" s="36">
        <v>45762</v>
      </c>
      <c r="C233" s="32"/>
      <c r="D233" s="4" t="s">
        <v>21</v>
      </c>
      <c r="E233" s="32"/>
      <c r="F233" s="5">
        <v>5</v>
      </c>
      <c r="G233" s="32"/>
      <c r="H233" s="34">
        <f t="shared" si="6"/>
        <v>45766</v>
      </c>
      <c r="I233" s="5">
        <v>9</v>
      </c>
      <c r="J233" s="34">
        <f t="shared" si="7"/>
        <v>45776</v>
      </c>
      <c r="K233" s="32" t="s">
        <v>3</v>
      </c>
      <c r="L233" s="32"/>
      <c r="M233" s="32" t="s">
        <v>1</v>
      </c>
      <c r="N233" s="32" t="s">
        <v>4</v>
      </c>
    </row>
    <row r="234" spans="1:14" ht="19.5" customHeight="1" x14ac:dyDescent="0.25">
      <c r="A234" s="1">
        <v>3685</v>
      </c>
      <c r="B234" s="36">
        <v>45762</v>
      </c>
      <c r="C234" s="32"/>
      <c r="D234" s="4" t="s">
        <v>7</v>
      </c>
      <c r="E234" s="32"/>
      <c r="F234" s="5">
        <v>5</v>
      </c>
      <c r="G234" s="32"/>
      <c r="H234" s="34">
        <f t="shared" si="6"/>
        <v>45766</v>
      </c>
      <c r="I234" s="5">
        <v>3</v>
      </c>
      <c r="J234" s="34">
        <f t="shared" si="7"/>
        <v>45770</v>
      </c>
      <c r="K234" s="32"/>
      <c r="L234" s="32" t="s">
        <v>5</v>
      </c>
      <c r="M234" s="32"/>
      <c r="N234" s="32"/>
    </row>
    <row r="235" spans="1:14" ht="19.5" customHeight="1" x14ac:dyDescent="0.25">
      <c r="A235" s="1">
        <v>2234</v>
      </c>
      <c r="B235" s="36">
        <v>45762</v>
      </c>
      <c r="C235" s="32"/>
      <c r="D235" s="4" t="s">
        <v>7</v>
      </c>
      <c r="E235" s="32"/>
      <c r="F235" s="5">
        <v>5</v>
      </c>
      <c r="G235" s="32"/>
      <c r="H235" s="34">
        <f t="shared" si="6"/>
        <v>45766</v>
      </c>
      <c r="I235" s="5">
        <v>3</v>
      </c>
      <c r="J235" s="34">
        <f t="shared" si="7"/>
        <v>45770</v>
      </c>
      <c r="K235" s="32"/>
      <c r="L235" s="32"/>
      <c r="M235" s="32" t="s">
        <v>1</v>
      </c>
      <c r="N235" s="32"/>
    </row>
    <row r="236" spans="1:14" ht="19.5" customHeight="1" x14ac:dyDescent="0.25">
      <c r="A236" s="1">
        <v>2850</v>
      </c>
      <c r="B236" s="36">
        <v>45763</v>
      </c>
      <c r="C236" s="32"/>
      <c r="D236" s="4" t="s">
        <v>7</v>
      </c>
      <c r="E236" s="32"/>
      <c r="F236" s="5">
        <v>5</v>
      </c>
      <c r="G236" s="32"/>
      <c r="H236" s="34">
        <f t="shared" si="6"/>
        <v>45767</v>
      </c>
      <c r="I236" s="5">
        <v>3</v>
      </c>
      <c r="J236" s="34">
        <f t="shared" si="7"/>
        <v>45771</v>
      </c>
      <c r="K236" s="32"/>
      <c r="L236" s="32"/>
      <c r="M236" s="32"/>
      <c r="N236" s="32" t="s">
        <v>4</v>
      </c>
    </row>
    <row r="237" spans="1:14" ht="19.5" customHeight="1" x14ac:dyDescent="0.25">
      <c r="A237" s="1">
        <v>3095</v>
      </c>
      <c r="B237" s="36">
        <v>45763</v>
      </c>
      <c r="C237" s="32"/>
      <c r="D237" s="4" t="s">
        <v>21</v>
      </c>
      <c r="E237" s="32"/>
      <c r="F237" s="5">
        <v>5</v>
      </c>
      <c r="G237" s="32"/>
      <c r="H237" s="34">
        <f t="shared" si="6"/>
        <v>45767</v>
      </c>
      <c r="I237" s="5">
        <v>9</v>
      </c>
      <c r="J237" s="34">
        <f t="shared" si="7"/>
        <v>45777</v>
      </c>
      <c r="K237" s="32"/>
      <c r="L237" s="32"/>
      <c r="M237" s="32"/>
      <c r="N237" s="32" t="s">
        <v>4</v>
      </c>
    </row>
    <row r="238" spans="1:14" ht="19.5" customHeight="1" x14ac:dyDescent="0.25">
      <c r="A238" s="1">
        <v>4416</v>
      </c>
      <c r="B238" s="36">
        <v>45763</v>
      </c>
      <c r="C238" s="32"/>
      <c r="D238" s="4" t="s">
        <v>7</v>
      </c>
      <c r="E238" s="32"/>
      <c r="F238" s="5">
        <v>5</v>
      </c>
      <c r="G238" s="32"/>
      <c r="H238" s="34">
        <f t="shared" si="6"/>
        <v>45767</v>
      </c>
      <c r="I238" s="5">
        <v>3</v>
      </c>
      <c r="J238" s="34">
        <f t="shared" si="7"/>
        <v>45771</v>
      </c>
      <c r="K238" s="32"/>
      <c r="L238" s="32"/>
      <c r="M238" s="32"/>
      <c r="N238" s="32" t="s">
        <v>4</v>
      </c>
    </row>
    <row r="239" spans="1:14" ht="19.5" customHeight="1" x14ac:dyDescent="0.25">
      <c r="A239" s="1">
        <v>3779</v>
      </c>
      <c r="B239" s="36">
        <v>45763</v>
      </c>
      <c r="C239" s="32"/>
      <c r="D239" s="4" t="s">
        <v>7</v>
      </c>
      <c r="E239" s="32"/>
      <c r="F239" s="5">
        <v>5</v>
      </c>
      <c r="G239" s="32"/>
      <c r="H239" s="34">
        <f t="shared" si="6"/>
        <v>45767</v>
      </c>
      <c r="I239" s="5">
        <v>3</v>
      </c>
      <c r="J239" s="34">
        <f t="shared" si="7"/>
        <v>45771</v>
      </c>
      <c r="K239" s="32"/>
      <c r="L239" s="32"/>
      <c r="M239" s="32" t="s">
        <v>1</v>
      </c>
      <c r="N239" s="32"/>
    </row>
    <row r="240" spans="1:14" ht="19.5" customHeight="1" x14ac:dyDescent="0.25">
      <c r="A240" s="1">
        <v>3564</v>
      </c>
      <c r="B240" s="36">
        <v>45763</v>
      </c>
      <c r="C240" s="32"/>
      <c r="D240" s="4" t="s">
        <v>7</v>
      </c>
      <c r="E240" s="32"/>
      <c r="F240" s="5">
        <v>5</v>
      </c>
      <c r="G240" s="32"/>
      <c r="H240" s="34">
        <f t="shared" si="6"/>
        <v>45767</v>
      </c>
      <c r="I240" s="5">
        <v>3</v>
      </c>
      <c r="J240" s="34">
        <f t="shared" si="7"/>
        <v>45771</v>
      </c>
      <c r="K240" s="32" t="s">
        <v>3</v>
      </c>
      <c r="L240" s="32"/>
      <c r="M240" s="32"/>
      <c r="N240" s="32"/>
    </row>
    <row r="241" spans="1:14" ht="19.5" customHeight="1" x14ac:dyDescent="0.25">
      <c r="A241" s="1">
        <v>4821</v>
      </c>
      <c r="B241" s="36">
        <v>45764</v>
      </c>
      <c r="C241" s="32"/>
      <c r="D241" s="4" t="s">
        <v>8</v>
      </c>
      <c r="E241" s="32"/>
      <c r="F241" s="5">
        <v>5</v>
      </c>
      <c r="G241" s="32"/>
      <c r="H241" s="34">
        <f t="shared" si="6"/>
        <v>45768</v>
      </c>
      <c r="I241" s="5">
        <v>4</v>
      </c>
      <c r="J241" s="34">
        <f t="shared" si="7"/>
        <v>45773</v>
      </c>
      <c r="K241" s="32"/>
      <c r="L241" s="32" t="s">
        <v>5</v>
      </c>
      <c r="M241" s="32"/>
      <c r="N241" s="32"/>
    </row>
    <row r="242" spans="1:14" ht="19.5" customHeight="1" x14ac:dyDescent="0.25">
      <c r="A242" s="1">
        <v>3579</v>
      </c>
      <c r="B242" s="36">
        <v>45764</v>
      </c>
      <c r="C242" s="32"/>
      <c r="D242" s="4" t="s">
        <v>7</v>
      </c>
      <c r="E242" s="32"/>
      <c r="F242" s="5">
        <v>5</v>
      </c>
      <c r="G242" s="32"/>
      <c r="H242" s="34">
        <f t="shared" si="6"/>
        <v>45768</v>
      </c>
      <c r="I242" s="5">
        <v>3</v>
      </c>
      <c r="J242" s="34">
        <f t="shared" si="7"/>
        <v>45772</v>
      </c>
      <c r="K242" s="32"/>
      <c r="L242" s="32"/>
      <c r="M242" s="32"/>
      <c r="N242" s="32" t="s">
        <v>4</v>
      </c>
    </row>
    <row r="243" spans="1:14" ht="19.5" customHeight="1" x14ac:dyDescent="0.25">
      <c r="A243" s="1">
        <v>218</v>
      </c>
      <c r="B243" s="36">
        <v>45764</v>
      </c>
      <c r="C243" s="32"/>
      <c r="D243" s="4" t="s">
        <v>7</v>
      </c>
      <c r="E243" s="32"/>
      <c r="F243" s="5">
        <v>5</v>
      </c>
      <c r="G243" s="32"/>
      <c r="H243" s="34">
        <f t="shared" si="6"/>
        <v>45768</v>
      </c>
      <c r="I243" s="5">
        <v>3</v>
      </c>
      <c r="J243" s="34">
        <f t="shared" si="7"/>
        <v>45772</v>
      </c>
      <c r="K243" s="32" t="s">
        <v>3</v>
      </c>
      <c r="L243" s="32"/>
      <c r="M243" s="32"/>
      <c r="N243" s="32"/>
    </row>
    <row r="244" spans="1:14" ht="19.5" customHeight="1" x14ac:dyDescent="0.25">
      <c r="A244" s="1">
        <v>3687</v>
      </c>
      <c r="B244" s="36">
        <v>45764</v>
      </c>
      <c r="C244" s="32"/>
      <c r="D244" s="4" t="s">
        <v>8</v>
      </c>
      <c r="E244" s="32"/>
      <c r="F244" s="5">
        <v>5</v>
      </c>
      <c r="G244" s="32"/>
      <c r="H244" s="34">
        <f t="shared" si="6"/>
        <v>45768</v>
      </c>
      <c r="I244" s="5">
        <v>4</v>
      </c>
      <c r="J244" s="34">
        <f t="shared" si="7"/>
        <v>45773</v>
      </c>
      <c r="K244" s="32"/>
      <c r="L244" s="32" t="s">
        <v>5</v>
      </c>
      <c r="M244" s="32"/>
      <c r="N244" s="32" t="s">
        <v>4</v>
      </c>
    </row>
    <row r="245" spans="1:14" ht="19.5" customHeight="1" x14ac:dyDescent="0.25">
      <c r="A245" s="1">
        <v>4021</v>
      </c>
      <c r="B245" s="36">
        <v>45764</v>
      </c>
      <c r="C245" s="32"/>
      <c r="D245" s="4" t="s">
        <v>8</v>
      </c>
      <c r="E245" s="32"/>
      <c r="F245" s="5">
        <v>5</v>
      </c>
      <c r="G245" s="32"/>
      <c r="H245" s="34">
        <f t="shared" si="6"/>
        <v>45768</v>
      </c>
      <c r="I245" s="5">
        <v>4</v>
      </c>
      <c r="J245" s="34">
        <f t="shared" si="7"/>
        <v>45773</v>
      </c>
      <c r="K245" s="32"/>
      <c r="L245" s="32"/>
      <c r="M245" s="32" t="s">
        <v>1</v>
      </c>
      <c r="N245" s="32"/>
    </row>
    <row r="246" spans="1:14" ht="19.5" customHeight="1" x14ac:dyDescent="0.25">
      <c r="A246" s="1">
        <v>4214</v>
      </c>
      <c r="B246" s="36">
        <v>45765</v>
      </c>
      <c r="C246" s="32"/>
      <c r="D246" s="4" t="s">
        <v>20</v>
      </c>
      <c r="E246" s="32"/>
      <c r="F246" s="5">
        <v>5</v>
      </c>
      <c r="G246" s="32"/>
      <c r="H246" s="34">
        <f t="shared" si="6"/>
        <v>45769</v>
      </c>
      <c r="I246" s="5">
        <v>9</v>
      </c>
      <c r="J246" s="34">
        <f t="shared" si="7"/>
        <v>45779</v>
      </c>
      <c r="K246" s="32"/>
      <c r="L246" s="32"/>
      <c r="M246" s="32" t="s">
        <v>1</v>
      </c>
      <c r="N246" s="32" t="s">
        <v>4</v>
      </c>
    </row>
    <row r="247" spans="1:14" ht="19.5" customHeight="1" x14ac:dyDescent="0.25">
      <c r="A247" s="1">
        <v>3063</v>
      </c>
      <c r="B247" s="36">
        <v>45766</v>
      </c>
      <c r="C247" s="32"/>
      <c r="D247" s="4" t="s">
        <v>7</v>
      </c>
      <c r="E247" s="32"/>
      <c r="F247" s="5">
        <v>5</v>
      </c>
      <c r="G247" s="32"/>
      <c r="H247" s="34">
        <f t="shared" si="6"/>
        <v>45770</v>
      </c>
      <c r="I247" s="5">
        <v>3</v>
      </c>
      <c r="J247" s="34">
        <f t="shared" si="7"/>
        <v>45774</v>
      </c>
      <c r="K247" s="32" t="s">
        <v>3</v>
      </c>
      <c r="L247" s="32" t="s">
        <v>5</v>
      </c>
      <c r="M247" s="32"/>
      <c r="N247" s="32"/>
    </row>
    <row r="248" spans="1:14" ht="19.5" customHeight="1" x14ac:dyDescent="0.25">
      <c r="A248" s="1">
        <v>1227</v>
      </c>
      <c r="B248" s="36">
        <v>45767</v>
      </c>
      <c r="C248" s="32"/>
      <c r="D248" s="4" t="s">
        <v>7</v>
      </c>
      <c r="E248" s="32"/>
      <c r="F248" s="5">
        <v>5</v>
      </c>
      <c r="G248" s="32"/>
      <c r="H248" s="34">
        <f t="shared" si="6"/>
        <v>45771</v>
      </c>
      <c r="I248" s="5">
        <v>3</v>
      </c>
      <c r="J248" s="34">
        <f t="shared" si="7"/>
        <v>45775</v>
      </c>
      <c r="K248" s="32"/>
      <c r="L248" s="32" t="s">
        <v>5</v>
      </c>
      <c r="M248" s="32"/>
      <c r="N248" s="32"/>
    </row>
    <row r="249" spans="1:14" ht="19.5" customHeight="1" x14ac:dyDescent="0.25">
      <c r="A249" s="1">
        <v>2544</v>
      </c>
      <c r="B249" s="36">
        <v>45767</v>
      </c>
      <c r="C249" s="32"/>
      <c r="D249" s="4" t="s">
        <v>7</v>
      </c>
      <c r="E249" s="32"/>
      <c r="F249" s="5">
        <v>5</v>
      </c>
      <c r="G249" s="32"/>
      <c r="H249" s="34">
        <f t="shared" si="6"/>
        <v>45771</v>
      </c>
      <c r="I249" s="5">
        <v>3</v>
      </c>
      <c r="J249" s="34">
        <f t="shared" si="7"/>
        <v>45775</v>
      </c>
      <c r="K249" s="32"/>
      <c r="L249" s="32"/>
      <c r="M249" s="32"/>
      <c r="N249" s="32" t="s">
        <v>4</v>
      </c>
    </row>
    <row r="250" spans="1:14" ht="19.5" customHeight="1" x14ac:dyDescent="0.25">
      <c r="A250" s="1">
        <v>2361</v>
      </c>
      <c r="B250" s="36">
        <v>45768</v>
      </c>
      <c r="C250" s="32"/>
      <c r="D250" s="4" t="s">
        <v>20</v>
      </c>
      <c r="E250" s="32"/>
      <c r="F250" s="5">
        <v>5</v>
      </c>
      <c r="G250" s="32"/>
      <c r="H250" s="34">
        <f t="shared" si="6"/>
        <v>45772</v>
      </c>
      <c r="I250" s="5">
        <v>9</v>
      </c>
      <c r="J250" s="34">
        <f t="shared" si="7"/>
        <v>45782</v>
      </c>
      <c r="K250" s="32"/>
      <c r="L250" s="32"/>
      <c r="M250" s="32"/>
      <c r="N250" s="32" t="s">
        <v>4</v>
      </c>
    </row>
    <row r="251" spans="1:14" ht="19.5" customHeight="1" x14ac:dyDescent="0.25">
      <c r="A251" s="1">
        <v>3564</v>
      </c>
      <c r="B251" s="36">
        <v>45769</v>
      </c>
      <c r="C251" s="32"/>
      <c r="D251" s="4" t="s">
        <v>8</v>
      </c>
      <c r="E251" s="32"/>
      <c r="F251" s="5">
        <v>5</v>
      </c>
      <c r="G251" s="32"/>
      <c r="H251" s="34">
        <f t="shared" si="6"/>
        <v>45773</v>
      </c>
      <c r="I251" s="5">
        <v>4</v>
      </c>
      <c r="J251" s="34">
        <f t="shared" si="7"/>
        <v>45778</v>
      </c>
      <c r="K251" s="32"/>
      <c r="L251" s="32"/>
      <c r="M251" s="32" t="s">
        <v>1</v>
      </c>
      <c r="N251" s="32"/>
    </row>
    <row r="252" spans="1:14" ht="19.5" customHeight="1" x14ac:dyDescent="0.25">
      <c r="A252" s="1">
        <v>3779</v>
      </c>
      <c r="B252" s="36">
        <v>45769</v>
      </c>
      <c r="C252" s="32"/>
      <c r="D252" s="4" t="s">
        <v>8</v>
      </c>
      <c r="E252" s="32"/>
      <c r="F252" s="5">
        <v>5</v>
      </c>
      <c r="G252" s="32"/>
      <c r="H252" s="34">
        <f t="shared" si="6"/>
        <v>45773</v>
      </c>
      <c r="I252" s="5">
        <v>4</v>
      </c>
      <c r="J252" s="34">
        <f t="shared" si="7"/>
        <v>45778</v>
      </c>
      <c r="K252" s="32"/>
      <c r="L252" s="32"/>
      <c r="M252" s="32" t="s">
        <v>1</v>
      </c>
      <c r="N252" s="32"/>
    </row>
    <row r="253" spans="1:14" ht="19.5" customHeight="1" x14ac:dyDescent="0.25">
      <c r="A253" s="1">
        <v>4124</v>
      </c>
      <c r="B253" s="36">
        <v>45769</v>
      </c>
      <c r="C253" s="32"/>
      <c r="D253" s="4" t="s">
        <v>7</v>
      </c>
      <c r="E253" s="32"/>
      <c r="F253" s="5">
        <v>5</v>
      </c>
      <c r="G253" s="32"/>
      <c r="H253" s="34">
        <f t="shared" si="6"/>
        <v>45773</v>
      </c>
      <c r="I253" s="5">
        <v>3</v>
      </c>
      <c r="J253" s="34">
        <f t="shared" si="7"/>
        <v>45777</v>
      </c>
      <c r="K253" s="32" t="s">
        <v>3</v>
      </c>
      <c r="L253" s="32"/>
      <c r="M253" s="32"/>
      <c r="N253" s="32"/>
    </row>
    <row r="254" spans="1:14" ht="19.5" customHeight="1" x14ac:dyDescent="0.25">
      <c r="A254" s="1">
        <v>2996</v>
      </c>
      <c r="B254" s="36">
        <v>45771</v>
      </c>
      <c r="C254" s="32"/>
      <c r="D254" s="4" t="s">
        <v>7</v>
      </c>
      <c r="E254" s="32"/>
      <c r="F254" s="5">
        <v>5</v>
      </c>
      <c r="G254" s="32"/>
      <c r="H254" s="34">
        <f t="shared" si="6"/>
        <v>45775</v>
      </c>
      <c r="I254" s="5">
        <v>3</v>
      </c>
      <c r="J254" s="34">
        <f t="shared" si="7"/>
        <v>45779</v>
      </c>
      <c r="K254" s="32"/>
      <c r="L254" s="32"/>
      <c r="M254" s="32"/>
      <c r="N254" s="32" t="s">
        <v>4</v>
      </c>
    </row>
    <row r="255" spans="1:14" ht="19.5" customHeight="1" x14ac:dyDescent="0.25">
      <c r="A255" s="1">
        <v>2018</v>
      </c>
      <c r="B255" s="36">
        <v>45771</v>
      </c>
      <c r="C255" s="32"/>
      <c r="D255" s="4" t="s">
        <v>7</v>
      </c>
      <c r="E255" s="32"/>
      <c r="F255" s="5">
        <v>5</v>
      </c>
      <c r="G255" s="32"/>
      <c r="H255" s="34">
        <f t="shared" si="6"/>
        <v>45775</v>
      </c>
      <c r="I255" s="5">
        <v>3</v>
      </c>
      <c r="J255" s="34">
        <f t="shared" si="7"/>
        <v>45779</v>
      </c>
      <c r="K255" s="32"/>
      <c r="L255" s="32"/>
      <c r="M255" s="32" t="s">
        <v>1</v>
      </c>
      <c r="N255" s="32"/>
    </row>
    <row r="256" spans="1:14" ht="19.5" customHeight="1" x14ac:dyDescent="0.25">
      <c r="A256" s="1">
        <v>3064</v>
      </c>
      <c r="B256" s="36">
        <v>45772</v>
      </c>
      <c r="C256" s="32"/>
      <c r="D256" s="4" t="s">
        <v>7</v>
      </c>
      <c r="E256" s="32"/>
      <c r="F256" s="5">
        <v>5</v>
      </c>
      <c r="G256" s="32"/>
      <c r="H256" s="34">
        <f t="shared" si="6"/>
        <v>45776</v>
      </c>
      <c r="I256" s="5">
        <v>3</v>
      </c>
      <c r="J256" s="34">
        <f t="shared" si="7"/>
        <v>45780</v>
      </c>
      <c r="K256" s="32"/>
      <c r="L256" s="32"/>
      <c r="M256" s="32"/>
      <c r="N256" s="32" t="s">
        <v>4</v>
      </c>
    </row>
    <row r="257" spans="1:14" ht="19.5" customHeight="1" x14ac:dyDescent="0.25">
      <c r="A257" s="1">
        <v>4416</v>
      </c>
      <c r="B257" s="36">
        <v>45772</v>
      </c>
      <c r="C257" s="32"/>
      <c r="D257" s="4" t="s">
        <v>20</v>
      </c>
      <c r="E257" s="32"/>
      <c r="F257" s="5">
        <v>5</v>
      </c>
      <c r="G257" s="32"/>
      <c r="H257" s="34">
        <f t="shared" si="6"/>
        <v>45776</v>
      </c>
      <c r="I257" s="5">
        <v>9</v>
      </c>
      <c r="J257" s="34">
        <f t="shared" si="7"/>
        <v>45786</v>
      </c>
      <c r="K257" s="32"/>
      <c r="L257" s="32"/>
      <c r="M257" s="32"/>
      <c r="N257" s="32" t="s">
        <v>4</v>
      </c>
    </row>
    <row r="258" spans="1:14" ht="19.5" customHeight="1" x14ac:dyDescent="0.25">
      <c r="A258" s="1">
        <v>4347</v>
      </c>
      <c r="B258" s="36">
        <v>45773</v>
      </c>
      <c r="C258" s="32"/>
      <c r="D258" s="4" t="s">
        <v>7</v>
      </c>
      <c r="E258" s="32"/>
      <c r="F258" s="5">
        <v>5</v>
      </c>
      <c r="G258" s="32"/>
      <c r="H258" s="34">
        <f t="shared" ref="H258:H321" si="8">B258+F258-1</f>
        <v>45777</v>
      </c>
      <c r="I258" s="5">
        <v>3</v>
      </c>
      <c r="J258" s="34">
        <f t="shared" ref="J258:J321" si="9">H258+I258+1</f>
        <v>45781</v>
      </c>
      <c r="K258" s="32" t="s">
        <v>3</v>
      </c>
      <c r="L258" s="32"/>
      <c r="M258" s="32"/>
      <c r="N258" s="32"/>
    </row>
    <row r="259" spans="1:14" ht="19.5" customHeight="1" x14ac:dyDescent="0.25">
      <c r="A259" s="1">
        <v>4033</v>
      </c>
      <c r="B259" s="36">
        <v>45773</v>
      </c>
      <c r="C259" s="32"/>
      <c r="D259" s="4" t="s">
        <v>7</v>
      </c>
      <c r="E259" s="32"/>
      <c r="F259" s="5">
        <v>5</v>
      </c>
      <c r="G259" s="32"/>
      <c r="H259" s="34">
        <f t="shared" si="8"/>
        <v>45777</v>
      </c>
      <c r="I259" s="5">
        <v>3</v>
      </c>
      <c r="J259" s="34">
        <f t="shared" si="9"/>
        <v>45781</v>
      </c>
      <c r="K259" s="32"/>
      <c r="L259" s="32" t="s">
        <v>5</v>
      </c>
      <c r="M259" s="32"/>
      <c r="N259" s="32"/>
    </row>
    <row r="260" spans="1:14" ht="19.5" customHeight="1" x14ac:dyDescent="0.25">
      <c r="A260" s="1">
        <v>3057</v>
      </c>
      <c r="B260" s="36">
        <v>45773</v>
      </c>
      <c r="C260" s="32"/>
      <c r="D260" s="4" t="s">
        <v>7</v>
      </c>
      <c r="E260" s="32"/>
      <c r="F260" s="5">
        <v>5</v>
      </c>
      <c r="G260" s="32"/>
      <c r="H260" s="34">
        <f t="shared" si="8"/>
        <v>45777</v>
      </c>
      <c r="I260" s="5">
        <v>3</v>
      </c>
      <c r="J260" s="34">
        <f t="shared" si="9"/>
        <v>45781</v>
      </c>
      <c r="K260" s="32"/>
      <c r="L260" s="32" t="s">
        <v>5</v>
      </c>
      <c r="M260" s="32"/>
      <c r="N260" s="32"/>
    </row>
    <row r="261" spans="1:14" ht="19.5" customHeight="1" x14ac:dyDescent="0.25">
      <c r="A261" s="1">
        <v>3433</v>
      </c>
      <c r="B261" s="36">
        <v>45775</v>
      </c>
      <c r="C261" s="32"/>
      <c r="D261" s="4" t="s">
        <v>7</v>
      </c>
      <c r="E261" s="32"/>
      <c r="F261" s="5">
        <v>5</v>
      </c>
      <c r="G261" s="32"/>
      <c r="H261" s="34">
        <f t="shared" si="8"/>
        <v>45779</v>
      </c>
      <c r="I261" s="5">
        <v>3</v>
      </c>
      <c r="J261" s="34">
        <f t="shared" si="9"/>
        <v>45783</v>
      </c>
      <c r="K261" s="32"/>
      <c r="L261" s="32"/>
      <c r="M261" s="32" t="s">
        <v>1</v>
      </c>
      <c r="N261" s="32"/>
    </row>
    <row r="262" spans="1:14" ht="19.5" customHeight="1" x14ac:dyDescent="0.25">
      <c r="A262" s="1">
        <v>3070</v>
      </c>
      <c r="B262" s="36">
        <v>45775</v>
      </c>
      <c r="C262" s="32"/>
      <c r="D262" s="4" t="s">
        <v>7</v>
      </c>
      <c r="E262" s="32"/>
      <c r="F262" s="5">
        <v>5</v>
      </c>
      <c r="G262" s="32"/>
      <c r="H262" s="34">
        <f t="shared" si="8"/>
        <v>45779</v>
      </c>
      <c r="I262" s="5">
        <v>3</v>
      </c>
      <c r="J262" s="34">
        <f t="shared" si="9"/>
        <v>45783</v>
      </c>
      <c r="K262" s="32"/>
      <c r="L262" s="32"/>
      <c r="M262" s="32" t="s">
        <v>1</v>
      </c>
      <c r="N262" s="32"/>
    </row>
    <row r="263" spans="1:14" ht="19.5" customHeight="1" x14ac:dyDescent="0.25">
      <c r="A263" s="1">
        <v>4366</v>
      </c>
      <c r="B263" s="36">
        <v>45775</v>
      </c>
      <c r="C263" s="32"/>
      <c r="D263" s="4" t="s">
        <v>7</v>
      </c>
      <c r="E263" s="32"/>
      <c r="F263" s="5">
        <v>5</v>
      </c>
      <c r="G263" s="32"/>
      <c r="H263" s="34">
        <f t="shared" si="8"/>
        <v>45779</v>
      </c>
      <c r="I263" s="5">
        <v>3</v>
      </c>
      <c r="J263" s="34">
        <f t="shared" si="9"/>
        <v>45783</v>
      </c>
      <c r="K263" s="32"/>
      <c r="L263" s="32"/>
      <c r="M263" s="32"/>
      <c r="N263" s="32" t="s">
        <v>4</v>
      </c>
    </row>
    <row r="264" spans="1:14" ht="19.5" customHeight="1" x14ac:dyDescent="0.25">
      <c r="A264" s="1">
        <v>4241</v>
      </c>
      <c r="B264" s="36">
        <v>45775</v>
      </c>
      <c r="C264" s="32"/>
      <c r="D264" s="4" t="s">
        <v>7</v>
      </c>
      <c r="E264" s="32"/>
      <c r="F264" s="5">
        <v>5</v>
      </c>
      <c r="G264" s="32"/>
      <c r="H264" s="34">
        <f t="shared" si="8"/>
        <v>45779</v>
      </c>
      <c r="I264" s="5">
        <v>3</v>
      </c>
      <c r="J264" s="34">
        <f t="shared" si="9"/>
        <v>45783</v>
      </c>
      <c r="K264" s="32" t="s">
        <v>3</v>
      </c>
      <c r="L264" s="32"/>
      <c r="M264" s="32"/>
      <c r="N264" s="32"/>
    </row>
    <row r="265" spans="1:14" ht="19.5" customHeight="1" x14ac:dyDescent="0.25">
      <c r="A265" s="1">
        <v>2439</v>
      </c>
      <c r="B265" s="36">
        <v>45776</v>
      </c>
      <c r="C265" s="32"/>
      <c r="D265" s="4" t="s">
        <v>20</v>
      </c>
      <c r="E265" s="32"/>
      <c r="F265" s="5">
        <v>5</v>
      </c>
      <c r="G265" s="32"/>
      <c r="H265" s="34">
        <f t="shared" si="8"/>
        <v>45780</v>
      </c>
      <c r="I265" s="5">
        <v>9</v>
      </c>
      <c r="J265" s="34">
        <f t="shared" si="9"/>
        <v>45790</v>
      </c>
      <c r="K265" s="32"/>
      <c r="L265" s="32" t="s">
        <v>5</v>
      </c>
      <c r="M265" s="32"/>
      <c r="N265" s="32"/>
    </row>
    <row r="266" spans="1:14" ht="19.5" customHeight="1" x14ac:dyDescent="0.25">
      <c r="A266" s="1">
        <v>4374</v>
      </c>
      <c r="B266" s="36">
        <v>45776</v>
      </c>
      <c r="C266" s="32"/>
      <c r="D266" s="4" t="s">
        <v>7</v>
      </c>
      <c r="E266" s="32"/>
      <c r="F266" s="5">
        <v>5</v>
      </c>
      <c r="G266" s="32"/>
      <c r="H266" s="34">
        <f t="shared" si="8"/>
        <v>45780</v>
      </c>
      <c r="I266" s="5">
        <v>3</v>
      </c>
      <c r="J266" s="34">
        <f t="shared" si="9"/>
        <v>45784</v>
      </c>
      <c r="K266" s="32"/>
      <c r="L266" s="32" t="s">
        <v>5</v>
      </c>
      <c r="M266" s="32"/>
      <c r="N266" s="32"/>
    </row>
    <row r="267" spans="1:14" ht="19.5" customHeight="1" x14ac:dyDescent="0.25">
      <c r="A267" s="1">
        <v>218</v>
      </c>
      <c r="B267" s="36">
        <v>45776</v>
      </c>
      <c r="C267" s="32"/>
      <c r="D267" s="4" t="s">
        <v>20</v>
      </c>
      <c r="E267" s="32"/>
      <c r="F267" s="5">
        <v>5</v>
      </c>
      <c r="G267" s="32"/>
      <c r="H267" s="34">
        <f t="shared" si="8"/>
        <v>45780</v>
      </c>
      <c r="I267" s="5">
        <v>9</v>
      </c>
      <c r="J267" s="34">
        <f t="shared" si="9"/>
        <v>45790</v>
      </c>
      <c r="K267" s="32" t="s">
        <v>3</v>
      </c>
      <c r="L267" s="32"/>
      <c r="M267" s="32"/>
      <c r="N267" s="32"/>
    </row>
    <row r="268" spans="1:14" ht="19.5" customHeight="1" x14ac:dyDescent="0.25">
      <c r="A268" s="1">
        <v>4124</v>
      </c>
      <c r="B268" s="36">
        <v>45777</v>
      </c>
      <c r="C268" s="32"/>
      <c r="D268" s="4" t="s">
        <v>7</v>
      </c>
      <c r="E268" s="32"/>
      <c r="F268" s="5">
        <v>5</v>
      </c>
      <c r="G268" s="32"/>
      <c r="H268" s="34">
        <f t="shared" si="8"/>
        <v>45781</v>
      </c>
      <c r="I268" s="5">
        <v>3</v>
      </c>
      <c r="J268" s="34">
        <f t="shared" si="9"/>
        <v>45785</v>
      </c>
      <c r="K268" s="32" t="s">
        <v>3</v>
      </c>
      <c r="L268" s="32"/>
      <c r="M268" s="32"/>
      <c r="N268" s="32"/>
    </row>
    <row r="269" spans="1:14" ht="19.5" customHeight="1" x14ac:dyDescent="0.25">
      <c r="A269" s="1">
        <v>3479</v>
      </c>
      <c r="B269" s="36">
        <v>45778</v>
      </c>
      <c r="C269" s="32"/>
      <c r="D269" s="4" t="s">
        <v>7</v>
      </c>
      <c r="E269" s="32"/>
      <c r="F269" s="5">
        <v>5</v>
      </c>
      <c r="G269" s="32"/>
      <c r="H269" s="34">
        <f t="shared" si="8"/>
        <v>45782</v>
      </c>
      <c r="I269" s="5">
        <v>3</v>
      </c>
      <c r="J269" s="34">
        <f t="shared" si="9"/>
        <v>45786</v>
      </c>
      <c r="K269" s="32" t="s">
        <v>3</v>
      </c>
      <c r="L269" s="32"/>
      <c r="M269" s="32"/>
      <c r="N269" s="32"/>
    </row>
    <row r="270" spans="1:14" ht="19.5" customHeight="1" x14ac:dyDescent="0.25">
      <c r="A270" s="1">
        <v>2385</v>
      </c>
      <c r="B270" s="36">
        <v>45778</v>
      </c>
      <c r="C270" s="32"/>
      <c r="D270" s="4" t="s">
        <v>7</v>
      </c>
      <c r="E270" s="32"/>
      <c r="F270" s="5">
        <v>5</v>
      </c>
      <c r="G270" s="32"/>
      <c r="H270" s="34">
        <f t="shared" si="8"/>
        <v>45782</v>
      </c>
      <c r="I270" s="5">
        <v>3</v>
      </c>
      <c r="J270" s="34">
        <f t="shared" si="9"/>
        <v>45786</v>
      </c>
      <c r="K270" s="32" t="s">
        <v>3</v>
      </c>
      <c r="L270" s="32"/>
      <c r="M270" s="32"/>
      <c r="N270" s="32"/>
    </row>
    <row r="271" spans="1:14" ht="19.5" customHeight="1" x14ac:dyDescent="0.25">
      <c r="A271" s="1">
        <v>3294</v>
      </c>
      <c r="B271" s="36">
        <v>45779</v>
      </c>
      <c r="C271" s="32"/>
      <c r="D271" s="4" t="s">
        <v>7</v>
      </c>
      <c r="E271" s="32"/>
      <c r="F271" s="5">
        <v>5</v>
      </c>
      <c r="G271" s="32"/>
      <c r="H271" s="34">
        <f t="shared" si="8"/>
        <v>45783</v>
      </c>
      <c r="I271" s="5">
        <v>3</v>
      </c>
      <c r="J271" s="34">
        <f t="shared" si="9"/>
        <v>45787</v>
      </c>
      <c r="K271" s="32" t="s">
        <v>3</v>
      </c>
      <c r="L271" s="32"/>
      <c r="M271" s="32"/>
      <c r="N271" s="32"/>
    </row>
    <row r="272" spans="1:14" ht="19.5" customHeight="1" x14ac:dyDescent="0.25">
      <c r="A272" s="1">
        <v>2361</v>
      </c>
      <c r="B272" s="36">
        <v>45779</v>
      </c>
      <c r="C272" s="32"/>
      <c r="D272" s="4" t="s">
        <v>20</v>
      </c>
      <c r="E272" s="32"/>
      <c r="F272" s="5">
        <v>5</v>
      </c>
      <c r="G272" s="32"/>
      <c r="H272" s="34">
        <f t="shared" si="8"/>
        <v>45783</v>
      </c>
      <c r="I272" s="5">
        <v>9</v>
      </c>
      <c r="J272" s="34">
        <f t="shared" si="9"/>
        <v>45793</v>
      </c>
      <c r="K272" s="32"/>
      <c r="L272" s="32"/>
      <c r="M272" s="32"/>
      <c r="N272" s="32" t="s">
        <v>4</v>
      </c>
    </row>
    <row r="273" spans="1:14" ht="19.5" customHeight="1" x14ac:dyDescent="0.25">
      <c r="A273" s="1">
        <v>3909</v>
      </c>
      <c r="B273" s="36">
        <v>45779</v>
      </c>
      <c r="C273" s="32"/>
      <c r="D273" s="4" t="s">
        <v>7</v>
      </c>
      <c r="E273" s="32"/>
      <c r="F273" s="5">
        <v>5</v>
      </c>
      <c r="G273" s="32"/>
      <c r="H273" s="34">
        <f t="shared" si="8"/>
        <v>45783</v>
      </c>
      <c r="I273" s="5">
        <v>3</v>
      </c>
      <c r="J273" s="34">
        <f t="shared" si="9"/>
        <v>45787</v>
      </c>
      <c r="K273" s="32" t="s">
        <v>3</v>
      </c>
      <c r="L273" s="32"/>
      <c r="M273" s="32"/>
      <c r="N273" s="32" t="s">
        <v>4</v>
      </c>
    </row>
    <row r="274" spans="1:14" ht="19.5" customHeight="1" x14ac:dyDescent="0.25">
      <c r="A274" s="1">
        <v>4641</v>
      </c>
      <c r="B274" s="36">
        <v>45779</v>
      </c>
      <c r="C274" s="32"/>
      <c r="D274" s="4" t="s">
        <v>7</v>
      </c>
      <c r="E274" s="32"/>
      <c r="F274" s="5">
        <v>5</v>
      </c>
      <c r="G274" s="32"/>
      <c r="H274" s="34">
        <f t="shared" si="8"/>
        <v>45783</v>
      </c>
      <c r="I274" s="5">
        <v>3</v>
      </c>
      <c r="J274" s="34">
        <f t="shared" si="9"/>
        <v>45787</v>
      </c>
      <c r="K274" s="32"/>
      <c r="L274" s="32"/>
      <c r="M274" s="32"/>
      <c r="N274" s="32" t="s">
        <v>4</v>
      </c>
    </row>
    <row r="275" spans="1:14" ht="19.5" customHeight="1" x14ac:dyDescent="0.25">
      <c r="A275" s="1">
        <v>2979</v>
      </c>
      <c r="B275" s="36">
        <v>45780</v>
      </c>
      <c r="C275" s="32"/>
      <c r="D275" s="4" t="s">
        <v>7</v>
      </c>
      <c r="E275" s="32"/>
      <c r="F275" s="5">
        <v>5</v>
      </c>
      <c r="G275" s="32"/>
      <c r="H275" s="34">
        <f t="shared" si="8"/>
        <v>45784</v>
      </c>
      <c r="I275" s="5">
        <v>3</v>
      </c>
      <c r="J275" s="34">
        <f t="shared" si="9"/>
        <v>45788</v>
      </c>
      <c r="K275" s="32"/>
      <c r="L275" s="32"/>
      <c r="M275" s="32"/>
      <c r="N275" s="32" t="s">
        <v>4</v>
      </c>
    </row>
    <row r="276" spans="1:14" ht="19.5" customHeight="1" x14ac:dyDescent="0.25">
      <c r="A276" s="1">
        <v>3804</v>
      </c>
      <c r="B276" s="36">
        <v>45780</v>
      </c>
      <c r="C276" s="32"/>
      <c r="D276" s="4" t="s">
        <v>7</v>
      </c>
      <c r="E276" s="32"/>
      <c r="F276" s="5">
        <v>5</v>
      </c>
      <c r="G276" s="32"/>
      <c r="H276" s="34">
        <f t="shared" si="8"/>
        <v>45784</v>
      </c>
      <c r="I276" s="5">
        <v>3</v>
      </c>
      <c r="J276" s="34">
        <f t="shared" si="9"/>
        <v>45788</v>
      </c>
      <c r="K276" s="32"/>
      <c r="L276" s="32"/>
      <c r="M276" s="32"/>
      <c r="N276" s="32" t="s">
        <v>4</v>
      </c>
    </row>
    <row r="277" spans="1:14" ht="19.5" customHeight="1" x14ac:dyDescent="0.25">
      <c r="A277" s="1">
        <v>3779</v>
      </c>
      <c r="B277" s="36">
        <v>45780</v>
      </c>
      <c r="C277" s="32"/>
      <c r="D277" s="4" t="s">
        <v>7</v>
      </c>
      <c r="E277" s="32"/>
      <c r="F277" s="5">
        <v>5</v>
      </c>
      <c r="G277" s="32"/>
      <c r="H277" s="34">
        <f t="shared" si="8"/>
        <v>45784</v>
      </c>
      <c r="I277" s="5">
        <v>3</v>
      </c>
      <c r="J277" s="34">
        <f t="shared" si="9"/>
        <v>45788</v>
      </c>
      <c r="K277" s="32"/>
      <c r="L277" s="32"/>
      <c r="M277" s="32" t="s">
        <v>1</v>
      </c>
      <c r="N277" s="32"/>
    </row>
    <row r="278" spans="1:14" ht="19.5" customHeight="1" x14ac:dyDescent="0.25">
      <c r="A278" s="1">
        <v>2020</v>
      </c>
      <c r="B278" s="36">
        <v>45780</v>
      </c>
      <c r="C278" s="32"/>
      <c r="D278" s="4" t="s">
        <v>7</v>
      </c>
      <c r="E278" s="32"/>
      <c r="F278" s="5">
        <v>5</v>
      </c>
      <c r="G278" s="32"/>
      <c r="H278" s="34">
        <f t="shared" si="8"/>
        <v>45784</v>
      </c>
      <c r="I278" s="5">
        <v>3</v>
      </c>
      <c r="J278" s="34">
        <f t="shared" si="9"/>
        <v>45788</v>
      </c>
      <c r="K278" s="32"/>
      <c r="L278" s="32" t="s">
        <v>5</v>
      </c>
      <c r="M278" s="32"/>
      <c r="N278" s="32"/>
    </row>
    <row r="279" spans="1:14" ht="19.5" customHeight="1" x14ac:dyDescent="0.25">
      <c r="A279" s="1">
        <v>4676</v>
      </c>
      <c r="B279" s="36">
        <v>45781</v>
      </c>
      <c r="C279" s="32"/>
      <c r="D279" s="4" t="s">
        <v>7</v>
      </c>
      <c r="E279" s="32"/>
      <c r="F279" s="5">
        <v>5</v>
      </c>
      <c r="G279" s="32"/>
      <c r="H279" s="34">
        <f t="shared" si="8"/>
        <v>45785</v>
      </c>
      <c r="I279" s="5">
        <v>3</v>
      </c>
      <c r="J279" s="34">
        <f t="shared" si="9"/>
        <v>45789</v>
      </c>
      <c r="K279" s="32"/>
      <c r="L279" s="32"/>
      <c r="M279" s="32"/>
      <c r="N279" s="32" t="s">
        <v>4</v>
      </c>
    </row>
    <row r="280" spans="1:14" ht="19.5" customHeight="1" x14ac:dyDescent="0.25">
      <c r="A280" s="1">
        <v>4366</v>
      </c>
      <c r="B280" s="36">
        <v>45782</v>
      </c>
      <c r="C280" s="32"/>
      <c r="D280" s="4" t="s">
        <v>20</v>
      </c>
      <c r="E280" s="32"/>
      <c r="F280" s="5">
        <v>5</v>
      </c>
      <c r="G280" s="32"/>
      <c r="H280" s="34">
        <f t="shared" si="8"/>
        <v>45786</v>
      </c>
      <c r="I280" s="5">
        <v>9</v>
      </c>
      <c r="J280" s="34">
        <f t="shared" si="9"/>
        <v>45796</v>
      </c>
      <c r="K280" s="32"/>
      <c r="L280" s="32"/>
      <c r="M280" s="32"/>
      <c r="N280" s="32" t="s">
        <v>4</v>
      </c>
    </row>
    <row r="281" spans="1:14" ht="19.5" customHeight="1" x14ac:dyDescent="0.25">
      <c r="A281" s="1">
        <v>4713</v>
      </c>
      <c r="B281" s="36">
        <v>45783</v>
      </c>
      <c r="C281" s="32"/>
      <c r="D281" s="4" t="s">
        <v>7</v>
      </c>
      <c r="E281" s="32"/>
      <c r="F281" s="5">
        <v>5</v>
      </c>
      <c r="G281" s="32"/>
      <c r="H281" s="34">
        <f t="shared" si="8"/>
        <v>45787</v>
      </c>
      <c r="I281" s="5">
        <v>3</v>
      </c>
      <c r="J281" s="34">
        <f t="shared" si="9"/>
        <v>45791</v>
      </c>
      <c r="K281" s="32"/>
      <c r="L281" s="32" t="s">
        <v>5</v>
      </c>
      <c r="M281" s="32"/>
      <c r="N281" s="32"/>
    </row>
    <row r="282" spans="1:14" ht="19.5" customHeight="1" x14ac:dyDescent="0.25">
      <c r="A282" s="1">
        <v>3070</v>
      </c>
      <c r="B282" s="36">
        <v>45783</v>
      </c>
      <c r="C282" s="32"/>
      <c r="D282" s="4" t="s">
        <v>7</v>
      </c>
      <c r="E282" s="32"/>
      <c r="F282" s="5">
        <v>5</v>
      </c>
      <c r="G282" s="32"/>
      <c r="H282" s="34">
        <f t="shared" si="8"/>
        <v>45787</v>
      </c>
      <c r="I282" s="5">
        <v>3</v>
      </c>
      <c r="J282" s="34">
        <f t="shared" si="9"/>
        <v>45791</v>
      </c>
      <c r="K282" s="32"/>
      <c r="L282" s="32"/>
      <c r="M282" s="32" t="s">
        <v>1</v>
      </c>
      <c r="N282" s="32"/>
    </row>
    <row r="283" spans="1:14" ht="19.5" customHeight="1" x14ac:dyDescent="0.25">
      <c r="A283" s="1">
        <v>3845</v>
      </c>
      <c r="B283" s="36">
        <v>45783</v>
      </c>
      <c r="C283" s="32"/>
      <c r="D283" s="4" t="s">
        <v>7</v>
      </c>
      <c r="E283" s="32"/>
      <c r="F283" s="5">
        <v>5</v>
      </c>
      <c r="G283" s="32"/>
      <c r="H283" s="34">
        <f t="shared" si="8"/>
        <v>45787</v>
      </c>
      <c r="I283" s="5">
        <v>3</v>
      </c>
      <c r="J283" s="34">
        <f t="shared" si="9"/>
        <v>45791</v>
      </c>
      <c r="K283" s="32"/>
      <c r="L283" s="32"/>
      <c r="M283" s="32" t="s">
        <v>1</v>
      </c>
      <c r="N283" s="32"/>
    </row>
    <row r="284" spans="1:14" ht="19.5" customHeight="1" x14ac:dyDescent="0.25">
      <c r="A284" s="1">
        <v>2969</v>
      </c>
      <c r="B284" s="36">
        <v>45785</v>
      </c>
      <c r="C284" s="32"/>
      <c r="D284" s="4" t="s">
        <v>7</v>
      </c>
      <c r="E284" s="32"/>
      <c r="F284" s="5">
        <v>5</v>
      </c>
      <c r="G284" s="32"/>
      <c r="H284" s="34">
        <f t="shared" si="8"/>
        <v>45789</v>
      </c>
      <c r="I284" s="5">
        <v>3</v>
      </c>
      <c r="J284" s="34">
        <f t="shared" si="9"/>
        <v>45793</v>
      </c>
      <c r="K284" s="32"/>
      <c r="L284" s="32" t="s">
        <v>5</v>
      </c>
      <c r="M284" s="32"/>
      <c r="N284" s="32"/>
    </row>
    <row r="285" spans="1:14" ht="19.5" customHeight="1" x14ac:dyDescent="0.25">
      <c r="A285" s="1">
        <v>3479</v>
      </c>
      <c r="B285" s="36">
        <v>45786</v>
      </c>
      <c r="C285" s="32"/>
      <c r="D285" s="4" t="s">
        <v>20</v>
      </c>
      <c r="E285" s="32"/>
      <c r="F285" s="5">
        <v>5</v>
      </c>
      <c r="G285" s="32"/>
      <c r="H285" s="34">
        <f t="shared" si="8"/>
        <v>45790</v>
      </c>
      <c r="I285" s="5">
        <v>9</v>
      </c>
      <c r="J285" s="34">
        <f t="shared" si="9"/>
        <v>45800</v>
      </c>
      <c r="K285" s="32" t="s">
        <v>3</v>
      </c>
      <c r="L285" s="32"/>
      <c r="M285" s="32" t="s">
        <v>1</v>
      </c>
      <c r="N285" s="32"/>
    </row>
    <row r="286" spans="1:14" ht="19.5" customHeight="1" x14ac:dyDescent="0.25">
      <c r="A286" s="1">
        <v>4154</v>
      </c>
      <c r="B286" s="36">
        <v>45786</v>
      </c>
      <c r="C286" s="32"/>
      <c r="D286" s="4" t="s">
        <v>20</v>
      </c>
      <c r="E286" s="32"/>
      <c r="F286" s="5">
        <v>5</v>
      </c>
      <c r="G286" s="32"/>
      <c r="H286" s="34">
        <f t="shared" si="8"/>
        <v>45790</v>
      </c>
      <c r="I286" s="5">
        <v>9</v>
      </c>
      <c r="J286" s="34">
        <f t="shared" si="9"/>
        <v>45800</v>
      </c>
      <c r="K286" s="32" t="s">
        <v>3</v>
      </c>
      <c r="L286" s="32"/>
      <c r="M286" s="32" t="s">
        <v>1</v>
      </c>
      <c r="N286" s="32"/>
    </row>
    <row r="287" spans="1:14" ht="19.5" customHeight="1" x14ac:dyDescent="0.25">
      <c r="A287" s="1">
        <v>3064</v>
      </c>
      <c r="B287" s="36">
        <v>45786</v>
      </c>
      <c r="C287" s="32"/>
      <c r="D287" s="4" t="s">
        <v>20</v>
      </c>
      <c r="E287" s="32"/>
      <c r="F287" s="5">
        <v>5</v>
      </c>
      <c r="G287" s="32"/>
      <c r="H287" s="34">
        <f t="shared" si="8"/>
        <v>45790</v>
      </c>
      <c r="I287" s="5">
        <v>9</v>
      </c>
      <c r="J287" s="34">
        <f t="shared" si="9"/>
        <v>45800</v>
      </c>
      <c r="K287" s="32"/>
      <c r="L287" s="32"/>
      <c r="M287" s="32"/>
      <c r="N287" s="32" t="s">
        <v>4</v>
      </c>
    </row>
    <row r="288" spans="1:14" ht="19.5" customHeight="1" x14ac:dyDescent="0.25">
      <c r="A288" s="1">
        <v>4298</v>
      </c>
      <c r="B288" s="36">
        <v>45786</v>
      </c>
      <c r="C288" s="32"/>
      <c r="D288" s="4" t="s">
        <v>7</v>
      </c>
      <c r="E288" s="32"/>
      <c r="F288" s="5">
        <v>5</v>
      </c>
      <c r="G288" s="32"/>
      <c r="H288" s="34">
        <f t="shared" si="8"/>
        <v>45790</v>
      </c>
      <c r="I288" s="5">
        <v>3</v>
      </c>
      <c r="J288" s="34">
        <f t="shared" si="9"/>
        <v>45794</v>
      </c>
      <c r="K288" s="32"/>
      <c r="L288" s="32" t="s">
        <v>5</v>
      </c>
      <c r="M288" s="32"/>
      <c r="N288" s="32" t="s">
        <v>4</v>
      </c>
    </row>
    <row r="289" spans="1:14" ht="19.5" customHeight="1" x14ac:dyDescent="0.25">
      <c r="A289" s="1">
        <v>3800</v>
      </c>
      <c r="B289" s="36">
        <v>45786</v>
      </c>
      <c r="C289" s="32"/>
      <c r="D289" s="4" t="s">
        <v>7</v>
      </c>
      <c r="E289" s="32"/>
      <c r="F289" s="5">
        <v>5</v>
      </c>
      <c r="G289" s="32"/>
      <c r="H289" s="34">
        <f t="shared" si="8"/>
        <v>45790</v>
      </c>
      <c r="I289" s="5">
        <v>3</v>
      </c>
      <c r="J289" s="34">
        <f t="shared" si="9"/>
        <v>45794</v>
      </c>
      <c r="K289" s="32" t="s">
        <v>3</v>
      </c>
      <c r="L289" s="32"/>
      <c r="M289" s="32"/>
      <c r="N289" s="32"/>
    </row>
    <row r="290" spans="1:14" ht="19.5" customHeight="1" x14ac:dyDescent="0.25">
      <c r="A290" s="1">
        <v>2814</v>
      </c>
      <c r="B290" s="36">
        <v>45786</v>
      </c>
      <c r="C290" s="32"/>
      <c r="D290" s="4" t="s">
        <v>7</v>
      </c>
      <c r="E290" s="32"/>
      <c r="F290" s="5">
        <v>5</v>
      </c>
      <c r="G290" s="32"/>
      <c r="H290" s="34">
        <f t="shared" si="8"/>
        <v>45790</v>
      </c>
      <c r="I290" s="5">
        <v>3</v>
      </c>
      <c r="J290" s="34">
        <f t="shared" si="9"/>
        <v>45794</v>
      </c>
      <c r="K290" s="32"/>
      <c r="L290" s="32" t="s">
        <v>5</v>
      </c>
      <c r="M290" s="32"/>
      <c r="N290" s="32"/>
    </row>
    <row r="291" spans="1:14" ht="19.5" customHeight="1" x14ac:dyDescent="0.25">
      <c r="A291" s="1">
        <v>2361</v>
      </c>
      <c r="B291" s="36">
        <v>45787</v>
      </c>
      <c r="C291" s="32"/>
      <c r="D291" s="4" t="s">
        <v>23</v>
      </c>
      <c r="E291" s="32"/>
      <c r="F291" s="5">
        <v>5</v>
      </c>
      <c r="G291" s="32"/>
      <c r="H291" s="34">
        <f t="shared" si="8"/>
        <v>45791</v>
      </c>
      <c r="I291" s="5">
        <v>2</v>
      </c>
      <c r="J291" s="34">
        <f t="shared" si="9"/>
        <v>45794</v>
      </c>
      <c r="K291" s="32"/>
      <c r="L291" s="32"/>
      <c r="M291" s="32"/>
      <c r="N291" s="32" t="s">
        <v>4</v>
      </c>
    </row>
    <row r="292" spans="1:14" ht="19.5" customHeight="1" x14ac:dyDescent="0.25">
      <c r="A292" s="1">
        <v>3579</v>
      </c>
      <c r="B292" s="36">
        <v>45787</v>
      </c>
      <c r="C292" s="32"/>
      <c r="D292" s="4" t="s">
        <v>20</v>
      </c>
      <c r="E292" s="32"/>
      <c r="F292" s="5">
        <v>5</v>
      </c>
      <c r="G292" s="32"/>
      <c r="H292" s="34">
        <f t="shared" si="8"/>
        <v>45791</v>
      </c>
      <c r="I292" s="5">
        <v>9</v>
      </c>
      <c r="J292" s="34">
        <f t="shared" si="9"/>
        <v>45801</v>
      </c>
      <c r="K292" s="32"/>
      <c r="L292" s="32"/>
      <c r="M292" s="32"/>
      <c r="N292" s="32" t="s">
        <v>4</v>
      </c>
    </row>
    <row r="293" spans="1:14" ht="19.5" customHeight="1" x14ac:dyDescent="0.25">
      <c r="A293" s="1">
        <v>3779</v>
      </c>
      <c r="B293" s="36">
        <v>45788</v>
      </c>
      <c r="C293" s="32"/>
      <c r="D293" s="4" t="s">
        <v>20</v>
      </c>
      <c r="E293" s="32"/>
      <c r="F293" s="5">
        <v>5</v>
      </c>
      <c r="G293" s="32"/>
      <c r="H293" s="34">
        <f t="shared" si="8"/>
        <v>45792</v>
      </c>
      <c r="I293" s="5">
        <v>9</v>
      </c>
      <c r="J293" s="34">
        <f t="shared" si="9"/>
        <v>45802</v>
      </c>
      <c r="K293" s="32"/>
      <c r="L293" s="32"/>
      <c r="M293" s="32" t="s">
        <v>1</v>
      </c>
      <c r="N293" s="32"/>
    </row>
    <row r="294" spans="1:14" ht="19.5" customHeight="1" x14ac:dyDescent="0.25">
      <c r="A294" s="1">
        <v>3909</v>
      </c>
      <c r="B294" s="36">
        <v>45788</v>
      </c>
      <c r="C294" s="32"/>
      <c r="D294" s="4" t="s">
        <v>20</v>
      </c>
      <c r="E294" s="32"/>
      <c r="F294" s="5">
        <v>5</v>
      </c>
      <c r="G294" s="32"/>
      <c r="H294" s="34">
        <f t="shared" si="8"/>
        <v>45792</v>
      </c>
      <c r="I294" s="5">
        <v>9</v>
      </c>
      <c r="J294" s="34">
        <f t="shared" si="9"/>
        <v>45802</v>
      </c>
      <c r="K294" s="32" t="s">
        <v>3</v>
      </c>
      <c r="L294" s="32"/>
      <c r="M294" s="32" t="s">
        <v>1</v>
      </c>
      <c r="N294" s="32"/>
    </row>
    <row r="295" spans="1:14" ht="19.5" customHeight="1" x14ac:dyDescent="0.25">
      <c r="A295" s="1">
        <v>3554</v>
      </c>
      <c r="B295" s="36">
        <v>45788</v>
      </c>
      <c r="C295" s="32"/>
      <c r="D295" s="4" t="s">
        <v>7</v>
      </c>
      <c r="E295" s="32"/>
      <c r="F295" s="5">
        <v>5</v>
      </c>
      <c r="G295" s="32"/>
      <c r="H295" s="34">
        <f t="shared" si="8"/>
        <v>45792</v>
      </c>
      <c r="I295" s="5">
        <v>3</v>
      </c>
      <c r="J295" s="34">
        <f t="shared" si="9"/>
        <v>45796</v>
      </c>
      <c r="K295" s="32" t="s">
        <v>3</v>
      </c>
      <c r="L295" s="32"/>
      <c r="M295" s="32"/>
      <c r="N295" s="32"/>
    </row>
    <row r="296" spans="1:14" ht="19.5" customHeight="1" x14ac:dyDescent="0.25">
      <c r="A296" s="1">
        <v>4714</v>
      </c>
      <c r="B296" s="36">
        <v>45788</v>
      </c>
      <c r="C296" s="32"/>
      <c r="D296" s="4" t="s">
        <v>7</v>
      </c>
      <c r="E296" s="32"/>
      <c r="F296" s="5">
        <v>5</v>
      </c>
      <c r="G296" s="32"/>
      <c r="H296" s="34">
        <f t="shared" si="8"/>
        <v>45792</v>
      </c>
      <c r="I296" s="5">
        <v>3</v>
      </c>
      <c r="J296" s="34">
        <f t="shared" si="9"/>
        <v>45796</v>
      </c>
      <c r="K296" s="32" t="s">
        <v>3</v>
      </c>
      <c r="L296" s="32"/>
      <c r="M296" s="32"/>
      <c r="N296" s="32"/>
    </row>
    <row r="297" spans="1:14" ht="19.5" customHeight="1" x14ac:dyDescent="0.25">
      <c r="A297" s="1">
        <v>3881</v>
      </c>
      <c r="B297" s="36">
        <v>45789</v>
      </c>
      <c r="C297" s="32"/>
      <c r="D297" s="4" t="s">
        <v>7</v>
      </c>
      <c r="E297" s="32"/>
      <c r="F297" s="5">
        <v>5</v>
      </c>
      <c r="G297" s="32"/>
      <c r="H297" s="34">
        <f t="shared" si="8"/>
        <v>45793</v>
      </c>
      <c r="I297" s="5">
        <v>3</v>
      </c>
      <c r="J297" s="34">
        <f t="shared" si="9"/>
        <v>45797</v>
      </c>
      <c r="K297" s="32"/>
      <c r="L297" s="32"/>
      <c r="M297" s="32"/>
      <c r="N297" s="32" t="s">
        <v>4</v>
      </c>
    </row>
    <row r="298" spans="1:14" ht="19.5" customHeight="1" x14ac:dyDescent="0.25">
      <c r="A298" s="1">
        <v>3803</v>
      </c>
      <c r="B298" s="36">
        <v>45789</v>
      </c>
      <c r="C298" s="32"/>
      <c r="D298" s="4" t="s">
        <v>7</v>
      </c>
      <c r="E298" s="32"/>
      <c r="F298" s="5">
        <v>5</v>
      </c>
      <c r="G298" s="32"/>
      <c r="H298" s="34">
        <f t="shared" si="8"/>
        <v>45793</v>
      </c>
      <c r="I298" s="5">
        <v>3</v>
      </c>
      <c r="J298" s="34">
        <f t="shared" si="9"/>
        <v>45797</v>
      </c>
      <c r="K298" s="32" t="s">
        <v>3</v>
      </c>
      <c r="L298" s="32"/>
      <c r="M298" s="32"/>
      <c r="N298" s="32"/>
    </row>
    <row r="299" spans="1:14" ht="19.5" customHeight="1" x14ac:dyDescent="0.25">
      <c r="A299" s="1">
        <v>1075</v>
      </c>
      <c r="B299" s="36">
        <v>45790</v>
      </c>
      <c r="C299" s="32"/>
      <c r="D299" s="4" t="s">
        <v>7</v>
      </c>
      <c r="E299" s="32"/>
      <c r="F299" s="5">
        <v>5</v>
      </c>
      <c r="G299" s="32"/>
      <c r="H299" s="34">
        <f t="shared" si="8"/>
        <v>45794</v>
      </c>
      <c r="I299" s="5">
        <v>3</v>
      </c>
      <c r="J299" s="34">
        <f t="shared" si="9"/>
        <v>45798</v>
      </c>
      <c r="K299" s="32" t="s">
        <v>3</v>
      </c>
      <c r="L299" s="32"/>
      <c r="M299" s="32"/>
      <c r="N299" s="32"/>
    </row>
    <row r="300" spans="1:14" ht="19.5" customHeight="1" x14ac:dyDescent="0.25">
      <c r="A300" s="1">
        <v>3376</v>
      </c>
      <c r="B300" s="36">
        <v>45761</v>
      </c>
      <c r="C300" s="32"/>
      <c r="D300" s="4" t="s">
        <v>7</v>
      </c>
      <c r="E300" s="32"/>
      <c r="F300" s="5">
        <v>5</v>
      </c>
      <c r="G300" s="32"/>
      <c r="H300" s="34">
        <f t="shared" si="8"/>
        <v>45765</v>
      </c>
      <c r="I300" s="5">
        <v>3</v>
      </c>
      <c r="J300" s="34">
        <f t="shared" si="9"/>
        <v>45769</v>
      </c>
      <c r="K300" s="32"/>
      <c r="L300" s="32"/>
      <c r="M300" s="32" t="s">
        <v>1</v>
      </c>
      <c r="N300" s="32"/>
    </row>
    <row r="301" spans="1:14" ht="19.5" customHeight="1" x14ac:dyDescent="0.25">
      <c r="A301" s="1">
        <v>3412</v>
      </c>
      <c r="B301" s="36">
        <v>45792</v>
      </c>
      <c r="C301" s="32"/>
      <c r="D301" s="4" t="s">
        <v>20</v>
      </c>
      <c r="E301" s="32"/>
      <c r="F301" s="5">
        <v>5</v>
      </c>
      <c r="G301" s="32"/>
      <c r="H301" s="34">
        <f t="shared" si="8"/>
        <v>45796</v>
      </c>
      <c r="I301" s="5">
        <v>9</v>
      </c>
      <c r="J301" s="34">
        <f t="shared" si="9"/>
        <v>45806</v>
      </c>
      <c r="K301" s="32"/>
      <c r="L301" s="32" t="s">
        <v>5</v>
      </c>
      <c r="M301" s="32"/>
      <c r="N301" s="32"/>
    </row>
    <row r="302" spans="1:14" ht="19.5" customHeight="1" x14ac:dyDescent="0.25">
      <c r="A302" s="1">
        <v>3391</v>
      </c>
      <c r="B302" s="36">
        <v>45792</v>
      </c>
      <c r="C302" s="32"/>
      <c r="D302" s="4" t="s">
        <v>20</v>
      </c>
      <c r="E302" s="32"/>
      <c r="F302" s="5">
        <v>5</v>
      </c>
      <c r="G302" s="32"/>
      <c r="H302" s="34">
        <f t="shared" si="8"/>
        <v>45796</v>
      </c>
      <c r="I302" s="5">
        <v>9</v>
      </c>
      <c r="J302" s="34">
        <f t="shared" si="9"/>
        <v>45806</v>
      </c>
      <c r="K302" s="32" t="s">
        <v>3</v>
      </c>
      <c r="L302" s="32"/>
      <c r="M302" s="32"/>
      <c r="N302" s="32"/>
    </row>
    <row r="303" spans="1:14" ht="19.5" customHeight="1" x14ac:dyDescent="0.25">
      <c r="A303" s="1">
        <v>4292</v>
      </c>
      <c r="B303" s="36">
        <v>45762</v>
      </c>
      <c r="C303" s="32"/>
      <c r="D303" s="4" t="s">
        <v>20</v>
      </c>
      <c r="E303" s="32"/>
      <c r="F303" s="5">
        <v>5</v>
      </c>
      <c r="G303" s="32"/>
      <c r="H303" s="34">
        <f t="shared" si="8"/>
        <v>45766</v>
      </c>
      <c r="I303" s="5">
        <v>9</v>
      </c>
      <c r="J303" s="34">
        <f t="shared" si="9"/>
        <v>45776</v>
      </c>
      <c r="K303" s="32"/>
      <c r="L303" s="32" t="s">
        <v>5</v>
      </c>
      <c r="M303" s="32"/>
      <c r="N303" s="32"/>
    </row>
    <row r="304" spans="1:14" ht="19.5" customHeight="1" x14ac:dyDescent="0.25">
      <c r="A304" s="1">
        <v>4275</v>
      </c>
      <c r="B304" s="36">
        <v>45793</v>
      </c>
      <c r="C304" s="32"/>
      <c r="D304" s="4" t="s">
        <v>7</v>
      </c>
      <c r="E304" s="32"/>
      <c r="F304" s="5">
        <v>5</v>
      </c>
      <c r="G304" s="32"/>
      <c r="H304" s="34">
        <f t="shared" si="8"/>
        <v>45797</v>
      </c>
      <c r="I304" s="5">
        <v>3</v>
      </c>
      <c r="J304" s="34">
        <f t="shared" si="9"/>
        <v>45801</v>
      </c>
      <c r="K304" s="32"/>
      <c r="L304" s="32" t="s">
        <v>5</v>
      </c>
      <c r="M304" s="32"/>
      <c r="N304" s="32"/>
    </row>
    <row r="305" spans="1:14" ht="19.5" customHeight="1" x14ac:dyDescent="0.25">
      <c r="A305" s="1">
        <v>1075</v>
      </c>
      <c r="B305" s="36">
        <v>45763</v>
      </c>
      <c r="C305" s="32"/>
      <c r="D305" s="4" t="s">
        <v>0</v>
      </c>
      <c r="E305" s="32"/>
      <c r="F305" s="5">
        <v>5</v>
      </c>
      <c r="G305" s="32"/>
      <c r="H305" s="34">
        <f t="shared" si="8"/>
        <v>45767</v>
      </c>
      <c r="I305" s="5">
        <v>5</v>
      </c>
      <c r="J305" s="34">
        <f t="shared" si="9"/>
        <v>45773</v>
      </c>
      <c r="K305" s="32" t="s">
        <v>3</v>
      </c>
      <c r="L305" s="32"/>
      <c r="M305" s="32"/>
      <c r="N305" s="32"/>
    </row>
    <row r="306" spans="1:14" ht="19.5" customHeight="1" x14ac:dyDescent="0.25">
      <c r="A306" s="1">
        <v>4366</v>
      </c>
      <c r="B306" s="36">
        <v>45763</v>
      </c>
      <c r="C306" s="32"/>
      <c r="D306" s="4" t="s">
        <v>0</v>
      </c>
      <c r="E306" s="32"/>
      <c r="F306" s="5">
        <v>5</v>
      </c>
      <c r="G306" s="32"/>
      <c r="H306" s="34">
        <f t="shared" si="8"/>
        <v>45767</v>
      </c>
      <c r="I306" s="5">
        <v>5</v>
      </c>
      <c r="J306" s="34">
        <f t="shared" si="9"/>
        <v>45773</v>
      </c>
      <c r="K306" s="32"/>
      <c r="L306" s="32"/>
      <c r="M306" s="32"/>
      <c r="N306" s="32" t="s">
        <v>4</v>
      </c>
    </row>
    <row r="307" spans="1:14" ht="19.5" customHeight="1" x14ac:dyDescent="0.25">
      <c r="A307" s="1">
        <v>3755</v>
      </c>
      <c r="B307" s="36">
        <v>45794</v>
      </c>
      <c r="C307" s="32"/>
      <c r="D307" s="4" t="s">
        <v>7</v>
      </c>
      <c r="E307" s="32"/>
      <c r="F307" s="5">
        <v>5</v>
      </c>
      <c r="G307" s="32"/>
      <c r="H307" s="34">
        <f t="shared" si="8"/>
        <v>45798</v>
      </c>
      <c r="I307" s="5">
        <v>3</v>
      </c>
      <c r="J307" s="34">
        <f t="shared" si="9"/>
        <v>45802</v>
      </c>
      <c r="K307" s="32"/>
      <c r="L307" s="32"/>
      <c r="M307" s="32"/>
      <c r="N307" s="32" t="s">
        <v>4</v>
      </c>
    </row>
    <row r="308" spans="1:14" ht="19.5" customHeight="1" x14ac:dyDescent="0.25">
      <c r="A308" s="1">
        <v>2819</v>
      </c>
      <c r="B308" s="36">
        <v>45794</v>
      </c>
      <c r="C308" s="32"/>
      <c r="D308" s="4" t="s">
        <v>0</v>
      </c>
      <c r="E308" s="32"/>
      <c r="F308" s="5">
        <v>5</v>
      </c>
      <c r="G308" s="32"/>
      <c r="H308" s="34">
        <f t="shared" si="8"/>
        <v>45798</v>
      </c>
      <c r="I308" s="5">
        <v>5</v>
      </c>
      <c r="J308" s="34">
        <f t="shared" si="9"/>
        <v>45804</v>
      </c>
      <c r="K308" s="32"/>
      <c r="L308" s="32" t="s">
        <v>5</v>
      </c>
      <c r="M308" s="32"/>
      <c r="N308" s="32"/>
    </row>
    <row r="309" spans="1:14" ht="19.5" customHeight="1" x14ac:dyDescent="0.25">
      <c r="A309" s="1">
        <v>4026</v>
      </c>
      <c r="B309" s="36">
        <v>45795</v>
      </c>
      <c r="C309" s="32"/>
      <c r="D309" s="4" t="s">
        <v>7</v>
      </c>
      <c r="E309" s="32"/>
      <c r="F309" s="5">
        <v>5</v>
      </c>
      <c r="G309" s="32"/>
      <c r="H309" s="34">
        <f t="shared" si="8"/>
        <v>45799</v>
      </c>
      <c r="I309" s="5">
        <v>3</v>
      </c>
      <c r="J309" s="34">
        <f t="shared" si="9"/>
        <v>45803</v>
      </c>
      <c r="K309" s="32"/>
      <c r="L309" s="32"/>
      <c r="M309" s="32" t="s">
        <v>1</v>
      </c>
      <c r="N309" s="32"/>
    </row>
    <row r="310" spans="1:14" ht="19.5" customHeight="1" x14ac:dyDescent="0.25">
      <c r="A310" s="1">
        <v>3554</v>
      </c>
      <c r="B310" s="36">
        <v>45796</v>
      </c>
      <c r="C310" s="32"/>
      <c r="D310" s="4" t="s">
        <v>0</v>
      </c>
      <c r="E310" s="32"/>
      <c r="F310" s="5">
        <v>5</v>
      </c>
      <c r="G310" s="32"/>
      <c r="H310" s="34">
        <f t="shared" si="8"/>
        <v>45800</v>
      </c>
      <c r="I310" s="5">
        <v>5</v>
      </c>
      <c r="J310" s="34">
        <f t="shared" si="9"/>
        <v>45806</v>
      </c>
      <c r="K310" s="32" t="s">
        <v>3</v>
      </c>
      <c r="L310" s="32"/>
      <c r="M310" s="32"/>
      <c r="N310" s="32"/>
    </row>
    <row r="311" spans="1:14" ht="19.5" customHeight="1" x14ac:dyDescent="0.25">
      <c r="A311" s="1">
        <v>3668</v>
      </c>
      <c r="B311" s="36">
        <v>45797</v>
      </c>
      <c r="C311" s="32"/>
      <c r="D311" s="4" t="s">
        <v>7</v>
      </c>
      <c r="E311" s="32"/>
      <c r="F311" s="5">
        <v>5</v>
      </c>
      <c r="G311" s="32"/>
      <c r="H311" s="34">
        <f t="shared" si="8"/>
        <v>45801</v>
      </c>
      <c r="I311" s="5">
        <v>3</v>
      </c>
      <c r="J311" s="34">
        <f t="shared" si="9"/>
        <v>45805</v>
      </c>
      <c r="K311" s="32"/>
      <c r="L311" s="32"/>
      <c r="M311" s="32"/>
      <c r="N311" s="32" t="s">
        <v>4</v>
      </c>
    </row>
    <row r="312" spans="1:14" ht="19.5" customHeight="1" x14ac:dyDescent="0.25">
      <c r="A312" s="1">
        <v>2814</v>
      </c>
      <c r="B312" s="36">
        <v>45797</v>
      </c>
      <c r="C312" s="32"/>
      <c r="D312" s="4" t="s">
        <v>21</v>
      </c>
      <c r="E312" s="32"/>
      <c r="F312" s="5">
        <v>5</v>
      </c>
      <c r="G312" s="32"/>
      <c r="H312" s="34">
        <f t="shared" si="8"/>
        <v>45801</v>
      </c>
      <c r="I312" s="5">
        <v>9</v>
      </c>
      <c r="J312" s="34">
        <f t="shared" si="9"/>
        <v>45811</v>
      </c>
      <c r="K312" s="32"/>
      <c r="L312" s="32" t="s">
        <v>5</v>
      </c>
      <c r="M312" s="32"/>
      <c r="N312" s="32"/>
    </row>
    <row r="313" spans="1:14" ht="19.5" customHeight="1" x14ac:dyDescent="0.25">
      <c r="A313" s="1">
        <v>3755</v>
      </c>
      <c r="B313" s="36">
        <v>45797</v>
      </c>
      <c r="C313" s="32"/>
      <c r="D313" s="4" t="s">
        <v>21</v>
      </c>
      <c r="E313" s="32"/>
      <c r="F313" s="5">
        <v>5</v>
      </c>
      <c r="G313" s="32"/>
      <c r="H313" s="34">
        <f t="shared" si="8"/>
        <v>45801</v>
      </c>
      <c r="I313" s="5">
        <v>9</v>
      </c>
      <c r="J313" s="34">
        <f t="shared" si="9"/>
        <v>45811</v>
      </c>
      <c r="K313" s="32"/>
      <c r="L313" s="32"/>
      <c r="M313" s="32"/>
      <c r="N313" s="32" t="s">
        <v>4</v>
      </c>
    </row>
    <row r="314" spans="1:14" ht="19.5" customHeight="1" x14ac:dyDescent="0.25">
      <c r="A314" s="1">
        <v>2819</v>
      </c>
      <c r="B314" s="36">
        <v>45797</v>
      </c>
      <c r="C314" s="32"/>
      <c r="D314" s="4" t="s">
        <v>21</v>
      </c>
      <c r="E314" s="32"/>
      <c r="F314" s="5">
        <v>5</v>
      </c>
      <c r="G314" s="32"/>
      <c r="H314" s="34">
        <f t="shared" si="8"/>
        <v>45801</v>
      </c>
      <c r="I314" s="5">
        <v>9</v>
      </c>
      <c r="J314" s="34">
        <f t="shared" si="9"/>
        <v>45811</v>
      </c>
      <c r="K314" s="32"/>
      <c r="L314" s="32" t="s">
        <v>5</v>
      </c>
      <c r="M314" s="32"/>
      <c r="N314" s="32"/>
    </row>
    <row r="315" spans="1:14" ht="19.5" customHeight="1" x14ac:dyDescent="0.25">
      <c r="A315" s="1">
        <v>3304</v>
      </c>
      <c r="B315" s="36">
        <v>45797</v>
      </c>
      <c r="C315" s="32"/>
      <c r="D315" s="4" t="s">
        <v>7</v>
      </c>
      <c r="E315" s="32"/>
      <c r="F315" s="5">
        <v>5</v>
      </c>
      <c r="G315" s="32"/>
      <c r="H315" s="34">
        <f t="shared" si="8"/>
        <v>45801</v>
      </c>
      <c r="I315" s="5">
        <v>3</v>
      </c>
      <c r="J315" s="34">
        <f t="shared" si="9"/>
        <v>45805</v>
      </c>
      <c r="K315" s="32" t="s">
        <v>3</v>
      </c>
      <c r="L315" s="32"/>
      <c r="M315" s="32"/>
      <c r="N315" s="32"/>
    </row>
    <row r="316" spans="1:14" ht="19.5" customHeight="1" x14ac:dyDescent="0.25">
      <c r="A316" s="1">
        <v>3881</v>
      </c>
      <c r="B316" s="36">
        <v>45798</v>
      </c>
      <c r="C316" s="32"/>
      <c r="D316" s="4" t="s">
        <v>0</v>
      </c>
      <c r="E316" s="32"/>
      <c r="F316" s="5">
        <v>5</v>
      </c>
      <c r="G316" s="32"/>
      <c r="H316" s="34">
        <f t="shared" si="8"/>
        <v>45802</v>
      </c>
      <c r="I316" s="5">
        <v>5</v>
      </c>
      <c r="J316" s="34">
        <f t="shared" si="9"/>
        <v>45808</v>
      </c>
      <c r="K316" s="32" t="s">
        <v>3</v>
      </c>
      <c r="L316" s="32"/>
      <c r="M316" s="32"/>
      <c r="N316" s="32" t="s">
        <v>4</v>
      </c>
    </row>
    <row r="317" spans="1:14" ht="19.5" customHeight="1" x14ac:dyDescent="0.25">
      <c r="A317" s="1">
        <v>4863</v>
      </c>
      <c r="B317" s="36">
        <v>45798</v>
      </c>
      <c r="C317" s="32"/>
      <c r="D317" s="4" t="s">
        <v>7</v>
      </c>
      <c r="E317" s="32"/>
      <c r="F317" s="5">
        <v>5</v>
      </c>
      <c r="G317" s="32"/>
      <c r="H317" s="34">
        <f t="shared" si="8"/>
        <v>45802</v>
      </c>
      <c r="I317" s="5">
        <v>3</v>
      </c>
      <c r="J317" s="34">
        <f t="shared" si="9"/>
        <v>45806</v>
      </c>
      <c r="K317" s="32"/>
      <c r="L317" s="32"/>
      <c r="M317" s="32"/>
      <c r="N317" s="32" t="s">
        <v>4</v>
      </c>
    </row>
    <row r="318" spans="1:14" ht="19.5" customHeight="1" x14ac:dyDescent="0.25">
      <c r="A318" s="1">
        <v>3795</v>
      </c>
      <c r="B318" s="36">
        <v>45798</v>
      </c>
      <c r="C318" s="32"/>
      <c r="D318" s="4" t="s">
        <v>7</v>
      </c>
      <c r="E318" s="32"/>
      <c r="F318" s="5">
        <v>5</v>
      </c>
      <c r="G318" s="32"/>
      <c r="H318" s="34">
        <f t="shared" si="8"/>
        <v>45802</v>
      </c>
      <c r="I318" s="5">
        <v>3</v>
      </c>
      <c r="J318" s="34">
        <f t="shared" si="9"/>
        <v>45806</v>
      </c>
      <c r="K318" s="32" t="s">
        <v>3</v>
      </c>
      <c r="L318" s="32"/>
      <c r="M318" s="32"/>
      <c r="N318" s="32"/>
    </row>
    <row r="319" spans="1:14" ht="19.5" customHeight="1" x14ac:dyDescent="0.25">
      <c r="A319" s="1">
        <v>3875</v>
      </c>
      <c r="B319" s="36">
        <v>45798</v>
      </c>
      <c r="C319" s="32"/>
      <c r="D319" s="4" t="s">
        <v>7</v>
      </c>
      <c r="E319" s="32"/>
      <c r="F319" s="5">
        <v>5</v>
      </c>
      <c r="G319" s="32"/>
      <c r="H319" s="34">
        <f t="shared" si="8"/>
        <v>45802</v>
      </c>
      <c r="I319" s="5">
        <v>3</v>
      </c>
      <c r="J319" s="34">
        <f t="shared" si="9"/>
        <v>45806</v>
      </c>
      <c r="K319" s="32"/>
      <c r="L319" s="32"/>
      <c r="M319" s="32" t="s">
        <v>1</v>
      </c>
      <c r="N319" s="32"/>
    </row>
    <row r="320" spans="1:14" ht="19.5" customHeight="1" x14ac:dyDescent="0.25">
      <c r="A320" s="1">
        <v>2884</v>
      </c>
      <c r="B320" s="36">
        <v>45799</v>
      </c>
      <c r="C320" s="32"/>
      <c r="D320" s="4" t="s">
        <v>21</v>
      </c>
      <c r="E320" s="32"/>
      <c r="F320" s="5">
        <v>5</v>
      </c>
      <c r="G320" s="32"/>
      <c r="H320" s="34">
        <f t="shared" si="8"/>
        <v>45803</v>
      </c>
      <c r="I320" s="5">
        <v>9</v>
      </c>
      <c r="J320" s="34">
        <f t="shared" si="9"/>
        <v>45813</v>
      </c>
      <c r="K320" s="32" t="s">
        <v>3</v>
      </c>
      <c r="L320" s="32"/>
      <c r="M320" s="32"/>
      <c r="N320" s="32"/>
    </row>
    <row r="321" spans="1:14" ht="19.5" customHeight="1" x14ac:dyDescent="0.25">
      <c r="A321" s="1">
        <v>4680</v>
      </c>
      <c r="B321" s="36">
        <v>45799</v>
      </c>
      <c r="C321" s="32"/>
      <c r="D321" s="4" t="s">
        <v>7</v>
      </c>
      <c r="E321" s="32"/>
      <c r="F321" s="5">
        <v>5</v>
      </c>
      <c r="G321" s="32"/>
      <c r="H321" s="34">
        <f t="shared" si="8"/>
        <v>45803</v>
      </c>
      <c r="I321" s="5">
        <v>3</v>
      </c>
      <c r="J321" s="34">
        <f t="shared" si="9"/>
        <v>45807</v>
      </c>
      <c r="K321" s="32"/>
      <c r="L321" s="32" t="s">
        <v>5</v>
      </c>
      <c r="M321" s="32"/>
      <c r="N321" s="32"/>
    </row>
    <row r="322" spans="1:14" ht="19.5" customHeight="1" x14ac:dyDescent="0.25">
      <c r="A322" s="1">
        <v>3697</v>
      </c>
      <c r="B322" s="36">
        <v>45800</v>
      </c>
      <c r="C322" s="32"/>
      <c r="D322" s="4" t="s">
        <v>7</v>
      </c>
      <c r="E322" s="32"/>
      <c r="F322" s="5">
        <v>5</v>
      </c>
      <c r="G322" s="32"/>
      <c r="H322" s="34">
        <f t="shared" ref="H322:H388" si="10">B322+F322-1</f>
        <v>45804</v>
      </c>
      <c r="I322" s="5">
        <v>3</v>
      </c>
      <c r="J322" s="34">
        <f t="shared" ref="J322:J388" si="11">H322+I322+1</f>
        <v>45808</v>
      </c>
      <c r="K322" s="32"/>
      <c r="L322" s="32"/>
      <c r="M322" s="32"/>
      <c r="N322" s="32" t="s">
        <v>4</v>
      </c>
    </row>
    <row r="323" spans="1:14" ht="19.5" customHeight="1" x14ac:dyDescent="0.25">
      <c r="A323" s="1">
        <v>3617</v>
      </c>
      <c r="B323" s="36">
        <v>45800</v>
      </c>
      <c r="C323" s="32"/>
      <c r="D323" s="4" t="s">
        <v>7</v>
      </c>
      <c r="E323" s="32"/>
      <c r="F323" s="5">
        <v>5</v>
      </c>
      <c r="G323" s="32"/>
      <c r="H323" s="34">
        <f t="shared" si="10"/>
        <v>45804</v>
      </c>
      <c r="I323" s="5">
        <v>3</v>
      </c>
      <c r="J323" s="34">
        <f t="shared" si="11"/>
        <v>45808</v>
      </c>
      <c r="K323" s="32"/>
      <c r="L323" s="32"/>
      <c r="M323" s="32"/>
      <c r="N323" s="32" t="s">
        <v>4</v>
      </c>
    </row>
    <row r="324" spans="1:14" ht="19.5" customHeight="1" x14ac:dyDescent="0.25">
      <c r="A324" s="1">
        <v>4366</v>
      </c>
      <c r="B324" s="36">
        <v>45800</v>
      </c>
      <c r="C324" s="32"/>
      <c r="D324" s="4" t="s">
        <v>21</v>
      </c>
      <c r="E324" s="32"/>
      <c r="F324" s="5">
        <v>5</v>
      </c>
      <c r="G324" s="32"/>
      <c r="H324" s="34">
        <f t="shared" si="10"/>
        <v>45804</v>
      </c>
      <c r="I324" s="5">
        <v>9</v>
      </c>
      <c r="J324" s="34">
        <f t="shared" si="11"/>
        <v>45814</v>
      </c>
      <c r="K324" s="32"/>
      <c r="L324" s="32" t="s">
        <v>5</v>
      </c>
      <c r="M324" s="32" t="s">
        <v>1</v>
      </c>
      <c r="N324" s="32" t="s">
        <v>4</v>
      </c>
    </row>
    <row r="325" spans="1:14" ht="19.5" customHeight="1" x14ac:dyDescent="0.25">
      <c r="A325" s="1">
        <v>3795</v>
      </c>
      <c r="B325" s="36">
        <v>45800</v>
      </c>
      <c r="C325" s="32"/>
      <c r="D325" s="4" t="s">
        <v>21</v>
      </c>
      <c r="E325" s="32"/>
      <c r="F325" s="5">
        <v>5</v>
      </c>
      <c r="G325" s="32"/>
      <c r="H325" s="34">
        <f t="shared" si="10"/>
        <v>45804</v>
      </c>
      <c r="I325" s="5">
        <v>9</v>
      </c>
      <c r="J325" s="34">
        <f t="shared" si="11"/>
        <v>45814</v>
      </c>
      <c r="K325" s="32" t="s">
        <v>3</v>
      </c>
      <c r="L325" s="32"/>
      <c r="M325" s="32"/>
      <c r="N325" s="32"/>
    </row>
    <row r="326" spans="1:14" ht="19.5" customHeight="1" x14ac:dyDescent="0.25">
      <c r="A326" s="1">
        <v>3140</v>
      </c>
      <c r="B326" s="36">
        <v>45801</v>
      </c>
      <c r="C326" s="32"/>
      <c r="D326" s="4" t="s">
        <v>7</v>
      </c>
      <c r="E326" s="32"/>
      <c r="F326" s="5">
        <v>5</v>
      </c>
      <c r="G326" s="32"/>
      <c r="H326" s="34">
        <f t="shared" si="10"/>
        <v>45805</v>
      </c>
      <c r="I326" s="5">
        <v>3</v>
      </c>
      <c r="J326" s="34">
        <f t="shared" si="11"/>
        <v>45809</v>
      </c>
      <c r="K326" s="32"/>
      <c r="L326" s="32" t="s">
        <v>5</v>
      </c>
      <c r="M326" s="32"/>
      <c r="N326" s="32"/>
    </row>
    <row r="327" spans="1:14" ht="19.5" customHeight="1" x14ac:dyDescent="0.25">
      <c r="A327" s="1">
        <v>4479</v>
      </c>
      <c r="B327" s="36">
        <v>45801</v>
      </c>
      <c r="C327" s="32"/>
      <c r="D327" s="4" t="s">
        <v>7</v>
      </c>
      <c r="E327" s="32"/>
      <c r="F327" s="5">
        <v>5</v>
      </c>
      <c r="G327" s="32"/>
      <c r="H327" s="34">
        <f t="shared" si="10"/>
        <v>45805</v>
      </c>
      <c r="I327" s="5">
        <v>3</v>
      </c>
      <c r="J327" s="34">
        <f t="shared" si="11"/>
        <v>45809</v>
      </c>
      <c r="K327" s="32"/>
      <c r="L327" s="32" t="s">
        <v>5</v>
      </c>
      <c r="M327" s="32"/>
      <c r="N327" s="32"/>
    </row>
    <row r="328" spans="1:14" ht="19.5" customHeight="1" x14ac:dyDescent="0.25">
      <c r="A328" s="1">
        <v>3197</v>
      </c>
      <c r="B328" s="36">
        <v>45802</v>
      </c>
      <c r="C328" s="32"/>
      <c r="D328" s="4" t="s">
        <v>7</v>
      </c>
      <c r="E328" s="32"/>
      <c r="F328" s="5">
        <v>5</v>
      </c>
      <c r="G328" s="32"/>
      <c r="H328" s="34">
        <f t="shared" si="10"/>
        <v>45806</v>
      </c>
      <c r="I328" s="5">
        <v>3</v>
      </c>
      <c r="J328" s="34">
        <f t="shared" si="11"/>
        <v>45810</v>
      </c>
      <c r="K328" s="32" t="s">
        <v>3</v>
      </c>
      <c r="L328" s="32"/>
      <c r="M328" s="32"/>
      <c r="N328" s="32"/>
    </row>
    <row r="329" spans="1:14" ht="19.5" customHeight="1" x14ac:dyDescent="0.25">
      <c r="A329" s="1">
        <v>3579</v>
      </c>
      <c r="B329" s="36">
        <v>45802</v>
      </c>
      <c r="C329" s="32"/>
      <c r="D329" s="4" t="s">
        <v>0</v>
      </c>
      <c r="E329" s="32"/>
      <c r="F329" s="5">
        <v>5</v>
      </c>
      <c r="G329" s="32"/>
      <c r="H329" s="34">
        <f t="shared" si="10"/>
        <v>45806</v>
      </c>
      <c r="I329" s="5">
        <v>5</v>
      </c>
      <c r="J329" s="34">
        <f t="shared" si="11"/>
        <v>45812</v>
      </c>
      <c r="K329" s="32"/>
      <c r="L329" s="32" t="s">
        <v>5</v>
      </c>
      <c r="M329" s="32"/>
      <c r="N329" s="32" t="s">
        <v>4</v>
      </c>
    </row>
    <row r="330" spans="1:14" ht="19.5" customHeight="1" x14ac:dyDescent="0.25">
      <c r="A330" s="1">
        <v>3875</v>
      </c>
      <c r="B330" s="36">
        <v>45803</v>
      </c>
      <c r="C330" s="32"/>
      <c r="D330" s="4" t="s">
        <v>25</v>
      </c>
      <c r="E330" s="32"/>
      <c r="F330" s="5">
        <v>5</v>
      </c>
      <c r="G330" s="32"/>
      <c r="H330" s="34">
        <f t="shared" si="10"/>
        <v>45807</v>
      </c>
      <c r="I330" s="5">
        <v>5</v>
      </c>
      <c r="J330" s="34">
        <f t="shared" si="11"/>
        <v>45813</v>
      </c>
      <c r="K330" s="32"/>
      <c r="L330" s="32"/>
      <c r="M330" s="32" t="s">
        <v>1</v>
      </c>
      <c r="N330" s="32"/>
    </row>
    <row r="331" spans="1:14" ht="19.5" customHeight="1" x14ac:dyDescent="0.25">
      <c r="A331" s="1">
        <v>3668</v>
      </c>
      <c r="B331" s="36">
        <v>45802</v>
      </c>
      <c r="C331" s="32"/>
      <c r="D331" s="4" t="s">
        <v>21</v>
      </c>
      <c r="E331" s="32"/>
      <c r="F331" s="5">
        <v>5</v>
      </c>
      <c r="G331" s="32"/>
      <c r="H331" s="34">
        <f t="shared" si="10"/>
        <v>45806</v>
      </c>
      <c r="I331" s="5">
        <v>9</v>
      </c>
      <c r="J331" s="34">
        <f t="shared" si="11"/>
        <v>45816</v>
      </c>
      <c r="K331" s="32"/>
      <c r="L331" s="32"/>
      <c r="M331" s="32"/>
      <c r="N331" s="32" t="s">
        <v>4</v>
      </c>
    </row>
    <row r="332" spans="1:14" ht="19.5" customHeight="1" x14ac:dyDescent="0.25">
      <c r="A332" s="1">
        <v>3359</v>
      </c>
      <c r="B332" s="36">
        <v>45804</v>
      </c>
      <c r="C332" s="32"/>
      <c r="D332" s="4" t="s">
        <v>7</v>
      </c>
      <c r="E332" s="32"/>
      <c r="F332" s="5">
        <v>5</v>
      </c>
      <c r="G332" s="32"/>
      <c r="H332" s="34">
        <f t="shared" si="10"/>
        <v>45808</v>
      </c>
      <c r="I332" s="5">
        <v>3</v>
      </c>
      <c r="J332" s="34">
        <f t="shared" si="11"/>
        <v>45812</v>
      </c>
      <c r="K332" s="32"/>
      <c r="L332" s="32" t="s">
        <v>5</v>
      </c>
      <c r="M332" s="32"/>
      <c r="N332" s="32"/>
    </row>
    <row r="333" spans="1:14" ht="19.5" customHeight="1" x14ac:dyDescent="0.25">
      <c r="A333" s="1">
        <v>4430</v>
      </c>
      <c r="B333" s="36">
        <v>45804</v>
      </c>
      <c r="C333" s="32"/>
      <c r="D333" s="4" t="s">
        <v>7</v>
      </c>
      <c r="E333" s="32"/>
      <c r="F333" s="5">
        <v>5</v>
      </c>
      <c r="G333" s="32"/>
      <c r="H333" s="34">
        <f t="shared" si="10"/>
        <v>45808</v>
      </c>
      <c r="I333" s="5">
        <v>3</v>
      </c>
      <c r="J333" s="34">
        <f t="shared" si="11"/>
        <v>45812</v>
      </c>
      <c r="K333" s="32"/>
      <c r="L333" s="32"/>
      <c r="M333" s="32"/>
      <c r="N333" s="32" t="s">
        <v>4</v>
      </c>
    </row>
    <row r="334" spans="1:14" ht="19.5" customHeight="1" x14ac:dyDescent="0.25">
      <c r="A334" s="1">
        <v>3617</v>
      </c>
      <c r="B334" s="36">
        <v>45804</v>
      </c>
      <c r="C334" s="32"/>
      <c r="D334" s="4" t="s">
        <v>21</v>
      </c>
      <c r="E334" s="32"/>
      <c r="F334" s="5">
        <v>5</v>
      </c>
      <c r="G334" s="32"/>
      <c r="H334" s="34">
        <f t="shared" si="10"/>
        <v>45808</v>
      </c>
      <c r="I334" s="5">
        <v>9</v>
      </c>
      <c r="J334" s="34">
        <f t="shared" si="11"/>
        <v>45818</v>
      </c>
      <c r="K334" s="32"/>
      <c r="L334" s="32" t="s">
        <v>5</v>
      </c>
      <c r="M334" s="32"/>
      <c r="N334" s="32" t="s">
        <v>4</v>
      </c>
    </row>
    <row r="335" spans="1:14" ht="19.5" customHeight="1" x14ac:dyDescent="0.25">
      <c r="A335" s="1">
        <v>3661</v>
      </c>
      <c r="B335" s="36">
        <v>45805</v>
      </c>
      <c r="C335" s="32"/>
      <c r="D335" s="4" t="s">
        <v>7</v>
      </c>
      <c r="E335" s="32"/>
      <c r="F335" s="5">
        <v>5</v>
      </c>
      <c r="G335" s="32"/>
      <c r="H335" s="34">
        <f t="shared" si="10"/>
        <v>45809</v>
      </c>
      <c r="I335" s="5">
        <v>3</v>
      </c>
      <c r="J335" s="34">
        <f t="shared" si="11"/>
        <v>45813</v>
      </c>
      <c r="K335" s="32" t="s">
        <v>3</v>
      </c>
      <c r="L335" s="32"/>
      <c r="M335" s="32"/>
      <c r="N335" s="32"/>
    </row>
    <row r="336" spans="1:14" ht="19.5" customHeight="1" x14ac:dyDescent="0.25">
      <c r="A336" s="1">
        <v>3734</v>
      </c>
      <c r="B336" s="36">
        <v>45805</v>
      </c>
      <c r="C336" s="32"/>
      <c r="D336" s="4" t="s">
        <v>26</v>
      </c>
      <c r="E336" s="32"/>
      <c r="F336" s="5">
        <v>5</v>
      </c>
      <c r="G336" s="32"/>
      <c r="H336" s="34">
        <f t="shared" si="10"/>
        <v>45809</v>
      </c>
      <c r="I336" s="5">
        <v>3</v>
      </c>
      <c r="J336" s="34">
        <f t="shared" si="11"/>
        <v>45813</v>
      </c>
      <c r="K336" s="32" t="s">
        <v>3</v>
      </c>
      <c r="L336" s="32"/>
      <c r="M336" s="32"/>
      <c r="N336" s="32"/>
    </row>
    <row r="337" spans="1:14" ht="19.5" customHeight="1" x14ac:dyDescent="0.25">
      <c r="A337" s="1">
        <v>2884</v>
      </c>
      <c r="B337" s="36">
        <v>45805</v>
      </c>
      <c r="C337" s="32"/>
      <c r="D337" s="4" t="s">
        <v>21</v>
      </c>
      <c r="E337" s="32"/>
      <c r="F337" s="5">
        <v>5</v>
      </c>
      <c r="G337" s="32"/>
      <c r="H337" s="34">
        <f t="shared" si="10"/>
        <v>45809</v>
      </c>
      <c r="I337" s="5">
        <v>9</v>
      </c>
      <c r="J337" s="34">
        <f t="shared" si="11"/>
        <v>45819</v>
      </c>
      <c r="K337" s="32" t="s">
        <v>3</v>
      </c>
      <c r="L337" s="32"/>
      <c r="M337" s="32"/>
      <c r="N337" s="32"/>
    </row>
    <row r="338" spans="1:14" ht="19.5" customHeight="1" x14ac:dyDescent="0.25">
      <c r="A338" s="1">
        <v>3227</v>
      </c>
      <c r="B338" s="36">
        <v>45805</v>
      </c>
      <c r="C338" s="32"/>
      <c r="D338" s="4" t="s">
        <v>7</v>
      </c>
      <c r="E338" s="32"/>
      <c r="F338" s="5">
        <v>5</v>
      </c>
      <c r="G338" s="32"/>
      <c r="H338" s="34">
        <f t="shared" si="10"/>
        <v>45809</v>
      </c>
      <c r="I338" s="5">
        <v>3</v>
      </c>
      <c r="J338" s="34">
        <f t="shared" si="11"/>
        <v>45813</v>
      </c>
      <c r="K338" s="32"/>
      <c r="L338" s="32" t="s">
        <v>5</v>
      </c>
      <c r="M338" s="32"/>
      <c r="N338" s="32"/>
    </row>
    <row r="339" spans="1:14" ht="19.5" customHeight="1" x14ac:dyDescent="0.25">
      <c r="A339" s="1">
        <v>3687</v>
      </c>
      <c r="B339" s="36">
        <v>45805</v>
      </c>
      <c r="C339" s="32"/>
      <c r="D339" s="4" t="s">
        <v>0</v>
      </c>
      <c r="E339" s="32"/>
      <c r="F339" s="5">
        <v>5</v>
      </c>
      <c r="G339" s="32"/>
      <c r="H339" s="34">
        <f t="shared" si="10"/>
        <v>45809</v>
      </c>
      <c r="I339" s="5">
        <v>5</v>
      </c>
      <c r="J339" s="34">
        <f t="shared" si="11"/>
        <v>45815</v>
      </c>
      <c r="K339" s="32" t="s">
        <v>3</v>
      </c>
      <c r="L339" s="32"/>
      <c r="M339" s="32"/>
      <c r="N339" s="32"/>
    </row>
    <row r="340" spans="1:14" ht="19.5" customHeight="1" x14ac:dyDescent="0.25">
      <c r="A340" s="1">
        <v>3881</v>
      </c>
      <c r="B340" s="36">
        <v>45805</v>
      </c>
      <c r="C340" s="32"/>
      <c r="D340" s="4" t="s">
        <v>20</v>
      </c>
      <c r="E340" s="32"/>
      <c r="F340" s="5">
        <v>5</v>
      </c>
      <c r="G340" s="32"/>
      <c r="H340" s="34">
        <f t="shared" si="10"/>
        <v>45809</v>
      </c>
      <c r="I340" s="5">
        <v>9</v>
      </c>
      <c r="J340" s="34">
        <f t="shared" si="11"/>
        <v>45819</v>
      </c>
      <c r="K340" s="32" t="s">
        <v>3</v>
      </c>
      <c r="L340" s="32"/>
      <c r="M340" s="32" t="s">
        <v>1</v>
      </c>
      <c r="N340" s="32"/>
    </row>
    <row r="341" spans="1:14" ht="19.5" customHeight="1" x14ac:dyDescent="0.25">
      <c r="A341" s="1">
        <v>2923</v>
      </c>
      <c r="B341" s="36">
        <v>45806</v>
      </c>
      <c r="C341" s="32"/>
      <c r="D341" s="4" t="s">
        <v>7</v>
      </c>
      <c r="E341" s="32"/>
      <c r="F341" s="5">
        <v>5</v>
      </c>
      <c r="G341" s="32"/>
      <c r="H341" s="34">
        <f t="shared" si="10"/>
        <v>45810</v>
      </c>
      <c r="I341" s="5">
        <v>3</v>
      </c>
      <c r="J341" s="34">
        <f t="shared" si="11"/>
        <v>45814</v>
      </c>
      <c r="K341" s="32" t="s">
        <v>3</v>
      </c>
      <c r="L341" s="32"/>
      <c r="M341" s="32"/>
      <c r="N341" s="32"/>
    </row>
    <row r="342" spans="1:14" ht="19.5" customHeight="1" x14ac:dyDescent="0.25">
      <c r="A342" s="1">
        <v>3378</v>
      </c>
      <c r="B342" s="36">
        <v>45806</v>
      </c>
      <c r="C342" s="32"/>
      <c r="D342" s="4" t="s">
        <v>7</v>
      </c>
      <c r="E342" s="32"/>
      <c r="F342" s="5">
        <v>5</v>
      </c>
      <c r="G342" s="32"/>
      <c r="H342" s="34">
        <f t="shared" si="10"/>
        <v>45810</v>
      </c>
      <c r="I342" s="5">
        <v>3</v>
      </c>
      <c r="J342" s="34">
        <f t="shared" si="11"/>
        <v>45814</v>
      </c>
      <c r="K342" s="32"/>
      <c r="L342" s="32"/>
      <c r="M342" s="32" t="s">
        <v>1</v>
      </c>
      <c r="N342" s="32"/>
    </row>
    <row r="343" spans="1:14" ht="19.5" customHeight="1" x14ac:dyDescent="0.25">
      <c r="A343" s="1">
        <v>3110</v>
      </c>
      <c r="B343" s="36">
        <v>45806</v>
      </c>
      <c r="C343" s="32"/>
      <c r="D343" s="4" t="s">
        <v>20</v>
      </c>
      <c r="E343" s="32"/>
      <c r="F343" s="5">
        <v>5</v>
      </c>
      <c r="G343" s="32"/>
      <c r="H343" s="34">
        <f t="shared" si="10"/>
        <v>45810</v>
      </c>
      <c r="I343" s="5">
        <v>9</v>
      </c>
      <c r="J343" s="34">
        <f t="shared" si="11"/>
        <v>45820</v>
      </c>
      <c r="K343" s="32" t="s">
        <v>3</v>
      </c>
      <c r="L343" s="32"/>
      <c r="M343" s="32"/>
      <c r="N343" s="32"/>
    </row>
    <row r="344" spans="1:14" ht="19.5" customHeight="1" x14ac:dyDescent="0.25">
      <c r="A344" s="1">
        <v>3235</v>
      </c>
      <c r="B344" s="36">
        <v>45807</v>
      </c>
      <c r="C344" s="32"/>
      <c r="D344" s="4" t="s">
        <v>7</v>
      </c>
      <c r="E344" s="32"/>
      <c r="F344" s="5">
        <v>5</v>
      </c>
      <c r="G344" s="32"/>
      <c r="H344" s="34">
        <f t="shared" si="10"/>
        <v>45811</v>
      </c>
      <c r="I344" s="5">
        <v>3</v>
      </c>
      <c r="J344" s="34">
        <f t="shared" si="11"/>
        <v>45815</v>
      </c>
      <c r="K344" s="32"/>
      <c r="L344" s="32" t="s">
        <v>5</v>
      </c>
      <c r="M344" s="32"/>
      <c r="N344" s="32"/>
    </row>
    <row r="345" spans="1:14" ht="19.5" customHeight="1" x14ac:dyDescent="0.25">
      <c r="A345" s="1">
        <v>3409</v>
      </c>
      <c r="B345" s="36">
        <v>45807</v>
      </c>
      <c r="C345" s="32"/>
      <c r="D345" s="4" t="s">
        <v>7</v>
      </c>
      <c r="E345" s="32"/>
      <c r="F345" s="5">
        <v>5</v>
      </c>
      <c r="G345" s="32"/>
      <c r="H345" s="34">
        <f t="shared" si="10"/>
        <v>45811</v>
      </c>
      <c r="I345" s="5">
        <v>3</v>
      </c>
      <c r="J345" s="34">
        <f t="shared" si="11"/>
        <v>45815</v>
      </c>
      <c r="K345" s="32"/>
      <c r="L345" s="32" t="s">
        <v>27</v>
      </c>
      <c r="M345" s="32"/>
      <c r="N345" s="32" t="s">
        <v>4</v>
      </c>
    </row>
    <row r="346" spans="1:14" ht="19.5" customHeight="1" x14ac:dyDescent="0.25">
      <c r="A346" s="1">
        <v>3779</v>
      </c>
      <c r="B346" s="36">
        <v>45808</v>
      </c>
      <c r="C346" s="32"/>
      <c r="D346" s="4" t="s">
        <v>7</v>
      </c>
      <c r="E346" s="32"/>
      <c r="F346" s="5">
        <v>5</v>
      </c>
      <c r="G346" s="32"/>
      <c r="H346" s="34">
        <f t="shared" si="10"/>
        <v>45812</v>
      </c>
      <c r="I346" s="5">
        <v>3</v>
      </c>
      <c r="J346" s="34">
        <f t="shared" si="11"/>
        <v>45816</v>
      </c>
      <c r="K346" s="32" t="s">
        <v>3</v>
      </c>
      <c r="L346" s="32"/>
      <c r="M346" s="32"/>
      <c r="N346" s="32"/>
    </row>
    <row r="347" spans="1:14" ht="19.5" customHeight="1" x14ac:dyDescent="0.25">
      <c r="A347" s="1">
        <v>3676</v>
      </c>
      <c r="B347" s="36">
        <v>45809</v>
      </c>
      <c r="C347" s="32"/>
      <c r="D347" s="4" t="s">
        <v>7</v>
      </c>
      <c r="E347" s="32"/>
      <c r="F347" s="5">
        <v>5</v>
      </c>
      <c r="G347" s="32"/>
      <c r="H347" s="34">
        <f t="shared" si="10"/>
        <v>45813</v>
      </c>
      <c r="I347" s="5">
        <v>3</v>
      </c>
      <c r="J347" s="34">
        <f t="shared" si="11"/>
        <v>45817</v>
      </c>
      <c r="K347" s="32"/>
      <c r="L347" s="32" t="s">
        <v>5</v>
      </c>
      <c r="M347" s="32"/>
      <c r="N347" s="32"/>
    </row>
    <row r="348" spans="1:14" ht="19.5" customHeight="1" x14ac:dyDescent="0.25">
      <c r="A348" s="1">
        <v>3391</v>
      </c>
      <c r="B348" s="36">
        <v>45809</v>
      </c>
      <c r="C348" s="32"/>
      <c r="D348" s="4" t="s">
        <v>7</v>
      </c>
      <c r="E348" s="32"/>
      <c r="F348" s="5">
        <v>5</v>
      </c>
      <c r="G348" s="32"/>
      <c r="H348" s="34">
        <f t="shared" si="10"/>
        <v>45813</v>
      </c>
      <c r="I348" s="5">
        <v>3</v>
      </c>
      <c r="J348" s="34">
        <f t="shared" si="11"/>
        <v>45817</v>
      </c>
      <c r="K348" s="32"/>
      <c r="L348" s="32" t="s">
        <v>5</v>
      </c>
      <c r="M348" s="32"/>
      <c r="N348" s="32"/>
    </row>
    <row r="349" spans="1:14" ht="19.5" customHeight="1" x14ac:dyDescent="0.25">
      <c r="A349" s="1">
        <v>3731</v>
      </c>
      <c r="B349" s="36">
        <v>45810</v>
      </c>
      <c r="C349" s="32"/>
      <c r="D349" s="4" t="s">
        <v>7</v>
      </c>
      <c r="E349" s="32"/>
      <c r="F349" s="5">
        <v>5</v>
      </c>
      <c r="G349" s="32"/>
      <c r="H349" s="34">
        <f t="shared" si="10"/>
        <v>45814</v>
      </c>
      <c r="I349" s="5">
        <v>3</v>
      </c>
      <c r="J349" s="34">
        <f t="shared" si="11"/>
        <v>45818</v>
      </c>
      <c r="K349" s="32" t="s">
        <v>3</v>
      </c>
      <c r="L349" s="32"/>
      <c r="M349" s="32"/>
      <c r="N349" s="32"/>
    </row>
    <row r="350" spans="1:14" ht="19.5" customHeight="1" x14ac:dyDescent="0.25">
      <c r="A350" s="1">
        <v>2723</v>
      </c>
      <c r="B350" s="36">
        <v>45810</v>
      </c>
      <c r="C350" s="32"/>
      <c r="D350" s="4" t="s">
        <v>0</v>
      </c>
      <c r="E350" s="32"/>
      <c r="F350" s="5">
        <v>5</v>
      </c>
      <c r="G350" s="32"/>
      <c r="H350" s="34">
        <f t="shared" si="10"/>
        <v>45814</v>
      </c>
      <c r="I350" s="5">
        <v>5</v>
      </c>
      <c r="J350" s="34">
        <f t="shared" si="11"/>
        <v>45820</v>
      </c>
      <c r="K350" s="32" t="s">
        <v>3</v>
      </c>
      <c r="L350" s="32"/>
      <c r="M350" s="32"/>
      <c r="N350" s="32"/>
    </row>
    <row r="351" spans="1:14" ht="19.5" customHeight="1" x14ac:dyDescent="0.25">
      <c r="A351" s="1">
        <v>3433</v>
      </c>
      <c r="B351" s="36">
        <v>45811</v>
      </c>
      <c r="C351" s="32"/>
      <c r="D351" s="4" t="s">
        <v>7</v>
      </c>
      <c r="E351" s="32"/>
      <c r="F351" s="5">
        <v>5</v>
      </c>
      <c r="G351" s="32"/>
      <c r="H351" s="34">
        <f t="shared" si="10"/>
        <v>45815</v>
      </c>
      <c r="I351" s="5">
        <v>3</v>
      </c>
      <c r="J351" s="34">
        <f t="shared" si="11"/>
        <v>45819</v>
      </c>
      <c r="K351" s="32"/>
      <c r="L351" s="32"/>
      <c r="M351" s="32" t="s">
        <v>1</v>
      </c>
      <c r="N351" s="32"/>
    </row>
    <row r="352" spans="1:14" ht="19.5" customHeight="1" x14ac:dyDescent="0.25">
      <c r="A352" s="1">
        <v>4188</v>
      </c>
      <c r="B352" s="36">
        <v>45811</v>
      </c>
      <c r="C352" s="32"/>
      <c r="D352" s="4" t="s">
        <v>7</v>
      </c>
      <c r="E352" s="32"/>
      <c r="F352" s="5">
        <v>5</v>
      </c>
      <c r="G352" s="32"/>
      <c r="H352" s="34">
        <f t="shared" si="10"/>
        <v>45815</v>
      </c>
      <c r="I352" s="5">
        <v>3</v>
      </c>
      <c r="J352" s="34">
        <f t="shared" si="11"/>
        <v>45819</v>
      </c>
      <c r="K352" s="32" t="s">
        <v>3</v>
      </c>
      <c r="L352" s="32"/>
      <c r="M352" s="32"/>
      <c r="N352" s="32"/>
    </row>
    <row r="353" spans="1:14" ht="19.5" customHeight="1" x14ac:dyDescent="0.25">
      <c r="A353" s="1">
        <v>2605</v>
      </c>
      <c r="B353" s="36">
        <v>45812</v>
      </c>
      <c r="C353" s="32"/>
      <c r="D353" s="4" t="s">
        <v>7</v>
      </c>
      <c r="E353" s="32"/>
      <c r="F353" s="5">
        <v>5</v>
      </c>
      <c r="G353" s="32"/>
      <c r="H353" s="34">
        <f t="shared" si="10"/>
        <v>45816</v>
      </c>
      <c r="I353" s="5">
        <v>3</v>
      </c>
      <c r="J353" s="34">
        <f t="shared" si="11"/>
        <v>45820</v>
      </c>
      <c r="K353" s="32"/>
      <c r="L353" s="32"/>
      <c r="M353" s="32" t="s">
        <v>1</v>
      </c>
      <c r="N353" s="32"/>
    </row>
    <row r="354" spans="1:14" ht="19.5" customHeight="1" x14ac:dyDescent="0.25">
      <c r="A354" s="1">
        <v>4023</v>
      </c>
      <c r="B354" s="36">
        <v>45812</v>
      </c>
      <c r="C354" s="32"/>
      <c r="D354" s="4" t="s">
        <v>7</v>
      </c>
      <c r="E354" s="32"/>
      <c r="F354" s="5">
        <v>5</v>
      </c>
      <c r="G354" s="32"/>
      <c r="H354" s="34">
        <f t="shared" si="10"/>
        <v>45816</v>
      </c>
      <c r="I354" s="5">
        <v>3</v>
      </c>
      <c r="J354" s="34">
        <f t="shared" si="11"/>
        <v>45820</v>
      </c>
      <c r="K354" s="32"/>
      <c r="L354" s="32" t="s">
        <v>5</v>
      </c>
      <c r="M354" s="32"/>
      <c r="N354" s="32"/>
    </row>
    <row r="355" spans="1:14" ht="19.5" customHeight="1" x14ac:dyDescent="0.25">
      <c r="A355" s="1">
        <v>4484</v>
      </c>
      <c r="B355" s="36">
        <v>45813</v>
      </c>
      <c r="C355" s="32"/>
      <c r="D355" s="4" t="s">
        <v>7</v>
      </c>
      <c r="E355" s="32"/>
      <c r="F355" s="5">
        <v>5</v>
      </c>
      <c r="G355" s="32"/>
      <c r="H355" s="34">
        <f t="shared" si="10"/>
        <v>45817</v>
      </c>
      <c r="I355" s="5">
        <v>3</v>
      </c>
      <c r="J355" s="34">
        <f t="shared" si="11"/>
        <v>45821</v>
      </c>
      <c r="K355" s="32"/>
      <c r="L355" s="32"/>
      <c r="M355" s="32"/>
      <c r="N355" s="32" t="s">
        <v>4</v>
      </c>
    </row>
    <row r="356" spans="1:14" ht="19.5" customHeight="1" x14ac:dyDescent="0.25">
      <c r="A356" s="1">
        <v>4597</v>
      </c>
      <c r="B356" s="36">
        <v>45813</v>
      </c>
      <c r="C356" s="32"/>
      <c r="D356" s="4" t="s">
        <v>7</v>
      </c>
      <c r="E356" s="32"/>
      <c r="F356" s="5">
        <v>5</v>
      </c>
      <c r="G356" s="32"/>
      <c r="H356" s="34">
        <f t="shared" si="10"/>
        <v>45817</v>
      </c>
      <c r="I356" s="5">
        <v>3</v>
      </c>
      <c r="J356" s="34">
        <f t="shared" si="11"/>
        <v>45821</v>
      </c>
      <c r="K356" s="32"/>
      <c r="L356" s="32"/>
      <c r="M356" s="32"/>
      <c r="N356" s="32" t="s">
        <v>4</v>
      </c>
    </row>
    <row r="357" spans="1:14" ht="19.5" customHeight="1" x14ac:dyDescent="0.25">
      <c r="A357" s="1">
        <v>4399</v>
      </c>
      <c r="B357" s="36">
        <v>45813</v>
      </c>
      <c r="C357" s="32"/>
      <c r="D357" s="4" t="s">
        <v>7</v>
      </c>
      <c r="E357" s="32"/>
      <c r="F357" s="5">
        <v>5</v>
      </c>
      <c r="G357" s="32"/>
      <c r="H357" s="34">
        <f t="shared" si="10"/>
        <v>45817</v>
      </c>
      <c r="I357" s="5">
        <v>3</v>
      </c>
      <c r="J357" s="34">
        <f t="shared" si="11"/>
        <v>45821</v>
      </c>
      <c r="K357" s="32"/>
      <c r="L357" s="32"/>
      <c r="M357" s="32" t="s">
        <v>1</v>
      </c>
      <c r="N357" s="32"/>
    </row>
    <row r="358" spans="1:14" ht="19.5" customHeight="1" x14ac:dyDescent="0.25">
      <c r="A358" s="1">
        <v>3247</v>
      </c>
      <c r="B358" s="36">
        <v>45814</v>
      </c>
      <c r="C358" s="32"/>
      <c r="D358" s="4" t="s">
        <v>7</v>
      </c>
      <c r="E358" s="32"/>
      <c r="F358" s="5">
        <v>5</v>
      </c>
      <c r="G358" s="32"/>
      <c r="H358" s="34">
        <f t="shared" si="10"/>
        <v>45818</v>
      </c>
      <c r="I358" s="5">
        <v>3</v>
      </c>
      <c r="J358" s="34">
        <f t="shared" si="11"/>
        <v>45822</v>
      </c>
      <c r="K358" s="32"/>
      <c r="L358" s="32"/>
      <c r="M358" s="32" t="s">
        <v>1</v>
      </c>
      <c r="N358" s="32"/>
    </row>
    <row r="359" spans="1:14" ht="19.5" customHeight="1" x14ac:dyDescent="0.25">
      <c r="A359" s="1">
        <v>3612</v>
      </c>
      <c r="B359" s="36">
        <v>45815</v>
      </c>
      <c r="C359" s="32"/>
      <c r="D359" s="4" t="s">
        <v>7</v>
      </c>
      <c r="E359" s="32"/>
      <c r="F359" s="5">
        <v>5</v>
      </c>
      <c r="G359" s="32"/>
      <c r="H359" s="34">
        <f t="shared" si="10"/>
        <v>45819</v>
      </c>
      <c r="I359" s="5">
        <v>3</v>
      </c>
      <c r="J359" s="34">
        <f t="shared" si="11"/>
        <v>45823</v>
      </c>
      <c r="K359" s="32"/>
      <c r="L359" s="32"/>
      <c r="M359" s="32"/>
      <c r="N359" s="32" t="s">
        <v>4</v>
      </c>
    </row>
    <row r="360" spans="1:14" ht="19.5" customHeight="1" x14ac:dyDescent="0.25">
      <c r="A360" s="1">
        <v>4034</v>
      </c>
      <c r="B360" s="36">
        <v>45817</v>
      </c>
      <c r="C360" s="32"/>
      <c r="D360" s="4" t="s">
        <v>7</v>
      </c>
      <c r="E360" s="32"/>
      <c r="F360" s="5">
        <v>5</v>
      </c>
      <c r="G360" s="32"/>
      <c r="H360" s="34">
        <f t="shared" si="10"/>
        <v>45821</v>
      </c>
      <c r="I360" s="5">
        <v>3</v>
      </c>
      <c r="J360" s="34">
        <f t="shared" si="11"/>
        <v>45825</v>
      </c>
      <c r="K360" s="32"/>
      <c r="L360" s="32" t="s">
        <v>5</v>
      </c>
      <c r="M360" s="32"/>
      <c r="N360" s="32"/>
    </row>
    <row r="361" spans="1:14" ht="19.5" customHeight="1" x14ac:dyDescent="0.25">
      <c r="A361" s="1">
        <v>4023</v>
      </c>
      <c r="B361" s="36">
        <v>45817</v>
      </c>
      <c r="C361" s="32"/>
      <c r="D361" s="4" t="s">
        <v>7</v>
      </c>
      <c r="E361" s="32"/>
      <c r="F361" s="5">
        <v>5</v>
      </c>
      <c r="G361" s="32"/>
      <c r="H361" s="34">
        <f t="shared" si="10"/>
        <v>45821</v>
      </c>
      <c r="I361" s="5">
        <v>3</v>
      </c>
      <c r="J361" s="34">
        <f t="shared" si="11"/>
        <v>45825</v>
      </c>
      <c r="K361" s="32"/>
      <c r="L361" s="32" t="s">
        <v>5</v>
      </c>
      <c r="M361" s="32"/>
      <c r="N361" s="32"/>
    </row>
    <row r="362" spans="1:14" ht="19.5" customHeight="1" x14ac:dyDescent="0.25">
      <c r="A362" s="1">
        <v>2980</v>
      </c>
      <c r="B362" s="36">
        <v>45817</v>
      </c>
      <c r="C362" s="32"/>
      <c r="D362" s="4" t="s">
        <v>7</v>
      </c>
      <c r="E362" s="32"/>
      <c r="F362" s="5">
        <v>5</v>
      </c>
      <c r="G362" s="32"/>
      <c r="H362" s="34">
        <f t="shared" si="10"/>
        <v>45821</v>
      </c>
      <c r="I362" s="5">
        <v>3</v>
      </c>
      <c r="J362" s="34">
        <f t="shared" si="11"/>
        <v>45825</v>
      </c>
      <c r="K362" s="32"/>
      <c r="L362" s="32" t="s">
        <v>5</v>
      </c>
      <c r="M362" s="32"/>
      <c r="N362" s="32"/>
    </row>
    <row r="363" spans="1:14" ht="19.5" customHeight="1" x14ac:dyDescent="0.25">
      <c r="A363" s="1">
        <v>2886</v>
      </c>
      <c r="B363" s="36">
        <v>45817</v>
      </c>
      <c r="C363" s="32"/>
      <c r="D363" s="4" t="s">
        <v>7</v>
      </c>
      <c r="E363" s="32"/>
      <c r="F363" s="5">
        <v>5</v>
      </c>
      <c r="G363" s="32"/>
      <c r="H363" s="34">
        <f t="shared" si="10"/>
        <v>45821</v>
      </c>
      <c r="I363" s="5">
        <v>3</v>
      </c>
      <c r="J363" s="34">
        <f t="shared" si="11"/>
        <v>45825</v>
      </c>
      <c r="K363" s="32" t="s">
        <v>3</v>
      </c>
      <c r="L363" s="32"/>
      <c r="M363" s="32"/>
      <c r="N363" s="32"/>
    </row>
    <row r="364" spans="1:14" ht="19.5" customHeight="1" x14ac:dyDescent="0.25">
      <c r="A364" s="1">
        <v>3801</v>
      </c>
      <c r="B364" s="36">
        <v>45818</v>
      </c>
      <c r="C364" s="32"/>
      <c r="D364" s="4" t="s">
        <v>7</v>
      </c>
      <c r="E364" s="32"/>
      <c r="F364" s="5">
        <v>5</v>
      </c>
      <c r="G364" s="32"/>
      <c r="H364" s="34">
        <f t="shared" si="10"/>
        <v>45822</v>
      </c>
      <c r="I364" s="5">
        <v>3</v>
      </c>
      <c r="J364" s="34">
        <f t="shared" si="11"/>
        <v>45826</v>
      </c>
      <c r="K364" s="32"/>
      <c r="L364" s="32" t="s">
        <v>5</v>
      </c>
      <c r="M364" s="32"/>
      <c r="N364" s="32" t="s">
        <v>4</v>
      </c>
    </row>
    <row r="365" spans="1:14" ht="19.5" customHeight="1" x14ac:dyDescent="0.25">
      <c r="A365" s="1">
        <v>3306</v>
      </c>
      <c r="B365" s="36">
        <v>45818</v>
      </c>
      <c r="C365" s="32"/>
      <c r="D365" s="4" t="s">
        <v>7</v>
      </c>
      <c r="E365" s="32"/>
      <c r="F365" s="5">
        <v>5</v>
      </c>
      <c r="G365" s="32"/>
      <c r="H365" s="34">
        <f t="shared" si="10"/>
        <v>45822</v>
      </c>
      <c r="I365" s="5">
        <v>3</v>
      </c>
      <c r="J365" s="34">
        <f t="shared" si="11"/>
        <v>45826</v>
      </c>
      <c r="K365" s="32"/>
      <c r="L365" s="32"/>
      <c r="M365" s="32" t="s">
        <v>1</v>
      </c>
      <c r="N365" s="32"/>
    </row>
    <row r="366" spans="1:14" ht="19.5" customHeight="1" x14ac:dyDescent="0.25">
      <c r="A366" s="1">
        <v>4089</v>
      </c>
      <c r="B366" s="36">
        <v>45818</v>
      </c>
      <c r="C366" s="32"/>
      <c r="D366" s="4" t="s">
        <v>7</v>
      </c>
      <c r="E366" s="32"/>
      <c r="F366" s="5">
        <v>5</v>
      </c>
      <c r="G366" s="32"/>
      <c r="H366" s="34">
        <f t="shared" si="10"/>
        <v>45822</v>
      </c>
      <c r="I366" s="5">
        <v>3</v>
      </c>
      <c r="J366" s="34">
        <f t="shared" si="11"/>
        <v>45826</v>
      </c>
      <c r="K366" s="32" t="s">
        <v>3</v>
      </c>
      <c r="L366" s="32"/>
      <c r="M366" s="32"/>
      <c r="N366" s="32"/>
    </row>
    <row r="367" spans="1:14" ht="19.5" customHeight="1" x14ac:dyDescent="0.25">
      <c r="A367" s="1">
        <v>3761</v>
      </c>
      <c r="B367" s="36">
        <v>45818</v>
      </c>
      <c r="C367" s="32"/>
      <c r="D367" s="4" t="s">
        <v>7</v>
      </c>
      <c r="E367" s="32"/>
      <c r="F367" s="5">
        <v>5</v>
      </c>
      <c r="G367" s="32"/>
      <c r="H367" s="34">
        <f t="shared" si="10"/>
        <v>45822</v>
      </c>
      <c r="I367" s="5">
        <v>3</v>
      </c>
      <c r="J367" s="34">
        <f t="shared" si="11"/>
        <v>45826</v>
      </c>
      <c r="K367" s="32"/>
      <c r="L367" s="32" t="s">
        <v>5</v>
      </c>
      <c r="M367" s="32"/>
      <c r="N367" s="32" t="s">
        <v>4</v>
      </c>
    </row>
    <row r="368" spans="1:14" ht="19.5" customHeight="1" x14ac:dyDescent="0.25">
      <c r="A368" s="1">
        <v>3378</v>
      </c>
      <c r="B368" s="36">
        <v>45819</v>
      </c>
      <c r="C368" s="32"/>
      <c r="D368" s="4" t="s">
        <v>20</v>
      </c>
      <c r="E368" s="32"/>
      <c r="F368" s="5">
        <v>5</v>
      </c>
      <c r="G368" s="32"/>
      <c r="H368" s="34">
        <f t="shared" si="10"/>
        <v>45823</v>
      </c>
      <c r="I368" s="5">
        <v>9</v>
      </c>
      <c r="J368" s="34">
        <f t="shared" si="11"/>
        <v>45833</v>
      </c>
      <c r="K368" s="32"/>
      <c r="L368" s="32"/>
      <c r="M368" s="32"/>
      <c r="N368" s="32" t="s">
        <v>4</v>
      </c>
    </row>
    <row r="369" spans="1:14" ht="19.5" customHeight="1" x14ac:dyDescent="0.25">
      <c r="A369" s="1">
        <v>3976</v>
      </c>
      <c r="B369" s="36">
        <v>45819</v>
      </c>
      <c r="C369" s="32"/>
      <c r="D369" s="4" t="s">
        <v>7</v>
      </c>
      <c r="E369" s="32"/>
      <c r="F369" s="5">
        <v>5</v>
      </c>
      <c r="G369" s="32"/>
      <c r="H369" s="34">
        <f t="shared" si="10"/>
        <v>45823</v>
      </c>
      <c r="I369" s="5">
        <v>3</v>
      </c>
      <c r="J369" s="34">
        <f t="shared" si="11"/>
        <v>45827</v>
      </c>
      <c r="K369" s="32"/>
      <c r="L369" s="32"/>
      <c r="M369" s="32" t="s">
        <v>1</v>
      </c>
      <c r="N369" s="32"/>
    </row>
    <row r="370" spans="1:14" ht="19.5" customHeight="1" x14ac:dyDescent="0.25">
      <c r="A370" s="1">
        <v>3591</v>
      </c>
      <c r="B370" s="36">
        <v>45820</v>
      </c>
      <c r="C370" s="32"/>
      <c r="D370" s="4" t="s">
        <v>7</v>
      </c>
      <c r="E370" s="32"/>
      <c r="F370" s="5">
        <v>5</v>
      </c>
      <c r="G370" s="32"/>
      <c r="H370" s="34">
        <f t="shared" si="10"/>
        <v>45824</v>
      </c>
      <c r="I370" s="5">
        <v>3</v>
      </c>
      <c r="J370" s="34">
        <f t="shared" si="11"/>
        <v>45828</v>
      </c>
      <c r="K370" s="32"/>
      <c r="L370" s="32"/>
      <c r="M370" s="32"/>
      <c r="N370" s="32" t="s">
        <v>4</v>
      </c>
    </row>
    <row r="371" spans="1:14" ht="19.5" customHeight="1" x14ac:dyDescent="0.25">
      <c r="A371" s="1">
        <v>3113</v>
      </c>
      <c r="B371" s="36">
        <v>45820</v>
      </c>
      <c r="C371" s="32"/>
      <c r="D371" s="4" t="s">
        <v>7</v>
      </c>
      <c r="E371" s="32"/>
      <c r="F371" s="5">
        <v>5</v>
      </c>
      <c r="G371" s="32"/>
      <c r="H371" s="34">
        <f t="shared" si="10"/>
        <v>45824</v>
      </c>
      <c r="I371" s="5">
        <v>3</v>
      </c>
      <c r="J371" s="34">
        <f t="shared" si="11"/>
        <v>45828</v>
      </c>
      <c r="K371" s="32"/>
      <c r="L371" s="32"/>
      <c r="M371" s="32"/>
      <c r="N371" s="32" t="s">
        <v>4</v>
      </c>
    </row>
    <row r="372" spans="1:14" ht="19.5" customHeight="1" x14ac:dyDescent="0.25">
      <c r="A372" s="1">
        <v>3112</v>
      </c>
      <c r="B372" s="36">
        <v>45821</v>
      </c>
      <c r="C372" s="32"/>
      <c r="D372" s="4" t="s">
        <v>7</v>
      </c>
      <c r="E372" s="32"/>
      <c r="F372" s="5">
        <v>5</v>
      </c>
      <c r="G372" s="32"/>
      <c r="H372" s="34">
        <f t="shared" si="10"/>
        <v>45825</v>
      </c>
      <c r="I372" s="5">
        <v>3</v>
      </c>
      <c r="J372" s="34">
        <f t="shared" si="11"/>
        <v>45829</v>
      </c>
      <c r="K372" s="32" t="s">
        <v>3</v>
      </c>
      <c r="L372" s="32"/>
      <c r="M372" s="32"/>
      <c r="N372" s="32"/>
    </row>
    <row r="373" spans="1:14" ht="19.5" customHeight="1" x14ac:dyDescent="0.25">
      <c r="A373" s="1">
        <v>3896</v>
      </c>
      <c r="B373" s="36">
        <v>45821</v>
      </c>
      <c r="C373" s="32"/>
      <c r="D373" s="4" t="s">
        <v>7</v>
      </c>
      <c r="E373" s="32"/>
      <c r="F373" s="5">
        <v>5</v>
      </c>
      <c r="G373" s="32"/>
      <c r="H373" s="34">
        <f t="shared" si="10"/>
        <v>45825</v>
      </c>
      <c r="I373" s="5">
        <v>3</v>
      </c>
      <c r="J373" s="34">
        <f t="shared" si="11"/>
        <v>45829</v>
      </c>
      <c r="K373" s="32" t="s">
        <v>3</v>
      </c>
      <c r="L373" s="32"/>
      <c r="M373" s="32"/>
      <c r="N373" s="32"/>
    </row>
    <row r="374" spans="1:14" ht="19.5" customHeight="1" x14ac:dyDescent="0.25">
      <c r="A374" s="1">
        <v>4117</v>
      </c>
      <c r="B374" s="36">
        <v>45821</v>
      </c>
      <c r="C374" s="32"/>
      <c r="D374" s="4" t="s">
        <v>7</v>
      </c>
      <c r="E374" s="32"/>
      <c r="F374" s="5">
        <v>5</v>
      </c>
      <c r="G374" s="32"/>
      <c r="H374" s="34">
        <f t="shared" si="10"/>
        <v>45825</v>
      </c>
      <c r="I374" s="5">
        <v>3</v>
      </c>
      <c r="J374" s="34">
        <f t="shared" si="11"/>
        <v>45829</v>
      </c>
      <c r="K374" s="32"/>
      <c r="L374" s="32" t="s">
        <v>5</v>
      </c>
      <c r="M374" s="32"/>
      <c r="N374" s="32" t="s">
        <v>4</v>
      </c>
    </row>
    <row r="375" spans="1:14" ht="19.5" customHeight="1" x14ac:dyDescent="0.25">
      <c r="A375" s="1">
        <v>3579</v>
      </c>
      <c r="B375" s="36">
        <v>45822</v>
      </c>
      <c r="C375" s="32"/>
      <c r="D375" s="4" t="s">
        <v>7</v>
      </c>
      <c r="E375" s="32"/>
      <c r="F375" s="5">
        <v>5</v>
      </c>
      <c r="G375" s="32"/>
      <c r="H375" s="34">
        <f t="shared" si="10"/>
        <v>45826</v>
      </c>
      <c r="I375" s="5">
        <v>3</v>
      </c>
      <c r="J375" s="34">
        <f t="shared" si="11"/>
        <v>45830</v>
      </c>
      <c r="K375" s="32" t="s">
        <v>3</v>
      </c>
      <c r="L375" s="32"/>
      <c r="M375" s="32"/>
      <c r="N375" s="32"/>
    </row>
    <row r="376" spans="1:14" ht="19.5" customHeight="1" x14ac:dyDescent="0.25">
      <c r="A376" s="1">
        <v>3853</v>
      </c>
      <c r="B376" s="36">
        <v>45822</v>
      </c>
      <c r="C376" s="32"/>
      <c r="D376" s="4" t="s">
        <v>7</v>
      </c>
      <c r="E376" s="32"/>
      <c r="F376" s="5">
        <v>5</v>
      </c>
      <c r="G376" s="32"/>
      <c r="H376" s="34">
        <f t="shared" si="10"/>
        <v>45826</v>
      </c>
      <c r="I376" s="5">
        <v>3</v>
      </c>
      <c r="J376" s="34">
        <f t="shared" si="11"/>
        <v>45830</v>
      </c>
      <c r="K376" s="32"/>
      <c r="L376" s="32" t="s">
        <v>5</v>
      </c>
      <c r="M376" s="32"/>
      <c r="N376" s="32"/>
    </row>
    <row r="377" spans="1:14" ht="19.5" customHeight="1" x14ac:dyDescent="0.25">
      <c r="A377" s="1">
        <v>3306</v>
      </c>
      <c r="B377" s="36">
        <v>45822</v>
      </c>
      <c r="C377" s="32"/>
      <c r="D377" s="4" t="s">
        <v>25</v>
      </c>
      <c r="E377" s="32"/>
      <c r="F377" s="5">
        <v>5</v>
      </c>
      <c r="G377" s="32"/>
      <c r="H377" s="34">
        <f t="shared" si="10"/>
        <v>45826</v>
      </c>
      <c r="I377" s="5">
        <v>5</v>
      </c>
      <c r="J377" s="34">
        <f t="shared" si="11"/>
        <v>45832</v>
      </c>
      <c r="K377" s="32"/>
      <c r="L377" s="32"/>
      <c r="M377" s="32" t="s">
        <v>1</v>
      </c>
      <c r="N377" s="32"/>
    </row>
    <row r="378" spans="1:14" ht="19.5" customHeight="1" x14ac:dyDescent="0.25">
      <c r="A378" s="1">
        <v>4068</v>
      </c>
      <c r="B378" s="36">
        <v>45822</v>
      </c>
      <c r="C378" s="32"/>
      <c r="D378" s="4" t="s">
        <v>7</v>
      </c>
      <c r="E378" s="32"/>
      <c r="F378" s="5">
        <v>5</v>
      </c>
      <c r="G378" s="32"/>
      <c r="H378" s="34">
        <f t="shared" si="10"/>
        <v>45826</v>
      </c>
      <c r="I378" s="5">
        <v>3</v>
      </c>
      <c r="J378" s="34">
        <f t="shared" si="11"/>
        <v>45830</v>
      </c>
      <c r="K378" s="32"/>
      <c r="L378" s="32"/>
      <c r="M378" s="32"/>
      <c r="N378" s="32" t="s">
        <v>4</v>
      </c>
    </row>
    <row r="379" spans="1:14" ht="19.5" customHeight="1" x14ac:dyDescent="0.25">
      <c r="A379" s="1">
        <v>3160</v>
      </c>
      <c r="B379" s="36">
        <v>45822</v>
      </c>
      <c r="C379" s="32"/>
      <c r="D379" s="4" t="s">
        <v>7</v>
      </c>
      <c r="E379" s="32"/>
      <c r="F379" s="5">
        <v>5</v>
      </c>
      <c r="G379" s="32"/>
      <c r="H379" s="34">
        <f t="shared" si="10"/>
        <v>45826</v>
      </c>
      <c r="I379" s="5">
        <v>3</v>
      </c>
      <c r="J379" s="34">
        <f t="shared" si="11"/>
        <v>45830</v>
      </c>
      <c r="K379" s="32" t="s">
        <v>3</v>
      </c>
      <c r="L379" s="32"/>
      <c r="M379" s="32"/>
      <c r="N379" s="32"/>
    </row>
    <row r="380" spans="1:14" ht="19.5" customHeight="1" x14ac:dyDescent="0.25">
      <c r="A380" s="1">
        <v>3394</v>
      </c>
      <c r="B380" s="36">
        <v>45822</v>
      </c>
      <c r="C380" s="32"/>
      <c r="D380" s="4" t="s">
        <v>7</v>
      </c>
      <c r="E380" s="32"/>
      <c r="F380" s="5">
        <v>5</v>
      </c>
      <c r="G380" s="32"/>
      <c r="H380" s="34">
        <f t="shared" si="10"/>
        <v>45826</v>
      </c>
      <c r="I380" s="5">
        <v>3</v>
      </c>
      <c r="J380" s="34">
        <f t="shared" si="11"/>
        <v>45830</v>
      </c>
      <c r="K380" s="32"/>
      <c r="L380" s="32"/>
      <c r="M380" s="32" t="s">
        <v>1</v>
      </c>
      <c r="N380" s="32"/>
    </row>
    <row r="381" spans="1:14" ht="19.5" customHeight="1" x14ac:dyDescent="0.25">
      <c r="A381" s="1">
        <v>2729</v>
      </c>
      <c r="B381" s="36">
        <v>45823</v>
      </c>
      <c r="C381" s="32"/>
      <c r="D381" s="4" t="s">
        <v>7</v>
      </c>
      <c r="E381" s="32"/>
      <c r="F381" s="5">
        <v>5</v>
      </c>
      <c r="G381" s="32"/>
      <c r="H381" s="34">
        <f t="shared" si="10"/>
        <v>45827</v>
      </c>
      <c r="I381" s="5">
        <v>3</v>
      </c>
      <c r="J381" s="34">
        <f t="shared" si="11"/>
        <v>45831</v>
      </c>
      <c r="K381" s="32"/>
      <c r="L381" s="32"/>
      <c r="M381" s="32"/>
      <c r="N381" s="32" t="s">
        <v>4</v>
      </c>
    </row>
    <row r="382" spans="1:14" ht="19.5" customHeight="1" x14ac:dyDescent="0.25">
      <c r="A382" s="1">
        <v>2827</v>
      </c>
      <c r="B382" s="36">
        <v>45824</v>
      </c>
      <c r="C382" s="32"/>
      <c r="D382" s="4" t="s">
        <v>7</v>
      </c>
      <c r="E382" s="32"/>
      <c r="F382" s="5">
        <v>5</v>
      </c>
      <c r="G382" s="32"/>
      <c r="H382" s="34">
        <f t="shared" si="10"/>
        <v>45828</v>
      </c>
      <c r="I382" s="5">
        <v>3</v>
      </c>
      <c r="J382" s="34">
        <f t="shared" si="11"/>
        <v>45832</v>
      </c>
      <c r="K382" s="32"/>
      <c r="L382" s="32" t="s">
        <v>5</v>
      </c>
      <c r="M382" s="32"/>
      <c r="N382" s="32"/>
    </row>
    <row r="383" spans="1:14" ht="19.5" customHeight="1" x14ac:dyDescent="0.25">
      <c r="A383" s="1">
        <v>3042</v>
      </c>
      <c r="B383" s="36">
        <v>45825</v>
      </c>
      <c r="C383" s="32"/>
      <c r="D383" s="4" t="s">
        <v>7</v>
      </c>
      <c r="E383" s="32"/>
      <c r="F383" s="5">
        <v>5</v>
      </c>
      <c r="G383" s="32"/>
      <c r="H383" s="34">
        <f t="shared" si="10"/>
        <v>45829</v>
      </c>
      <c r="I383" s="5">
        <v>3</v>
      </c>
      <c r="J383" s="34">
        <f t="shared" si="11"/>
        <v>45833</v>
      </c>
      <c r="K383" s="32" t="s">
        <v>3</v>
      </c>
      <c r="L383" s="32"/>
      <c r="M383" s="32"/>
      <c r="N383" s="32"/>
    </row>
    <row r="384" spans="1:14" ht="19.5" customHeight="1" x14ac:dyDescent="0.25">
      <c r="A384" s="1">
        <v>3113</v>
      </c>
      <c r="B384" s="36">
        <v>45825</v>
      </c>
      <c r="C384" s="32"/>
      <c r="D384" s="4" t="s">
        <v>25</v>
      </c>
      <c r="E384" s="32"/>
      <c r="F384" s="5">
        <v>5</v>
      </c>
      <c r="G384" s="32"/>
      <c r="H384" s="34">
        <f t="shared" si="10"/>
        <v>45829</v>
      </c>
      <c r="I384" s="5">
        <v>5</v>
      </c>
      <c r="J384" s="34">
        <f t="shared" si="11"/>
        <v>45835</v>
      </c>
      <c r="K384" s="32"/>
      <c r="L384" s="32" t="s">
        <v>5</v>
      </c>
      <c r="M384" s="32"/>
      <c r="N384" s="32" t="s">
        <v>4</v>
      </c>
    </row>
    <row r="385" spans="1:14" ht="19.5" customHeight="1" x14ac:dyDescent="0.25">
      <c r="A385" s="1">
        <v>3976</v>
      </c>
      <c r="B385" s="36">
        <v>45825</v>
      </c>
      <c r="C385" s="32"/>
      <c r="D385" s="4" t="s">
        <v>0</v>
      </c>
      <c r="E385" s="32"/>
      <c r="F385" s="5">
        <v>5</v>
      </c>
      <c r="G385" s="32"/>
      <c r="H385" s="34">
        <f t="shared" si="10"/>
        <v>45829</v>
      </c>
      <c r="I385" s="5">
        <v>5</v>
      </c>
      <c r="J385" s="34">
        <f t="shared" si="11"/>
        <v>45835</v>
      </c>
      <c r="K385" s="32"/>
      <c r="L385" s="32"/>
      <c r="M385" s="32" t="s">
        <v>1</v>
      </c>
      <c r="N385" s="32"/>
    </row>
    <row r="386" spans="1:14" ht="19.5" customHeight="1" x14ac:dyDescent="0.25">
      <c r="A386" s="1">
        <v>4446</v>
      </c>
      <c r="B386" s="36">
        <v>45825</v>
      </c>
      <c r="C386" s="32"/>
      <c r="D386" s="4" t="s">
        <v>7</v>
      </c>
      <c r="E386" s="32"/>
      <c r="F386" s="5">
        <v>5</v>
      </c>
      <c r="G386" s="32"/>
      <c r="H386" s="34">
        <f t="shared" si="10"/>
        <v>45829</v>
      </c>
      <c r="I386" s="5">
        <v>3</v>
      </c>
      <c r="J386" s="34">
        <f t="shared" si="11"/>
        <v>45833</v>
      </c>
      <c r="K386" s="32" t="s">
        <v>3</v>
      </c>
      <c r="L386" s="32" t="s">
        <v>5</v>
      </c>
      <c r="M386" s="32"/>
      <c r="N386" s="32"/>
    </row>
    <row r="387" spans="1:14" ht="19.5" customHeight="1" x14ac:dyDescent="0.25">
      <c r="A387" s="1">
        <v>4665</v>
      </c>
      <c r="B387" s="36">
        <v>45826</v>
      </c>
      <c r="C387" s="32"/>
      <c r="D387" s="4" t="s">
        <v>7</v>
      </c>
      <c r="E387" s="32"/>
      <c r="F387" s="5">
        <v>5</v>
      </c>
      <c r="G387" s="32"/>
      <c r="H387" s="34">
        <f t="shared" si="10"/>
        <v>45830</v>
      </c>
      <c r="I387" s="5">
        <v>3</v>
      </c>
      <c r="J387" s="34">
        <f t="shared" si="11"/>
        <v>45834</v>
      </c>
      <c r="K387" s="32"/>
      <c r="L387" s="32" t="s">
        <v>5</v>
      </c>
      <c r="M387" s="32"/>
      <c r="N387" s="32" t="s">
        <v>4</v>
      </c>
    </row>
    <row r="388" spans="1:14" ht="19.5" customHeight="1" x14ac:dyDescent="0.25">
      <c r="A388" s="1">
        <v>3896</v>
      </c>
      <c r="B388" s="36">
        <v>45826</v>
      </c>
      <c r="C388" s="32"/>
      <c r="D388" s="4" t="s">
        <v>0</v>
      </c>
      <c r="E388" s="32"/>
      <c r="F388" s="5">
        <v>5</v>
      </c>
      <c r="G388" s="32"/>
      <c r="H388" s="34">
        <f t="shared" si="10"/>
        <v>45830</v>
      </c>
      <c r="I388" s="5">
        <v>5</v>
      </c>
      <c r="J388" s="34">
        <f t="shared" si="11"/>
        <v>45836</v>
      </c>
      <c r="K388" s="32" t="s">
        <v>3</v>
      </c>
      <c r="L388" s="32"/>
      <c r="M388" s="32"/>
      <c r="N388" s="32"/>
    </row>
    <row r="389" spans="1:14" ht="19.5" customHeight="1" x14ac:dyDescent="0.25">
      <c r="A389" s="1">
        <v>3853</v>
      </c>
      <c r="B389" s="36">
        <v>45826</v>
      </c>
      <c r="C389" s="32"/>
      <c r="D389" s="4" t="s">
        <v>0</v>
      </c>
      <c r="E389" s="32"/>
      <c r="F389" s="5">
        <v>5</v>
      </c>
      <c r="G389" s="32"/>
      <c r="H389" s="36">
        <v>45830</v>
      </c>
      <c r="I389" s="5">
        <v>5</v>
      </c>
      <c r="J389" s="36">
        <v>45836</v>
      </c>
      <c r="K389" s="32"/>
      <c r="L389" s="32" t="s">
        <v>5</v>
      </c>
      <c r="M389" s="32"/>
      <c r="N389" s="32"/>
    </row>
    <row r="390" spans="1:14" ht="19.5" customHeight="1" x14ac:dyDescent="0.25">
      <c r="A390" s="1">
        <v>3673</v>
      </c>
      <c r="B390" s="36">
        <v>45827</v>
      </c>
      <c r="C390" s="32"/>
      <c r="D390" s="4" t="s">
        <v>7</v>
      </c>
      <c r="E390" s="32"/>
      <c r="F390" s="5">
        <v>5</v>
      </c>
      <c r="G390" s="32"/>
      <c r="H390" s="36">
        <v>45831</v>
      </c>
      <c r="I390" s="5">
        <v>3</v>
      </c>
      <c r="J390" s="36">
        <v>45835</v>
      </c>
      <c r="K390" s="32"/>
      <c r="L390" s="32"/>
      <c r="M390" s="32" t="s">
        <v>1</v>
      </c>
      <c r="N390" s="32"/>
    </row>
    <row r="391" spans="1:14" ht="19.5" customHeight="1" x14ac:dyDescent="0.25">
      <c r="A391" s="1">
        <v>3932</v>
      </c>
      <c r="B391" s="36">
        <v>45827</v>
      </c>
      <c r="C391" s="32"/>
      <c r="D391" s="4" t="s">
        <v>7</v>
      </c>
      <c r="E391" s="32"/>
      <c r="F391" s="5">
        <v>5</v>
      </c>
      <c r="G391" s="32"/>
      <c r="H391" s="36">
        <v>45831</v>
      </c>
      <c r="I391" s="5">
        <v>3</v>
      </c>
      <c r="J391" s="36">
        <v>45835</v>
      </c>
      <c r="K391" s="32"/>
      <c r="L391" s="32"/>
      <c r="M391" s="32"/>
      <c r="N391" s="32" t="s">
        <v>4</v>
      </c>
    </row>
    <row r="392" spans="1:14" ht="19.5" customHeight="1" x14ac:dyDescent="0.25">
      <c r="A392" s="1">
        <v>3801</v>
      </c>
      <c r="B392" s="36">
        <v>45827</v>
      </c>
      <c r="C392" s="32"/>
      <c r="D392" s="4" t="s">
        <v>20</v>
      </c>
      <c r="E392" s="32"/>
      <c r="F392" s="5">
        <v>5</v>
      </c>
      <c r="G392" s="32"/>
      <c r="H392" s="36">
        <v>45831</v>
      </c>
      <c r="I392" s="5">
        <v>9</v>
      </c>
      <c r="J392" s="36">
        <v>45841</v>
      </c>
      <c r="K392" s="32"/>
      <c r="L392" s="32" t="s">
        <v>5</v>
      </c>
      <c r="M392" s="32"/>
      <c r="N392" s="32" t="s">
        <v>4</v>
      </c>
    </row>
    <row r="393" spans="1:14" ht="19.5" customHeight="1" x14ac:dyDescent="0.25">
      <c r="A393" s="1">
        <v>3421</v>
      </c>
      <c r="B393" s="36">
        <v>45828</v>
      </c>
      <c r="C393" s="32"/>
      <c r="D393" s="4" t="s">
        <v>7</v>
      </c>
      <c r="E393" s="32"/>
      <c r="F393" s="5">
        <v>5</v>
      </c>
      <c r="G393" s="32"/>
      <c r="H393" s="36">
        <v>45832</v>
      </c>
      <c r="I393" s="5">
        <v>3</v>
      </c>
      <c r="J393" s="36">
        <v>45836</v>
      </c>
      <c r="K393" s="32"/>
      <c r="L393" s="32"/>
      <c r="M393" s="32" t="s">
        <v>1</v>
      </c>
      <c r="N393" s="32"/>
    </row>
    <row r="394" spans="1:14" ht="19.5" customHeight="1" x14ac:dyDescent="0.25">
      <c r="A394" s="1">
        <v>2827</v>
      </c>
      <c r="B394" s="36">
        <v>45828</v>
      </c>
      <c r="C394" s="32"/>
      <c r="D394" s="4" t="s">
        <v>20</v>
      </c>
      <c r="E394" s="32"/>
      <c r="F394" s="5">
        <v>5</v>
      </c>
      <c r="G394" s="32"/>
      <c r="H394" s="36">
        <v>45832</v>
      </c>
      <c r="I394" s="5">
        <v>9</v>
      </c>
      <c r="J394" s="36">
        <v>45812</v>
      </c>
      <c r="K394" s="32" t="s">
        <v>3</v>
      </c>
      <c r="L394" s="32"/>
      <c r="M394" s="32"/>
      <c r="N394" s="32"/>
    </row>
    <row r="395" spans="1:14" ht="19.5" customHeight="1" x14ac:dyDescent="0.25">
      <c r="A395" s="1">
        <v>4188</v>
      </c>
      <c r="B395" s="36">
        <v>45810</v>
      </c>
      <c r="C395" s="32"/>
      <c r="D395" s="4" t="s">
        <v>7</v>
      </c>
      <c r="E395" s="32"/>
      <c r="F395" s="5">
        <v>5</v>
      </c>
      <c r="G395" s="32"/>
      <c r="H395" s="36">
        <v>45832</v>
      </c>
      <c r="I395" s="5">
        <v>3</v>
      </c>
      <c r="J395" s="36">
        <v>45836</v>
      </c>
      <c r="K395" s="32"/>
      <c r="L395" s="32"/>
      <c r="M395" s="32"/>
      <c r="N395" s="32" t="s">
        <v>4</v>
      </c>
    </row>
    <row r="396" spans="1:14" ht="19.5" customHeight="1" x14ac:dyDescent="0.25">
      <c r="A396" s="1">
        <v>3846</v>
      </c>
      <c r="B396" s="36">
        <v>45828</v>
      </c>
      <c r="C396" s="32"/>
      <c r="D396" s="4" t="s">
        <v>7</v>
      </c>
      <c r="E396" s="32"/>
      <c r="F396" s="5">
        <v>5</v>
      </c>
      <c r="G396" s="32"/>
      <c r="H396" s="36">
        <v>45832</v>
      </c>
      <c r="I396" s="5">
        <v>3</v>
      </c>
      <c r="J396" s="36">
        <v>45836</v>
      </c>
      <c r="K396" s="32"/>
      <c r="L396" s="32"/>
      <c r="M396" s="32"/>
      <c r="N396" s="32"/>
    </row>
    <row r="397" spans="1:14" ht="19.5" customHeight="1" x14ac:dyDescent="0.25">
      <c r="A397" s="1">
        <v>2430</v>
      </c>
      <c r="B397" s="36">
        <v>45828</v>
      </c>
      <c r="C397" s="32"/>
      <c r="D397" s="4" t="s">
        <v>7</v>
      </c>
      <c r="E397" s="32"/>
      <c r="F397" s="5">
        <v>5</v>
      </c>
      <c r="G397" s="32"/>
      <c r="H397" s="36">
        <v>45832</v>
      </c>
      <c r="I397" s="5">
        <v>3</v>
      </c>
      <c r="J397" s="36">
        <v>45836</v>
      </c>
      <c r="K397" s="32"/>
      <c r="L397" s="32"/>
      <c r="M397" s="32" t="s">
        <v>1</v>
      </c>
      <c r="N397" s="32" t="s">
        <v>4</v>
      </c>
    </row>
    <row r="398" spans="1:14" ht="19.5" customHeight="1" x14ac:dyDescent="0.25">
      <c r="A398" s="1">
        <v>4847</v>
      </c>
      <c r="B398" s="36">
        <v>45828</v>
      </c>
      <c r="C398" s="32"/>
      <c r="D398" s="4" t="s">
        <v>7</v>
      </c>
      <c r="E398" s="32"/>
      <c r="F398" s="5">
        <v>5</v>
      </c>
      <c r="G398" s="32"/>
      <c r="H398" s="36">
        <v>45832</v>
      </c>
      <c r="I398" s="5">
        <v>3</v>
      </c>
      <c r="J398" s="36">
        <v>45836</v>
      </c>
      <c r="K398" s="32"/>
      <c r="L398" s="32"/>
      <c r="M398" s="32" t="s">
        <v>1</v>
      </c>
      <c r="N398" s="32"/>
    </row>
    <row r="399" spans="1:14" ht="19.5" customHeight="1" x14ac:dyDescent="0.25">
      <c r="A399" s="1">
        <v>3661</v>
      </c>
      <c r="B399" s="36">
        <v>45829</v>
      </c>
      <c r="C399" s="32"/>
      <c r="D399" s="4" t="s">
        <v>25</v>
      </c>
      <c r="E399" s="32"/>
      <c r="F399" s="5">
        <v>5</v>
      </c>
      <c r="G399" s="32"/>
      <c r="H399" s="36">
        <v>45833</v>
      </c>
      <c r="I399" s="5">
        <v>5</v>
      </c>
      <c r="J399" s="36">
        <v>45839</v>
      </c>
      <c r="K399" s="32" t="s">
        <v>3</v>
      </c>
      <c r="L399" s="32" t="s">
        <v>5</v>
      </c>
      <c r="M399" s="32"/>
      <c r="N399" s="32" t="s">
        <v>4</v>
      </c>
    </row>
    <row r="400" spans="1:14" ht="19.5" customHeight="1" x14ac:dyDescent="0.25">
      <c r="A400" s="1">
        <v>3113</v>
      </c>
      <c r="B400" s="36">
        <v>45829</v>
      </c>
      <c r="C400" s="32"/>
      <c r="D400" s="4" t="s">
        <v>20</v>
      </c>
      <c r="E400" s="32"/>
      <c r="F400" s="5">
        <v>5</v>
      </c>
      <c r="G400" s="32"/>
      <c r="H400" s="36">
        <v>45833</v>
      </c>
      <c r="I400" s="5">
        <v>9</v>
      </c>
      <c r="J400" s="36">
        <v>45843</v>
      </c>
      <c r="K400" s="32"/>
      <c r="L400" s="32" t="s">
        <v>5</v>
      </c>
      <c r="M400" s="32"/>
      <c r="N400" s="32" t="s">
        <v>4</v>
      </c>
    </row>
    <row r="401" spans="1:14" ht="19.5" customHeight="1" x14ac:dyDescent="0.25">
      <c r="A401" s="1">
        <v>3853</v>
      </c>
      <c r="B401" s="36">
        <v>45829</v>
      </c>
      <c r="C401" s="32"/>
      <c r="D401" s="4" t="s">
        <v>20</v>
      </c>
      <c r="E401" s="32"/>
      <c r="F401" s="5">
        <v>5</v>
      </c>
      <c r="G401" s="32"/>
      <c r="H401" s="36">
        <v>45833</v>
      </c>
      <c r="I401" s="5">
        <v>9</v>
      </c>
      <c r="J401" s="36">
        <v>45843</v>
      </c>
      <c r="K401" s="32"/>
      <c r="L401" s="32" t="s">
        <v>5</v>
      </c>
      <c r="M401" s="32"/>
      <c r="N401" s="32"/>
    </row>
    <row r="402" spans="1:14" ht="19.5" customHeight="1" x14ac:dyDescent="0.25">
      <c r="A402" s="1">
        <v>3896</v>
      </c>
      <c r="B402" s="36">
        <v>45829</v>
      </c>
      <c r="C402" s="32"/>
      <c r="D402" s="4" t="s">
        <v>20</v>
      </c>
      <c r="E402" s="32"/>
      <c r="F402" s="5">
        <v>5</v>
      </c>
      <c r="G402" s="32"/>
      <c r="H402" s="36">
        <v>45833</v>
      </c>
      <c r="I402" s="5">
        <v>9</v>
      </c>
      <c r="J402" s="36">
        <v>45843</v>
      </c>
      <c r="K402" s="32" t="s">
        <v>3</v>
      </c>
      <c r="L402" s="32"/>
      <c r="M402" s="32"/>
      <c r="N402" s="32"/>
    </row>
    <row r="403" spans="1:14" ht="19.5" customHeight="1" x14ac:dyDescent="0.25">
      <c r="A403" s="1">
        <v>2979</v>
      </c>
      <c r="B403" s="36">
        <v>45830</v>
      </c>
      <c r="C403" s="32"/>
      <c r="D403" s="4" t="s">
        <v>0</v>
      </c>
      <c r="E403" s="32"/>
      <c r="F403" s="5">
        <v>5</v>
      </c>
      <c r="G403" s="32"/>
      <c r="H403" s="36">
        <v>45834</v>
      </c>
      <c r="I403" s="5">
        <v>5</v>
      </c>
      <c r="J403" s="36">
        <v>45830</v>
      </c>
      <c r="K403" s="32"/>
      <c r="L403" s="32"/>
      <c r="M403" s="32"/>
      <c r="N403" s="32" t="s">
        <v>4</v>
      </c>
    </row>
    <row r="404" spans="1:14" ht="19.5" customHeight="1" x14ac:dyDescent="0.25">
      <c r="A404" s="1">
        <v>2706</v>
      </c>
      <c r="B404" s="36">
        <v>45830</v>
      </c>
      <c r="C404" s="32"/>
      <c r="D404" s="4" t="s">
        <v>7</v>
      </c>
      <c r="E404" s="32"/>
      <c r="F404" s="5">
        <v>5</v>
      </c>
      <c r="G404" s="32"/>
      <c r="H404" s="36">
        <v>45834</v>
      </c>
      <c r="I404" s="5">
        <v>3</v>
      </c>
      <c r="J404" s="36">
        <v>45838</v>
      </c>
      <c r="K404" s="32" t="s">
        <v>3</v>
      </c>
      <c r="L404" s="32" t="s">
        <v>5</v>
      </c>
      <c r="M404" s="32" t="s">
        <v>1</v>
      </c>
      <c r="N404" s="32" t="s">
        <v>4</v>
      </c>
    </row>
    <row r="405" spans="1:14" ht="19.5" customHeight="1" x14ac:dyDescent="0.25">
      <c r="A405" s="1">
        <v>3112</v>
      </c>
      <c r="B405" s="36">
        <v>45831</v>
      </c>
      <c r="C405" s="32"/>
      <c r="D405" s="4" t="s">
        <v>0</v>
      </c>
      <c r="E405" s="32"/>
      <c r="F405" s="5">
        <v>5</v>
      </c>
      <c r="G405" s="32"/>
      <c r="H405" s="36">
        <v>45835</v>
      </c>
      <c r="I405" s="5">
        <v>5</v>
      </c>
      <c r="J405" s="36">
        <v>45841</v>
      </c>
      <c r="K405" s="32" t="s">
        <v>3</v>
      </c>
      <c r="L405" s="32"/>
      <c r="M405" s="32"/>
      <c r="N405" s="32"/>
    </row>
    <row r="406" spans="1:14" ht="19.5" customHeight="1" x14ac:dyDescent="0.25">
      <c r="A406" s="1">
        <v>3094</v>
      </c>
      <c r="B406" s="36">
        <v>45831</v>
      </c>
      <c r="C406" s="32"/>
      <c r="D406" s="4" t="s">
        <v>21</v>
      </c>
      <c r="E406" s="32"/>
      <c r="F406" s="5">
        <v>5</v>
      </c>
      <c r="G406" s="32"/>
      <c r="H406" s="36">
        <v>45835</v>
      </c>
      <c r="I406" s="5">
        <v>9</v>
      </c>
      <c r="J406" s="36">
        <v>45845</v>
      </c>
      <c r="K406" s="32"/>
      <c r="L406" s="32" t="s">
        <v>5</v>
      </c>
      <c r="M406" s="32"/>
      <c r="N406" s="32"/>
    </row>
    <row r="407" spans="1:14" ht="19.5" customHeight="1" x14ac:dyDescent="0.25">
      <c r="A407" s="1">
        <v>3998</v>
      </c>
      <c r="B407" s="36">
        <v>45832</v>
      </c>
      <c r="C407" s="32"/>
      <c r="D407" s="4" t="s">
        <v>7</v>
      </c>
      <c r="E407" s="32"/>
      <c r="F407" s="5">
        <v>5</v>
      </c>
      <c r="G407" s="32"/>
      <c r="H407" s="36">
        <v>45836</v>
      </c>
      <c r="I407" s="5">
        <v>3</v>
      </c>
      <c r="J407" s="36">
        <v>45840</v>
      </c>
      <c r="K407" s="32"/>
      <c r="L407" s="32" t="s">
        <v>5</v>
      </c>
      <c r="M407" s="32" t="s">
        <v>1</v>
      </c>
      <c r="N407" s="32"/>
    </row>
    <row r="408" spans="1:14" ht="19.5" customHeight="1" x14ac:dyDescent="0.25">
      <c r="A408" s="1">
        <v>3846</v>
      </c>
      <c r="B408" s="36">
        <v>45832</v>
      </c>
      <c r="C408" s="32"/>
      <c r="D408" s="4" t="s">
        <v>0</v>
      </c>
      <c r="E408" s="32"/>
      <c r="F408" s="5">
        <v>5</v>
      </c>
      <c r="G408" s="32"/>
      <c r="H408" s="36">
        <v>45836</v>
      </c>
      <c r="I408" s="5">
        <v>5</v>
      </c>
      <c r="J408" s="36">
        <v>45842</v>
      </c>
      <c r="K408" s="32"/>
      <c r="L408" s="32" t="s">
        <v>5</v>
      </c>
      <c r="M408" s="32"/>
      <c r="N408" s="32"/>
    </row>
    <row r="409" spans="1:14" ht="19.5" customHeight="1" x14ac:dyDescent="0.25">
      <c r="A409" s="1">
        <v>4265</v>
      </c>
      <c r="B409" s="36">
        <v>45833</v>
      </c>
      <c r="C409" s="32"/>
      <c r="D409" s="4" t="s">
        <v>7</v>
      </c>
      <c r="E409" s="32"/>
      <c r="F409" s="5">
        <v>5</v>
      </c>
      <c r="G409" s="32"/>
      <c r="H409" s="36">
        <v>45837</v>
      </c>
      <c r="I409" s="5">
        <v>3</v>
      </c>
      <c r="J409" s="36">
        <v>45841</v>
      </c>
      <c r="K409" s="32"/>
      <c r="L409" s="32" t="s">
        <v>5</v>
      </c>
      <c r="M409" s="32"/>
      <c r="N409" s="32"/>
    </row>
    <row r="410" spans="1:14" ht="19.5" customHeight="1" x14ac:dyDescent="0.25">
      <c r="A410" s="1">
        <v>4236</v>
      </c>
      <c r="B410" s="36">
        <v>45834</v>
      </c>
      <c r="C410" s="32"/>
      <c r="D410" s="4" t="s">
        <v>7</v>
      </c>
      <c r="E410" s="32"/>
      <c r="F410" s="5">
        <v>5</v>
      </c>
      <c r="G410" s="32"/>
      <c r="H410" s="36">
        <v>45838</v>
      </c>
      <c r="I410" s="5">
        <v>3</v>
      </c>
      <c r="J410" s="36">
        <v>45842</v>
      </c>
      <c r="K410" s="32"/>
      <c r="L410" s="32"/>
      <c r="M410" s="32" t="s">
        <v>1</v>
      </c>
      <c r="N410" s="32"/>
    </row>
    <row r="411" spans="1:14" ht="19.5" customHeight="1" x14ac:dyDescent="0.25">
      <c r="A411" s="1">
        <v>3673</v>
      </c>
      <c r="B411" s="36">
        <v>45835</v>
      </c>
      <c r="C411" s="32"/>
      <c r="D411" s="4" t="s">
        <v>21</v>
      </c>
      <c r="E411" s="32"/>
      <c r="F411" s="5">
        <v>5</v>
      </c>
      <c r="G411" s="32"/>
      <c r="H411" s="36">
        <v>45839</v>
      </c>
      <c r="I411" s="5">
        <v>9</v>
      </c>
      <c r="J411" s="36">
        <v>45849</v>
      </c>
      <c r="K411" s="32"/>
      <c r="L411" s="32"/>
      <c r="M411" s="32" t="s">
        <v>1</v>
      </c>
      <c r="N411" s="32"/>
    </row>
    <row r="412" spans="1:14" ht="19.5" customHeight="1" x14ac:dyDescent="0.25">
      <c r="A412" s="1">
        <v>4836</v>
      </c>
      <c r="B412" s="36">
        <v>45836</v>
      </c>
      <c r="C412" s="32"/>
      <c r="D412" s="4" t="s">
        <v>7</v>
      </c>
      <c r="E412" s="32"/>
      <c r="F412" s="5">
        <v>5</v>
      </c>
      <c r="G412" s="32"/>
      <c r="H412" s="36">
        <v>45840</v>
      </c>
      <c r="I412" s="5">
        <v>3</v>
      </c>
      <c r="J412" s="36">
        <v>45844</v>
      </c>
      <c r="K412" s="32"/>
      <c r="L412" s="32"/>
      <c r="M412" s="32" t="s">
        <v>1</v>
      </c>
      <c r="N412" s="32"/>
    </row>
    <row r="413" spans="1:14" ht="19.5" customHeight="1" x14ac:dyDescent="0.25">
      <c r="A413" s="1">
        <v>4847</v>
      </c>
      <c r="B413" s="36">
        <v>45836</v>
      </c>
      <c r="C413" s="32"/>
      <c r="D413" s="4" t="s">
        <v>21</v>
      </c>
      <c r="E413" s="32"/>
      <c r="F413" s="5">
        <v>5</v>
      </c>
      <c r="G413" s="32"/>
      <c r="H413" s="36">
        <v>45840</v>
      </c>
      <c r="I413" s="5">
        <v>9</v>
      </c>
      <c r="J413" s="36">
        <v>45850</v>
      </c>
      <c r="K413" s="32"/>
      <c r="L413" s="32"/>
      <c r="M413" s="32" t="s">
        <v>1</v>
      </c>
      <c r="N413" s="32"/>
    </row>
    <row r="414" spans="1:14" ht="19.5" customHeight="1" x14ac:dyDescent="0.25">
      <c r="A414" s="1">
        <v>1176</v>
      </c>
      <c r="B414" s="36">
        <v>45838</v>
      </c>
      <c r="C414" s="32"/>
      <c r="D414" s="4" t="s">
        <v>7</v>
      </c>
      <c r="E414" s="32"/>
      <c r="F414" s="5">
        <v>5</v>
      </c>
      <c r="G414" s="32"/>
      <c r="H414" s="36">
        <v>45842</v>
      </c>
      <c r="I414" s="5">
        <v>3</v>
      </c>
      <c r="J414" s="36">
        <v>45846</v>
      </c>
      <c r="K414" s="32"/>
      <c r="L414" s="32" t="s">
        <v>5</v>
      </c>
      <c r="M414" s="32"/>
      <c r="N414" s="32"/>
    </row>
    <row r="415" spans="1:14" ht="19.5" customHeight="1" x14ac:dyDescent="0.25">
      <c r="A415" s="1">
        <v>5048</v>
      </c>
      <c r="B415" s="36">
        <v>45838</v>
      </c>
      <c r="C415" s="32"/>
      <c r="D415" s="4" t="s">
        <v>7</v>
      </c>
      <c r="E415" s="32"/>
      <c r="F415" s="5">
        <v>5</v>
      </c>
      <c r="G415" s="32"/>
      <c r="H415" s="36">
        <v>45842</v>
      </c>
      <c r="I415" s="5">
        <v>3</v>
      </c>
      <c r="J415" s="36">
        <v>45846</v>
      </c>
      <c r="K415" s="32"/>
      <c r="L415" s="32"/>
      <c r="M415" s="32" t="s">
        <v>1</v>
      </c>
      <c r="N415" s="32"/>
    </row>
    <row r="416" spans="1:14" ht="19.5" customHeight="1" x14ac:dyDescent="0.25">
      <c r="A416" s="1">
        <v>4665</v>
      </c>
      <c r="B416" s="36">
        <v>45838</v>
      </c>
      <c r="C416" s="32"/>
      <c r="D416" s="4" t="s">
        <v>21</v>
      </c>
      <c r="E416" s="32"/>
      <c r="F416" s="5">
        <v>5</v>
      </c>
      <c r="G416" s="32"/>
      <c r="H416" s="36">
        <v>45842</v>
      </c>
      <c r="I416" s="5">
        <v>9</v>
      </c>
      <c r="J416" s="36">
        <v>45852</v>
      </c>
      <c r="K416" s="32"/>
      <c r="L416" s="32"/>
      <c r="M416" s="32"/>
      <c r="N416" s="32" t="s">
        <v>4</v>
      </c>
    </row>
    <row r="417" spans="1:14" ht="19.5" customHeight="1" x14ac:dyDescent="0.25">
      <c r="A417" s="1">
        <v>3564</v>
      </c>
      <c r="B417" s="36">
        <v>45838</v>
      </c>
      <c r="C417" s="32"/>
      <c r="D417" s="4" t="s">
        <v>21</v>
      </c>
      <c r="E417" s="32"/>
      <c r="F417" s="5">
        <v>5</v>
      </c>
      <c r="G417" s="32"/>
      <c r="H417" s="36">
        <v>45842</v>
      </c>
      <c r="I417" s="5">
        <v>9</v>
      </c>
      <c r="J417" s="36">
        <v>45852</v>
      </c>
      <c r="K417" s="32" t="s">
        <v>3</v>
      </c>
      <c r="L417" s="32"/>
      <c r="M417" s="32"/>
      <c r="N417" s="32"/>
    </row>
    <row r="418" spans="1:14" ht="19.5" customHeight="1" x14ac:dyDescent="0.25">
      <c r="A418" s="1">
        <v>3661</v>
      </c>
      <c r="B418" s="36">
        <v>45839</v>
      </c>
      <c r="C418" s="32"/>
      <c r="D418" s="4" t="s">
        <v>21</v>
      </c>
      <c r="E418" s="32"/>
      <c r="F418" s="5">
        <v>5</v>
      </c>
      <c r="G418" s="32"/>
      <c r="H418" s="36">
        <v>45843</v>
      </c>
      <c r="I418" s="5">
        <v>9</v>
      </c>
      <c r="J418" s="36">
        <v>45853</v>
      </c>
      <c r="K418" s="32"/>
      <c r="L418" s="32" t="s">
        <v>5</v>
      </c>
      <c r="M418" s="32"/>
      <c r="N418" s="32"/>
    </row>
    <row r="419" spans="1:14" ht="19.5" customHeight="1" x14ac:dyDescent="0.25">
      <c r="A419" s="1">
        <v>4537</v>
      </c>
      <c r="B419" s="36">
        <v>45839</v>
      </c>
      <c r="C419" s="32"/>
      <c r="D419" s="4" t="s">
        <v>21</v>
      </c>
      <c r="E419" s="32"/>
      <c r="F419" s="5">
        <v>5</v>
      </c>
      <c r="G419" s="32"/>
      <c r="H419" s="36">
        <v>45843</v>
      </c>
      <c r="I419" s="5">
        <v>9</v>
      </c>
      <c r="J419" s="36">
        <v>45853</v>
      </c>
      <c r="K419" s="32"/>
      <c r="L419" s="32"/>
      <c r="M419" s="32" t="s">
        <v>1</v>
      </c>
      <c r="N419" s="32"/>
    </row>
    <row r="420" spans="1:14" ht="19.5" customHeight="1" x14ac:dyDescent="0.25">
      <c r="A420" s="1">
        <v>3493</v>
      </c>
      <c r="B420" s="36">
        <v>45840</v>
      </c>
      <c r="C420" s="32"/>
      <c r="D420" s="4" t="s">
        <v>7</v>
      </c>
      <c r="E420" s="32"/>
      <c r="F420" s="5">
        <v>5</v>
      </c>
      <c r="G420" s="32"/>
      <c r="H420" s="36">
        <v>45844</v>
      </c>
      <c r="I420" s="5">
        <v>3</v>
      </c>
      <c r="J420" s="36">
        <v>45848</v>
      </c>
      <c r="K420" s="32" t="s">
        <v>3</v>
      </c>
      <c r="L420" s="32"/>
      <c r="M420" s="32"/>
      <c r="N420" s="32"/>
    </row>
    <row r="421" spans="1:14" ht="19.5" customHeight="1" x14ac:dyDescent="0.25">
      <c r="A421" s="1">
        <v>5026</v>
      </c>
      <c r="B421" s="36">
        <v>45840</v>
      </c>
      <c r="C421" s="32"/>
      <c r="D421" s="4" t="s">
        <v>7</v>
      </c>
      <c r="E421" s="32"/>
      <c r="F421" s="5">
        <v>5</v>
      </c>
      <c r="G421" s="32"/>
      <c r="H421" s="36">
        <v>45844</v>
      </c>
      <c r="I421" s="5">
        <v>3</v>
      </c>
      <c r="J421" s="36">
        <v>45848</v>
      </c>
      <c r="K421" s="32"/>
      <c r="L421" s="32"/>
      <c r="M421" s="32" t="s">
        <v>1</v>
      </c>
      <c r="N421" s="32"/>
    </row>
    <row r="422" spans="1:14" ht="19.5" customHeight="1" x14ac:dyDescent="0.25">
      <c r="A422" s="1">
        <v>3412</v>
      </c>
      <c r="B422" s="36">
        <v>45841</v>
      </c>
      <c r="C422" s="32"/>
      <c r="D422" s="4" t="s">
        <v>21</v>
      </c>
      <c r="E422" s="32"/>
      <c r="F422" s="5">
        <v>5</v>
      </c>
      <c r="G422" s="32"/>
      <c r="H422" s="36">
        <v>45845</v>
      </c>
      <c r="I422" s="5">
        <v>9</v>
      </c>
      <c r="J422" s="36">
        <v>45855</v>
      </c>
      <c r="K422" s="32"/>
      <c r="L422" s="32" t="s">
        <v>5</v>
      </c>
      <c r="M422" s="32"/>
      <c r="N422" s="32"/>
    </row>
    <row r="423" spans="1:14" ht="19.5" customHeight="1" x14ac:dyDescent="0.25">
      <c r="A423" s="1">
        <v>2222</v>
      </c>
      <c r="B423" s="36">
        <v>45842</v>
      </c>
      <c r="C423" s="32"/>
      <c r="D423" s="4" t="s">
        <v>21</v>
      </c>
      <c r="E423" s="32"/>
      <c r="F423" s="5">
        <v>5</v>
      </c>
      <c r="G423" s="32"/>
      <c r="H423" s="36">
        <v>45846</v>
      </c>
      <c r="I423" s="5">
        <v>9</v>
      </c>
      <c r="J423" s="36">
        <v>45856</v>
      </c>
      <c r="K423" s="32" t="s">
        <v>3</v>
      </c>
      <c r="L423" s="32" t="s">
        <v>5</v>
      </c>
      <c r="M423" s="32"/>
      <c r="N423" s="32"/>
    </row>
    <row r="424" spans="1:14" ht="19.5" customHeight="1" x14ac:dyDescent="0.25">
      <c r="A424" s="1">
        <v>3178</v>
      </c>
      <c r="B424" s="36">
        <v>45842</v>
      </c>
      <c r="C424" s="32"/>
      <c r="D424" s="4" t="s">
        <v>7</v>
      </c>
      <c r="E424" s="32"/>
      <c r="F424" s="5">
        <v>5</v>
      </c>
      <c r="G424" s="32"/>
      <c r="H424" s="36">
        <v>45846</v>
      </c>
      <c r="I424" s="5">
        <v>3</v>
      </c>
      <c r="J424" s="36">
        <v>45850</v>
      </c>
      <c r="K424" s="32"/>
      <c r="L424" s="32" t="s">
        <v>5</v>
      </c>
      <c r="M424" s="32"/>
      <c r="N424" s="32" t="s">
        <v>4</v>
      </c>
    </row>
    <row r="425" spans="1:14" ht="19.5" customHeight="1" x14ac:dyDescent="0.25">
      <c r="A425" s="1">
        <v>3482</v>
      </c>
      <c r="B425" s="36">
        <v>45842</v>
      </c>
      <c r="C425" s="32"/>
      <c r="D425" s="4" t="s">
        <v>7</v>
      </c>
      <c r="E425" s="32"/>
      <c r="F425" s="5">
        <v>5</v>
      </c>
      <c r="G425" s="32"/>
      <c r="H425" s="36">
        <v>45846</v>
      </c>
      <c r="I425" s="5">
        <v>3</v>
      </c>
      <c r="J425" s="36">
        <v>45850</v>
      </c>
      <c r="K425" s="32"/>
      <c r="L425" s="32" t="s">
        <v>5</v>
      </c>
      <c r="M425" s="32"/>
      <c r="N425" s="32" t="s">
        <v>4</v>
      </c>
    </row>
    <row r="426" spans="1:14" ht="19.5" customHeight="1" x14ac:dyDescent="0.25">
      <c r="A426" s="1">
        <v>4703</v>
      </c>
      <c r="B426" s="36">
        <v>45843</v>
      </c>
      <c r="C426" s="32"/>
      <c r="D426" s="4" t="s">
        <v>7</v>
      </c>
      <c r="E426" s="32"/>
      <c r="F426" s="5">
        <v>5</v>
      </c>
      <c r="G426" s="32"/>
      <c r="H426" s="36">
        <v>45847</v>
      </c>
      <c r="I426" s="5">
        <v>3</v>
      </c>
      <c r="J426" s="36">
        <v>45851</v>
      </c>
      <c r="K426" s="32"/>
      <c r="L426" s="32"/>
      <c r="M426" s="32" t="s">
        <v>1</v>
      </c>
      <c r="N426" s="32"/>
    </row>
    <row r="427" spans="1:14" ht="19.5" customHeight="1" x14ac:dyDescent="0.25">
      <c r="A427" s="1">
        <v>1168</v>
      </c>
      <c r="B427" s="36">
        <v>45844</v>
      </c>
      <c r="C427" s="32"/>
      <c r="D427" s="4" t="s">
        <v>7</v>
      </c>
      <c r="E427" s="32"/>
      <c r="F427" s="5">
        <v>5</v>
      </c>
      <c r="G427" s="32"/>
      <c r="H427" s="36">
        <v>45848</v>
      </c>
      <c r="I427" s="5">
        <v>3</v>
      </c>
      <c r="J427" s="36">
        <v>45852</v>
      </c>
      <c r="K427" s="32"/>
      <c r="L427" s="32"/>
      <c r="M427" s="32" t="s">
        <v>1</v>
      </c>
      <c r="N427" s="32" t="s">
        <v>4</v>
      </c>
    </row>
    <row r="428" spans="1:14" ht="19.5" customHeight="1" x14ac:dyDescent="0.25">
      <c r="A428" s="1">
        <v>2458</v>
      </c>
      <c r="B428" s="36">
        <v>45844</v>
      </c>
      <c r="C428" s="32"/>
      <c r="D428" s="4" t="s">
        <v>7</v>
      </c>
      <c r="E428" s="32"/>
      <c r="F428" s="5">
        <v>5</v>
      </c>
      <c r="G428" s="32"/>
      <c r="H428" s="36">
        <v>45848</v>
      </c>
      <c r="I428" s="5">
        <v>3</v>
      </c>
      <c r="J428" s="36">
        <v>45852</v>
      </c>
      <c r="K428" s="32"/>
      <c r="L428" s="32"/>
      <c r="M428" s="32"/>
      <c r="N428" s="32"/>
    </row>
    <row r="429" spans="1:14" ht="19.5" customHeight="1" x14ac:dyDescent="0.25">
      <c r="A429" s="1">
        <v>1204</v>
      </c>
      <c r="B429" s="36">
        <v>45845</v>
      </c>
      <c r="C429" s="32"/>
      <c r="D429" s="4" t="s">
        <v>7</v>
      </c>
      <c r="E429" s="32"/>
      <c r="F429" s="5">
        <v>5</v>
      </c>
      <c r="G429" s="32"/>
      <c r="H429" s="36">
        <v>45849</v>
      </c>
      <c r="I429" s="5">
        <v>3</v>
      </c>
      <c r="J429" s="36">
        <v>45853</v>
      </c>
      <c r="K429" s="32"/>
      <c r="L429" s="32" t="s">
        <v>5</v>
      </c>
      <c r="M429" s="32"/>
      <c r="N429" s="32"/>
    </row>
    <row r="430" spans="1:14" ht="19.5" customHeight="1" x14ac:dyDescent="0.25">
      <c r="A430" s="1">
        <v>4363</v>
      </c>
      <c r="B430" s="36">
        <v>45846</v>
      </c>
      <c r="C430" s="32"/>
      <c r="D430" s="4" t="s">
        <v>7</v>
      </c>
      <c r="E430" s="32"/>
      <c r="F430" s="5">
        <v>5</v>
      </c>
      <c r="G430" s="32"/>
      <c r="H430" s="36">
        <v>45850</v>
      </c>
      <c r="I430" s="5">
        <v>3</v>
      </c>
      <c r="J430" s="36">
        <v>45854</v>
      </c>
      <c r="K430" s="32"/>
      <c r="L430" s="32"/>
      <c r="M430" s="32" t="s">
        <v>1</v>
      </c>
      <c r="N430" s="32" t="s">
        <v>4</v>
      </c>
    </row>
    <row r="431" spans="1:14" ht="19.5" customHeight="1" x14ac:dyDescent="0.25">
      <c r="A431" s="1">
        <v>3624</v>
      </c>
      <c r="B431" s="36">
        <v>45847</v>
      </c>
      <c r="C431" s="32"/>
      <c r="D431" s="4" t="s">
        <v>7</v>
      </c>
      <c r="E431" s="32"/>
      <c r="F431" s="5">
        <v>5</v>
      </c>
      <c r="G431" s="32"/>
      <c r="H431" s="36">
        <v>45851</v>
      </c>
      <c r="I431" s="5">
        <v>3</v>
      </c>
      <c r="J431" s="36">
        <v>45855</v>
      </c>
      <c r="K431" s="32"/>
      <c r="L431" s="32"/>
      <c r="M431" s="32" t="s">
        <v>1</v>
      </c>
      <c r="N431" s="32"/>
    </row>
    <row r="432" spans="1:14" ht="19.5" customHeight="1" x14ac:dyDescent="0.25">
      <c r="A432" s="1">
        <v>4044</v>
      </c>
      <c r="B432" s="36">
        <v>45847</v>
      </c>
      <c r="C432" s="32"/>
      <c r="D432" s="4" t="s">
        <v>25</v>
      </c>
      <c r="E432" s="32"/>
      <c r="F432" s="5">
        <v>5</v>
      </c>
      <c r="G432" s="32"/>
      <c r="H432" s="36">
        <v>45851</v>
      </c>
      <c r="I432" s="5">
        <v>5</v>
      </c>
      <c r="J432" s="36">
        <v>45827</v>
      </c>
      <c r="K432" s="32" t="s">
        <v>3</v>
      </c>
      <c r="L432" s="32"/>
      <c r="M432" s="32" t="s">
        <v>1</v>
      </c>
      <c r="N432" s="32"/>
    </row>
    <row r="433" spans="1:14" ht="19.5" customHeight="1" x14ac:dyDescent="0.25">
      <c r="A433" s="1">
        <v>2787</v>
      </c>
      <c r="B433" s="36">
        <v>45847</v>
      </c>
      <c r="C433" s="32"/>
      <c r="D433" s="4" t="s">
        <v>0</v>
      </c>
      <c r="E433" s="32"/>
      <c r="F433" s="5">
        <v>5</v>
      </c>
      <c r="G433" s="32"/>
      <c r="H433" s="36">
        <v>45851</v>
      </c>
      <c r="I433" s="5">
        <v>5</v>
      </c>
      <c r="J433" s="36">
        <v>45827</v>
      </c>
      <c r="K433" s="32"/>
      <c r="L433" s="32"/>
      <c r="M433" s="32" t="s">
        <v>1</v>
      </c>
      <c r="N433" s="32"/>
    </row>
    <row r="434" spans="1:14" ht="19.5" customHeight="1" x14ac:dyDescent="0.25">
      <c r="A434" s="1">
        <v>4193</v>
      </c>
      <c r="B434" s="36">
        <v>45848</v>
      </c>
      <c r="C434" s="32"/>
      <c r="D434" s="4" t="s">
        <v>7</v>
      </c>
      <c r="E434" s="32"/>
      <c r="F434" s="5">
        <v>5</v>
      </c>
      <c r="G434" s="32"/>
      <c r="H434" s="36">
        <v>45852</v>
      </c>
      <c r="I434" s="5">
        <v>3</v>
      </c>
      <c r="J434" s="36">
        <v>45856</v>
      </c>
      <c r="K434" s="32"/>
      <c r="L434" s="32"/>
      <c r="M434" s="32" t="s">
        <v>1</v>
      </c>
      <c r="N434" s="32"/>
    </row>
    <row r="435" spans="1:14" ht="19.5" customHeight="1" x14ac:dyDescent="0.25">
      <c r="A435" s="1">
        <v>4871</v>
      </c>
      <c r="B435" s="36">
        <v>45848</v>
      </c>
      <c r="C435" s="32"/>
      <c r="D435" s="4" t="s">
        <v>7</v>
      </c>
      <c r="E435" s="32"/>
      <c r="F435" s="5">
        <v>5</v>
      </c>
      <c r="G435" s="32"/>
      <c r="H435" s="36">
        <v>45852</v>
      </c>
      <c r="I435" s="5">
        <v>3</v>
      </c>
      <c r="J435" s="36">
        <v>45856</v>
      </c>
      <c r="K435" s="32"/>
      <c r="L435" s="32"/>
      <c r="M435" s="32" t="s">
        <v>1</v>
      </c>
      <c r="N435" s="32"/>
    </row>
    <row r="436" spans="1:14" ht="19.5" customHeight="1" x14ac:dyDescent="0.25">
      <c r="A436" s="1">
        <v>3021</v>
      </c>
      <c r="B436" s="36">
        <v>45848</v>
      </c>
      <c r="C436" s="32"/>
      <c r="D436" s="4" t="s">
        <v>21</v>
      </c>
      <c r="E436" s="32"/>
      <c r="F436" s="5">
        <v>5</v>
      </c>
      <c r="G436" s="32"/>
      <c r="H436" s="36">
        <v>45852</v>
      </c>
      <c r="I436" s="5">
        <v>9</v>
      </c>
      <c r="J436" s="36">
        <v>45862</v>
      </c>
      <c r="K436" s="32" t="s">
        <v>3</v>
      </c>
      <c r="L436" s="32" t="s">
        <v>5</v>
      </c>
      <c r="M436" s="32" t="s">
        <v>1</v>
      </c>
      <c r="N436" s="32" t="s">
        <v>4</v>
      </c>
    </row>
    <row r="437" spans="1:14" ht="19.5" customHeight="1" x14ac:dyDescent="0.25">
      <c r="A437" s="1">
        <v>3661</v>
      </c>
      <c r="B437" s="36">
        <v>45849</v>
      </c>
      <c r="C437" s="32"/>
      <c r="D437" s="4" t="s">
        <v>0</v>
      </c>
      <c r="E437" s="32"/>
      <c r="F437" s="5">
        <v>5</v>
      </c>
      <c r="G437" s="32"/>
      <c r="H437" s="36">
        <v>45853</v>
      </c>
      <c r="I437" s="5">
        <v>5</v>
      </c>
      <c r="J437" s="36">
        <v>45859</v>
      </c>
      <c r="K437" s="32"/>
      <c r="L437" s="32"/>
      <c r="M437" s="32"/>
      <c r="N437" s="32" t="s">
        <v>4</v>
      </c>
    </row>
    <row r="438" spans="1:14" ht="19.5" customHeight="1" x14ac:dyDescent="0.25">
      <c r="A438" s="1">
        <v>3482</v>
      </c>
      <c r="B438" s="36">
        <v>45849</v>
      </c>
      <c r="C438" s="32"/>
      <c r="D438" s="4" t="s">
        <v>0</v>
      </c>
      <c r="E438" s="32"/>
      <c r="F438" s="5">
        <v>5</v>
      </c>
      <c r="G438" s="32"/>
      <c r="H438" s="36">
        <v>45853</v>
      </c>
      <c r="I438" s="5">
        <v>5</v>
      </c>
      <c r="J438" s="36">
        <v>45859</v>
      </c>
      <c r="K438" s="32"/>
      <c r="L438" s="32" t="s">
        <v>5</v>
      </c>
      <c r="M438" s="32"/>
      <c r="N438" s="32" t="s">
        <v>4</v>
      </c>
    </row>
    <row r="439" spans="1:14" ht="19.5" customHeight="1" x14ac:dyDescent="0.25">
      <c r="A439" s="1">
        <v>4446</v>
      </c>
      <c r="B439" s="36">
        <v>45849</v>
      </c>
      <c r="C439" s="32"/>
      <c r="D439" s="4" t="s">
        <v>21</v>
      </c>
      <c r="E439" s="32"/>
      <c r="F439" s="5">
        <v>5</v>
      </c>
      <c r="G439" s="32"/>
      <c r="H439" s="36">
        <v>45853</v>
      </c>
      <c r="I439" s="5">
        <v>9</v>
      </c>
      <c r="J439" s="36">
        <v>45863</v>
      </c>
      <c r="K439" s="32"/>
      <c r="L439" s="32" t="s">
        <v>5</v>
      </c>
      <c r="M439" s="32"/>
      <c r="N439" s="32"/>
    </row>
    <row r="440" spans="1:14" ht="19.5" customHeight="1" x14ac:dyDescent="0.25">
      <c r="A440" s="1">
        <v>5033</v>
      </c>
      <c r="B440" s="36">
        <v>45849</v>
      </c>
      <c r="C440" s="32"/>
      <c r="D440" s="4" t="s">
        <v>7</v>
      </c>
      <c r="E440" s="32"/>
      <c r="F440" s="5">
        <v>5</v>
      </c>
      <c r="G440" s="32"/>
      <c r="H440" s="36">
        <v>45853</v>
      </c>
      <c r="I440" s="5">
        <v>3</v>
      </c>
      <c r="J440" s="36">
        <v>45857</v>
      </c>
      <c r="K440" s="32"/>
      <c r="L440" s="32"/>
      <c r="M440" s="32"/>
      <c r="N440" s="32" t="s">
        <v>4</v>
      </c>
    </row>
    <row r="441" spans="1:14" ht="19.5" customHeight="1" x14ac:dyDescent="0.25">
      <c r="A441" s="1">
        <v>4836</v>
      </c>
      <c r="B441" s="36">
        <v>45849</v>
      </c>
      <c r="C441" s="32"/>
      <c r="D441" s="4" t="s">
        <v>0</v>
      </c>
      <c r="E441" s="32"/>
      <c r="F441" s="5">
        <v>5</v>
      </c>
      <c r="G441" s="32"/>
      <c r="H441" s="36">
        <v>45853</v>
      </c>
      <c r="I441" s="5">
        <v>5</v>
      </c>
      <c r="J441" s="36">
        <v>45859</v>
      </c>
      <c r="K441" s="32"/>
      <c r="L441" s="32"/>
      <c r="M441" s="32" t="s">
        <v>1</v>
      </c>
      <c r="N441" s="32"/>
    </row>
    <row r="442" spans="1:14" ht="19.5" customHeight="1" x14ac:dyDescent="0.25">
      <c r="A442" s="1">
        <v>4278</v>
      </c>
      <c r="B442" s="36">
        <v>45850</v>
      </c>
      <c r="C442" s="32"/>
      <c r="D442" s="4" t="s">
        <v>7</v>
      </c>
      <c r="E442" s="32"/>
      <c r="F442" s="5">
        <v>5</v>
      </c>
      <c r="G442" s="32"/>
      <c r="H442" s="36">
        <v>45854</v>
      </c>
      <c r="I442" s="5">
        <v>3</v>
      </c>
      <c r="J442" s="36">
        <v>45858</v>
      </c>
      <c r="K442" s="32" t="s">
        <v>3</v>
      </c>
      <c r="L442" s="32"/>
      <c r="M442" s="32"/>
      <c r="N442" s="32"/>
    </row>
    <row r="443" spans="1:14" ht="19.5" customHeight="1" x14ac:dyDescent="0.25">
      <c r="A443" s="1">
        <v>2638</v>
      </c>
      <c r="B443" s="36">
        <v>45851</v>
      </c>
      <c r="C443" s="32"/>
      <c r="D443" s="4" t="s">
        <v>7</v>
      </c>
      <c r="E443" s="32"/>
      <c r="F443" s="5">
        <v>5</v>
      </c>
      <c r="G443" s="32"/>
      <c r="H443" s="36">
        <v>45855</v>
      </c>
      <c r="I443" s="5">
        <v>3</v>
      </c>
      <c r="J443" s="36">
        <v>45859</v>
      </c>
      <c r="K443" s="32" t="s">
        <v>3</v>
      </c>
      <c r="L443" s="32"/>
      <c r="M443" s="32"/>
      <c r="N443" s="32"/>
    </row>
    <row r="444" spans="1:14" ht="19.5" customHeight="1" x14ac:dyDescent="0.25">
      <c r="A444" s="1">
        <v>2458</v>
      </c>
      <c r="B444" s="36">
        <v>45852</v>
      </c>
      <c r="C444" s="32"/>
      <c r="D444" s="4" t="s">
        <v>20</v>
      </c>
      <c r="E444" s="32"/>
      <c r="F444" s="5">
        <v>5</v>
      </c>
      <c r="G444" s="32"/>
      <c r="H444" s="36">
        <v>45856</v>
      </c>
      <c r="I444" s="5">
        <v>9</v>
      </c>
      <c r="J444" s="36">
        <v>45866</v>
      </c>
      <c r="K444" s="32"/>
      <c r="L444" s="32" t="s">
        <v>5</v>
      </c>
      <c r="M444" s="32"/>
      <c r="N444" s="32"/>
    </row>
    <row r="445" spans="1:14" ht="19.5" customHeight="1" x14ac:dyDescent="0.25">
      <c r="A445" s="1">
        <v>4416</v>
      </c>
      <c r="B445" s="36">
        <v>45851</v>
      </c>
      <c r="C445" s="32"/>
      <c r="D445" s="4" t="s">
        <v>7</v>
      </c>
      <c r="E445" s="32"/>
      <c r="F445" s="5">
        <v>5</v>
      </c>
      <c r="G445" s="32"/>
      <c r="H445" s="36">
        <v>45855</v>
      </c>
      <c r="I445" s="5">
        <v>3</v>
      </c>
      <c r="J445" s="36">
        <v>45859</v>
      </c>
      <c r="K445" s="32"/>
      <c r="L445" s="32" t="s">
        <v>5</v>
      </c>
      <c r="M445" s="32"/>
      <c r="N445" s="32" t="s">
        <v>4</v>
      </c>
    </row>
    <row r="446" spans="1:14" ht="19.5" customHeight="1" x14ac:dyDescent="0.25">
      <c r="A446" s="1">
        <v>3836</v>
      </c>
      <c r="B446" s="36">
        <v>45851</v>
      </c>
      <c r="C446" s="32"/>
      <c r="D446" s="4" t="s">
        <v>7</v>
      </c>
      <c r="E446" s="32"/>
      <c r="F446" s="5">
        <v>5</v>
      </c>
      <c r="G446" s="32"/>
      <c r="H446" s="36">
        <v>45855</v>
      </c>
      <c r="I446" s="5">
        <v>3</v>
      </c>
      <c r="J446" s="36">
        <v>45859</v>
      </c>
      <c r="K446" s="32"/>
      <c r="L446" s="32" t="s">
        <v>5</v>
      </c>
      <c r="M446" s="32"/>
      <c r="N446" s="32"/>
    </row>
    <row r="447" spans="1:14" ht="19.5" customHeight="1" x14ac:dyDescent="0.25">
      <c r="A447" s="1">
        <v>2906</v>
      </c>
      <c r="B447" s="36">
        <v>45851</v>
      </c>
      <c r="C447" s="32"/>
      <c r="D447" s="4" t="s">
        <v>7</v>
      </c>
      <c r="E447" s="32"/>
      <c r="F447" s="5">
        <v>5</v>
      </c>
      <c r="G447" s="32"/>
      <c r="H447" s="36">
        <v>45855</v>
      </c>
      <c r="I447" s="5">
        <v>3</v>
      </c>
      <c r="J447" s="36">
        <v>45859</v>
      </c>
      <c r="K447" s="32"/>
      <c r="L447" s="32"/>
      <c r="M447" s="32"/>
      <c r="N447" s="32" t="s">
        <v>4</v>
      </c>
    </row>
    <row r="448" spans="1:14" ht="19.5" customHeight="1" x14ac:dyDescent="0.25">
      <c r="A448" s="1">
        <v>2188</v>
      </c>
      <c r="B448" s="36">
        <v>45851</v>
      </c>
      <c r="C448" s="32"/>
      <c r="D448" s="4" t="s">
        <v>20</v>
      </c>
      <c r="E448" s="32"/>
      <c r="F448" s="5">
        <v>5</v>
      </c>
      <c r="G448" s="32"/>
      <c r="H448" s="36">
        <v>45855</v>
      </c>
      <c r="I448" s="5">
        <v>9</v>
      </c>
      <c r="J448" s="36">
        <v>45865</v>
      </c>
      <c r="K448" s="32" t="s">
        <v>3</v>
      </c>
      <c r="L448" s="32"/>
      <c r="M448" s="32" t="s">
        <v>1</v>
      </c>
      <c r="N448" s="32"/>
    </row>
    <row r="449" spans="1:14" ht="19.5" customHeight="1" x14ac:dyDescent="0.25">
      <c r="A449" s="1">
        <v>1186</v>
      </c>
      <c r="B449" s="36">
        <v>45852</v>
      </c>
      <c r="C449" s="32"/>
      <c r="D449" s="4" t="s">
        <v>7</v>
      </c>
      <c r="E449" s="32"/>
      <c r="F449" s="5">
        <v>5</v>
      </c>
      <c r="G449" s="32"/>
      <c r="H449" s="36">
        <v>45856</v>
      </c>
      <c r="I449" s="5">
        <v>3</v>
      </c>
      <c r="J449" s="36">
        <v>45860</v>
      </c>
      <c r="K449" s="32" t="s">
        <v>3</v>
      </c>
      <c r="L449" s="32"/>
      <c r="M449" s="32"/>
      <c r="N449" s="32"/>
    </row>
    <row r="450" spans="1:14" ht="19.5" customHeight="1" x14ac:dyDescent="0.25">
      <c r="A450" s="1">
        <v>4193</v>
      </c>
      <c r="B450" s="36">
        <v>45853</v>
      </c>
      <c r="C450" s="32"/>
      <c r="D450" s="4" t="s">
        <v>0</v>
      </c>
      <c r="E450" s="32"/>
      <c r="F450" s="5">
        <v>5</v>
      </c>
      <c r="G450" s="32"/>
      <c r="H450" s="36">
        <v>45857</v>
      </c>
      <c r="I450" s="5">
        <v>5</v>
      </c>
      <c r="J450" s="36">
        <v>45863</v>
      </c>
      <c r="K450" s="32"/>
      <c r="L450" s="32"/>
      <c r="M450" s="32" t="s">
        <v>1</v>
      </c>
      <c r="N450" s="32"/>
    </row>
    <row r="451" spans="1:14" ht="19.5" customHeight="1" x14ac:dyDescent="0.25">
      <c r="A451" s="1">
        <v>4773</v>
      </c>
      <c r="B451" s="36">
        <v>45854</v>
      </c>
      <c r="C451" s="32"/>
      <c r="D451" s="4" t="s">
        <v>7</v>
      </c>
      <c r="E451" s="32"/>
      <c r="F451" s="5">
        <v>5</v>
      </c>
      <c r="G451" s="32"/>
      <c r="H451" s="36">
        <v>45858</v>
      </c>
      <c r="I451" s="5">
        <v>3</v>
      </c>
      <c r="J451" s="36">
        <v>45862</v>
      </c>
      <c r="K451" s="32"/>
      <c r="L451" s="32"/>
      <c r="M451" s="32"/>
      <c r="N451" s="32" t="s">
        <v>4</v>
      </c>
    </row>
    <row r="452" spans="1:14" ht="19.5" customHeight="1" x14ac:dyDescent="0.25">
      <c r="A452" s="1">
        <v>3149</v>
      </c>
      <c r="B452" s="36">
        <v>45854</v>
      </c>
      <c r="C452" s="32"/>
      <c r="D452" s="4" t="s">
        <v>7</v>
      </c>
      <c r="E452" s="32"/>
      <c r="F452" s="5">
        <v>5</v>
      </c>
      <c r="G452" s="32"/>
      <c r="H452" s="36">
        <v>45858</v>
      </c>
      <c r="I452" s="5">
        <v>3</v>
      </c>
      <c r="J452" s="36">
        <v>45862</v>
      </c>
      <c r="K452" s="32" t="s">
        <v>3</v>
      </c>
      <c r="L452" s="32" t="s">
        <v>5</v>
      </c>
      <c r="M452" s="32"/>
      <c r="N452" s="32" t="s">
        <v>4</v>
      </c>
    </row>
    <row r="453" spans="1:14" ht="19.5" customHeight="1" x14ac:dyDescent="0.25">
      <c r="A453" s="1">
        <v>5061</v>
      </c>
      <c r="B453" s="36">
        <v>45855</v>
      </c>
      <c r="C453" s="32"/>
      <c r="D453" s="4" t="s">
        <v>7</v>
      </c>
      <c r="E453" s="32"/>
      <c r="F453" s="5">
        <v>5</v>
      </c>
      <c r="G453" s="32"/>
      <c r="H453" s="36">
        <v>45859</v>
      </c>
      <c r="I453" s="5">
        <v>3</v>
      </c>
      <c r="J453" s="36">
        <v>45863</v>
      </c>
      <c r="K453" s="32"/>
      <c r="L453" s="32"/>
      <c r="M453" s="32" t="s">
        <v>1</v>
      </c>
      <c r="N453" s="32"/>
    </row>
    <row r="454" spans="1:14" ht="19.5" customHeight="1" x14ac:dyDescent="0.25">
      <c r="A454" s="1">
        <v>3497</v>
      </c>
      <c r="B454" s="36">
        <v>45855</v>
      </c>
      <c r="C454" s="32"/>
      <c r="D454" s="4" t="s">
        <v>7</v>
      </c>
      <c r="E454" s="32"/>
      <c r="F454" s="5">
        <v>5</v>
      </c>
      <c r="G454" s="32"/>
      <c r="H454" s="36">
        <v>45859</v>
      </c>
      <c r="I454" s="5">
        <v>3</v>
      </c>
      <c r="J454" s="36">
        <v>45863</v>
      </c>
      <c r="K454" s="32" t="s">
        <v>3</v>
      </c>
      <c r="L454" s="32"/>
      <c r="M454" s="32"/>
      <c r="N454" s="32"/>
    </row>
    <row r="455" spans="1:14" ht="19.5" customHeight="1" x14ac:dyDescent="0.25">
      <c r="A455" s="1">
        <v>3160</v>
      </c>
      <c r="B455" s="36">
        <v>45855</v>
      </c>
      <c r="C455" s="32"/>
      <c r="D455" s="4" t="s">
        <v>25</v>
      </c>
      <c r="E455" s="32"/>
      <c r="F455" s="5">
        <v>5</v>
      </c>
      <c r="G455" s="32"/>
      <c r="H455" s="36">
        <v>45859</v>
      </c>
      <c r="I455" s="5">
        <v>5</v>
      </c>
      <c r="J455" s="36">
        <v>45865</v>
      </c>
      <c r="K455" s="32" t="s">
        <v>3</v>
      </c>
      <c r="L455" s="32"/>
      <c r="M455" s="32"/>
      <c r="N455" s="32"/>
    </row>
    <row r="456" spans="1:14" ht="19.5" customHeight="1" x14ac:dyDescent="0.25">
      <c r="A456" s="1">
        <v>4182</v>
      </c>
      <c r="B456" s="36">
        <v>45856</v>
      </c>
      <c r="C456" s="32"/>
      <c r="D456" s="4" t="s">
        <v>7</v>
      </c>
      <c r="E456" s="32"/>
      <c r="F456" s="5">
        <v>5</v>
      </c>
      <c r="G456" s="32"/>
      <c r="H456" s="36">
        <v>45860</v>
      </c>
      <c r="I456" s="5">
        <v>3</v>
      </c>
      <c r="J456" s="36">
        <v>45864</v>
      </c>
      <c r="K456" s="32"/>
      <c r="L456" s="32"/>
      <c r="M456" s="32" t="s">
        <v>1</v>
      </c>
      <c r="N456" s="32"/>
    </row>
    <row r="457" spans="1:14" ht="19.5" customHeight="1" x14ac:dyDescent="0.25">
      <c r="A457" s="1">
        <v>3392</v>
      </c>
      <c r="B457" s="36">
        <v>45856</v>
      </c>
      <c r="C457" s="32"/>
      <c r="D457" s="4" t="s">
        <v>7</v>
      </c>
      <c r="E457" s="32"/>
      <c r="F457" s="5">
        <v>5</v>
      </c>
      <c r="G457" s="32"/>
      <c r="H457" s="36">
        <v>45860</v>
      </c>
      <c r="I457" s="5">
        <v>3</v>
      </c>
      <c r="J457" s="36">
        <v>45864</v>
      </c>
      <c r="K457" s="32"/>
      <c r="L457" s="32"/>
      <c r="M457" s="32"/>
      <c r="N457" s="32" t="s">
        <v>4</v>
      </c>
    </row>
    <row r="458" spans="1:14" ht="19.5" customHeight="1" x14ac:dyDescent="0.25">
      <c r="A458" s="1">
        <v>3178</v>
      </c>
      <c r="B458" s="36">
        <v>45856</v>
      </c>
      <c r="C458" s="32"/>
      <c r="D458" s="4" t="s">
        <v>25</v>
      </c>
      <c r="E458" s="32"/>
      <c r="F458" s="5">
        <v>5</v>
      </c>
      <c r="G458" s="32"/>
      <c r="H458" s="36">
        <v>45860</v>
      </c>
      <c r="I458" s="5">
        <v>5</v>
      </c>
      <c r="J458" s="36">
        <v>45866</v>
      </c>
      <c r="K458" s="32"/>
      <c r="L458" s="32" t="s">
        <v>5</v>
      </c>
      <c r="M458" s="32"/>
      <c r="N458" s="32" t="s">
        <v>4</v>
      </c>
    </row>
    <row r="459" spans="1:14" ht="19.5" customHeight="1" x14ac:dyDescent="0.25">
      <c r="A459" s="1">
        <v>3909</v>
      </c>
      <c r="B459" s="36">
        <v>45858</v>
      </c>
      <c r="C459" s="32"/>
      <c r="D459" s="4" t="s">
        <v>25</v>
      </c>
      <c r="E459" s="32"/>
      <c r="F459" s="5">
        <v>5</v>
      </c>
      <c r="G459" s="32"/>
      <c r="H459" s="36">
        <v>45862</v>
      </c>
      <c r="I459" s="5">
        <v>5</v>
      </c>
      <c r="J459" s="36">
        <v>45871</v>
      </c>
      <c r="K459" s="32" t="s">
        <v>3</v>
      </c>
      <c r="L459" s="32" t="s">
        <v>5</v>
      </c>
      <c r="M459" s="32"/>
      <c r="N459" s="32" t="s">
        <v>4</v>
      </c>
    </row>
    <row r="460" spans="1:14" ht="19.5" customHeight="1" x14ac:dyDescent="0.25">
      <c r="A460" s="1">
        <v>3533</v>
      </c>
      <c r="B460" s="36">
        <v>45859</v>
      </c>
      <c r="C460" s="32"/>
      <c r="D460" s="4" t="s">
        <v>7</v>
      </c>
      <c r="E460" s="32"/>
      <c r="F460" s="5">
        <v>5</v>
      </c>
      <c r="G460" s="32"/>
      <c r="H460" s="36">
        <v>45772</v>
      </c>
      <c r="I460" s="5">
        <v>3</v>
      </c>
      <c r="J460" s="36">
        <v>45868</v>
      </c>
      <c r="K460" s="32" t="s">
        <v>3</v>
      </c>
      <c r="L460" s="32" t="s">
        <v>5</v>
      </c>
      <c r="M460" s="32"/>
      <c r="N460" s="32"/>
    </row>
    <row r="461" spans="1:14" ht="19.5" customHeight="1" x14ac:dyDescent="0.25">
      <c r="A461" s="1">
        <v>2890</v>
      </c>
      <c r="B461" s="36">
        <v>45859</v>
      </c>
      <c r="C461" s="32"/>
      <c r="D461" s="4" t="s">
        <v>20</v>
      </c>
      <c r="E461" s="32"/>
      <c r="F461" s="5">
        <v>5</v>
      </c>
      <c r="G461" s="32"/>
      <c r="H461" s="36">
        <v>45863</v>
      </c>
      <c r="I461" s="5">
        <v>9</v>
      </c>
      <c r="J461" s="36">
        <v>45873</v>
      </c>
      <c r="K461" s="32" t="s">
        <v>3</v>
      </c>
      <c r="L461" s="32"/>
      <c r="M461" s="32"/>
      <c r="N461" s="32"/>
    </row>
    <row r="462" spans="1:14" ht="19.5" customHeight="1" x14ac:dyDescent="0.25">
      <c r="A462" s="1">
        <v>2188</v>
      </c>
      <c r="B462" s="36">
        <v>45859</v>
      </c>
      <c r="C462" s="32"/>
      <c r="D462" s="4" t="s">
        <v>25</v>
      </c>
      <c r="E462" s="32"/>
      <c r="F462" s="5">
        <v>5</v>
      </c>
      <c r="G462" s="32"/>
      <c r="H462" s="36">
        <v>45863</v>
      </c>
      <c r="I462" s="5">
        <v>5</v>
      </c>
      <c r="J462" s="36">
        <v>45869</v>
      </c>
      <c r="K462" s="32" t="s">
        <v>3</v>
      </c>
      <c r="L462" s="32"/>
      <c r="M462" s="32" t="s">
        <v>1</v>
      </c>
      <c r="N462" s="32"/>
    </row>
    <row r="463" spans="1:14" ht="19.5" customHeight="1" x14ac:dyDescent="0.25">
      <c r="A463" s="1">
        <v>3800</v>
      </c>
      <c r="B463" s="36">
        <v>45860</v>
      </c>
      <c r="C463" s="32"/>
      <c r="D463" s="4" t="s">
        <v>7</v>
      </c>
      <c r="E463" s="32"/>
      <c r="F463" s="5">
        <v>5</v>
      </c>
      <c r="G463" s="32"/>
      <c r="H463" s="36">
        <v>45864</v>
      </c>
      <c r="I463" s="5">
        <v>3</v>
      </c>
      <c r="J463" s="36">
        <v>45868</v>
      </c>
      <c r="K463" s="32"/>
      <c r="L463" s="32" t="s">
        <v>5</v>
      </c>
      <c r="M463" s="32"/>
      <c r="N463" s="32"/>
    </row>
    <row r="464" spans="1:14" ht="19.5" customHeight="1" x14ac:dyDescent="0.25">
      <c r="A464" s="1">
        <v>3178</v>
      </c>
      <c r="B464" s="36">
        <v>45860</v>
      </c>
      <c r="C464" s="32"/>
      <c r="D464" s="4" t="s">
        <v>20</v>
      </c>
      <c r="E464" s="32"/>
      <c r="F464" s="5">
        <v>5</v>
      </c>
      <c r="G464" s="32"/>
      <c r="H464" s="36">
        <v>45864</v>
      </c>
      <c r="I464" s="5">
        <v>9</v>
      </c>
      <c r="J464" s="36">
        <v>45875</v>
      </c>
      <c r="K464" s="32"/>
      <c r="L464" s="32" t="s">
        <v>5</v>
      </c>
      <c r="M464" s="32"/>
      <c r="N464" s="32" t="s">
        <v>4</v>
      </c>
    </row>
    <row r="465" spans="1:14" ht="19.5" customHeight="1" x14ac:dyDescent="0.25">
      <c r="A465" s="1">
        <v>3426</v>
      </c>
      <c r="B465" s="36">
        <v>45860</v>
      </c>
      <c r="C465" s="32"/>
      <c r="D465" s="4" t="s">
        <v>25</v>
      </c>
      <c r="E465" s="32"/>
      <c r="F465" s="5">
        <v>5</v>
      </c>
      <c r="G465" s="32"/>
      <c r="H465" s="36">
        <v>45864</v>
      </c>
      <c r="I465" s="5">
        <v>5</v>
      </c>
      <c r="J465" s="36">
        <v>45870</v>
      </c>
      <c r="K465" s="32"/>
      <c r="L465" s="32"/>
      <c r="M465" s="32" t="s">
        <v>1</v>
      </c>
      <c r="N465" s="32"/>
    </row>
    <row r="466" spans="1:14" ht="19.5" customHeight="1" x14ac:dyDescent="0.25">
      <c r="A466" s="1">
        <v>4020</v>
      </c>
      <c r="B466" s="36">
        <v>45860</v>
      </c>
      <c r="C466" s="32"/>
      <c r="D466" s="4" t="s">
        <v>7</v>
      </c>
      <c r="E466" s="32"/>
      <c r="F466" s="5">
        <v>5</v>
      </c>
      <c r="G466" s="32"/>
      <c r="H466" s="36">
        <v>45864</v>
      </c>
      <c r="I466" s="5">
        <v>3</v>
      </c>
      <c r="J466" s="36">
        <v>45868</v>
      </c>
      <c r="K466" s="32"/>
      <c r="L466" s="32" t="s">
        <v>5</v>
      </c>
      <c r="M466" s="32"/>
      <c r="N466" s="32"/>
    </row>
    <row r="467" spans="1:14" ht="19.5" customHeight="1" x14ac:dyDescent="0.25">
      <c r="A467" s="1">
        <v>2777</v>
      </c>
      <c r="B467" s="36">
        <v>45860</v>
      </c>
      <c r="C467" s="32"/>
      <c r="D467" s="4" t="s">
        <v>7</v>
      </c>
      <c r="E467" s="32"/>
      <c r="F467" s="5">
        <v>5</v>
      </c>
      <c r="G467" s="32"/>
      <c r="H467" s="36">
        <v>45864</v>
      </c>
      <c r="I467" s="5">
        <v>3</v>
      </c>
      <c r="J467" s="36">
        <v>45868</v>
      </c>
      <c r="K467" s="32"/>
      <c r="L467" s="32" t="s">
        <v>5</v>
      </c>
      <c r="M467" s="32"/>
      <c r="N467" s="32"/>
    </row>
    <row r="468" spans="1:14" ht="19.5" customHeight="1" x14ac:dyDescent="0.25">
      <c r="A468" s="1">
        <v>4942</v>
      </c>
      <c r="B468" s="36">
        <v>45860</v>
      </c>
      <c r="C468" s="32"/>
      <c r="D468" s="4" t="s">
        <v>7</v>
      </c>
      <c r="E468" s="32"/>
      <c r="F468" s="5">
        <v>5</v>
      </c>
      <c r="G468" s="32"/>
      <c r="H468" s="36">
        <v>45864</v>
      </c>
      <c r="I468" s="5">
        <v>3</v>
      </c>
      <c r="J468" s="36">
        <v>45868</v>
      </c>
      <c r="K468" s="32" t="s">
        <v>3</v>
      </c>
      <c r="L468" s="32"/>
      <c r="M468" s="32"/>
      <c r="N468" s="32"/>
    </row>
    <row r="469" spans="1:14" ht="19.5" customHeight="1" x14ac:dyDescent="0.25">
      <c r="A469" s="1">
        <v>3870</v>
      </c>
      <c r="B469" s="36">
        <v>45861</v>
      </c>
      <c r="C469" s="32"/>
      <c r="D469" s="4" t="s">
        <v>7</v>
      </c>
      <c r="E469" s="32"/>
      <c r="F469" s="5">
        <v>5</v>
      </c>
      <c r="G469" s="32"/>
      <c r="H469" s="36">
        <v>45865</v>
      </c>
      <c r="I469" s="5">
        <v>3</v>
      </c>
      <c r="J469" s="36">
        <v>45869</v>
      </c>
      <c r="K469" s="32"/>
      <c r="L469" s="32" t="s">
        <v>5</v>
      </c>
      <c r="M469" s="32"/>
      <c r="N469" s="32"/>
    </row>
    <row r="470" spans="1:14" ht="19.5" customHeight="1" x14ac:dyDescent="0.25">
      <c r="A470" s="1">
        <v>4363</v>
      </c>
      <c r="B470" s="36">
        <v>45861</v>
      </c>
      <c r="C470" s="32"/>
      <c r="D470" s="4" t="s">
        <v>25</v>
      </c>
      <c r="E470" s="32"/>
      <c r="F470" s="5">
        <v>5</v>
      </c>
      <c r="G470" s="32"/>
      <c r="H470" s="36">
        <v>45865</v>
      </c>
      <c r="I470" s="5">
        <v>5</v>
      </c>
      <c r="J470" s="36">
        <v>45872</v>
      </c>
      <c r="K470" s="32"/>
      <c r="L470" s="32"/>
      <c r="M470" s="32" t="s">
        <v>1</v>
      </c>
      <c r="N470" s="32"/>
    </row>
    <row r="471" spans="1:14" ht="19.5" customHeight="1" x14ac:dyDescent="0.25">
      <c r="A471" s="1">
        <v>4154</v>
      </c>
      <c r="B471" s="36">
        <v>45861</v>
      </c>
      <c r="C471" s="32"/>
      <c r="D471" s="4" t="s">
        <v>7</v>
      </c>
      <c r="E471" s="32"/>
      <c r="F471" s="5">
        <v>5</v>
      </c>
      <c r="G471" s="32"/>
      <c r="H471" s="36">
        <v>45865</v>
      </c>
      <c r="I471" s="5">
        <v>3</v>
      </c>
      <c r="J471" s="36">
        <v>45869</v>
      </c>
      <c r="K471" s="32"/>
      <c r="L471" s="32"/>
      <c r="M471" s="32" t="s">
        <v>1</v>
      </c>
      <c r="N471" s="32"/>
    </row>
    <row r="472" spans="1:14" ht="19.5" customHeight="1" x14ac:dyDescent="0.25">
      <c r="A472" s="1">
        <v>3149</v>
      </c>
      <c r="B472" s="36">
        <v>45862</v>
      </c>
      <c r="C472" s="32"/>
      <c r="D472" s="4" t="s">
        <v>25</v>
      </c>
      <c r="E472" s="32"/>
      <c r="F472" s="5">
        <v>5</v>
      </c>
      <c r="G472" s="32"/>
      <c r="H472" s="36">
        <v>45866</v>
      </c>
      <c r="I472" s="5">
        <v>5</v>
      </c>
      <c r="J472" s="36">
        <v>45872</v>
      </c>
      <c r="K472" s="32"/>
      <c r="L472" s="32"/>
      <c r="M472" s="32"/>
      <c r="N472" s="32" t="s">
        <v>4</v>
      </c>
    </row>
    <row r="473" spans="1:14" ht="19.5" customHeight="1" x14ac:dyDescent="0.25">
      <c r="A473" s="1">
        <v>3420</v>
      </c>
      <c r="B473" s="36">
        <v>45863</v>
      </c>
      <c r="C473" s="32"/>
      <c r="D473" s="4" t="s">
        <v>20</v>
      </c>
      <c r="E473" s="32"/>
      <c r="F473" s="5">
        <v>5</v>
      </c>
      <c r="G473" s="32"/>
      <c r="H473" s="36">
        <v>45867</v>
      </c>
      <c r="I473" s="5">
        <v>9</v>
      </c>
      <c r="J473" s="36">
        <v>45877</v>
      </c>
      <c r="K473" s="32" t="s">
        <v>3</v>
      </c>
      <c r="L473" s="32"/>
      <c r="M473" s="32" t="s">
        <v>1</v>
      </c>
      <c r="N473" s="32" t="s">
        <v>4</v>
      </c>
    </row>
    <row r="474" spans="1:14" ht="19.5" customHeight="1" x14ac:dyDescent="0.25">
      <c r="A474" s="1">
        <v>2544</v>
      </c>
      <c r="B474" s="36">
        <v>45863</v>
      </c>
      <c r="C474" s="32"/>
      <c r="D474" s="4" t="s">
        <v>7</v>
      </c>
      <c r="E474" s="32"/>
      <c r="F474" s="5">
        <v>5</v>
      </c>
      <c r="G474" s="32"/>
      <c r="H474" s="36">
        <v>45867</v>
      </c>
      <c r="I474" s="5">
        <v>3</v>
      </c>
      <c r="J474" s="36">
        <v>45871</v>
      </c>
      <c r="K474" s="32" t="s">
        <v>3</v>
      </c>
      <c r="L474" s="32"/>
      <c r="M474" s="32"/>
      <c r="N474" s="32"/>
    </row>
    <row r="475" spans="1:14" ht="19.5" customHeight="1" x14ac:dyDescent="0.25">
      <c r="A475" s="1">
        <v>2787</v>
      </c>
      <c r="B475" s="36">
        <v>45863</v>
      </c>
      <c r="C475" s="32"/>
      <c r="D475" s="4" t="s">
        <v>7</v>
      </c>
      <c r="E475" s="32"/>
      <c r="F475" s="5">
        <v>5</v>
      </c>
      <c r="G475" s="32"/>
      <c r="H475" s="36">
        <v>45867</v>
      </c>
      <c r="I475" s="5">
        <v>3</v>
      </c>
      <c r="J475" s="36">
        <v>45871</v>
      </c>
      <c r="K475" s="32"/>
      <c r="L475" s="32"/>
      <c r="M475" s="32"/>
      <c r="N475" s="32" t="s">
        <v>4</v>
      </c>
    </row>
    <row r="476" spans="1:14" ht="19.5" customHeight="1" x14ac:dyDescent="0.25">
      <c r="A476" s="1">
        <v>4396</v>
      </c>
      <c r="B476" s="36">
        <v>45863</v>
      </c>
      <c r="C476" s="32"/>
      <c r="D476" s="4" t="s">
        <v>7</v>
      </c>
      <c r="E476" s="32"/>
      <c r="F476" s="5">
        <v>5</v>
      </c>
      <c r="G476" s="32"/>
      <c r="H476" s="36">
        <v>45867</v>
      </c>
      <c r="I476" s="5">
        <v>3</v>
      </c>
      <c r="J476" s="36">
        <v>45871</v>
      </c>
      <c r="K476" s="32" t="s">
        <v>3</v>
      </c>
      <c r="L476" s="32"/>
      <c r="M476" s="32"/>
      <c r="N476" s="32"/>
    </row>
    <row r="477" spans="1:14" ht="19.5" customHeight="1" x14ac:dyDescent="0.25">
      <c r="A477" s="1">
        <v>4310</v>
      </c>
      <c r="B477" s="36">
        <v>45863</v>
      </c>
      <c r="C477" s="32"/>
      <c r="D477" s="4" t="s">
        <v>7</v>
      </c>
      <c r="E477" s="32"/>
      <c r="F477" s="5">
        <v>5</v>
      </c>
      <c r="G477" s="32"/>
      <c r="H477" s="36">
        <v>45867</v>
      </c>
      <c r="I477" s="5">
        <v>3</v>
      </c>
      <c r="J477" s="36">
        <v>45871</v>
      </c>
      <c r="K477" s="32" t="s">
        <v>3</v>
      </c>
      <c r="L477" s="32"/>
      <c r="M477" s="32"/>
      <c r="N477" s="32"/>
    </row>
    <row r="478" spans="1:14" ht="19.5" customHeight="1" x14ac:dyDescent="0.25">
      <c r="A478" s="1">
        <v>2831</v>
      </c>
      <c r="B478" s="36">
        <v>45863</v>
      </c>
      <c r="C478" s="32"/>
      <c r="D478" s="4" t="s">
        <v>7</v>
      </c>
      <c r="E478" s="32"/>
      <c r="F478" s="5">
        <v>5</v>
      </c>
      <c r="G478" s="32"/>
      <c r="H478" s="36">
        <v>45867</v>
      </c>
      <c r="I478" s="5">
        <v>3</v>
      </c>
      <c r="J478" s="36">
        <v>45871</v>
      </c>
      <c r="K478" s="32"/>
      <c r="L478" s="32" t="s">
        <v>5</v>
      </c>
      <c r="M478" s="32"/>
      <c r="N478" s="32"/>
    </row>
    <row r="479" spans="1:14" ht="19.5" customHeight="1" x14ac:dyDescent="0.25">
      <c r="A479" s="1">
        <v>4106</v>
      </c>
      <c r="B479" s="36">
        <v>45864</v>
      </c>
      <c r="C479" s="32"/>
      <c r="D479" s="4" t="s">
        <v>7</v>
      </c>
      <c r="E479" s="32"/>
      <c r="F479" s="5">
        <v>5</v>
      </c>
      <c r="G479" s="32"/>
      <c r="H479" s="36">
        <v>45868</v>
      </c>
      <c r="I479" s="5">
        <v>3</v>
      </c>
      <c r="J479" s="36">
        <v>45873</v>
      </c>
      <c r="K479" s="32" t="s">
        <v>3</v>
      </c>
      <c r="L479" s="32"/>
      <c r="M479" s="32" t="s">
        <v>1</v>
      </c>
      <c r="N479" s="32"/>
    </row>
    <row r="480" spans="1:14" ht="19.5" customHeight="1" x14ac:dyDescent="0.25">
      <c r="A480" s="1">
        <v>4017</v>
      </c>
      <c r="B480" s="36">
        <v>45864</v>
      </c>
      <c r="C480" s="32"/>
      <c r="D480" s="4" t="s">
        <v>7</v>
      </c>
      <c r="E480" s="32"/>
      <c r="F480" s="5">
        <v>5</v>
      </c>
      <c r="G480" s="32"/>
      <c r="H480" s="36">
        <v>45868</v>
      </c>
      <c r="I480" s="5">
        <v>3</v>
      </c>
      <c r="J480" s="36">
        <v>45873</v>
      </c>
      <c r="K480" s="32" t="s">
        <v>3</v>
      </c>
      <c r="L480" s="32"/>
      <c r="M480" s="32"/>
      <c r="N480" s="32"/>
    </row>
    <row r="481" spans="1:14" ht="19.5" customHeight="1" x14ac:dyDescent="0.25">
      <c r="A481" s="1">
        <v>4098</v>
      </c>
      <c r="B481" s="36">
        <v>45864</v>
      </c>
      <c r="C481" s="32"/>
      <c r="D481" s="4" t="s">
        <v>7</v>
      </c>
      <c r="E481" s="32"/>
      <c r="F481" s="5">
        <v>5</v>
      </c>
      <c r="G481" s="32"/>
      <c r="H481" s="36">
        <v>45868</v>
      </c>
      <c r="I481" s="5">
        <v>3</v>
      </c>
      <c r="J481" s="36">
        <v>45873</v>
      </c>
      <c r="K481" s="32"/>
      <c r="L481" s="32" t="s">
        <v>5</v>
      </c>
      <c r="M481" s="32"/>
      <c r="N481" s="32"/>
    </row>
    <row r="482" spans="1:14" ht="19.5" customHeight="1" x14ac:dyDescent="0.25">
      <c r="A482" s="1">
        <v>1216</v>
      </c>
      <c r="B482" s="36">
        <v>45865</v>
      </c>
      <c r="C482" s="32"/>
      <c r="D482" s="4" t="s">
        <v>25</v>
      </c>
      <c r="E482" s="32"/>
      <c r="F482" s="5">
        <v>5</v>
      </c>
      <c r="G482" s="32"/>
      <c r="H482" s="36">
        <v>45869</v>
      </c>
      <c r="I482" s="5">
        <v>5</v>
      </c>
      <c r="J482" s="36">
        <v>45875</v>
      </c>
      <c r="K482" s="32"/>
      <c r="L482" s="32" t="s">
        <v>5</v>
      </c>
      <c r="M482" s="32"/>
      <c r="N482" s="32" t="s">
        <v>4</v>
      </c>
    </row>
    <row r="483" spans="1:14" ht="19.5" customHeight="1" x14ac:dyDescent="0.25">
      <c r="A483" s="1">
        <v>4396</v>
      </c>
      <c r="B483" s="36">
        <v>45867</v>
      </c>
      <c r="C483" s="32"/>
      <c r="D483" s="4" t="s">
        <v>25</v>
      </c>
      <c r="E483" s="32"/>
      <c r="F483" s="5">
        <v>5</v>
      </c>
      <c r="G483" s="32"/>
      <c r="H483" s="36">
        <v>45871</v>
      </c>
      <c r="I483" s="5">
        <v>5</v>
      </c>
      <c r="J483" s="36">
        <v>45877</v>
      </c>
      <c r="K483" s="32" t="s">
        <v>3</v>
      </c>
      <c r="L483" s="32"/>
      <c r="M483" s="32"/>
      <c r="N483" s="32"/>
    </row>
    <row r="484" spans="1:14" ht="19.5" customHeight="1" x14ac:dyDescent="0.25">
      <c r="A484" s="1">
        <v>4892</v>
      </c>
      <c r="B484" s="36">
        <v>45868</v>
      </c>
      <c r="C484" s="32"/>
      <c r="D484" s="4" t="s">
        <v>7</v>
      </c>
      <c r="E484" s="32"/>
      <c r="F484" s="5">
        <v>5</v>
      </c>
      <c r="G484" s="32"/>
      <c r="H484" s="36">
        <v>45872</v>
      </c>
      <c r="I484" s="5">
        <v>3</v>
      </c>
      <c r="J484" s="36">
        <v>45876</v>
      </c>
      <c r="K484" s="32"/>
      <c r="L484" s="32"/>
      <c r="M484" s="32"/>
      <c r="N484" s="32" t="s">
        <v>4</v>
      </c>
    </row>
    <row r="485" spans="1:14" ht="19.5" customHeight="1" x14ac:dyDescent="0.25">
      <c r="A485" s="1">
        <v>1186</v>
      </c>
      <c r="B485" s="36">
        <v>45869</v>
      </c>
      <c r="C485" s="32"/>
      <c r="D485" s="4" t="s">
        <v>23</v>
      </c>
      <c r="E485" s="32"/>
      <c r="F485" s="5">
        <v>5</v>
      </c>
      <c r="G485" s="32"/>
      <c r="H485" s="36">
        <v>45873</v>
      </c>
      <c r="I485" s="5">
        <v>3</v>
      </c>
      <c r="J485" s="36">
        <v>45877</v>
      </c>
      <c r="K485" s="32" t="s">
        <v>3</v>
      </c>
      <c r="L485" s="32"/>
      <c r="M485" s="32"/>
      <c r="N485" s="32"/>
    </row>
    <row r="486" spans="1:14" ht="19.5" customHeight="1" x14ac:dyDescent="0.25">
      <c r="A486" s="1">
        <v>2020</v>
      </c>
      <c r="B486" s="36">
        <v>45869</v>
      </c>
      <c r="C486" s="32"/>
      <c r="D486" s="4" t="s">
        <v>23</v>
      </c>
      <c r="E486" s="32"/>
      <c r="F486" s="5">
        <v>5</v>
      </c>
      <c r="G486" s="32"/>
      <c r="H486" s="36">
        <v>45873</v>
      </c>
      <c r="I486" s="5">
        <v>3</v>
      </c>
      <c r="J486" s="36">
        <v>45877</v>
      </c>
      <c r="K486" s="32" t="s">
        <v>3</v>
      </c>
      <c r="L486" s="32" t="s">
        <v>5</v>
      </c>
      <c r="M486" s="32"/>
      <c r="N486" s="32"/>
    </row>
    <row r="487" spans="1:14" ht="19.5" customHeight="1" x14ac:dyDescent="0.25">
      <c r="A487" s="1">
        <v>3069</v>
      </c>
      <c r="B487" s="36">
        <v>45869</v>
      </c>
      <c r="C487" s="32"/>
      <c r="D487" s="4" t="s">
        <v>28</v>
      </c>
      <c r="E487" s="32"/>
      <c r="F487" s="5">
        <v>5</v>
      </c>
      <c r="G487" s="32"/>
      <c r="H487" s="36">
        <v>45873</v>
      </c>
      <c r="I487" s="5">
        <v>3</v>
      </c>
      <c r="J487" s="36">
        <v>45877</v>
      </c>
      <c r="K487" s="32" t="s">
        <v>3</v>
      </c>
      <c r="L487" s="32"/>
      <c r="M487" s="32" t="s">
        <v>1</v>
      </c>
      <c r="N487" s="32"/>
    </row>
    <row r="488" spans="1:14" ht="19.5" customHeight="1" x14ac:dyDescent="0.25">
      <c r="A488" s="1">
        <v>3169</v>
      </c>
      <c r="B488" s="36">
        <v>45869</v>
      </c>
      <c r="C488" s="32"/>
      <c r="D488" s="4" t="s">
        <v>23</v>
      </c>
      <c r="E488" s="32"/>
      <c r="F488" s="5">
        <v>5</v>
      </c>
      <c r="G488" s="32"/>
      <c r="H488" s="36">
        <v>45873</v>
      </c>
      <c r="I488" s="5">
        <v>3</v>
      </c>
      <c r="J488" s="36">
        <v>45877</v>
      </c>
      <c r="K488" s="32" t="s">
        <v>3</v>
      </c>
      <c r="L488" s="32"/>
      <c r="M488" s="32"/>
      <c r="N488" s="32"/>
    </row>
    <row r="489" spans="1:14" ht="19.5" customHeight="1" x14ac:dyDescent="0.25">
      <c r="A489" s="1">
        <v>1203</v>
      </c>
      <c r="B489" s="36">
        <v>45870</v>
      </c>
      <c r="C489" s="32"/>
      <c r="D489" s="4" t="s">
        <v>20</v>
      </c>
      <c r="E489" s="32"/>
      <c r="F489" s="5">
        <v>5</v>
      </c>
      <c r="G489" s="32"/>
      <c r="H489" s="36">
        <v>45874</v>
      </c>
      <c r="I489" s="5">
        <v>9</v>
      </c>
      <c r="J489" s="36">
        <v>45884</v>
      </c>
      <c r="K489" s="32"/>
      <c r="L489" s="32"/>
      <c r="M489" s="32" t="s">
        <v>1</v>
      </c>
      <c r="N489" s="32"/>
    </row>
    <row r="490" spans="1:14" ht="19.5" customHeight="1" x14ac:dyDescent="0.25">
      <c r="A490" s="1">
        <v>3158</v>
      </c>
      <c r="B490" s="36">
        <v>45871</v>
      </c>
      <c r="C490" s="32"/>
      <c r="D490" s="4" t="s">
        <v>7</v>
      </c>
      <c r="E490" s="32"/>
      <c r="F490" s="5">
        <v>5</v>
      </c>
      <c r="G490" s="32"/>
      <c r="H490" s="36">
        <v>45875</v>
      </c>
      <c r="I490" s="5">
        <v>3</v>
      </c>
      <c r="J490" s="36">
        <v>45879</v>
      </c>
      <c r="K490" s="32"/>
      <c r="L490" s="32" t="s">
        <v>5</v>
      </c>
      <c r="M490" s="32"/>
      <c r="N490" s="32"/>
    </row>
    <row r="491" spans="1:14" ht="19.5" customHeight="1" x14ac:dyDescent="0.25">
      <c r="A491" s="1">
        <v>3624</v>
      </c>
      <c r="B491" s="36">
        <v>45871</v>
      </c>
      <c r="C491" s="32"/>
      <c r="D491" s="4" t="s">
        <v>20</v>
      </c>
      <c r="E491" s="32"/>
      <c r="F491" s="5">
        <v>5</v>
      </c>
      <c r="G491" s="32"/>
      <c r="H491" s="36">
        <v>45875</v>
      </c>
      <c r="I491" s="5">
        <v>9</v>
      </c>
      <c r="J491" s="36">
        <v>45885</v>
      </c>
      <c r="K491" s="32"/>
      <c r="L491" s="32"/>
      <c r="M491" s="32" t="s">
        <v>1</v>
      </c>
      <c r="N491" s="32"/>
    </row>
    <row r="492" spans="1:14" ht="19.5" customHeight="1" x14ac:dyDescent="0.25">
      <c r="A492" s="1">
        <v>4182</v>
      </c>
      <c r="B492" s="36">
        <v>45873</v>
      </c>
      <c r="C492" s="32"/>
      <c r="D492" s="4" t="s">
        <v>23</v>
      </c>
      <c r="E492" s="32"/>
      <c r="F492" s="5">
        <v>5</v>
      </c>
      <c r="G492" s="32"/>
      <c r="H492" s="36">
        <v>45877</v>
      </c>
      <c r="I492" s="5">
        <v>3</v>
      </c>
      <c r="J492" s="36">
        <v>45881</v>
      </c>
      <c r="K492" s="32"/>
      <c r="L492" s="32" t="s">
        <v>5</v>
      </c>
      <c r="M492" s="32"/>
      <c r="N492" s="32" t="s">
        <v>4</v>
      </c>
    </row>
    <row r="493" spans="1:14" ht="19.5" customHeight="1" x14ac:dyDescent="0.25">
      <c r="A493" s="1">
        <v>3050</v>
      </c>
      <c r="B493" s="36">
        <v>45873</v>
      </c>
      <c r="C493" s="32"/>
      <c r="D493" s="4" t="s">
        <v>7</v>
      </c>
      <c r="E493" s="32"/>
      <c r="F493" s="5">
        <v>5</v>
      </c>
      <c r="G493" s="32"/>
      <c r="H493" s="36">
        <v>45877</v>
      </c>
      <c r="I493" s="5">
        <v>3</v>
      </c>
      <c r="J493" s="36">
        <v>45881</v>
      </c>
      <c r="K493" s="32" t="s">
        <v>3</v>
      </c>
      <c r="L493" s="32"/>
      <c r="M493" s="32"/>
      <c r="N493" s="32"/>
    </row>
    <row r="494" spans="1:14" ht="19.5" customHeight="1" x14ac:dyDescent="0.25">
      <c r="A494" s="1">
        <v>3021</v>
      </c>
      <c r="B494" s="36">
        <v>45874</v>
      </c>
      <c r="C494" s="32"/>
      <c r="D494" s="4" t="s">
        <v>20</v>
      </c>
      <c r="E494" s="32"/>
      <c r="F494" s="5">
        <v>3</v>
      </c>
      <c r="G494" s="32"/>
      <c r="H494" s="36">
        <v>45876</v>
      </c>
      <c r="I494" s="5">
        <v>9</v>
      </c>
      <c r="J494" s="36">
        <v>45886</v>
      </c>
      <c r="K494" s="32" t="s">
        <v>3</v>
      </c>
      <c r="L494" s="32" t="s">
        <v>5</v>
      </c>
      <c r="M494" s="32" t="s">
        <v>1</v>
      </c>
      <c r="N494" s="32" t="s">
        <v>4</v>
      </c>
    </row>
    <row r="495" spans="1:14" ht="19.5" customHeight="1" x14ac:dyDescent="0.25">
      <c r="A495" s="1">
        <v>3051</v>
      </c>
      <c r="B495" s="36">
        <v>45874</v>
      </c>
      <c r="C495" s="32"/>
      <c r="D495" s="4" t="s">
        <v>23</v>
      </c>
      <c r="E495" s="32"/>
      <c r="F495" s="5">
        <v>5</v>
      </c>
      <c r="G495" s="32"/>
      <c r="H495" s="36">
        <v>45878</v>
      </c>
      <c r="I495" s="5">
        <v>3</v>
      </c>
      <c r="J495" s="36">
        <v>45882</v>
      </c>
      <c r="K495" s="32"/>
      <c r="L495" s="32"/>
      <c r="M495" s="32" t="s">
        <v>1</v>
      </c>
      <c r="N495" s="32" t="s">
        <v>4</v>
      </c>
    </row>
    <row r="496" spans="1:14" ht="19.5" customHeight="1" x14ac:dyDescent="0.25">
      <c r="A496" s="1">
        <v>4278</v>
      </c>
      <c r="B496" s="36">
        <v>45874</v>
      </c>
      <c r="C496" s="32"/>
      <c r="D496" s="4" t="s">
        <v>25</v>
      </c>
      <c r="E496" s="32"/>
      <c r="F496" s="5">
        <v>5</v>
      </c>
      <c r="G496" s="32"/>
      <c r="H496" s="36">
        <v>45878</v>
      </c>
      <c r="I496" s="5">
        <v>5</v>
      </c>
      <c r="J496" s="36">
        <v>45884</v>
      </c>
      <c r="K496" s="32"/>
      <c r="L496" s="32" t="s">
        <v>5</v>
      </c>
      <c r="M496" s="32"/>
      <c r="N496" s="32"/>
    </row>
    <row r="497" spans="1:14" ht="19.5" customHeight="1" x14ac:dyDescent="0.25">
      <c r="A497" s="1">
        <v>4106</v>
      </c>
      <c r="B497" s="36">
        <v>45875</v>
      </c>
      <c r="C497" s="32"/>
      <c r="D497" s="4" t="s">
        <v>25</v>
      </c>
      <c r="E497" s="32"/>
      <c r="F497" s="5">
        <v>5</v>
      </c>
      <c r="G497" s="32"/>
      <c r="H497" s="36">
        <v>45879</v>
      </c>
      <c r="I497" s="5">
        <v>5</v>
      </c>
      <c r="J497" s="36">
        <v>45885</v>
      </c>
      <c r="K497" s="32"/>
      <c r="L497" s="32"/>
      <c r="M497" s="32" t="s">
        <v>1</v>
      </c>
      <c r="N497" s="32"/>
    </row>
    <row r="498" spans="1:14" ht="19.5" customHeight="1" x14ac:dyDescent="0.25">
      <c r="A498" s="1">
        <v>3400</v>
      </c>
      <c r="B498" s="36">
        <v>45875</v>
      </c>
      <c r="C498" s="32"/>
      <c r="D498" s="4" t="s">
        <v>7</v>
      </c>
      <c r="E498" s="32"/>
      <c r="F498" s="5">
        <v>5</v>
      </c>
      <c r="G498" s="32"/>
      <c r="H498" s="36">
        <v>45879</v>
      </c>
      <c r="I498" s="5">
        <v>3</v>
      </c>
      <c r="J498" s="36">
        <v>45883</v>
      </c>
      <c r="K498" s="32" t="s">
        <v>3</v>
      </c>
      <c r="L498" s="32"/>
      <c r="M498" s="32"/>
      <c r="N498" s="32"/>
    </row>
    <row r="499" spans="1:14" ht="19.5" customHeight="1" x14ac:dyDescent="0.25">
      <c r="A499" s="1">
        <v>3430</v>
      </c>
      <c r="B499" s="36">
        <v>45875</v>
      </c>
      <c r="C499" s="32"/>
      <c r="D499" s="4" t="s">
        <v>7</v>
      </c>
      <c r="E499" s="32"/>
      <c r="F499" s="5">
        <v>5</v>
      </c>
      <c r="G499" s="32"/>
      <c r="H499" s="36">
        <v>45879</v>
      </c>
      <c r="I499" s="5">
        <v>3</v>
      </c>
      <c r="J499" s="36">
        <v>45883</v>
      </c>
      <c r="K499" s="32"/>
      <c r="L499" s="32" t="s">
        <v>5</v>
      </c>
      <c r="M499" s="32"/>
      <c r="N499" s="32"/>
    </row>
    <row r="500" spans="1:14" ht="19.5" customHeight="1" x14ac:dyDescent="0.25">
      <c r="A500" s="1">
        <v>5031</v>
      </c>
      <c r="B500" s="36">
        <v>45875</v>
      </c>
      <c r="C500" s="32"/>
      <c r="D500" s="4" t="s">
        <v>7</v>
      </c>
      <c r="E500" s="32"/>
      <c r="F500" s="5">
        <v>5</v>
      </c>
      <c r="G500" s="32"/>
      <c r="H500" s="36">
        <v>45879</v>
      </c>
      <c r="I500" s="5">
        <v>3</v>
      </c>
      <c r="J500" s="36">
        <v>45883</v>
      </c>
      <c r="K500" s="32"/>
      <c r="L500" s="32"/>
      <c r="M500" s="32" t="s">
        <v>1</v>
      </c>
      <c r="N500" s="32"/>
    </row>
    <row r="501" spans="1:14" ht="19.5" customHeight="1" x14ac:dyDescent="0.25">
      <c r="A501" s="1">
        <v>3433</v>
      </c>
      <c r="B501" s="36">
        <v>45876</v>
      </c>
      <c r="C501" s="32"/>
      <c r="D501" s="4" t="s">
        <v>7</v>
      </c>
      <c r="E501" s="32"/>
      <c r="F501" s="5">
        <v>5</v>
      </c>
      <c r="G501" s="32"/>
      <c r="H501" s="36">
        <v>45880</v>
      </c>
      <c r="I501" s="5">
        <v>3</v>
      </c>
      <c r="J501" s="36">
        <v>45884</v>
      </c>
      <c r="K501" s="32"/>
      <c r="L501" s="32"/>
      <c r="M501" s="32" t="s">
        <v>1</v>
      </c>
      <c r="N501" s="32"/>
    </row>
    <row r="502" spans="1:14" ht="19.5" customHeight="1" x14ac:dyDescent="0.25">
      <c r="A502" s="1">
        <v>3800</v>
      </c>
      <c r="B502" s="36">
        <v>45877</v>
      </c>
      <c r="C502" s="32"/>
      <c r="D502" s="4" t="s">
        <v>0</v>
      </c>
      <c r="E502" s="32"/>
      <c r="F502" s="5">
        <v>5</v>
      </c>
      <c r="G502" s="32"/>
      <c r="H502" s="36">
        <v>45881</v>
      </c>
      <c r="I502" s="5">
        <v>5</v>
      </c>
      <c r="J502" s="36">
        <v>45887</v>
      </c>
      <c r="K502" s="32"/>
      <c r="L502" s="32" t="s">
        <v>5</v>
      </c>
      <c r="M502" s="32"/>
      <c r="N502" s="32"/>
    </row>
    <row r="503" spans="1:14" ht="19.5" customHeight="1" x14ac:dyDescent="0.25">
      <c r="A503" s="1">
        <v>3382</v>
      </c>
      <c r="B503" s="36">
        <v>45877</v>
      </c>
      <c r="C503" s="32"/>
      <c r="D503" s="4" t="s">
        <v>20</v>
      </c>
      <c r="E503" s="32"/>
      <c r="F503" s="5">
        <v>5</v>
      </c>
      <c r="G503" s="32"/>
      <c r="H503" s="36">
        <v>45881</v>
      </c>
      <c r="I503" s="5">
        <v>9</v>
      </c>
      <c r="J503" s="36">
        <v>45891</v>
      </c>
      <c r="K503" s="32"/>
      <c r="L503" s="32"/>
      <c r="M503" s="32" t="s">
        <v>1</v>
      </c>
      <c r="N503" s="32"/>
    </row>
    <row r="504" spans="1:14" ht="19.5" customHeight="1" x14ac:dyDescent="0.25">
      <c r="A504" s="1">
        <v>2430</v>
      </c>
      <c r="B504" s="36">
        <v>45878</v>
      </c>
      <c r="C504" s="32"/>
      <c r="D504" s="4" t="s">
        <v>20</v>
      </c>
      <c r="E504" s="32"/>
      <c r="F504" s="5">
        <v>5</v>
      </c>
      <c r="G504" s="32"/>
      <c r="H504" s="36">
        <v>45882</v>
      </c>
      <c r="I504" s="5">
        <v>9</v>
      </c>
      <c r="J504" s="36">
        <v>45892</v>
      </c>
      <c r="K504" s="32"/>
      <c r="L504" s="32"/>
      <c r="M504" s="32"/>
      <c r="N504" s="32" t="s">
        <v>4</v>
      </c>
    </row>
    <row r="505" spans="1:14" ht="19.5" customHeight="1" x14ac:dyDescent="0.25">
      <c r="A505" s="1">
        <v>3476</v>
      </c>
      <c r="B505" s="36">
        <v>45878</v>
      </c>
      <c r="C505" s="32"/>
      <c r="D505" s="4" t="s">
        <v>7</v>
      </c>
      <c r="E505" s="32"/>
      <c r="F505" s="5">
        <v>5</v>
      </c>
      <c r="G505" s="32"/>
      <c r="H505" s="36">
        <v>45882</v>
      </c>
      <c r="I505" s="5">
        <v>3</v>
      </c>
      <c r="J505" s="36">
        <v>45886</v>
      </c>
      <c r="K505" s="32"/>
      <c r="L505" s="32"/>
      <c r="M505" s="32" t="s">
        <v>1</v>
      </c>
      <c r="N505" s="32"/>
    </row>
    <row r="506" spans="1:14" ht="19.5" customHeight="1" x14ac:dyDescent="0.25">
      <c r="A506" s="1">
        <v>2225</v>
      </c>
      <c r="B506" s="36">
        <v>45879</v>
      </c>
      <c r="C506" s="32"/>
      <c r="D506" s="4" t="s">
        <v>7</v>
      </c>
      <c r="E506" s="32"/>
      <c r="F506" s="5">
        <v>5</v>
      </c>
      <c r="G506" s="32"/>
      <c r="H506" s="36">
        <v>45883</v>
      </c>
      <c r="I506" s="5">
        <v>3</v>
      </c>
      <c r="J506" s="36">
        <v>45887</v>
      </c>
      <c r="K506" s="32"/>
      <c r="L506" s="32" t="s">
        <v>5</v>
      </c>
      <c r="M506" s="32"/>
      <c r="N506" s="32"/>
    </row>
    <row r="507" spans="1:14" ht="19.5" customHeight="1" x14ac:dyDescent="0.25">
      <c r="A507" s="1">
        <v>2550</v>
      </c>
      <c r="B507" s="36">
        <v>45879</v>
      </c>
      <c r="C507" s="32"/>
      <c r="D507" s="4" t="s">
        <v>7</v>
      </c>
      <c r="E507" s="32"/>
      <c r="F507" s="5">
        <v>5</v>
      </c>
      <c r="G507" s="32"/>
      <c r="H507" s="36">
        <v>45883</v>
      </c>
      <c r="I507" s="5">
        <v>3</v>
      </c>
      <c r="J507" s="36">
        <v>45887</v>
      </c>
      <c r="K507" s="32"/>
      <c r="L507" s="32" t="s">
        <v>5</v>
      </c>
      <c r="M507" s="32" t="s">
        <v>1</v>
      </c>
      <c r="N507" s="32" t="s">
        <v>4</v>
      </c>
    </row>
    <row r="508" spans="1:14" ht="19.5" customHeight="1" x14ac:dyDescent="0.25">
      <c r="A508" s="1">
        <v>4182</v>
      </c>
      <c r="B508" s="36">
        <v>45880</v>
      </c>
      <c r="C508" s="32"/>
      <c r="D508" s="4" t="s">
        <v>21</v>
      </c>
      <c r="E508" s="32"/>
      <c r="F508" s="5">
        <v>5</v>
      </c>
      <c r="G508" s="32"/>
      <c r="H508" s="36">
        <v>45884</v>
      </c>
      <c r="I508" s="5">
        <v>9</v>
      </c>
      <c r="J508" s="36">
        <v>45894</v>
      </c>
      <c r="K508" s="32"/>
      <c r="L508" s="32"/>
      <c r="M508" s="32"/>
      <c r="N508" s="32" t="s">
        <v>4</v>
      </c>
    </row>
    <row r="509" spans="1:14" ht="19.5" customHeight="1" x14ac:dyDescent="0.25">
      <c r="A509" s="1">
        <v>3726</v>
      </c>
      <c r="B509" s="36">
        <v>45880</v>
      </c>
      <c r="C509" s="32"/>
      <c r="D509" s="4" t="s">
        <v>0</v>
      </c>
      <c r="E509" s="32"/>
      <c r="F509" s="5">
        <v>5</v>
      </c>
      <c r="G509" s="32"/>
      <c r="H509" s="36">
        <v>45884</v>
      </c>
      <c r="I509" s="5">
        <v>5</v>
      </c>
      <c r="J509" s="36">
        <v>45890</v>
      </c>
      <c r="K509" s="32"/>
      <c r="L509" s="32" t="s">
        <v>5</v>
      </c>
      <c r="M509" s="32"/>
      <c r="N509" s="32"/>
    </row>
    <row r="510" spans="1:14" ht="19.5" customHeight="1" x14ac:dyDescent="0.25">
      <c r="A510" s="1">
        <v>2599</v>
      </c>
      <c r="B510" s="36">
        <v>45880</v>
      </c>
      <c r="C510" s="32"/>
      <c r="D510" s="4" t="s">
        <v>0</v>
      </c>
      <c r="E510" s="32"/>
      <c r="F510" s="5">
        <v>5</v>
      </c>
      <c r="G510" s="32"/>
      <c r="H510" s="36">
        <v>45884</v>
      </c>
      <c r="I510" s="5">
        <v>5</v>
      </c>
      <c r="J510" s="36">
        <v>45890</v>
      </c>
      <c r="K510" s="32"/>
      <c r="L510" s="32"/>
      <c r="M510" s="32"/>
      <c r="N510" s="32" t="s">
        <v>4</v>
      </c>
    </row>
    <row r="511" spans="1:14" ht="19.5" customHeight="1" x14ac:dyDescent="0.25">
      <c r="A511" s="1">
        <v>3800</v>
      </c>
      <c r="B511" s="36">
        <v>45881</v>
      </c>
      <c r="C511" s="32"/>
      <c r="D511" s="4" t="s">
        <v>21</v>
      </c>
      <c r="E511" s="32"/>
      <c r="F511" s="5">
        <v>5</v>
      </c>
      <c r="G511" s="32"/>
      <c r="H511" s="36">
        <v>45885</v>
      </c>
      <c r="I511" s="5">
        <v>9</v>
      </c>
      <c r="J511" s="36">
        <v>45895</v>
      </c>
      <c r="K511" s="32"/>
      <c r="L511" s="32" t="s">
        <v>5</v>
      </c>
      <c r="M511" s="32"/>
      <c r="N511" s="32"/>
    </row>
    <row r="512" spans="1:14" ht="19.5" customHeight="1" x14ac:dyDescent="0.25">
      <c r="A512" s="1">
        <v>3420</v>
      </c>
      <c r="B512" s="36">
        <v>45881</v>
      </c>
      <c r="C512" s="32"/>
      <c r="D512" s="4" t="s">
        <v>25</v>
      </c>
      <c r="E512" s="32"/>
      <c r="F512" s="5">
        <v>5</v>
      </c>
      <c r="G512" s="32"/>
      <c r="H512" s="36">
        <v>45885</v>
      </c>
      <c r="I512" s="5">
        <v>5</v>
      </c>
      <c r="J512" s="36">
        <v>45891</v>
      </c>
      <c r="K512" s="32"/>
      <c r="L512" s="32"/>
      <c r="M512" s="32"/>
      <c r="N512" s="32" t="s">
        <v>4</v>
      </c>
    </row>
    <row r="513" spans="1:14" ht="19.5" customHeight="1" x14ac:dyDescent="0.25">
      <c r="A513" s="1">
        <v>3894</v>
      </c>
      <c r="B513" s="36">
        <v>45881</v>
      </c>
      <c r="C513" s="32"/>
      <c r="D513" s="4" t="s">
        <v>25</v>
      </c>
      <c r="E513" s="32"/>
      <c r="F513" s="5">
        <v>5</v>
      </c>
      <c r="G513" s="32"/>
      <c r="H513" s="36">
        <v>45885</v>
      </c>
      <c r="I513" s="5">
        <v>5</v>
      </c>
      <c r="J513" s="36">
        <v>45891</v>
      </c>
      <c r="K513" s="32"/>
      <c r="L513" s="32"/>
      <c r="M513" s="32" t="s">
        <v>1</v>
      </c>
      <c r="N513" s="32"/>
    </row>
    <row r="514" spans="1:14" ht="19.5" customHeight="1" x14ac:dyDescent="0.25">
      <c r="A514" s="1">
        <v>3728</v>
      </c>
      <c r="B514" s="36">
        <v>45882</v>
      </c>
      <c r="C514" s="32"/>
      <c r="D514" s="4" t="s">
        <v>21</v>
      </c>
      <c r="E514" s="32"/>
      <c r="F514" s="5">
        <v>5</v>
      </c>
      <c r="G514" s="32"/>
      <c r="H514" s="36">
        <v>45886</v>
      </c>
      <c r="I514" s="5">
        <v>9</v>
      </c>
      <c r="J514" s="36">
        <v>45896</v>
      </c>
      <c r="K514" s="32"/>
      <c r="L514" s="32"/>
      <c r="M514" s="32" t="s">
        <v>1</v>
      </c>
      <c r="N514" s="32"/>
    </row>
    <row r="515" spans="1:14" ht="19.5" customHeight="1" x14ac:dyDescent="0.25">
      <c r="A515" s="1">
        <v>4154</v>
      </c>
      <c r="B515" s="36">
        <v>45882</v>
      </c>
      <c r="C515" s="32"/>
      <c r="D515" s="4" t="s">
        <v>25</v>
      </c>
      <c r="E515" s="32"/>
      <c r="F515" s="5">
        <v>5</v>
      </c>
      <c r="G515" s="32"/>
      <c r="H515" s="36">
        <v>45886</v>
      </c>
      <c r="I515" s="5">
        <v>5</v>
      </c>
      <c r="J515" s="36">
        <v>45892</v>
      </c>
      <c r="K515" s="32"/>
      <c r="L515" s="32"/>
      <c r="M515" s="32" t="s">
        <v>1</v>
      </c>
      <c r="N515" s="32"/>
    </row>
    <row r="516" spans="1:14" ht="19.5" customHeight="1" x14ac:dyDescent="0.25">
      <c r="A516" s="1">
        <v>2969</v>
      </c>
      <c r="B516" s="36">
        <v>45882</v>
      </c>
      <c r="C516" s="32"/>
      <c r="D516" s="4" t="s">
        <v>25</v>
      </c>
      <c r="E516" s="32"/>
      <c r="F516" s="5">
        <v>5</v>
      </c>
      <c r="G516" s="32"/>
      <c r="H516" s="36">
        <v>45886</v>
      </c>
      <c r="I516" s="5">
        <v>5</v>
      </c>
      <c r="J516" s="36">
        <v>45892</v>
      </c>
      <c r="K516" s="32" t="s">
        <v>3</v>
      </c>
      <c r="L516" s="32"/>
      <c r="M516" s="32"/>
      <c r="N516" s="32"/>
    </row>
    <row r="517" spans="1:14" ht="19.5" customHeight="1" x14ac:dyDescent="0.25">
      <c r="A517" s="1">
        <v>2047</v>
      </c>
      <c r="B517" s="36">
        <v>45884</v>
      </c>
      <c r="C517" s="32"/>
      <c r="D517" s="4" t="s">
        <v>25</v>
      </c>
      <c r="E517" s="32"/>
      <c r="F517" s="5">
        <v>5</v>
      </c>
      <c r="G517" s="32"/>
      <c r="H517" s="36">
        <v>45888</v>
      </c>
      <c r="I517" s="5">
        <v>5</v>
      </c>
      <c r="J517" s="36">
        <v>45894</v>
      </c>
      <c r="K517" s="32"/>
      <c r="L517" s="32" t="s">
        <v>5</v>
      </c>
      <c r="M517" s="32"/>
      <c r="N517" s="32"/>
    </row>
    <row r="518" spans="1:14" ht="19.5" customHeight="1" x14ac:dyDescent="0.25">
      <c r="A518" s="1">
        <v>3430</v>
      </c>
      <c r="B518" s="36">
        <v>45884</v>
      </c>
      <c r="C518" s="32"/>
      <c r="D518" s="4" t="s">
        <v>25</v>
      </c>
      <c r="E518" s="32"/>
      <c r="F518" s="5">
        <v>5</v>
      </c>
      <c r="G518" s="32"/>
      <c r="H518" s="36">
        <v>45888</v>
      </c>
      <c r="I518" s="5">
        <v>5</v>
      </c>
      <c r="J518" s="36">
        <v>45894</v>
      </c>
      <c r="K518" s="32"/>
      <c r="L518" s="32" t="s">
        <v>5</v>
      </c>
      <c r="M518" s="32"/>
      <c r="N518" s="32" t="s">
        <v>4</v>
      </c>
    </row>
    <row r="519" spans="1:14" ht="19.5" customHeight="1" x14ac:dyDescent="0.25">
      <c r="A519" s="1">
        <v>3726</v>
      </c>
      <c r="B519" s="36">
        <v>45884</v>
      </c>
      <c r="C519" s="32"/>
      <c r="D519" s="4" t="s">
        <v>21</v>
      </c>
      <c r="E519" s="32"/>
      <c r="F519" s="5">
        <v>5</v>
      </c>
      <c r="G519" s="32"/>
      <c r="H519" s="36">
        <v>45888</v>
      </c>
      <c r="I519" s="5">
        <v>9</v>
      </c>
      <c r="J519" s="36">
        <v>45898</v>
      </c>
      <c r="K519" s="32"/>
      <c r="L519" s="32" t="s">
        <v>5</v>
      </c>
      <c r="M519" s="32"/>
      <c r="N519" s="32"/>
    </row>
    <row r="520" spans="1:14" ht="19.5" customHeight="1" x14ac:dyDescent="0.25">
      <c r="A520" s="1">
        <v>3050</v>
      </c>
      <c r="B520" s="36">
        <v>45885</v>
      </c>
      <c r="C520" s="32"/>
      <c r="D520" s="4" t="s">
        <v>25</v>
      </c>
      <c r="E520" s="32"/>
      <c r="F520" s="5">
        <v>5</v>
      </c>
      <c r="G520" s="32"/>
      <c r="H520" s="36">
        <v>45889</v>
      </c>
      <c r="I520" s="5">
        <v>5</v>
      </c>
      <c r="J520" s="36">
        <v>45895</v>
      </c>
      <c r="K520" s="32" t="s">
        <v>3</v>
      </c>
      <c r="L520" s="32"/>
      <c r="M520" s="32"/>
      <c r="N520" s="32"/>
    </row>
    <row r="521" spans="1:14" ht="19.5" customHeight="1" x14ac:dyDescent="0.25">
      <c r="A521" s="1">
        <v>2790</v>
      </c>
      <c r="B521" s="36">
        <v>45885</v>
      </c>
      <c r="C521" s="32"/>
      <c r="D521" s="4" t="s">
        <v>25</v>
      </c>
      <c r="E521" s="32"/>
      <c r="F521" s="5">
        <v>5</v>
      </c>
      <c r="G521" s="32"/>
      <c r="H521" s="36">
        <v>45889</v>
      </c>
      <c r="I521" s="5">
        <v>5</v>
      </c>
      <c r="J521" s="36">
        <v>45895</v>
      </c>
      <c r="K521" s="32"/>
      <c r="L521" s="32"/>
      <c r="M521" s="32" t="s">
        <v>1</v>
      </c>
      <c r="N521" s="32"/>
    </row>
    <row r="522" spans="1:14" ht="19.5" customHeight="1" x14ac:dyDescent="0.25">
      <c r="A522" s="1">
        <v>3790</v>
      </c>
      <c r="B522" s="36">
        <v>45886</v>
      </c>
      <c r="C522" s="32"/>
      <c r="D522" s="4" t="s">
        <v>25</v>
      </c>
      <c r="E522" s="32"/>
      <c r="F522" s="5">
        <v>5</v>
      </c>
      <c r="G522" s="32"/>
      <c r="H522" s="36">
        <v>45890</v>
      </c>
      <c r="I522" s="5">
        <v>5</v>
      </c>
      <c r="J522" s="36">
        <v>45896</v>
      </c>
      <c r="K522" s="32" t="s">
        <v>3</v>
      </c>
      <c r="L522" s="32"/>
      <c r="M522" s="32"/>
      <c r="N522" s="32"/>
    </row>
    <row r="523" spans="1:14" ht="19.5" customHeight="1" x14ac:dyDescent="0.25">
      <c r="A523" s="1">
        <v>4054</v>
      </c>
      <c r="B523" s="36">
        <v>45887</v>
      </c>
      <c r="C523" s="32"/>
      <c r="D523" s="4" t="s">
        <v>25</v>
      </c>
      <c r="E523" s="32"/>
      <c r="F523" s="5">
        <v>5</v>
      </c>
      <c r="G523" s="32"/>
      <c r="H523" s="36">
        <v>45891</v>
      </c>
      <c r="I523" s="5">
        <v>5</v>
      </c>
      <c r="J523" s="36">
        <v>45897</v>
      </c>
      <c r="K523" s="32"/>
      <c r="L523" s="32" t="s">
        <v>5</v>
      </c>
      <c r="M523" s="32"/>
      <c r="N523" s="32"/>
    </row>
    <row r="524" spans="1:14" ht="19.5" customHeight="1" x14ac:dyDescent="0.25">
      <c r="A524" s="1">
        <v>3169</v>
      </c>
      <c r="B524" s="36">
        <v>45887</v>
      </c>
      <c r="C524" s="32"/>
      <c r="D524" s="4" t="s">
        <v>21</v>
      </c>
      <c r="E524" s="32"/>
      <c r="F524" s="5">
        <v>5</v>
      </c>
      <c r="G524" s="32"/>
      <c r="H524" s="36">
        <v>45889</v>
      </c>
      <c r="I524" s="5">
        <v>9</v>
      </c>
      <c r="J524" s="36">
        <v>45899</v>
      </c>
      <c r="K524" s="32"/>
      <c r="L524" s="32" t="s">
        <v>5</v>
      </c>
      <c r="M524" s="32"/>
      <c r="N524" s="32"/>
    </row>
    <row r="525" spans="1:14" ht="19.5" customHeight="1" x14ac:dyDescent="0.25">
      <c r="A525" s="1">
        <v>4310</v>
      </c>
      <c r="B525" s="36">
        <v>45889</v>
      </c>
      <c r="C525" s="32"/>
      <c r="D525" s="4" t="s">
        <v>21</v>
      </c>
      <c r="E525" s="32"/>
      <c r="F525" s="5">
        <v>3</v>
      </c>
      <c r="G525" s="32"/>
      <c r="H525" s="36">
        <v>45891</v>
      </c>
      <c r="I525" s="5">
        <v>9</v>
      </c>
      <c r="J525" s="36">
        <v>45901</v>
      </c>
      <c r="K525" s="32" t="s">
        <v>3</v>
      </c>
      <c r="L525" s="32"/>
      <c r="M525" s="32"/>
      <c r="N525" s="32"/>
    </row>
    <row r="526" spans="1:14" ht="19.5" customHeight="1" x14ac:dyDescent="0.25">
      <c r="A526" s="1">
        <v>3863</v>
      </c>
      <c r="B526" s="36">
        <v>45889</v>
      </c>
      <c r="C526" s="32"/>
      <c r="D526" s="4" t="s">
        <v>25</v>
      </c>
      <c r="E526" s="32"/>
      <c r="F526" s="5">
        <v>5</v>
      </c>
      <c r="G526" s="32"/>
      <c r="H526" s="36">
        <v>45893</v>
      </c>
      <c r="I526" s="5">
        <v>5</v>
      </c>
      <c r="J526" s="36">
        <v>45899</v>
      </c>
      <c r="K526" s="32" t="s">
        <v>3</v>
      </c>
      <c r="L526" s="32"/>
      <c r="M526" s="32"/>
      <c r="N526" s="32"/>
    </row>
    <row r="527" spans="1:14" ht="19.5" customHeight="1" x14ac:dyDescent="0.25">
      <c r="A527" s="1">
        <v>3069</v>
      </c>
      <c r="B527" s="36">
        <v>45891</v>
      </c>
      <c r="C527" s="32"/>
      <c r="D527" s="4" t="s">
        <v>7</v>
      </c>
      <c r="E527" s="32"/>
      <c r="F527" s="5">
        <v>5</v>
      </c>
      <c r="G527" s="32"/>
      <c r="H527" s="36">
        <v>45895</v>
      </c>
      <c r="I527" s="5">
        <v>3</v>
      </c>
      <c r="J527" s="36">
        <v>45899</v>
      </c>
      <c r="K527" s="32" t="s">
        <v>3</v>
      </c>
      <c r="L527" s="32"/>
      <c r="M527" s="32" t="s">
        <v>1</v>
      </c>
      <c r="N527" s="32"/>
    </row>
    <row r="528" spans="1:14" ht="19.5" customHeight="1" x14ac:dyDescent="0.25">
      <c r="A528" s="1">
        <v>3417</v>
      </c>
      <c r="B528" s="36">
        <v>45892</v>
      </c>
      <c r="C528" s="32"/>
      <c r="D528" s="4" t="s">
        <v>25</v>
      </c>
      <c r="E528" s="32"/>
      <c r="F528" s="5">
        <v>5</v>
      </c>
      <c r="G528" s="36"/>
      <c r="H528" s="36">
        <v>45896</v>
      </c>
      <c r="I528" s="5">
        <v>5</v>
      </c>
      <c r="J528" s="36">
        <v>45902</v>
      </c>
      <c r="K528" s="32"/>
      <c r="L528" s="32"/>
      <c r="M528" s="32" t="s">
        <v>1</v>
      </c>
      <c r="N528" s="32"/>
    </row>
    <row r="529" spans="1:14" ht="19.5" customHeight="1" x14ac:dyDescent="0.25">
      <c r="A529" s="1">
        <v>3800</v>
      </c>
      <c r="B529" s="36">
        <v>45892</v>
      </c>
      <c r="C529" s="32"/>
      <c r="D529" s="4" t="s">
        <v>25</v>
      </c>
      <c r="E529" s="32"/>
      <c r="F529" s="5">
        <v>5</v>
      </c>
      <c r="G529" s="32"/>
      <c r="H529" s="36">
        <v>45896</v>
      </c>
      <c r="I529" s="5">
        <v>5</v>
      </c>
      <c r="J529" s="36">
        <v>45902</v>
      </c>
      <c r="K529" s="32"/>
      <c r="L529" s="32"/>
      <c r="M529" s="32"/>
      <c r="N529" s="32" t="s">
        <v>4</v>
      </c>
    </row>
    <row r="530" spans="1:14" ht="19.5" customHeight="1" x14ac:dyDescent="0.25">
      <c r="A530" s="1">
        <v>2924</v>
      </c>
      <c r="B530" s="36">
        <v>45893</v>
      </c>
      <c r="C530" s="32"/>
      <c r="D530" s="4" t="s">
        <v>23</v>
      </c>
      <c r="E530" s="32"/>
      <c r="F530" s="5">
        <v>5</v>
      </c>
      <c r="G530" s="32"/>
      <c r="H530" s="36">
        <v>45898</v>
      </c>
      <c r="I530" s="5">
        <v>3</v>
      </c>
      <c r="J530" s="36">
        <v>45902</v>
      </c>
      <c r="K530" s="32" t="s">
        <v>3</v>
      </c>
      <c r="L530" s="32"/>
      <c r="M530" s="32"/>
      <c r="N530" s="32"/>
    </row>
    <row r="531" spans="1:14" ht="19.5" customHeight="1" x14ac:dyDescent="0.25">
      <c r="A531" s="1">
        <v>1186</v>
      </c>
      <c r="B531" s="36">
        <v>45894</v>
      </c>
      <c r="C531" s="32"/>
      <c r="D531" s="4" t="s">
        <v>21</v>
      </c>
      <c r="E531" s="32"/>
      <c r="F531" s="5">
        <v>3</v>
      </c>
      <c r="G531" s="32"/>
      <c r="H531" s="36">
        <v>45896</v>
      </c>
      <c r="I531" s="5">
        <v>9</v>
      </c>
      <c r="J531" s="36">
        <v>45906</v>
      </c>
      <c r="K531" s="32" t="s">
        <v>3</v>
      </c>
      <c r="L531" s="32"/>
      <c r="M531" s="32"/>
      <c r="N531" s="32"/>
    </row>
    <row r="532" spans="1:14" ht="19.5" customHeight="1" x14ac:dyDescent="0.25">
      <c r="A532" s="1">
        <v>4986</v>
      </c>
      <c r="B532" s="36">
        <v>45896</v>
      </c>
      <c r="C532" s="32"/>
      <c r="D532" s="4" t="s">
        <v>29</v>
      </c>
      <c r="E532" s="32"/>
      <c r="F532" s="5">
        <v>5</v>
      </c>
      <c r="G532" s="32"/>
      <c r="H532" s="36">
        <v>45901</v>
      </c>
      <c r="I532" s="5">
        <v>4</v>
      </c>
      <c r="J532" s="36">
        <v>45906</v>
      </c>
      <c r="K532" s="32" t="s">
        <v>3</v>
      </c>
      <c r="L532" s="32"/>
      <c r="M532" s="32"/>
      <c r="N532" s="32"/>
    </row>
    <row r="533" spans="1:14" ht="19.5" customHeight="1" x14ac:dyDescent="0.25">
      <c r="A533" s="1">
        <v>3854</v>
      </c>
      <c r="B533" s="36">
        <v>45897</v>
      </c>
      <c r="C533" s="32"/>
      <c r="D533" s="4" t="s">
        <v>25</v>
      </c>
      <c r="E533" s="32"/>
      <c r="F533" s="5">
        <v>5</v>
      </c>
      <c r="G533" s="32"/>
      <c r="H533" s="36">
        <v>45901</v>
      </c>
      <c r="I533" s="5">
        <v>5</v>
      </c>
      <c r="J533" s="36">
        <v>45907</v>
      </c>
      <c r="K533" s="32"/>
      <c r="L533" s="32" t="s">
        <v>5</v>
      </c>
      <c r="M533" s="32"/>
      <c r="N533" s="32"/>
    </row>
    <row r="534" spans="1:14" ht="19.5" customHeight="1" x14ac:dyDescent="0.25">
      <c r="A534" s="1">
        <v>2899</v>
      </c>
      <c r="B534" s="36">
        <v>45897</v>
      </c>
      <c r="C534" s="32"/>
      <c r="D534" s="4" t="s">
        <v>25</v>
      </c>
      <c r="E534" s="32"/>
      <c r="F534" s="5">
        <v>5</v>
      </c>
      <c r="G534" s="32"/>
      <c r="H534" s="36">
        <v>45901</v>
      </c>
      <c r="I534" s="5">
        <v>5</v>
      </c>
      <c r="J534" s="36">
        <v>45907</v>
      </c>
      <c r="K534" s="32"/>
      <c r="L534" s="32"/>
      <c r="M534" s="32" t="s">
        <v>1</v>
      </c>
      <c r="N534" s="32"/>
    </row>
    <row r="535" spans="1:14" ht="19.5" customHeight="1" x14ac:dyDescent="0.25">
      <c r="A535" s="1">
        <v>4278</v>
      </c>
      <c r="B535" s="36">
        <v>45899</v>
      </c>
      <c r="C535" s="32"/>
      <c r="D535" s="4" t="s">
        <v>21</v>
      </c>
      <c r="E535" s="32"/>
      <c r="F535" s="5">
        <v>5</v>
      </c>
      <c r="G535" s="32"/>
      <c r="H535" s="36">
        <v>45903</v>
      </c>
      <c r="I535" s="5">
        <v>9</v>
      </c>
      <c r="J535" s="36">
        <v>45913</v>
      </c>
      <c r="K535" s="32"/>
      <c r="L535" s="32" t="s">
        <v>5</v>
      </c>
      <c r="M535" s="32"/>
      <c r="N535" s="32"/>
    </row>
    <row r="536" spans="1:14" ht="19.5" customHeight="1" x14ac:dyDescent="0.25">
      <c r="A536" s="1">
        <v>3297</v>
      </c>
      <c r="B536" s="36">
        <v>45900</v>
      </c>
      <c r="C536" s="32"/>
      <c r="D536" s="4" t="s">
        <v>29</v>
      </c>
      <c r="E536" s="32"/>
      <c r="F536" s="5">
        <v>5</v>
      </c>
      <c r="G536" s="32"/>
      <c r="H536" s="36">
        <v>45904</v>
      </c>
      <c r="I536" s="5">
        <v>4</v>
      </c>
      <c r="J536" s="36">
        <v>45909</v>
      </c>
      <c r="K536" s="32"/>
      <c r="L536" s="32" t="s">
        <v>5</v>
      </c>
      <c r="M536" s="32"/>
      <c r="N536" s="32"/>
    </row>
    <row r="537" spans="1:14" ht="19.5" customHeight="1" x14ac:dyDescent="0.25">
      <c r="A537" s="1">
        <v>5121</v>
      </c>
      <c r="B537" s="36">
        <v>45901</v>
      </c>
      <c r="C537" s="32"/>
      <c r="D537" s="4" t="s">
        <v>29</v>
      </c>
      <c r="E537" s="32"/>
      <c r="F537" s="5">
        <v>5</v>
      </c>
      <c r="G537" s="32"/>
      <c r="H537" s="36">
        <v>45905</v>
      </c>
      <c r="I537" s="5">
        <v>4</v>
      </c>
      <c r="J537" s="36">
        <v>45910</v>
      </c>
      <c r="K537" s="32" t="s">
        <v>3</v>
      </c>
      <c r="L537" s="32"/>
      <c r="M537" s="32" t="s">
        <v>1</v>
      </c>
      <c r="N537" s="32"/>
    </row>
    <row r="538" spans="1:14" ht="19.5" customHeight="1" x14ac:dyDescent="0.25">
      <c r="A538" s="1">
        <v>615</v>
      </c>
      <c r="B538" s="36">
        <v>45902</v>
      </c>
      <c r="C538" s="32"/>
      <c r="D538" s="4" t="s">
        <v>29</v>
      </c>
      <c r="E538" s="32"/>
      <c r="F538" s="5">
        <v>5</v>
      </c>
      <c r="G538" s="32"/>
      <c r="H538" s="36">
        <v>45906</v>
      </c>
      <c r="I538" s="5">
        <v>4</v>
      </c>
      <c r="J538" s="36">
        <v>45911</v>
      </c>
      <c r="K538" s="32"/>
      <c r="L538" s="32"/>
      <c r="M538" s="32" t="s">
        <v>1</v>
      </c>
      <c r="N538" s="32"/>
    </row>
    <row r="539" spans="1:14" ht="19.5" customHeight="1" x14ac:dyDescent="0.25">
      <c r="A539" s="1">
        <v>4764</v>
      </c>
      <c r="B539" s="36">
        <v>45902</v>
      </c>
      <c r="C539" s="32"/>
      <c r="D539" s="4" t="s">
        <v>29</v>
      </c>
      <c r="E539" s="32"/>
      <c r="F539" s="5">
        <v>5</v>
      </c>
      <c r="G539" s="32"/>
      <c r="H539" s="36">
        <v>45906</v>
      </c>
      <c r="I539" s="5">
        <v>4</v>
      </c>
      <c r="J539" s="36">
        <v>45911</v>
      </c>
      <c r="K539" s="32"/>
      <c r="L539" s="32"/>
      <c r="M539" s="32" t="s">
        <v>1</v>
      </c>
      <c r="N539" s="32" t="s">
        <v>4</v>
      </c>
    </row>
    <row r="540" spans="1:14" ht="19.5" customHeight="1" x14ac:dyDescent="0.25">
      <c r="A540" s="1">
        <v>4436</v>
      </c>
      <c r="B540" s="36">
        <v>45902</v>
      </c>
      <c r="C540" s="32"/>
      <c r="D540" s="4" t="s">
        <v>29</v>
      </c>
      <c r="E540" s="32"/>
      <c r="F540" s="5">
        <v>5</v>
      </c>
      <c r="G540" s="32"/>
      <c r="H540" s="36">
        <v>45906</v>
      </c>
      <c r="I540" s="5">
        <v>4</v>
      </c>
      <c r="J540" s="36">
        <v>45911</v>
      </c>
      <c r="K540" s="32" t="s">
        <v>3</v>
      </c>
      <c r="L540" s="32"/>
      <c r="M540" s="32"/>
      <c r="N540" s="32"/>
    </row>
    <row r="541" spans="1:14" ht="19.5" customHeight="1" x14ac:dyDescent="0.25">
      <c r="A541" s="1">
        <v>4655</v>
      </c>
      <c r="B541" s="36">
        <v>45903</v>
      </c>
      <c r="C541" s="32"/>
      <c r="D541" s="4" t="s">
        <v>29</v>
      </c>
      <c r="E541" s="32"/>
      <c r="F541" s="5">
        <v>5</v>
      </c>
      <c r="G541" s="32"/>
      <c r="H541" s="36">
        <v>45907</v>
      </c>
      <c r="I541" s="5">
        <v>4</v>
      </c>
      <c r="J541" s="36">
        <v>45912</v>
      </c>
      <c r="K541" s="32"/>
      <c r="L541" s="32" t="s">
        <v>5</v>
      </c>
      <c r="M541" s="32"/>
      <c r="N541" s="32"/>
    </row>
    <row r="542" spans="1:14" ht="19.5" customHeight="1" x14ac:dyDescent="0.25">
      <c r="A542" s="1">
        <v>3790</v>
      </c>
      <c r="B542" s="36">
        <v>45905</v>
      </c>
      <c r="C542" s="32"/>
      <c r="D542" s="4" t="s">
        <v>20</v>
      </c>
      <c r="E542" s="32"/>
      <c r="F542" s="5">
        <v>5</v>
      </c>
      <c r="G542" s="32"/>
      <c r="H542" s="36">
        <v>45909</v>
      </c>
      <c r="I542" s="5">
        <v>9</v>
      </c>
      <c r="J542" s="36">
        <v>45919</v>
      </c>
      <c r="K542" s="32" t="s">
        <v>3</v>
      </c>
      <c r="L542" s="32"/>
      <c r="M542" s="32"/>
      <c r="N542" s="32"/>
    </row>
    <row r="543" spans="1:14" ht="19.5" customHeight="1" x14ac:dyDescent="0.25">
      <c r="A543" s="1">
        <v>2777</v>
      </c>
      <c r="B543" s="36">
        <v>45906</v>
      </c>
      <c r="C543" s="32"/>
      <c r="D543" s="4" t="s">
        <v>29</v>
      </c>
      <c r="E543" s="32"/>
      <c r="F543" s="5">
        <v>5</v>
      </c>
      <c r="G543" s="32"/>
      <c r="H543" s="36">
        <v>45910</v>
      </c>
      <c r="I543" s="5">
        <v>4</v>
      </c>
      <c r="J543" s="36">
        <v>45905</v>
      </c>
      <c r="K543" s="32" t="s">
        <v>3</v>
      </c>
      <c r="L543" s="32"/>
      <c r="M543" s="32"/>
      <c r="N543" s="32"/>
    </row>
    <row r="544" spans="1:14" ht="19.5" customHeight="1" x14ac:dyDescent="0.25">
      <c r="A544" s="1">
        <v>3846</v>
      </c>
      <c r="B544" s="36">
        <v>45908</v>
      </c>
      <c r="C544" s="32"/>
      <c r="D544" s="4" t="s">
        <v>29</v>
      </c>
      <c r="E544" s="32"/>
      <c r="F544" s="5">
        <v>5</v>
      </c>
      <c r="G544" s="32"/>
      <c r="H544" s="36">
        <v>45912</v>
      </c>
      <c r="I544" s="5">
        <v>4</v>
      </c>
      <c r="J544" s="36">
        <v>45907</v>
      </c>
      <c r="K544" s="32"/>
      <c r="L544" s="32"/>
      <c r="M544" s="32" t="s">
        <v>1</v>
      </c>
      <c r="N544" s="32"/>
    </row>
    <row r="545" spans="1:14" ht="19.5" customHeight="1" x14ac:dyDescent="0.25">
      <c r="A545" s="1">
        <v>4132</v>
      </c>
      <c r="B545" s="36">
        <v>45908</v>
      </c>
      <c r="C545" s="32"/>
      <c r="D545" s="4" t="s">
        <v>20</v>
      </c>
      <c r="E545" s="32"/>
      <c r="F545" s="5">
        <v>5</v>
      </c>
      <c r="G545" s="32"/>
      <c r="H545" s="36">
        <v>45912</v>
      </c>
      <c r="I545" s="5">
        <v>9</v>
      </c>
      <c r="J545" s="36">
        <v>45922</v>
      </c>
      <c r="K545" s="32"/>
      <c r="L545" s="32"/>
      <c r="M545" s="32"/>
      <c r="N545" s="32" t="s">
        <v>4</v>
      </c>
    </row>
    <row r="546" spans="1:14" ht="19.5" customHeight="1" x14ac:dyDescent="0.25">
      <c r="A546" s="1">
        <v>1166</v>
      </c>
      <c r="B546" s="36">
        <v>45909</v>
      </c>
      <c r="C546" s="32"/>
      <c r="D546" s="4" t="s">
        <v>0</v>
      </c>
      <c r="E546" s="32"/>
      <c r="F546" s="5">
        <v>5</v>
      </c>
      <c r="G546" s="32"/>
      <c r="H546" s="36">
        <v>45913</v>
      </c>
      <c r="I546" s="5">
        <v>5</v>
      </c>
      <c r="J546" s="36">
        <v>45919</v>
      </c>
      <c r="K546" s="32"/>
      <c r="L546" s="32"/>
      <c r="M546" s="32" t="s">
        <v>1</v>
      </c>
      <c r="N546" s="32"/>
    </row>
    <row r="547" spans="1:14" ht="19.5" customHeight="1" x14ac:dyDescent="0.25">
      <c r="A547" s="1">
        <v>2706</v>
      </c>
      <c r="B547" s="36">
        <v>45909</v>
      </c>
      <c r="C547" s="32"/>
      <c r="D547" s="4" t="s">
        <v>0</v>
      </c>
      <c r="E547" s="32"/>
      <c r="F547" s="5">
        <v>5</v>
      </c>
      <c r="G547" s="32"/>
      <c r="H547" s="36">
        <v>45913</v>
      </c>
      <c r="I547" s="5">
        <v>5</v>
      </c>
      <c r="J547" s="36">
        <v>45919</v>
      </c>
      <c r="K547" s="32" t="s">
        <v>3</v>
      </c>
      <c r="L547" s="32" t="s">
        <v>5</v>
      </c>
      <c r="M547" s="32" t="s">
        <v>1</v>
      </c>
      <c r="N547" s="32" t="s">
        <v>4</v>
      </c>
    </row>
    <row r="548" spans="1:14" ht="19.5" customHeight="1" x14ac:dyDescent="0.25">
      <c r="A548" s="1">
        <v>4050</v>
      </c>
      <c r="B548" s="36">
        <v>45909</v>
      </c>
      <c r="C548" s="32"/>
      <c r="D548" s="4" t="s">
        <v>0</v>
      </c>
      <c r="E548" s="32"/>
      <c r="F548" s="5">
        <v>5</v>
      </c>
      <c r="G548" s="32"/>
      <c r="H548" s="36">
        <v>45913</v>
      </c>
      <c r="I548" s="5">
        <v>5</v>
      </c>
      <c r="J548" s="36">
        <v>45919</v>
      </c>
      <c r="K548" s="32" t="s">
        <v>3</v>
      </c>
      <c r="L548" s="32"/>
      <c r="M548" s="32" t="s">
        <v>1</v>
      </c>
      <c r="N548" s="32"/>
    </row>
    <row r="549" spans="1:14" ht="19.5" customHeight="1" x14ac:dyDescent="0.25">
      <c r="A549" s="1">
        <v>3818</v>
      </c>
      <c r="B549" s="36">
        <v>45909</v>
      </c>
      <c r="C549" s="32"/>
      <c r="D549" s="4" t="s">
        <v>0</v>
      </c>
      <c r="E549" s="32"/>
      <c r="F549" s="5">
        <v>5</v>
      </c>
      <c r="G549" s="32"/>
      <c r="H549" s="36">
        <v>45913</v>
      </c>
      <c r="I549" s="5">
        <v>5</v>
      </c>
      <c r="J549" s="36">
        <v>45919</v>
      </c>
      <c r="K549" s="32"/>
      <c r="L549" s="32"/>
      <c r="M549" s="32"/>
      <c r="N549" s="32" t="s">
        <v>4</v>
      </c>
    </row>
    <row r="550" spans="1:14" ht="19.5" customHeight="1" x14ac:dyDescent="0.25">
      <c r="A550" s="1">
        <v>2898</v>
      </c>
      <c r="B550" s="36">
        <v>45909</v>
      </c>
      <c r="C550" s="32"/>
      <c r="D550" s="4" t="s">
        <v>0</v>
      </c>
      <c r="E550" s="32"/>
      <c r="F550" s="5">
        <v>5</v>
      </c>
      <c r="G550" s="32"/>
      <c r="H550" s="36">
        <v>45913</v>
      </c>
      <c r="I550" s="5">
        <v>5</v>
      </c>
      <c r="J550" s="36">
        <v>45919</v>
      </c>
      <c r="K550" s="32"/>
      <c r="L550" s="32" t="s">
        <v>5</v>
      </c>
      <c r="M550" s="32"/>
      <c r="N550" s="32"/>
    </row>
    <row r="551" spans="1:14" ht="19.5" customHeight="1" x14ac:dyDescent="0.25">
      <c r="A551" s="1">
        <v>2987</v>
      </c>
      <c r="B551" s="36">
        <v>45910</v>
      </c>
      <c r="C551" s="32"/>
      <c r="D551" s="4" t="s">
        <v>20</v>
      </c>
      <c r="E551" s="32"/>
      <c r="F551" s="5">
        <v>5</v>
      </c>
      <c r="G551" s="32"/>
      <c r="H551" s="36">
        <v>45914</v>
      </c>
      <c r="I551" s="5">
        <v>9</v>
      </c>
      <c r="J551" s="36">
        <v>45924</v>
      </c>
      <c r="K551" s="32" t="s">
        <v>3</v>
      </c>
      <c r="L551" s="32" t="s">
        <v>5</v>
      </c>
      <c r="M551" s="32"/>
      <c r="N551" s="32"/>
    </row>
    <row r="552" spans="1:14" ht="19.5" customHeight="1" x14ac:dyDescent="0.25">
      <c r="A552" s="1">
        <v>3511</v>
      </c>
      <c r="B552" s="36">
        <v>45913</v>
      </c>
      <c r="C552" s="32"/>
      <c r="D552" s="4" t="s">
        <v>29</v>
      </c>
      <c r="E552" s="32"/>
      <c r="F552" s="5">
        <v>5</v>
      </c>
      <c r="G552" s="32"/>
      <c r="H552" s="36">
        <v>45917</v>
      </c>
      <c r="I552" s="5">
        <v>4</v>
      </c>
      <c r="J552" s="36">
        <v>45922</v>
      </c>
      <c r="K552" s="32"/>
      <c r="L552" s="32" t="s">
        <v>5</v>
      </c>
      <c r="M552" s="32"/>
      <c r="N552" s="32"/>
    </row>
    <row r="553" spans="1:14" ht="19.5" customHeight="1" x14ac:dyDescent="0.25">
      <c r="A553" s="1">
        <v>2833</v>
      </c>
      <c r="B553" s="36">
        <v>45916</v>
      </c>
      <c r="C553" s="32"/>
      <c r="D553" s="4" t="s">
        <v>7</v>
      </c>
      <c r="E553" s="32"/>
      <c r="F553" s="5">
        <v>5</v>
      </c>
      <c r="G553" s="32"/>
      <c r="H553" s="36">
        <v>45920</v>
      </c>
      <c r="I553" s="5">
        <v>3</v>
      </c>
      <c r="J553" s="36">
        <v>45924</v>
      </c>
      <c r="K553" s="32" t="s">
        <v>3</v>
      </c>
      <c r="L553" s="32"/>
      <c r="M553" s="32"/>
      <c r="N553" s="32"/>
    </row>
    <row r="554" spans="1:14" ht="19.5" customHeight="1" x14ac:dyDescent="0.25">
      <c r="A554" s="1">
        <v>4396</v>
      </c>
      <c r="B554" s="36">
        <v>45916</v>
      </c>
      <c r="C554" s="32"/>
      <c r="D554" s="4" t="s">
        <v>25</v>
      </c>
      <c r="E554" s="32"/>
      <c r="F554" s="5">
        <v>5</v>
      </c>
      <c r="G554" s="32"/>
      <c r="H554" s="36">
        <v>45920</v>
      </c>
      <c r="I554" s="5">
        <v>5</v>
      </c>
      <c r="J554" s="36">
        <v>45926</v>
      </c>
      <c r="K554" s="32" t="s">
        <v>3</v>
      </c>
      <c r="L554" s="32"/>
      <c r="M554" s="32"/>
      <c r="N554" s="32"/>
    </row>
    <row r="555" spans="1:14" ht="19.5" customHeight="1" x14ac:dyDescent="0.25">
      <c r="A555" s="1">
        <v>3171</v>
      </c>
      <c r="B555" s="36">
        <v>45917</v>
      </c>
      <c r="C555" s="32"/>
      <c r="D555" s="4" t="s">
        <v>20</v>
      </c>
      <c r="E555" s="32"/>
      <c r="F555" s="5">
        <v>5</v>
      </c>
      <c r="G555" s="32"/>
      <c r="H555" s="36">
        <v>45921</v>
      </c>
      <c r="I555" s="5">
        <v>9</v>
      </c>
      <c r="J555" s="36">
        <v>45931</v>
      </c>
      <c r="K555" s="32"/>
      <c r="L555" s="32"/>
      <c r="M555" s="32"/>
      <c r="N555" s="32" t="s">
        <v>4</v>
      </c>
    </row>
    <row r="556" spans="1:14" ht="19.5" customHeight="1" x14ac:dyDescent="0.25">
      <c r="A556" s="1">
        <v>4981</v>
      </c>
      <c r="B556" s="36">
        <v>45918</v>
      </c>
      <c r="C556" s="32"/>
      <c r="D556" s="4" t="s">
        <v>7</v>
      </c>
      <c r="E556" s="32"/>
      <c r="F556" s="5">
        <v>5</v>
      </c>
      <c r="G556" s="32"/>
      <c r="H556" s="36">
        <v>45923</v>
      </c>
      <c r="I556" s="5">
        <v>3</v>
      </c>
      <c r="J556" s="36">
        <v>45927</v>
      </c>
      <c r="K556" s="32"/>
      <c r="L556" s="32"/>
      <c r="M556" s="32"/>
      <c r="N556" s="32" t="s">
        <v>4</v>
      </c>
    </row>
    <row r="557" spans="1:14" ht="19.5" customHeight="1" x14ac:dyDescent="0.25">
      <c r="A557" s="1">
        <v>1216</v>
      </c>
      <c r="B557" s="36">
        <v>45922</v>
      </c>
      <c r="C557" s="32"/>
      <c r="D557" s="4" t="s">
        <v>7</v>
      </c>
      <c r="E557" s="32"/>
      <c r="F557" s="5">
        <v>5</v>
      </c>
      <c r="G557" s="32"/>
      <c r="H557" s="36">
        <v>45926</v>
      </c>
      <c r="I557" s="5">
        <v>3</v>
      </c>
      <c r="J557" s="36">
        <v>45930</v>
      </c>
      <c r="K557" s="32" t="s">
        <v>3</v>
      </c>
      <c r="L557" s="32"/>
      <c r="M557" s="32"/>
      <c r="N557" s="32"/>
    </row>
    <row r="558" spans="1:14" ht="19.5" customHeight="1" x14ac:dyDescent="0.25">
      <c r="A558" s="1">
        <v>2605</v>
      </c>
      <c r="B558" s="36">
        <v>45922</v>
      </c>
      <c r="C558" s="32"/>
      <c r="D558" s="4" t="s">
        <v>7</v>
      </c>
      <c r="E558" s="32"/>
      <c r="F558" s="5">
        <v>5</v>
      </c>
      <c r="G558" s="32"/>
      <c r="H558" s="36">
        <v>45926</v>
      </c>
      <c r="I558" s="5">
        <v>3</v>
      </c>
      <c r="J558" s="36">
        <v>45930</v>
      </c>
      <c r="K558" s="32"/>
      <c r="L558" s="32"/>
      <c r="M558" s="32" t="s">
        <v>1</v>
      </c>
      <c r="N558" s="32"/>
    </row>
    <row r="559" spans="1:14" ht="19.5" customHeight="1" x14ac:dyDescent="0.25">
      <c r="A559" s="1">
        <v>4439</v>
      </c>
      <c r="B559" s="36">
        <v>45923</v>
      </c>
      <c r="C559" s="32"/>
      <c r="D559" s="4" t="s">
        <v>7</v>
      </c>
      <c r="E559" s="32"/>
      <c r="F559" s="5">
        <v>5</v>
      </c>
      <c r="G559" s="32"/>
      <c r="H559" s="36">
        <v>45927</v>
      </c>
      <c r="I559" s="5">
        <v>3</v>
      </c>
      <c r="J559" s="36">
        <v>45931</v>
      </c>
      <c r="K559" s="32"/>
      <c r="L559" s="32"/>
      <c r="M559" s="32" t="s">
        <v>1</v>
      </c>
      <c r="N559" s="32"/>
    </row>
    <row r="560" spans="1:14" ht="19.5" customHeight="1" x14ac:dyDescent="0.25">
      <c r="A560" s="1">
        <v>2887</v>
      </c>
      <c r="B560" s="36">
        <v>45923</v>
      </c>
      <c r="C560" s="32"/>
      <c r="D560" s="4" t="s">
        <v>7</v>
      </c>
      <c r="E560" s="32"/>
      <c r="F560" s="5">
        <v>5</v>
      </c>
      <c r="G560" s="32"/>
      <c r="H560" s="36">
        <v>45927</v>
      </c>
      <c r="I560" s="5">
        <v>3</v>
      </c>
      <c r="J560" s="36">
        <v>45931</v>
      </c>
      <c r="K560" s="32" t="s">
        <v>3</v>
      </c>
      <c r="L560" s="32"/>
      <c r="M560" s="32"/>
      <c r="N560" s="32"/>
    </row>
    <row r="561" spans="1:14" ht="19.5" customHeight="1" x14ac:dyDescent="0.25">
      <c r="A561" s="1">
        <v>4255</v>
      </c>
      <c r="B561" s="36">
        <v>45923</v>
      </c>
      <c r="C561" s="32"/>
      <c r="D561" s="4" t="s">
        <v>25</v>
      </c>
      <c r="E561" s="32"/>
      <c r="F561" s="5">
        <v>5</v>
      </c>
      <c r="G561" s="32"/>
      <c r="H561" s="36">
        <v>45927</v>
      </c>
      <c r="I561" s="5">
        <v>5</v>
      </c>
      <c r="J561" s="36">
        <v>45933</v>
      </c>
      <c r="K561" s="32"/>
      <c r="L561" s="32"/>
      <c r="M561" s="32" t="s">
        <v>1</v>
      </c>
      <c r="N561" s="32"/>
    </row>
    <row r="562" spans="1:14" ht="19.5" customHeight="1" x14ac:dyDescent="0.25">
      <c r="A562" s="1">
        <v>3458</v>
      </c>
      <c r="B562" s="36">
        <v>45923</v>
      </c>
      <c r="C562" s="32"/>
      <c r="D562" s="4" t="s">
        <v>21</v>
      </c>
      <c r="E562" s="32"/>
      <c r="F562" s="5">
        <v>5</v>
      </c>
      <c r="G562" s="32"/>
      <c r="H562" s="36">
        <v>45927</v>
      </c>
      <c r="I562" s="5">
        <v>9</v>
      </c>
      <c r="J562" s="36">
        <v>45937</v>
      </c>
      <c r="K562" s="32"/>
      <c r="L562" s="32" t="s">
        <v>5</v>
      </c>
      <c r="M562" s="32"/>
      <c r="N562" s="32"/>
    </row>
    <row r="563" spans="1:14" ht="19.5" customHeight="1" x14ac:dyDescent="0.25">
      <c r="A563" s="1">
        <v>4278</v>
      </c>
      <c r="B563" s="36">
        <v>45924</v>
      </c>
      <c r="C563" s="32"/>
      <c r="D563" s="4" t="s">
        <v>20</v>
      </c>
      <c r="E563" s="32"/>
      <c r="F563" s="5">
        <v>5</v>
      </c>
      <c r="G563" s="32"/>
      <c r="H563" s="36">
        <v>45928</v>
      </c>
      <c r="I563" s="5">
        <v>9</v>
      </c>
      <c r="J563" s="36">
        <v>45938</v>
      </c>
      <c r="K563" s="32" t="s">
        <v>3</v>
      </c>
      <c r="L563" s="32"/>
      <c r="M563" s="32"/>
      <c r="N563" s="32"/>
    </row>
    <row r="564" spans="1:14" ht="19.5" customHeight="1" x14ac:dyDescent="0.25">
      <c r="A564" s="1">
        <v>3843</v>
      </c>
      <c r="B564" s="36">
        <v>45924</v>
      </c>
      <c r="C564" s="32"/>
      <c r="D564" s="4" t="s">
        <v>7</v>
      </c>
      <c r="E564" s="32"/>
      <c r="F564" s="5">
        <v>5</v>
      </c>
      <c r="G564" s="32"/>
      <c r="H564" s="36">
        <v>45928</v>
      </c>
      <c r="I564" s="5">
        <v>3</v>
      </c>
      <c r="J564" s="36">
        <v>45932</v>
      </c>
      <c r="K564" s="32" t="s">
        <v>3</v>
      </c>
      <c r="L564" s="32"/>
      <c r="M564" s="32"/>
      <c r="N564" s="32"/>
    </row>
    <row r="565" spans="1:14" ht="19.5" customHeight="1" x14ac:dyDescent="0.25">
      <c r="A565" s="1">
        <v>4476</v>
      </c>
      <c r="B565" s="36">
        <v>45925</v>
      </c>
      <c r="C565" s="32"/>
      <c r="D565" s="4" t="s">
        <v>25</v>
      </c>
      <c r="E565" s="32"/>
      <c r="F565" s="5">
        <v>5</v>
      </c>
      <c r="G565" s="32"/>
      <c r="H565" s="36">
        <v>45929</v>
      </c>
      <c r="I565" s="5">
        <v>5</v>
      </c>
      <c r="J565" s="36">
        <v>45935</v>
      </c>
      <c r="K565" s="32"/>
      <c r="L565" s="32"/>
      <c r="M565" s="32"/>
      <c r="N565" s="32" t="s">
        <v>4</v>
      </c>
    </row>
    <row r="566" spans="1:14" ht="19.5" customHeight="1" x14ac:dyDescent="0.25">
      <c r="A566" s="1">
        <v>4764</v>
      </c>
      <c r="B566" s="36">
        <v>45926</v>
      </c>
      <c r="C566" s="32"/>
      <c r="D566" s="4" t="s">
        <v>20</v>
      </c>
      <c r="E566" s="32"/>
      <c r="F566" s="5">
        <v>5</v>
      </c>
      <c r="G566" s="32"/>
      <c r="H566" s="36">
        <v>45930</v>
      </c>
      <c r="I566" s="5">
        <v>9</v>
      </c>
      <c r="J566" s="36">
        <v>45940</v>
      </c>
      <c r="K566" s="32"/>
      <c r="L566" s="32"/>
      <c r="M566" s="32"/>
      <c r="N566" s="32" t="s">
        <v>4</v>
      </c>
    </row>
    <row r="567" spans="1:14" ht="19.5" customHeight="1" x14ac:dyDescent="0.25">
      <c r="A567" s="1">
        <v>3533</v>
      </c>
      <c r="B567" s="36">
        <v>45926</v>
      </c>
      <c r="C567" s="32"/>
      <c r="D567" s="4" t="s">
        <v>20</v>
      </c>
      <c r="E567" s="32"/>
      <c r="F567" s="5">
        <v>5</v>
      </c>
      <c r="G567" s="32"/>
      <c r="H567" s="36">
        <v>45930</v>
      </c>
      <c r="I567" s="5">
        <v>9</v>
      </c>
      <c r="J567" s="36">
        <v>45940</v>
      </c>
      <c r="K567" s="32"/>
      <c r="L567" s="32"/>
      <c r="M567" s="32" t="s">
        <v>1</v>
      </c>
      <c r="N567" s="32"/>
    </row>
    <row r="568" spans="1:14" ht="19.5" customHeight="1" x14ac:dyDescent="0.25">
      <c r="A568" s="1">
        <v>3854</v>
      </c>
      <c r="B568" s="36">
        <v>45926</v>
      </c>
      <c r="C568" s="32"/>
      <c r="D568" s="4" t="s">
        <v>25</v>
      </c>
      <c r="E568" s="32"/>
      <c r="F568" s="5">
        <v>5</v>
      </c>
      <c r="G568" s="32"/>
      <c r="H568" s="36">
        <v>45930</v>
      </c>
      <c r="I568" s="5">
        <v>5</v>
      </c>
      <c r="J568" s="36">
        <v>45936</v>
      </c>
      <c r="K568" s="32"/>
      <c r="L568" s="32"/>
      <c r="M568" s="32" t="s">
        <v>1</v>
      </c>
      <c r="N568" s="32"/>
    </row>
    <row r="569" spans="1:14" ht="19.5" customHeight="1" x14ac:dyDescent="0.25">
      <c r="A569" s="1">
        <v>4558</v>
      </c>
      <c r="B569" s="36">
        <v>45926</v>
      </c>
      <c r="C569" s="32"/>
      <c r="D569" s="4" t="s">
        <v>7</v>
      </c>
      <c r="E569" s="32"/>
      <c r="F569" s="5">
        <v>5</v>
      </c>
      <c r="G569" s="32"/>
      <c r="H569" s="36">
        <v>45930</v>
      </c>
      <c r="I569" s="5">
        <v>3</v>
      </c>
      <c r="J569" s="36">
        <v>45934</v>
      </c>
      <c r="K569" s="32" t="s">
        <v>3</v>
      </c>
      <c r="L569" s="32"/>
      <c r="M569" s="32"/>
      <c r="N569" s="32"/>
    </row>
    <row r="570" spans="1:14" ht="19.5" customHeight="1" x14ac:dyDescent="0.25">
      <c r="A570" s="1">
        <v>3207</v>
      </c>
      <c r="B570" s="36">
        <v>45927</v>
      </c>
      <c r="C570" s="32"/>
      <c r="D570" s="4" t="s">
        <v>7</v>
      </c>
      <c r="E570" s="32"/>
      <c r="F570" s="5">
        <v>5</v>
      </c>
      <c r="G570" s="32"/>
      <c r="H570" s="36">
        <v>45931</v>
      </c>
      <c r="I570" s="5">
        <v>3</v>
      </c>
      <c r="J570" s="36">
        <v>45935</v>
      </c>
      <c r="K570" s="32"/>
      <c r="L570" s="32"/>
      <c r="M570" s="32" t="s">
        <v>1</v>
      </c>
      <c r="N570" s="32"/>
    </row>
    <row r="571" spans="1:14" ht="19.5" customHeight="1" x14ac:dyDescent="0.25">
      <c r="A571" s="1">
        <v>4476</v>
      </c>
      <c r="B571" s="36">
        <v>45927</v>
      </c>
      <c r="C571" s="32"/>
      <c r="D571" s="4" t="s">
        <v>20</v>
      </c>
      <c r="E571" s="32"/>
      <c r="F571" s="5">
        <v>5</v>
      </c>
      <c r="G571" s="32"/>
      <c r="H571" s="36">
        <v>45931</v>
      </c>
      <c r="I571" s="5">
        <v>9</v>
      </c>
      <c r="J571" s="36">
        <v>45941</v>
      </c>
      <c r="K571" s="32"/>
      <c r="L571" s="32"/>
      <c r="M571" s="32"/>
      <c r="N571" s="32" t="s">
        <v>4</v>
      </c>
    </row>
    <row r="572" spans="1:14" ht="19.5" customHeight="1" x14ac:dyDescent="0.25">
      <c r="A572" s="1">
        <v>4017</v>
      </c>
      <c r="B572" s="36">
        <v>45958</v>
      </c>
      <c r="C572" s="32"/>
      <c r="D572" s="4" t="s">
        <v>7</v>
      </c>
      <c r="E572" s="32"/>
      <c r="F572" s="5">
        <v>5</v>
      </c>
      <c r="G572" s="32"/>
      <c r="H572" s="36">
        <v>45932</v>
      </c>
      <c r="I572" s="5">
        <v>3</v>
      </c>
      <c r="J572" s="36">
        <v>45936</v>
      </c>
      <c r="K572" s="32"/>
      <c r="L572" s="32" t="s">
        <v>5</v>
      </c>
      <c r="M572" s="32"/>
      <c r="N572" s="32"/>
    </row>
    <row r="573" spans="1:14" ht="19.5" customHeight="1" x14ac:dyDescent="0.25">
      <c r="A573" s="1">
        <v>4028</v>
      </c>
      <c r="B573" s="36">
        <v>45929</v>
      </c>
      <c r="C573" s="32"/>
      <c r="D573" s="4" t="s">
        <v>7</v>
      </c>
      <c r="E573" s="32"/>
      <c r="F573" s="5">
        <v>5</v>
      </c>
      <c r="G573" s="32"/>
      <c r="H573" s="36">
        <v>45933</v>
      </c>
      <c r="I573" s="5">
        <v>3</v>
      </c>
      <c r="J573" s="36">
        <v>45937</v>
      </c>
      <c r="K573" s="32" t="s">
        <v>3</v>
      </c>
      <c r="L573" s="32"/>
      <c r="M573" s="32"/>
      <c r="N573" s="32"/>
    </row>
    <row r="574" spans="1:14" ht="19.5" customHeight="1" x14ac:dyDescent="0.25">
      <c r="A574" s="1">
        <v>4398</v>
      </c>
      <c r="B574" s="36">
        <v>45929</v>
      </c>
      <c r="C574" s="32"/>
      <c r="D574" s="4" t="s">
        <v>7</v>
      </c>
      <c r="E574" s="32"/>
      <c r="F574" s="5">
        <v>5</v>
      </c>
      <c r="G574" s="32"/>
      <c r="H574" s="36">
        <v>45933</v>
      </c>
      <c r="I574" s="5">
        <v>3</v>
      </c>
      <c r="J574" s="36">
        <v>45937</v>
      </c>
      <c r="K574" s="32"/>
      <c r="L574" s="32"/>
      <c r="M574" s="32"/>
      <c r="N574" s="32"/>
    </row>
    <row r="575" spans="1:14" ht="19.5" customHeight="1" x14ac:dyDescent="0.25">
      <c r="A575" s="1">
        <v>2887</v>
      </c>
      <c r="B575" s="36">
        <v>45929</v>
      </c>
      <c r="C575" s="32"/>
      <c r="D575" s="4" t="s">
        <v>25</v>
      </c>
      <c r="E575" s="32"/>
      <c r="F575" s="5">
        <v>5</v>
      </c>
      <c r="G575" s="32"/>
      <c r="H575" s="36">
        <v>45933</v>
      </c>
      <c r="I575" s="5">
        <v>5</v>
      </c>
      <c r="J575" s="36">
        <v>45939</v>
      </c>
      <c r="K575" s="32"/>
      <c r="L575" s="32"/>
      <c r="M575" s="32"/>
      <c r="N575" s="32" t="s">
        <v>4</v>
      </c>
    </row>
    <row r="576" spans="1:14" ht="19.5" customHeight="1" x14ac:dyDescent="0.25">
      <c r="A576" s="1">
        <v>3478</v>
      </c>
      <c r="B576" s="36">
        <v>45930</v>
      </c>
      <c r="C576" s="32"/>
      <c r="D576" s="4" t="s">
        <v>7</v>
      </c>
      <c r="E576" s="32"/>
      <c r="F576" s="5">
        <v>5</v>
      </c>
      <c r="G576" s="32"/>
      <c r="H576" s="36">
        <v>45934</v>
      </c>
      <c r="I576" s="5">
        <v>3</v>
      </c>
      <c r="J576" s="36">
        <v>45938</v>
      </c>
      <c r="K576" s="32"/>
      <c r="L576" s="32" t="s">
        <v>5</v>
      </c>
      <c r="M576" s="32"/>
      <c r="N576" s="32"/>
    </row>
    <row r="577" spans="1:14" ht="19.5" customHeight="1" x14ac:dyDescent="0.25">
      <c r="A577" s="1">
        <v>3718</v>
      </c>
      <c r="B577" s="36">
        <v>45931</v>
      </c>
      <c r="C577" s="32"/>
      <c r="D577" s="4" t="s">
        <v>25</v>
      </c>
      <c r="E577" s="32"/>
      <c r="F577" s="5">
        <v>5</v>
      </c>
      <c r="G577" s="32"/>
      <c r="H577" s="36">
        <v>45935</v>
      </c>
      <c r="I577" s="5">
        <v>5</v>
      </c>
      <c r="J577" s="36">
        <v>45941</v>
      </c>
      <c r="K577" s="32" t="s">
        <v>3</v>
      </c>
      <c r="L577" s="32"/>
      <c r="M577" s="32"/>
      <c r="N577" s="32"/>
    </row>
    <row r="578" spans="1:14" ht="19.5" customHeight="1" x14ac:dyDescent="0.25">
      <c r="A578" s="1">
        <v>4282</v>
      </c>
      <c r="B578" s="36">
        <v>45931</v>
      </c>
      <c r="C578" s="32"/>
      <c r="D578" s="4" t="s">
        <v>25</v>
      </c>
      <c r="E578" s="32"/>
      <c r="F578" s="5">
        <v>5</v>
      </c>
      <c r="G578" s="32"/>
      <c r="H578" s="36">
        <v>45935</v>
      </c>
      <c r="I578" s="5">
        <v>5</v>
      </c>
      <c r="J578" s="36">
        <v>45941</v>
      </c>
      <c r="K578" s="32"/>
      <c r="L578" s="32" t="s">
        <v>5</v>
      </c>
      <c r="M578" s="32"/>
      <c r="N578" s="32"/>
    </row>
    <row r="579" spans="1:14" ht="19.5" customHeight="1" x14ac:dyDescent="0.25">
      <c r="A579" s="1">
        <v>3383</v>
      </c>
      <c r="B579" s="36">
        <v>45933</v>
      </c>
      <c r="C579" s="32"/>
      <c r="D579" s="4" t="s">
        <v>7</v>
      </c>
      <c r="E579" s="32"/>
      <c r="F579" s="5">
        <v>5</v>
      </c>
      <c r="G579" s="32"/>
      <c r="H579" s="36">
        <v>45937</v>
      </c>
      <c r="I579" s="5">
        <v>3</v>
      </c>
      <c r="J579" s="36">
        <v>45941</v>
      </c>
      <c r="K579" s="32"/>
      <c r="L579" s="32"/>
      <c r="M579" s="32"/>
      <c r="N579" s="32" t="s">
        <v>4</v>
      </c>
    </row>
    <row r="580" spans="1:14" ht="19.5" customHeight="1" x14ac:dyDescent="0.25">
      <c r="A580" s="1">
        <v>4773</v>
      </c>
      <c r="B580" s="36">
        <v>45934</v>
      </c>
      <c r="C580" s="32"/>
      <c r="D580" s="4" t="s">
        <v>7</v>
      </c>
      <c r="E580" s="32"/>
      <c r="F580" s="5">
        <v>5</v>
      </c>
      <c r="G580" s="32"/>
      <c r="H580" s="36">
        <v>45938</v>
      </c>
      <c r="I580" s="5">
        <v>3</v>
      </c>
      <c r="J580" s="36">
        <v>45942</v>
      </c>
      <c r="K580" s="32"/>
      <c r="L580" s="32"/>
      <c r="M580" s="32" t="s">
        <v>1</v>
      </c>
      <c r="N580" s="32"/>
    </row>
    <row r="581" spans="1:14" ht="19.5" customHeight="1" x14ac:dyDescent="0.25">
      <c r="A581" s="1">
        <v>2833</v>
      </c>
      <c r="B581" s="36">
        <v>45936</v>
      </c>
      <c r="C581" s="32"/>
      <c r="D581" s="4" t="s">
        <v>20</v>
      </c>
      <c r="E581" s="32"/>
      <c r="F581" s="5">
        <v>5</v>
      </c>
      <c r="G581" s="32"/>
      <c r="H581" s="36">
        <v>45940</v>
      </c>
      <c r="I581" s="5">
        <v>9</v>
      </c>
      <c r="J581" s="36">
        <v>45950</v>
      </c>
      <c r="K581" s="32" t="s">
        <v>3</v>
      </c>
      <c r="L581" s="32"/>
      <c r="M581" s="32"/>
      <c r="N581" s="32"/>
    </row>
    <row r="582" spans="1:14" ht="19.5" customHeight="1" x14ac:dyDescent="0.25">
      <c r="A582" s="1">
        <v>4320</v>
      </c>
      <c r="B582" s="36">
        <v>45936</v>
      </c>
      <c r="C582" s="32"/>
      <c r="D582" s="4" t="s">
        <v>7</v>
      </c>
      <c r="E582" s="32"/>
      <c r="F582" s="5">
        <v>5</v>
      </c>
      <c r="G582" s="32"/>
      <c r="H582" s="36">
        <v>45940</v>
      </c>
      <c r="I582" s="5">
        <v>3</v>
      </c>
      <c r="J582" s="36">
        <v>45944</v>
      </c>
      <c r="K582" s="32" t="s">
        <v>3</v>
      </c>
      <c r="L582" s="32" t="s">
        <v>5</v>
      </c>
      <c r="M582" s="32"/>
      <c r="N582" s="32"/>
    </row>
    <row r="583" spans="1:14" ht="19.5" customHeight="1" x14ac:dyDescent="0.25">
      <c r="A583" s="1">
        <v>4303</v>
      </c>
      <c r="B583" s="36">
        <v>45937</v>
      </c>
      <c r="C583" s="32"/>
      <c r="D583" s="4" t="s">
        <v>25</v>
      </c>
      <c r="E583" s="32"/>
      <c r="F583" s="5">
        <v>5</v>
      </c>
      <c r="G583" s="32"/>
      <c r="H583" s="36">
        <v>45941</v>
      </c>
      <c r="I583" s="5">
        <v>5</v>
      </c>
      <c r="J583" s="36">
        <v>45947</v>
      </c>
      <c r="K583" s="32"/>
      <c r="L583" s="32"/>
      <c r="M583" s="32" t="s">
        <v>1</v>
      </c>
      <c r="N583" s="32"/>
    </row>
    <row r="584" spans="1:14" ht="19.5" customHeight="1" x14ac:dyDescent="0.25">
      <c r="A584" s="1">
        <v>3026</v>
      </c>
      <c r="B584" s="36">
        <v>45937</v>
      </c>
      <c r="C584" s="32"/>
      <c r="D584" s="4" t="s">
        <v>25</v>
      </c>
      <c r="E584" s="32"/>
      <c r="F584" s="5">
        <v>5</v>
      </c>
      <c r="G584" s="32"/>
      <c r="H584" s="36">
        <v>45941</v>
      </c>
      <c r="I584" s="5">
        <v>5</v>
      </c>
      <c r="J584" s="36">
        <v>45947</v>
      </c>
      <c r="K584" s="32" t="s">
        <v>3</v>
      </c>
      <c r="L584" s="32"/>
      <c r="M584" s="32"/>
      <c r="N584" s="32"/>
    </row>
    <row r="585" spans="1:14" ht="19.5" customHeight="1" x14ac:dyDescent="0.25">
      <c r="A585" s="1">
        <v>4745</v>
      </c>
      <c r="B585" s="36">
        <v>45938</v>
      </c>
      <c r="C585" s="32"/>
      <c r="D585" s="4" t="s">
        <v>25</v>
      </c>
      <c r="E585" s="32"/>
      <c r="F585" s="5">
        <v>5</v>
      </c>
      <c r="G585" s="32"/>
      <c r="H585" s="36">
        <v>45942</v>
      </c>
      <c r="I585" s="5">
        <v>5</v>
      </c>
      <c r="J585" s="36">
        <v>45948</v>
      </c>
      <c r="K585" s="32"/>
      <c r="L585" s="32" t="s">
        <v>5</v>
      </c>
      <c r="M585" s="32"/>
      <c r="N585" s="32"/>
    </row>
    <row r="586" spans="1:14" ht="19.5" customHeight="1" x14ac:dyDescent="0.25">
      <c r="A586" s="1">
        <v>3458</v>
      </c>
      <c r="B586" s="36">
        <v>45939</v>
      </c>
      <c r="C586" s="32"/>
      <c r="D586" s="4" t="s">
        <v>25</v>
      </c>
      <c r="E586" s="32"/>
      <c r="F586" s="5">
        <v>5</v>
      </c>
      <c r="G586" s="32"/>
      <c r="H586" s="36">
        <v>45943</v>
      </c>
      <c r="I586" s="5">
        <v>5</v>
      </c>
      <c r="J586" s="36">
        <v>45949</v>
      </c>
      <c r="K586" s="32"/>
      <c r="L586" s="32"/>
      <c r="M586" s="32" t="s">
        <v>1</v>
      </c>
      <c r="N586" s="32"/>
    </row>
    <row r="587" spans="1:14" ht="19.5" customHeight="1" x14ac:dyDescent="0.25">
      <c r="A587" s="1">
        <v>4064</v>
      </c>
      <c r="B587" s="36">
        <v>45940</v>
      </c>
      <c r="C587" s="32"/>
      <c r="D587" s="4" t="s">
        <v>7</v>
      </c>
      <c r="E587" s="32"/>
      <c r="F587" s="5">
        <v>5</v>
      </c>
      <c r="G587" s="32"/>
      <c r="H587" s="36">
        <v>45944</v>
      </c>
      <c r="I587" s="5">
        <v>3</v>
      </c>
      <c r="J587" s="36">
        <v>45948</v>
      </c>
      <c r="K587" s="32"/>
      <c r="L587" s="32"/>
      <c r="M587" s="32"/>
      <c r="N587" s="32" t="s">
        <v>4</v>
      </c>
    </row>
    <row r="588" spans="1:14" ht="19.5" customHeight="1" x14ac:dyDescent="0.25">
      <c r="A588" s="1">
        <v>4157</v>
      </c>
      <c r="B588" s="36">
        <v>45940</v>
      </c>
      <c r="C588" s="32"/>
      <c r="D588" s="4" t="s">
        <v>25</v>
      </c>
      <c r="E588" s="32"/>
      <c r="F588" s="5">
        <v>3</v>
      </c>
      <c r="G588" s="32"/>
      <c r="H588" s="36">
        <v>45942</v>
      </c>
      <c r="I588" s="5">
        <v>5</v>
      </c>
      <c r="J588" s="36">
        <v>45948</v>
      </c>
      <c r="K588" s="32"/>
      <c r="L588" s="32"/>
      <c r="M588" s="32" t="s">
        <v>1</v>
      </c>
      <c r="N588" s="32"/>
    </row>
    <row r="589" spans="1:14" ht="19.5" customHeight="1" x14ac:dyDescent="0.25">
      <c r="A589" s="1">
        <v>3694</v>
      </c>
      <c r="B589" s="36">
        <v>45942</v>
      </c>
      <c r="C589" s="32"/>
      <c r="D589" s="4" t="s">
        <v>25</v>
      </c>
      <c r="E589" s="32"/>
      <c r="F589" s="5">
        <v>5</v>
      </c>
      <c r="G589" s="32"/>
      <c r="H589" s="36">
        <v>45947</v>
      </c>
      <c r="I589" s="5">
        <v>5</v>
      </c>
      <c r="J589" s="36">
        <v>45953</v>
      </c>
      <c r="K589" s="32"/>
      <c r="L589" s="32" t="s">
        <v>5</v>
      </c>
      <c r="M589" s="32"/>
      <c r="N589" s="32"/>
    </row>
    <row r="590" spans="1:14" ht="19.5" customHeight="1" x14ac:dyDescent="0.25">
      <c r="A590" s="1">
        <v>3464</v>
      </c>
      <c r="B590" s="36">
        <v>45942</v>
      </c>
      <c r="C590" s="32"/>
      <c r="D590" s="4" t="s">
        <v>25</v>
      </c>
      <c r="E590" s="32"/>
      <c r="F590" s="5">
        <v>5</v>
      </c>
      <c r="G590" s="32"/>
      <c r="H590" s="36">
        <v>45947</v>
      </c>
      <c r="I590" s="5">
        <v>5</v>
      </c>
      <c r="J590" s="36">
        <v>45953</v>
      </c>
      <c r="K590" s="32"/>
      <c r="L590" s="32" t="s">
        <v>5</v>
      </c>
      <c r="M590" s="32"/>
      <c r="N590" s="32"/>
    </row>
    <row r="591" spans="1:14" ht="19.5" customHeight="1" x14ac:dyDescent="0.25">
      <c r="A591" s="1">
        <v>3458</v>
      </c>
      <c r="B591" s="36">
        <v>45943</v>
      </c>
      <c r="C591" s="32"/>
      <c r="D591" s="4" t="s">
        <v>21</v>
      </c>
      <c r="E591" s="32"/>
      <c r="F591" s="5">
        <v>3</v>
      </c>
      <c r="G591" s="32"/>
      <c r="H591" s="36">
        <v>45945</v>
      </c>
      <c r="I591" s="5">
        <v>9</v>
      </c>
      <c r="J591" s="36">
        <v>45955</v>
      </c>
      <c r="K591" s="32"/>
      <c r="L591" s="32"/>
      <c r="M591" s="32" t="s">
        <v>1</v>
      </c>
      <c r="N591" s="32"/>
    </row>
    <row r="592" spans="1:14" ht="19.5" customHeight="1" x14ac:dyDescent="0.25">
      <c r="A592" s="1">
        <v>4731</v>
      </c>
      <c r="B592" s="36">
        <v>45943</v>
      </c>
      <c r="C592" s="32"/>
      <c r="D592" s="4" t="s">
        <v>25</v>
      </c>
      <c r="E592" s="32"/>
      <c r="F592" s="5">
        <v>3</v>
      </c>
      <c r="G592" s="32"/>
      <c r="H592" s="36">
        <v>45945</v>
      </c>
      <c r="I592" s="5">
        <v>5</v>
      </c>
      <c r="J592" s="36">
        <v>45951</v>
      </c>
      <c r="K592" s="32"/>
      <c r="L592" s="32"/>
      <c r="M592" s="32" t="s">
        <v>1</v>
      </c>
      <c r="N592" s="32"/>
    </row>
    <row r="593" spans="1:14" ht="19.5" customHeight="1" x14ac:dyDescent="0.25">
      <c r="A593" s="1">
        <v>4981</v>
      </c>
      <c r="B593" s="36">
        <v>45944</v>
      </c>
      <c r="C593" s="32"/>
      <c r="D593" s="4" t="s">
        <v>25</v>
      </c>
      <c r="E593" s="32"/>
      <c r="F593" s="5">
        <v>3</v>
      </c>
      <c r="G593" s="32"/>
      <c r="H593" s="36">
        <v>45946</v>
      </c>
      <c r="I593" s="5">
        <v>5</v>
      </c>
      <c r="J593" s="36">
        <v>45952</v>
      </c>
      <c r="K593" s="32"/>
      <c r="L593" s="32"/>
      <c r="M593" s="32"/>
      <c r="N593" s="32" t="s">
        <v>4</v>
      </c>
    </row>
    <row r="594" spans="1:14" ht="19.5" customHeight="1" x14ac:dyDescent="0.25">
      <c r="A594" s="1">
        <v>3075</v>
      </c>
      <c r="B594" s="36">
        <v>45944</v>
      </c>
      <c r="C594" s="32"/>
      <c r="D594" s="4" t="s">
        <v>7</v>
      </c>
      <c r="E594" s="32"/>
      <c r="F594" s="5">
        <v>5</v>
      </c>
      <c r="G594" s="32"/>
      <c r="H594" s="36">
        <v>45948</v>
      </c>
      <c r="I594" s="5">
        <v>3</v>
      </c>
      <c r="J594" s="36">
        <v>45952</v>
      </c>
      <c r="K594" s="32" t="s">
        <v>3</v>
      </c>
      <c r="L594" s="32"/>
      <c r="M594" s="32"/>
      <c r="N594" s="32"/>
    </row>
    <row r="595" spans="1:14" ht="19.5" customHeight="1" x14ac:dyDescent="0.25">
      <c r="A595" s="1">
        <v>4270</v>
      </c>
      <c r="B595" s="36">
        <v>45944</v>
      </c>
      <c r="C595" s="32"/>
      <c r="D595" s="4" t="s">
        <v>7</v>
      </c>
      <c r="E595" s="32"/>
      <c r="F595" s="5">
        <v>5</v>
      </c>
      <c r="G595" s="32"/>
      <c r="H595" s="36">
        <v>45948</v>
      </c>
      <c r="I595" s="5">
        <v>3</v>
      </c>
      <c r="J595" s="36">
        <v>45952</v>
      </c>
      <c r="K595" s="32"/>
      <c r="L595" s="32"/>
      <c r="M595" s="32" t="s">
        <v>1</v>
      </c>
      <c r="N595" s="32"/>
    </row>
    <row r="596" spans="1:14" ht="19.5" customHeight="1" x14ac:dyDescent="0.25">
      <c r="A596" s="1">
        <v>3026</v>
      </c>
      <c r="B596" s="36">
        <v>45947</v>
      </c>
      <c r="C596" s="32"/>
      <c r="D596" s="4" t="s">
        <v>20</v>
      </c>
      <c r="E596" s="32"/>
      <c r="F596" s="5">
        <v>3</v>
      </c>
      <c r="G596" s="32"/>
      <c r="H596" s="36">
        <v>45949</v>
      </c>
      <c r="I596" s="5">
        <v>9</v>
      </c>
      <c r="J596" s="36">
        <v>45959</v>
      </c>
      <c r="K596" s="32" t="s">
        <v>3</v>
      </c>
      <c r="L596" s="32"/>
      <c r="M596" s="32"/>
      <c r="N596" s="32"/>
    </row>
    <row r="597" spans="1:14" ht="19.5" customHeight="1" x14ac:dyDescent="0.25">
      <c r="A597" s="1">
        <v>4244</v>
      </c>
      <c r="B597" s="36">
        <v>45947</v>
      </c>
      <c r="C597" s="32"/>
      <c r="D597" s="4" t="s">
        <v>7</v>
      </c>
      <c r="E597" s="32"/>
      <c r="F597" s="5">
        <v>5</v>
      </c>
      <c r="G597" s="32"/>
      <c r="H597" s="36">
        <v>45951</v>
      </c>
      <c r="I597" s="5">
        <v>3</v>
      </c>
      <c r="J597" s="36">
        <v>45955</v>
      </c>
      <c r="K597" s="32"/>
      <c r="L597" s="32" t="s">
        <v>5</v>
      </c>
      <c r="M597" s="32"/>
      <c r="N597" s="32"/>
    </row>
    <row r="598" spans="1:14" ht="19.5" customHeight="1" x14ac:dyDescent="0.25">
      <c r="A598" s="1">
        <v>1193</v>
      </c>
      <c r="B598" s="36">
        <v>45947</v>
      </c>
      <c r="C598" s="32"/>
      <c r="D598" s="4" t="s">
        <v>25</v>
      </c>
      <c r="E598" s="32"/>
      <c r="F598" s="5">
        <v>5</v>
      </c>
      <c r="G598" s="32"/>
      <c r="H598" s="36">
        <v>45951</v>
      </c>
      <c r="I598" s="5">
        <v>5</v>
      </c>
      <c r="J598" s="36">
        <v>45957</v>
      </c>
      <c r="K598" s="32"/>
      <c r="L598" s="32"/>
      <c r="M598" s="32" t="s">
        <v>1</v>
      </c>
      <c r="N598" s="32"/>
    </row>
    <row r="599" spans="1:14" ht="19.5" customHeight="1" x14ac:dyDescent="0.25">
      <c r="A599" s="1">
        <v>4132</v>
      </c>
      <c r="B599" s="36">
        <v>45948</v>
      </c>
      <c r="C599" s="32"/>
      <c r="D599" s="4" t="s">
        <v>20</v>
      </c>
      <c r="E599" s="32"/>
      <c r="F599" s="5">
        <v>3</v>
      </c>
      <c r="G599" s="32"/>
      <c r="H599" s="36">
        <v>45950</v>
      </c>
      <c r="I599" s="5">
        <v>9</v>
      </c>
      <c r="J599" s="36">
        <v>45960</v>
      </c>
      <c r="K599" s="32"/>
      <c r="L599" s="32"/>
      <c r="M599" s="32" t="s">
        <v>1</v>
      </c>
      <c r="N599" s="32"/>
    </row>
    <row r="600" spans="1:14" ht="19.5" customHeight="1" x14ac:dyDescent="0.25">
      <c r="A600" s="1">
        <v>4189</v>
      </c>
      <c r="B600" s="36">
        <v>45948</v>
      </c>
      <c r="C600" s="32"/>
      <c r="D600" s="4" t="s">
        <v>20</v>
      </c>
      <c r="E600" s="32"/>
      <c r="F600" s="5">
        <v>5</v>
      </c>
      <c r="G600" s="32"/>
      <c r="H600" s="36">
        <v>45950</v>
      </c>
      <c r="I600" s="5">
        <v>9</v>
      </c>
      <c r="J600" s="36">
        <v>45960</v>
      </c>
      <c r="K600" s="32"/>
      <c r="L600" s="32"/>
      <c r="M600" s="32" t="s">
        <v>1</v>
      </c>
      <c r="N600" s="32"/>
    </row>
    <row r="601" spans="1:14" ht="19.5" customHeight="1" x14ac:dyDescent="0.25">
      <c r="A601" s="1">
        <v>3902</v>
      </c>
      <c r="B601" s="36">
        <v>45948</v>
      </c>
      <c r="C601" s="32"/>
      <c r="D601" s="4" t="s">
        <v>0</v>
      </c>
      <c r="E601" s="32"/>
      <c r="F601" s="5">
        <v>5</v>
      </c>
      <c r="G601" s="32"/>
      <c r="H601" s="36">
        <v>45952</v>
      </c>
      <c r="I601" s="5">
        <v>5</v>
      </c>
      <c r="J601" s="36">
        <v>45958</v>
      </c>
      <c r="K601" s="32" t="s">
        <v>3</v>
      </c>
      <c r="L601" s="32" t="s">
        <v>5</v>
      </c>
      <c r="M601" s="32"/>
      <c r="N601" s="32"/>
    </row>
    <row r="602" spans="1:14" ht="19.5" customHeight="1" x14ac:dyDescent="0.25">
      <c r="A602" s="1">
        <v>4244</v>
      </c>
      <c r="B602" s="36">
        <v>45948</v>
      </c>
      <c r="C602" s="32"/>
      <c r="D602" s="4" t="s">
        <v>20</v>
      </c>
      <c r="E602" s="32"/>
      <c r="F602" s="5">
        <v>5</v>
      </c>
      <c r="G602" s="32"/>
      <c r="H602" s="36">
        <v>45952</v>
      </c>
      <c r="I602" s="5">
        <v>9</v>
      </c>
      <c r="J602" s="36">
        <v>45962</v>
      </c>
      <c r="K602" s="32"/>
      <c r="L602" s="32" t="s">
        <v>5</v>
      </c>
      <c r="M602" s="32"/>
      <c r="N602" s="32" t="s">
        <v>4</v>
      </c>
    </row>
    <row r="603" spans="1:14" ht="19.5" customHeight="1" x14ac:dyDescent="0.25">
      <c r="A603" s="1">
        <v>3034</v>
      </c>
      <c r="B603" s="36">
        <v>45950</v>
      </c>
      <c r="C603" s="32"/>
      <c r="D603" s="4" t="s">
        <v>0</v>
      </c>
      <c r="E603" s="32"/>
      <c r="F603" s="5">
        <v>5</v>
      </c>
      <c r="G603" s="32"/>
      <c r="H603" s="36">
        <v>45954</v>
      </c>
      <c r="I603" s="5">
        <v>5</v>
      </c>
      <c r="J603" s="36">
        <v>45960</v>
      </c>
      <c r="K603" s="32"/>
      <c r="L603" s="32"/>
      <c r="M603" s="32" t="s">
        <v>1</v>
      </c>
      <c r="N603" s="32"/>
    </row>
    <row r="604" spans="1:14" ht="19.5" customHeight="1" x14ac:dyDescent="0.25">
      <c r="A604" s="1">
        <v>5361</v>
      </c>
      <c r="B604" s="36">
        <v>45950</v>
      </c>
      <c r="C604" s="32"/>
      <c r="D604" s="4" t="s">
        <v>7</v>
      </c>
      <c r="E604" s="32"/>
      <c r="F604" s="5">
        <v>5</v>
      </c>
      <c r="G604" s="32"/>
      <c r="H604" s="36">
        <v>45954</v>
      </c>
      <c r="I604" s="5">
        <v>3</v>
      </c>
      <c r="J604" s="36">
        <v>45958</v>
      </c>
      <c r="K604" s="32"/>
      <c r="L604" s="32"/>
      <c r="M604" s="32"/>
      <c r="N604" s="32" t="s">
        <v>4</v>
      </c>
    </row>
    <row r="605" spans="1:14" ht="19.5" customHeight="1" x14ac:dyDescent="0.25">
      <c r="A605" s="1">
        <v>4558</v>
      </c>
      <c r="B605" s="36">
        <v>45951</v>
      </c>
      <c r="C605" s="32"/>
      <c r="D605" s="4" t="s">
        <v>20</v>
      </c>
      <c r="E605" s="32"/>
      <c r="F605" s="5">
        <v>5</v>
      </c>
      <c r="G605" s="32"/>
      <c r="H605" s="36">
        <v>45955</v>
      </c>
      <c r="I605" s="5">
        <v>9</v>
      </c>
      <c r="J605" s="36">
        <v>45965</v>
      </c>
      <c r="K605" s="32"/>
      <c r="L605" s="32"/>
      <c r="M605" s="32"/>
      <c r="N605" s="32" t="s">
        <v>4</v>
      </c>
    </row>
    <row r="606" spans="1:14" ht="19.5" customHeight="1" x14ac:dyDescent="0.25">
      <c r="A606" s="1">
        <v>4672</v>
      </c>
      <c r="B606" s="36">
        <v>45951</v>
      </c>
      <c r="C606" s="32"/>
      <c r="D606" s="4" t="s">
        <v>0</v>
      </c>
      <c r="E606" s="32"/>
      <c r="F606" s="5">
        <v>5</v>
      </c>
      <c r="G606" s="32"/>
      <c r="H606" s="36">
        <v>45955</v>
      </c>
      <c r="I606" s="5">
        <v>5</v>
      </c>
      <c r="J606" s="36">
        <v>45961</v>
      </c>
      <c r="K606" s="32"/>
      <c r="L606" s="32"/>
      <c r="M606" s="32" t="s">
        <v>1</v>
      </c>
      <c r="N606" s="32"/>
    </row>
    <row r="607" spans="1:14" ht="19.5" customHeight="1" x14ac:dyDescent="0.25">
      <c r="A607" s="1">
        <v>4802</v>
      </c>
      <c r="B607" s="36">
        <v>45951</v>
      </c>
      <c r="C607" s="32"/>
      <c r="D607" s="4" t="s">
        <v>0</v>
      </c>
      <c r="E607" s="32"/>
      <c r="F607" s="5">
        <v>5</v>
      </c>
      <c r="G607" s="32"/>
      <c r="H607" s="36">
        <v>45955</v>
      </c>
      <c r="I607" s="5">
        <v>5</v>
      </c>
      <c r="J607" s="36">
        <v>45961</v>
      </c>
      <c r="K607" s="32" t="s">
        <v>3</v>
      </c>
      <c r="L607" s="32"/>
      <c r="M607" s="32"/>
      <c r="N607" s="32"/>
    </row>
    <row r="608" spans="1:14" ht="19.5" customHeight="1" x14ac:dyDescent="0.25">
      <c r="A608" s="1">
        <v>4581</v>
      </c>
      <c r="B608" s="36">
        <v>45952</v>
      </c>
      <c r="C608" s="32"/>
      <c r="D608" s="4" t="s">
        <v>7</v>
      </c>
      <c r="E608" s="32"/>
      <c r="F608" s="5">
        <v>5</v>
      </c>
      <c r="G608" s="32"/>
      <c r="H608" s="36">
        <v>45956</v>
      </c>
      <c r="I608" s="5">
        <v>3</v>
      </c>
      <c r="J608" s="36">
        <v>45960</v>
      </c>
      <c r="K608" s="32"/>
      <c r="L608" s="32"/>
      <c r="M608" s="32" t="s">
        <v>1</v>
      </c>
      <c r="N608" s="32"/>
    </row>
    <row r="609" spans="1:14" ht="19.5" customHeight="1" x14ac:dyDescent="0.25">
      <c r="A609" s="1">
        <v>3694</v>
      </c>
      <c r="B609" s="36">
        <v>45952</v>
      </c>
      <c r="C609" s="32"/>
      <c r="D609" s="4" t="s">
        <v>21</v>
      </c>
      <c r="E609" s="32"/>
      <c r="F609" s="5">
        <v>3</v>
      </c>
      <c r="G609" s="32"/>
      <c r="H609" s="36">
        <v>45954</v>
      </c>
      <c r="I609" s="5">
        <v>9</v>
      </c>
      <c r="J609" s="36">
        <v>45964</v>
      </c>
      <c r="K609" s="32"/>
      <c r="L609" s="32" t="s">
        <v>5</v>
      </c>
      <c r="M609" s="32"/>
      <c r="N609" s="32"/>
    </row>
    <row r="610" spans="1:14" ht="19.5" customHeight="1" x14ac:dyDescent="0.25">
      <c r="A610" s="1">
        <v>1202</v>
      </c>
      <c r="B610" s="36">
        <v>45952</v>
      </c>
      <c r="C610" s="32"/>
      <c r="D610" s="4" t="s">
        <v>21</v>
      </c>
      <c r="E610" s="32"/>
      <c r="F610" s="5">
        <v>5</v>
      </c>
      <c r="G610" s="32"/>
      <c r="H610" s="36">
        <v>45956</v>
      </c>
      <c r="I610" s="5">
        <v>9</v>
      </c>
      <c r="J610" s="36">
        <v>45966</v>
      </c>
      <c r="K610" s="32" t="s">
        <v>3</v>
      </c>
      <c r="L610" s="32"/>
      <c r="M610" s="32" t="s">
        <v>1</v>
      </c>
      <c r="N610" s="32"/>
    </row>
    <row r="611" spans="1:14" ht="19.5" customHeight="1" x14ac:dyDescent="0.25">
      <c r="A611" s="1">
        <v>4017</v>
      </c>
      <c r="B611" s="36">
        <v>45953</v>
      </c>
      <c r="C611" s="32"/>
      <c r="D611" s="4" t="s">
        <v>21</v>
      </c>
      <c r="E611" s="32"/>
      <c r="F611" s="5">
        <v>3</v>
      </c>
      <c r="G611" s="32"/>
      <c r="H611" s="36">
        <v>45955</v>
      </c>
      <c r="I611" s="5">
        <v>9</v>
      </c>
      <c r="J611" s="36">
        <v>45965</v>
      </c>
      <c r="K611" s="32"/>
      <c r="L611" s="32" t="s">
        <v>5</v>
      </c>
      <c r="M611" s="32"/>
      <c r="N611" s="32"/>
    </row>
    <row r="612" spans="1:14" ht="19.5" customHeight="1" x14ac:dyDescent="0.25">
      <c r="A612" s="1">
        <v>4160</v>
      </c>
      <c r="B612" s="36">
        <v>45953</v>
      </c>
      <c r="C612" s="32"/>
      <c r="D612" s="4" t="s">
        <v>0</v>
      </c>
      <c r="E612" s="32"/>
      <c r="F612" s="5">
        <v>5</v>
      </c>
      <c r="G612" s="32"/>
      <c r="H612" s="36">
        <v>45957</v>
      </c>
      <c r="I612" s="5">
        <v>5</v>
      </c>
      <c r="J612" s="36">
        <v>45963</v>
      </c>
      <c r="K612" s="32"/>
      <c r="L612" s="32"/>
      <c r="M612" s="32" t="s">
        <v>1</v>
      </c>
      <c r="N612" s="32"/>
    </row>
    <row r="613" spans="1:14" ht="19.5" customHeight="1" x14ac:dyDescent="0.25">
      <c r="A613" s="1">
        <v>3564</v>
      </c>
      <c r="B613" s="36">
        <v>45954</v>
      </c>
      <c r="C613" s="32"/>
      <c r="D613" s="4" t="s">
        <v>7</v>
      </c>
      <c r="E613" s="32"/>
      <c r="F613" s="5">
        <v>5</v>
      </c>
      <c r="G613" s="32"/>
      <c r="H613" s="36">
        <v>45958</v>
      </c>
      <c r="I613" s="5">
        <v>3</v>
      </c>
      <c r="J613" s="36">
        <v>45962</v>
      </c>
      <c r="K613" s="32"/>
      <c r="L613" s="32" t="s">
        <v>5</v>
      </c>
      <c r="M613" s="32"/>
      <c r="N613" s="32"/>
    </row>
    <row r="614" spans="1:14" ht="19.5" customHeight="1" x14ac:dyDescent="0.25">
      <c r="A614" s="1">
        <v>3253</v>
      </c>
      <c r="B614" s="36">
        <v>45954</v>
      </c>
      <c r="C614" s="32"/>
      <c r="D614" s="4" t="s">
        <v>7</v>
      </c>
      <c r="E614" s="32"/>
      <c r="F614" s="5">
        <v>5</v>
      </c>
      <c r="G614" s="32"/>
      <c r="H614" s="36">
        <v>45958</v>
      </c>
      <c r="I614" s="5">
        <v>3</v>
      </c>
      <c r="J614" s="36">
        <v>45962</v>
      </c>
      <c r="K614" s="32"/>
      <c r="L614" s="32"/>
      <c r="M614" s="32"/>
      <c r="N614" s="32" t="s">
        <v>4</v>
      </c>
    </row>
    <row r="615" spans="1:14" ht="19.5" customHeight="1" x14ac:dyDescent="0.25">
      <c r="A615" s="1">
        <v>2963</v>
      </c>
      <c r="B615" s="36">
        <v>45955</v>
      </c>
      <c r="C615" s="32"/>
      <c r="D615" s="4" t="s">
        <v>7</v>
      </c>
      <c r="E615" s="32"/>
      <c r="F615" s="5">
        <v>5</v>
      </c>
      <c r="G615" s="32"/>
      <c r="H615" s="36">
        <v>45959</v>
      </c>
      <c r="I615" s="5">
        <v>3</v>
      </c>
      <c r="J615" s="36">
        <v>45963</v>
      </c>
      <c r="K615" s="32"/>
      <c r="L615" s="32"/>
      <c r="M615" s="32" t="s">
        <v>1</v>
      </c>
      <c r="N615" s="32"/>
    </row>
    <row r="616" spans="1:14" ht="19.5" customHeight="1" x14ac:dyDescent="0.25">
      <c r="A616" s="1">
        <v>3300</v>
      </c>
      <c r="B616" s="36">
        <v>45957</v>
      </c>
      <c r="C616" s="32"/>
      <c r="D616" s="4" t="s">
        <v>7</v>
      </c>
      <c r="E616" s="32"/>
      <c r="F616" s="5">
        <v>5</v>
      </c>
      <c r="G616" s="32"/>
      <c r="H616" s="36">
        <v>45961</v>
      </c>
      <c r="I616" s="5">
        <v>3</v>
      </c>
      <c r="J616" s="36">
        <v>45965</v>
      </c>
      <c r="K616" s="32"/>
      <c r="L616" s="32" t="s">
        <v>5</v>
      </c>
      <c r="M616" s="32"/>
      <c r="N616" s="32"/>
    </row>
    <row r="617" spans="1:14" ht="19.5" customHeight="1" x14ac:dyDescent="0.25">
      <c r="A617" s="1">
        <v>3449</v>
      </c>
      <c r="B617" s="36">
        <v>45957</v>
      </c>
      <c r="C617" s="32"/>
      <c r="D617" s="4" t="s">
        <v>7</v>
      </c>
      <c r="E617" s="32"/>
      <c r="F617" s="5">
        <v>5</v>
      </c>
      <c r="G617" s="32"/>
      <c r="H617" s="36">
        <v>45961</v>
      </c>
      <c r="I617" s="5">
        <v>3</v>
      </c>
      <c r="J617" s="36">
        <v>45965</v>
      </c>
      <c r="K617" s="32"/>
      <c r="L617" s="32" t="s">
        <v>5</v>
      </c>
      <c r="M617" s="32"/>
      <c r="N617" s="32"/>
    </row>
    <row r="618" spans="1:14" ht="19.5" customHeight="1" x14ac:dyDescent="0.25">
      <c r="A618" s="1">
        <v>2931</v>
      </c>
      <c r="B618" s="36">
        <v>45958</v>
      </c>
      <c r="C618" s="32"/>
      <c r="D618" s="4" t="s">
        <v>25</v>
      </c>
      <c r="E618" s="32"/>
      <c r="F618" s="5">
        <v>5</v>
      </c>
      <c r="G618" s="32"/>
      <c r="H618" s="36">
        <v>45962</v>
      </c>
      <c r="I618" s="5">
        <v>5</v>
      </c>
      <c r="J618" s="36">
        <v>45968</v>
      </c>
      <c r="K618" s="32" t="s">
        <v>3</v>
      </c>
      <c r="L618" s="32"/>
      <c r="M618" s="32"/>
      <c r="N618" s="32"/>
    </row>
    <row r="619" spans="1:14" ht="19.5" customHeight="1" x14ac:dyDescent="0.25">
      <c r="A619" s="1">
        <v>3225</v>
      </c>
      <c r="B619" s="36">
        <v>45958</v>
      </c>
      <c r="C619" s="32"/>
      <c r="D619" s="4" t="s">
        <v>25</v>
      </c>
      <c r="E619" s="32"/>
      <c r="F619" s="5">
        <v>5</v>
      </c>
      <c r="G619" s="32"/>
      <c r="H619" s="36">
        <v>45962</v>
      </c>
      <c r="I619" s="5">
        <v>5</v>
      </c>
      <c r="J619" s="36">
        <v>45968</v>
      </c>
      <c r="K619" s="32"/>
      <c r="L619" s="32"/>
      <c r="M619" s="32" t="s">
        <v>1</v>
      </c>
      <c r="N619" s="32"/>
    </row>
    <row r="620" spans="1:14" ht="19.5" customHeight="1" x14ac:dyDescent="0.25">
      <c r="A620" s="1">
        <v>4473</v>
      </c>
      <c r="B620" s="36">
        <v>45958</v>
      </c>
      <c r="C620" s="32"/>
      <c r="D620" s="4" t="s">
        <v>21</v>
      </c>
      <c r="E620" s="32"/>
      <c r="F620" s="5">
        <v>5</v>
      </c>
      <c r="G620" s="32"/>
      <c r="H620" s="36">
        <v>45962</v>
      </c>
      <c r="I620" s="5">
        <v>9</v>
      </c>
      <c r="J620" s="36">
        <v>45972</v>
      </c>
      <c r="K620" s="32" t="s">
        <v>3</v>
      </c>
      <c r="L620" s="32"/>
      <c r="M620" s="32"/>
      <c r="N620" s="32"/>
    </row>
    <row r="621" spans="1:14" ht="19.5" customHeight="1" x14ac:dyDescent="0.25">
      <c r="A621" s="1">
        <v>4499</v>
      </c>
      <c r="B621" s="36">
        <v>45959</v>
      </c>
      <c r="C621" s="32"/>
      <c r="D621" s="4" t="s">
        <v>25</v>
      </c>
      <c r="E621" s="32"/>
      <c r="F621" s="5">
        <v>5</v>
      </c>
      <c r="G621" s="32"/>
      <c r="H621" s="36">
        <v>45963</v>
      </c>
      <c r="I621" s="5">
        <v>5</v>
      </c>
      <c r="J621" s="36">
        <v>45969</v>
      </c>
      <c r="K621" s="32"/>
      <c r="L621" s="32"/>
      <c r="M621" s="32" t="s">
        <v>1</v>
      </c>
      <c r="N621" s="32"/>
    </row>
    <row r="622" spans="1:14" ht="19.5" customHeight="1" x14ac:dyDescent="0.25">
      <c r="A622" s="1">
        <v>2333</v>
      </c>
      <c r="B622" s="36">
        <v>45959</v>
      </c>
      <c r="C622" s="32"/>
      <c r="D622" s="4" t="s">
        <v>25</v>
      </c>
      <c r="E622" s="32"/>
      <c r="F622" s="5">
        <v>5</v>
      </c>
      <c r="G622" s="32"/>
      <c r="H622" s="36">
        <v>45963</v>
      </c>
      <c r="I622" s="5">
        <v>5</v>
      </c>
      <c r="J622" s="36">
        <v>45969</v>
      </c>
      <c r="K622" s="32"/>
      <c r="L622" s="32" t="s">
        <v>5</v>
      </c>
      <c r="M622" s="32"/>
      <c r="N622" s="32"/>
    </row>
    <row r="623" spans="1:14" ht="19.5" customHeight="1" x14ac:dyDescent="0.25">
      <c r="A623" s="1">
        <v>3459</v>
      </c>
      <c r="B623" s="36">
        <v>45959</v>
      </c>
      <c r="C623" s="32"/>
      <c r="D623" s="4" t="s">
        <v>25</v>
      </c>
      <c r="E623" s="32"/>
      <c r="F623" s="5">
        <v>5</v>
      </c>
      <c r="G623" s="32"/>
      <c r="H623" s="36">
        <v>45963</v>
      </c>
      <c r="I623" s="5">
        <v>5</v>
      </c>
      <c r="J623" s="36">
        <v>45969</v>
      </c>
      <c r="K623" s="32"/>
      <c r="L623" s="32" t="s">
        <v>5</v>
      </c>
      <c r="M623" s="32"/>
      <c r="N623" s="32"/>
    </row>
    <row r="624" spans="1:14" ht="19.5" customHeight="1" x14ac:dyDescent="0.25">
      <c r="A624" s="1">
        <v>3089</v>
      </c>
      <c r="B624" s="36">
        <v>45959</v>
      </c>
      <c r="C624" s="32"/>
      <c r="D624" s="4" t="s">
        <v>21</v>
      </c>
      <c r="E624" s="32"/>
      <c r="F624" s="5">
        <v>3</v>
      </c>
      <c r="G624" s="32"/>
      <c r="H624" s="36">
        <v>45961</v>
      </c>
      <c r="I624" s="5">
        <v>9</v>
      </c>
      <c r="J624" s="36">
        <v>45971</v>
      </c>
      <c r="K624" s="32"/>
      <c r="L624" s="32" t="s">
        <v>5</v>
      </c>
      <c r="M624" s="32"/>
      <c r="N624" s="32" t="s">
        <v>4</v>
      </c>
    </row>
    <row r="625" spans="1:14" ht="19.5" customHeight="1" x14ac:dyDescent="0.25">
      <c r="A625" s="1">
        <v>3300</v>
      </c>
      <c r="B625" s="36">
        <v>45960</v>
      </c>
      <c r="C625" s="32"/>
      <c r="D625" s="4" t="s">
        <v>25</v>
      </c>
      <c r="E625" s="32"/>
      <c r="F625" s="5">
        <v>5</v>
      </c>
      <c r="G625" s="32"/>
      <c r="H625" s="36">
        <v>45964</v>
      </c>
      <c r="I625" s="5">
        <v>5</v>
      </c>
      <c r="J625" s="36">
        <v>45970</v>
      </c>
      <c r="K625" s="32" t="s">
        <v>3</v>
      </c>
      <c r="L625" s="32"/>
      <c r="M625" s="32"/>
      <c r="N625" s="32"/>
    </row>
    <row r="626" spans="1:14" ht="19.5" customHeight="1" x14ac:dyDescent="0.25">
      <c r="A626" s="1">
        <v>3483</v>
      </c>
      <c r="B626" s="36">
        <v>45991</v>
      </c>
      <c r="C626" s="32"/>
      <c r="D626" s="4" t="s">
        <v>25</v>
      </c>
      <c r="E626" s="32"/>
      <c r="F626" s="5">
        <v>5</v>
      </c>
      <c r="G626" s="32"/>
      <c r="H626" s="36">
        <v>45964</v>
      </c>
      <c r="I626" s="5">
        <v>5</v>
      </c>
      <c r="J626" s="36">
        <v>45970</v>
      </c>
      <c r="K626" s="32"/>
      <c r="L626" s="32" t="s">
        <v>5</v>
      </c>
      <c r="M626" s="32"/>
      <c r="N626" s="32"/>
    </row>
    <row r="627" spans="1:14" ht="19.5" customHeight="1" x14ac:dyDescent="0.25">
      <c r="A627" s="1">
        <v>3253</v>
      </c>
      <c r="B627" s="36">
        <v>45991</v>
      </c>
      <c r="C627" s="32"/>
      <c r="D627" s="4" t="s">
        <v>25</v>
      </c>
      <c r="E627" s="32"/>
      <c r="F627" s="5">
        <v>3</v>
      </c>
      <c r="G627" s="32"/>
      <c r="H627" s="36">
        <v>45962</v>
      </c>
      <c r="I627" s="5">
        <v>5</v>
      </c>
      <c r="J627" s="36">
        <v>45968</v>
      </c>
      <c r="K627" s="32"/>
      <c r="L627" s="32" t="s">
        <v>5</v>
      </c>
      <c r="M627" s="32"/>
      <c r="N627" s="32"/>
    </row>
    <row r="628" spans="1:14" ht="19.5" customHeight="1" x14ac:dyDescent="0.25">
      <c r="A628" s="1">
        <v>2931</v>
      </c>
      <c r="B628" s="36">
        <v>45991</v>
      </c>
      <c r="C628" s="32"/>
      <c r="D628" s="4" t="s">
        <v>21</v>
      </c>
      <c r="E628" s="32"/>
      <c r="F628" s="5">
        <v>5</v>
      </c>
      <c r="G628" s="32"/>
      <c r="H628" s="36">
        <v>45963</v>
      </c>
      <c r="I628" s="5">
        <v>5</v>
      </c>
      <c r="J628" s="36">
        <v>45970</v>
      </c>
      <c r="K628" s="32" t="s">
        <v>3</v>
      </c>
      <c r="L628" s="32"/>
      <c r="M628" s="32"/>
      <c r="N628" s="32"/>
    </row>
    <row r="629" spans="1:14" ht="19.5" customHeight="1" x14ac:dyDescent="0.25">
      <c r="A629" s="1">
        <v>3688</v>
      </c>
      <c r="B629" s="36">
        <v>45960</v>
      </c>
      <c r="C629" s="32"/>
      <c r="D629" s="4" t="s">
        <v>7</v>
      </c>
      <c r="E629" s="32"/>
      <c r="F629" s="5">
        <v>5</v>
      </c>
      <c r="G629" s="32"/>
      <c r="H629" s="36">
        <v>45964</v>
      </c>
      <c r="I629" s="5">
        <v>3</v>
      </c>
      <c r="J629" s="36">
        <v>45968</v>
      </c>
      <c r="K629" s="32" t="s">
        <v>3</v>
      </c>
      <c r="L629" s="32"/>
      <c r="M629" s="32"/>
      <c r="N629" s="32"/>
    </row>
    <row r="630" spans="1:14" ht="19.5" customHeight="1" x14ac:dyDescent="0.25">
      <c r="A630" s="1">
        <v>4706</v>
      </c>
      <c r="B630" s="36">
        <v>45960</v>
      </c>
      <c r="C630" s="32"/>
      <c r="D630" s="4" t="s">
        <v>7</v>
      </c>
      <c r="E630" s="32"/>
      <c r="F630" s="5">
        <v>5</v>
      </c>
      <c r="G630" s="32"/>
      <c r="H630" s="36">
        <v>45964</v>
      </c>
      <c r="I630" s="5">
        <v>3</v>
      </c>
      <c r="J630" s="36">
        <v>45968</v>
      </c>
      <c r="K630" s="32" t="s">
        <v>3</v>
      </c>
      <c r="L630" s="32"/>
      <c r="M630" s="32"/>
      <c r="N630" s="32"/>
    </row>
    <row r="631" spans="1:14" ht="19.5" customHeight="1" x14ac:dyDescent="0.25">
      <c r="A631" s="1">
        <v>4200</v>
      </c>
      <c r="B631" s="36">
        <v>45960</v>
      </c>
      <c r="C631" s="32"/>
      <c r="D631" s="4" t="s">
        <v>7</v>
      </c>
      <c r="E631" s="32"/>
      <c r="F631" s="5">
        <v>5</v>
      </c>
      <c r="G631" s="32"/>
      <c r="H631" s="36">
        <v>45964</v>
      </c>
      <c r="I631" s="5">
        <v>3</v>
      </c>
      <c r="J631" s="36">
        <v>45968</v>
      </c>
      <c r="K631" s="32"/>
      <c r="L631" s="32"/>
      <c r="M631" s="32"/>
      <c r="N631" s="32" t="s">
        <v>4</v>
      </c>
    </row>
    <row r="632" spans="1:14" ht="19.5" customHeight="1" x14ac:dyDescent="0.25">
      <c r="A632" s="1">
        <v>2679</v>
      </c>
      <c r="B632" s="36">
        <v>45961</v>
      </c>
      <c r="C632" s="32"/>
      <c r="D632" s="4" t="s">
        <v>7</v>
      </c>
      <c r="E632" s="32"/>
      <c r="F632" s="5">
        <v>5</v>
      </c>
      <c r="G632" s="32"/>
      <c r="H632" s="36">
        <v>45965</v>
      </c>
      <c r="I632" s="5">
        <v>3</v>
      </c>
      <c r="J632" s="36">
        <v>45969</v>
      </c>
      <c r="K632" s="32"/>
      <c r="L632" s="32"/>
      <c r="M632" s="32"/>
      <c r="N632" s="32" t="s">
        <v>4</v>
      </c>
    </row>
    <row r="633" spans="1:14" ht="19.5" customHeight="1" x14ac:dyDescent="0.25">
      <c r="A633" s="1">
        <v>4970</v>
      </c>
      <c r="B633" s="36">
        <v>45962</v>
      </c>
      <c r="C633" s="32"/>
      <c r="D633" s="4" t="s">
        <v>7</v>
      </c>
      <c r="E633" s="32"/>
      <c r="F633" s="5">
        <v>5</v>
      </c>
      <c r="G633" s="32"/>
      <c r="H633" s="36">
        <v>45966</v>
      </c>
      <c r="I633" s="5">
        <v>3</v>
      </c>
      <c r="J633" s="36">
        <v>45970</v>
      </c>
      <c r="K633" s="32"/>
      <c r="L633" s="32" t="s">
        <v>5</v>
      </c>
      <c r="M633" s="32"/>
      <c r="N633" s="32"/>
    </row>
    <row r="634" spans="1:14" ht="19.5" customHeight="1" x14ac:dyDescent="0.25">
      <c r="A634" s="1">
        <v>4823</v>
      </c>
      <c r="B634" s="36">
        <v>45962</v>
      </c>
      <c r="C634" s="32"/>
      <c r="D634" s="4" t="s">
        <v>25</v>
      </c>
      <c r="E634" s="32"/>
      <c r="F634" s="5">
        <v>5</v>
      </c>
      <c r="G634" s="32"/>
      <c r="H634" s="36">
        <v>45966</v>
      </c>
      <c r="I634" s="5">
        <v>5</v>
      </c>
      <c r="J634" s="36">
        <v>45972</v>
      </c>
      <c r="K634" s="32"/>
      <c r="L634" s="32"/>
      <c r="M634" s="32" t="s">
        <v>1</v>
      </c>
      <c r="N634" s="32"/>
    </row>
    <row r="635" spans="1:14" ht="19.5" customHeight="1" x14ac:dyDescent="0.25">
      <c r="A635" s="1">
        <v>4271</v>
      </c>
      <c r="B635" s="36">
        <v>45963</v>
      </c>
      <c r="C635" s="32"/>
      <c r="D635" s="4" t="s">
        <v>7</v>
      </c>
      <c r="E635" s="32"/>
      <c r="F635" s="5">
        <v>5</v>
      </c>
      <c r="G635" s="32"/>
      <c r="H635" s="36">
        <v>45967</v>
      </c>
      <c r="I635" s="5">
        <v>3</v>
      </c>
      <c r="J635" s="36">
        <v>45971</v>
      </c>
      <c r="K635" s="32"/>
      <c r="L635" s="32"/>
      <c r="M635" s="32"/>
      <c r="N635" s="32" t="s">
        <v>4</v>
      </c>
    </row>
    <row r="636" spans="1:14" ht="19.5" customHeight="1" x14ac:dyDescent="0.25">
      <c r="A636" s="1">
        <v>4418</v>
      </c>
      <c r="B636" s="36">
        <v>45965</v>
      </c>
      <c r="C636" s="32"/>
      <c r="D636" s="4" t="s">
        <v>7</v>
      </c>
      <c r="E636" s="32"/>
      <c r="F636" s="5">
        <v>5</v>
      </c>
      <c r="G636" s="32"/>
      <c r="H636" s="36">
        <v>45969</v>
      </c>
      <c r="I636" s="5">
        <v>3</v>
      </c>
      <c r="J636" s="36">
        <v>45973</v>
      </c>
      <c r="K636" s="32" t="s">
        <v>3</v>
      </c>
      <c r="L636" s="32"/>
      <c r="M636" s="32"/>
      <c r="N636" s="32"/>
    </row>
    <row r="637" spans="1:14" ht="19.5" customHeight="1" x14ac:dyDescent="0.25">
      <c r="A637" s="1">
        <v>2943</v>
      </c>
      <c r="B637" s="36">
        <v>45965</v>
      </c>
      <c r="C637" s="32"/>
      <c r="D637" s="4" t="s">
        <v>7</v>
      </c>
      <c r="E637" s="32"/>
      <c r="F637" s="5">
        <v>5</v>
      </c>
      <c r="G637" s="32"/>
      <c r="H637" s="36">
        <v>45969</v>
      </c>
      <c r="I637" s="5">
        <v>3</v>
      </c>
      <c r="J637" s="36">
        <v>45973</v>
      </c>
      <c r="K637" s="32"/>
      <c r="L637" s="32" t="s">
        <v>5</v>
      </c>
      <c r="M637" s="32"/>
      <c r="N637" s="32"/>
    </row>
    <row r="638" spans="1:14" ht="19.5" customHeight="1" x14ac:dyDescent="0.25">
      <c r="A638" s="1">
        <v>4544</v>
      </c>
      <c r="B638" s="36">
        <v>45965</v>
      </c>
      <c r="C638" s="32"/>
      <c r="D638" s="4" t="s">
        <v>7</v>
      </c>
      <c r="E638" s="32"/>
      <c r="F638" s="5">
        <v>5</v>
      </c>
      <c r="G638" s="32"/>
      <c r="H638" s="36">
        <v>45969</v>
      </c>
      <c r="I638" s="5">
        <v>3</v>
      </c>
      <c r="J638" s="36">
        <v>45973</v>
      </c>
      <c r="K638" s="32" t="s">
        <v>3</v>
      </c>
      <c r="L638" s="32"/>
      <c r="M638" s="32"/>
      <c r="N638" s="32"/>
    </row>
    <row r="639" spans="1:14" ht="19.5" customHeight="1" x14ac:dyDescent="0.25">
      <c r="A639" s="1">
        <v>3305</v>
      </c>
      <c r="B639" s="36">
        <v>45966</v>
      </c>
      <c r="C639" s="32"/>
      <c r="D639" s="4" t="s">
        <v>20</v>
      </c>
      <c r="E639" s="32"/>
      <c r="F639" s="5">
        <v>5</v>
      </c>
      <c r="G639" s="32"/>
      <c r="H639" s="36">
        <v>45970</v>
      </c>
      <c r="I639" s="5">
        <v>9</v>
      </c>
      <c r="J639" s="36">
        <v>45980</v>
      </c>
      <c r="K639" s="32"/>
      <c r="L639" s="32"/>
      <c r="M639" s="32"/>
      <c r="N639" s="32" t="s">
        <v>4</v>
      </c>
    </row>
    <row r="640" spans="1:14" ht="19.5" customHeight="1" x14ac:dyDescent="0.25">
      <c r="A640" s="1">
        <v>4421</v>
      </c>
      <c r="B640" s="36">
        <v>45966</v>
      </c>
      <c r="C640" s="32"/>
      <c r="D640" s="4" t="s">
        <v>0</v>
      </c>
      <c r="E640" s="32"/>
      <c r="F640" s="5">
        <v>5</v>
      </c>
      <c r="G640" s="32"/>
      <c r="H640" s="36">
        <v>45970</v>
      </c>
      <c r="I640" s="5">
        <v>5</v>
      </c>
      <c r="J640" s="36">
        <v>45976</v>
      </c>
      <c r="K640" s="32"/>
      <c r="L640" s="32"/>
      <c r="M640" s="32"/>
      <c r="N640" s="32" t="s">
        <v>4</v>
      </c>
    </row>
    <row r="641" spans="1:14" ht="19.5" customHeight="1" x14ac:dyDescent="0.25">
      <c r="A641" s="1">
        <v>3694</v>
      </c>
      <c r="B641" s="36">
        <v>45966</v>
      </c>
      <c r="C641" s="32"/>
      <c r="D641" s="4" t="s">
        <v>20</v>
      </c>
      <c r="E641" s="32"/>
      <c r="F641" s="5">
        <v>5</v>
      </c>
      <c r="G641" s="32"/>
      <c r="H641" s="36">
        <v>45970</v>
      </c>
      <c r="I641" s="5">
        <v>9</v>
      </c>
      <c r="J641" s="36">
        <v>45980</v>
      </c>
      <c r="K641" s="32" t="s">
        <v>30</v>
      </c>
      <c r="L641" s="32" t="s">
        <v>5</v>
      </c>
      <c r="M641" s="32"/>
      <c r="N641" s="32"/>
    </row>
    <row r="642" spans="1:14" ht="19.5" customHeight="1" x14ac:dyDescent="0.25">
      <c r="A642" s="1">
        <v>2303</v>
      </c>
      <c r="B642" s="36">
        <v>45967</v>
      </c>
      <c r="C642" s="32"/>
      <c r="D642" s="4" t="s">
        <v>0</v>
      </c>
      <c r="E642" s="32"/>
      <c r="F642" s="5">
        <v>5</v>
      </c>
      <c r="G642" s="32"/>
      <c r="H642" s="36">
        <v>45971</v>
      </c>
      <c r="I642" s="5">
        <v>5</v>
      </c>
      <c r="J642" s="36">
        <v>45977</v>
      </c>
      <c r="K642" s="32"/>
      <c r="L642" s="32" t="s">
        <v>5</v>
      </c>
      <c r="M642" s="32"/>
      <c r="N642" s="32"/>
    </row>
    <row r="643" spans="1:14" ht="19.5" customHeight="1" x14ac:dyDescent="0.25">
      <c r="A643" s="1">
        <v>3476</v>
      </c>
      <c r="B643" s="36">
        <v>45968</v>
      </c>
      <c r="C643" s="32"/>
      <c r="D643" s="4" t="s">
        <v>7</v>
      </c>
      <c r="E643" s="32"/>
      <c r="F643" s="5">
        <v>5</v>
      </c>
      <c r="G643" s="32"/>
      <c r="H643" s="36">
        <v>45972</v>
      </c>
      <c r="I643" s="5">
        <v>3</v>
      </c>
      <c r="J643" s="36">
        <v>45976</v>
      </c>
      <c r="K643" s="32"/>
      <c r="L643" s="32"/>
      <c r="M643" s="32" t="s">
        <v>1</v>
      </c>
      <c r="N643" s="32"/>
    </row>
    <row r="644" spans="1:14" ht="19.5" customHeight="1" x14ac:dyDescent="0.25">
      <c r="A644" s="1">
        <v>5060</v>
      </c>
      <c r="B644" s="36">
        <v>45968</v>
      </c>
      <c r="C644" s="32"/>
      <c r="D644" s="4" t="s">
        <v>7</v>
      </c>
      <c r="E644" s="32"/>
      <c r="F644" s="5">
        <v>5</v>
      </c>
      <c r="G644" s="32"/>
      <c r="H644" s="36">
        <v>45972</v>
      </c>
      <c r="I644" s="5">
        <v>3</v>
      </c>
      <c r="J644" s="36">
        <v>45976</v>
      </c>
      <c r="K644" s="32"/>
      <c r="L644" s="32" t="s">
        <v>5</v>
      </c>
      <c r="M644" s="32"/>
      <c r="N644" s="32"/>
    </row>
    <row r="645" spans="1:14" ht="19.5" customHeight="1" x14ac:dyDescent="0.25">
      <c r="A645" s="1">
        <v>4316</v>
      </c>
      <c r="B645" s="36">
        <v>45968</v>
      </c>
      <c r="C645" s="32"/>
      <c r="D645" s="4" t="s">
        <v>7</v>
      </c>
      <c r="E645" s="32"/>
      <c r="F645" s="5">
        <v>5</v>
      </c>
      <c r="G645" s="32"/>
      <c r="H645" s="36">
        <v>45972</v>
      </c>
      <c r="I645" s="5">
        <v>3</v>
      </c>
      <c r="J645" s="36">
        <v>45976</v>
      </c>
      <c r="K645" s="32"/>
      <c r="L645" s="32" t="s">
        <v>5</v>
      </c>
      <c r="M645" s="32"/>
      <c r="N645" s="32"/>
    </row>
    <row r="646" spans="1:14" ht="19.5" customHeight="1" x14ac:dyDescent="0.25">
      <c r="A646" s="1">
        <v>2924</v>
      </c>
      <c r="B646" s="36">
        <v>45969</v>
      </c>
      <c r="C646" s="32"/>
      <c r="D646" s="4" t="s">
        <v>0</v>
      </c>
      <c r="E646" s="32"/>
      <c r="F646" s="5">
        <v>5</v>
      </c>
      <c r="G646" s="32"/>
      <c r="H646" s="36">
        <v>45973</v>
      </c>
      <c r="I646" s="5">
        <v>5</v>
      </c>
      <c r="J646" s="36">
        <v>45979</v>
      </c>
      <c r="K646" s="32" t="s">
        <v>3</v>
      </c>
      <c r="L646" s="32"/>
      <c r="M646" s="32"/>
      <c r="N646" s="32"/>
    </row>
    <row r="647" spans="1:14" ht="19.5" customHeight="1" x14ac:dyDescent="0.25">
      <c r="A647" s="1">
        <v>574</v>
      </c>
      <c r="B647" s="36">
        <v>45969</v>
      </c>
      <c r="C647" s="32"/>
      <c r="D647" s="4" t="s">
        <v>0</v>
      </c>
      <c r="E647" s="32"/>
      <c r="F647" s="5">
        <v>5</v>
      </c>
      <c r="G647" s="32"/>
      <c r="H647" s="36">
        <v>45973</v>
      </c>
      <c r="I647" s="5">
        <v>5</v>
      </c>
      <c r="J647" s="36">
        <v>45979</v>
      </c>
      <c r="K647" s="32"/>
      <c r="L647" s="32" t="s">
        <v>5</v>
      </c>
      <c r="M647" s="32"/>
      <c r="N647" s="32" t="s">
        <v>4</v>
      </c>
    </row>
    <row r="648" spans="1:14" ht="19.5" customHeight="1" x14ac:dyDescent="0.25">
      <c r="A648" s="1">
        <v>3253</v>
      </c>
      <c r="B648" s="36">
        <v>45970</v>
      </c>
      <c r="C648" s="32"/>
      <c r="D648" s="4" t="s">
        <v>13</v>
      </c>
      <c r="E648" s="32"/>
      <c r="F648" s="5">
        <v>5</v>
      </c>
      <c r="G648" s="32"/>
      <c r="H648" s="36">
        <v>45974</v>
      </c>
      <c r="I648" s="5">
        <v>5</v>
      </c>
      <c r="J648" s="36">
        <v>45980</v>
      </c>
      <c r="K648" s="32"/>
      <c r="L648" s="32" t="s">
        <v>5</v>
      </c>
      <c r="M648" s="32" t="s">
        <v>1</v>
      </c>
      <c r="N648" s="32"/>
    </row>
    <row r="649" spans="1:14" ht="19.5" customHeight="1" x14ac:dyDescent="0.25">
      <c r="A649" s="1">
        <v>4072</v>
      </c>
      <c r="B649" s="36">
        <v>45971</v>
      </c>
      <c r="C649" s="32"/>
      <c r="D649" s="4" t="s">
        <v>13</v>
      </c>
      <c r="E649" s="32"/>
      <c r="F649" s="5">
        <v>5</v>
      </c>
      <c r="G649" s="32"/>
      <c r="H649" s="36">
        <v>45975</v>
      </c>
      <c r="I649" s="5">
        <v>5</v>
      </c>
      <c r="J649" s="36">
        <v>45981</v>
      </c>
      <c r="K649" s="32" t="s">
        <v>3</v>
      </c>
      <c r="L649" s="32"/>
      <c r="M649" s="32"/>
      <c r="N649" s="32"/>
    </row>
    <row r="650" spans="1:14" ht="19.5" customHeight="1" x14ac:dyDescent="0.25">
      <c r="A650" s="1">
        <v>4576</v>
      </c>
      <c r="B650" s="36">
        <v>45971</v>
      </c>
      <c r="C650" s="32"/>
      <c r="D650" s="4" t="s">
        <v>13</v>
      </c>
      <c r="E650" s="32"/>
      <c r="F650" s="5">
        <v>5</v>
      </c>
      <c r="G650" s="32"/>
      <c r="H650" s="36">
        <v>45975</v>
      </c>
      <c r="I650" s="5">
        <v>5</v>
      </c>
      <c r="J650" s="36">
        <v>45981</v>
      </c>
      <c r="K650" s="32" t="s">
        <v>3</v>
      </c>
      <c r="L650" s="32"/>
      <c r="M650" s="32"/>
      <c r="N650" s="32"/>
    </row>
    <row r="651" spans="1:14" ht="19.5" customHeight="1" x14ac:dyDescent="0.25">
      <c r="A651" s="1">
        <v>3210</v>
      </c>
      <c r="B651" s="36">
        <v>45972</v>
      </c>
      <c r="C651" s="32"/>
      <c r="D651" s="4" t="s">
        <v>7</v>
      </c>
      <c r="E651" s="32"/>
      <c r="F651" s="5">
        <v>5</v>
      </c>
      <c r="G651" s="32"/>
      <c r="H651" s="36">
        <v>45976</v>
      </c>
      <c r="I651" s="5">
        <v>3</v>
      </c>
      <c r="J651" s="36">
        <v>45980</v>
      </c>
      <c r="K651" s="32" t="s">
        <v>3</v>
      </c>
      <c r="L651" s="32"/>
      <c r="M651" s="32"/>
      <c r="N651" s="32"/>
    </row>
    <row r="652" spans="1:14" ht="19.5" customHeight="1" x14ac:dyDescent="0.25">
      <c r="A652" s="1">
        <v>2979</v>
      </c>
      <c r="B652" s="36">
        <v>45972</v>
      </c>
      <c r="C652" s="32"/>
      <c r="D652" s="4" t="s">
        <v>13</v>
      </c>
      <c r="E652" s="32"/>
      <c r="F652" s="5">
        <v>5</v>
      </c>
      <c r="G652" s="32"/>
      <c r="H652" s="36">
        <v>45976</v>
      </c>
      <c r="I652" s="5">
        <v>5</v>
      </c>
      <c r="J652" s="36">
        <v>45982</v>
      </c>
      <c r="K652" s="32" t="s">
        <v>3</v>
      </c>
      <c r="L652" s="32"/>
      <c r="M652" s="32"/>
      <c r="N652" s="32"/>
    </row>
    <row r="653" spans="1:14" ht="19.5" customHeight="1" x14ac:dyDescent="0.25">
      <c r="A653" s="1">
        <v>4499</v>
      </c>
      <c r="B653" s="36">
        <v>45973</v>
      </c>
      <c r="C653" s="32"/>
      <c r="D653" s="4" t="s">
        <v>7</v>
      </c>
      <c r="E653" s="32"/>
      <c r="F653" s="5">
        <v>5</v>
      </c>
      <c r="G653" s="32"/>
      <c r="H653" s="36">
        <v>45977</v>
      </c>
      <c r="I653" s="5">
        <v>3</v>
      </c>
      <c r="J653" s="36">
        <v>45981</v>
      </c>
      <c r="K653" s="32"/>
      <c r="L653" s="32"/>
      <c r="M653" s="32" t="s">
        <v>1</v>
      </c>
      <c r="N653" s="32"/>
    </row>
    <row r="654" spans="1:14" ht="19.5" customHeight="1" x14ac:dyDescent="0.25">
      <c r="A654" s="1">
        <v>4326</v>
      </c>
      <c r="B654" s="36">
        <v>45973</v>
      </c>
      <c r="C654" s="32"/>
      <c r="D654" s="4" t="s">
        <v>13</v>
      </c>
      <c r="E654" s="32"/>
      <c r="F654" s="5">
        <v>5</v>
      </c>
      <c r="G654" s="32"/>
      <c r="H654" s="36">
        <v>45977</v>
      </c>
      <c r="I654" s="5">
        <v>5</v>
      </c>
      <c r="J654" s="36">
        <v>45983</v>
      </c>
      <c r="K654" s="32"/>
      <c r="L654" s="32"/>
      <c r="M654" s="32"/>
      <c r="N654" s="32" t="s">
        <v>4</v>
      </c>
    </row>
    <row r="655" spans="1:14" ht="19.5" customHeight="1" x14ac:dyDescent="0.25">
      <c r="A655" s="1">
        <v>2819</v>
      </c>
      <c r="B655" s="36">
        <v>45973</v>
      </c>
      <c r="C655" s="32"/>
      <c r="D655" s="4" t="s">
        <v>13</v>
      </c>
      <c r="E655" s="32"/>
      <c r="F655" s="5">
        <v>5</v>
      </c>
      <c r="G655" s="32"/>
      <c r="H655" s="36">
        <v>45977</v>
      </c>
      <c r="I655" s="5">
        <v>5</v>
      </c>
      <c r="J655" s="36">
        <v>45983</v>
      </c>
      <c r="K655" s="32" t="s">
        <v>3</v>
      </c>
      <c r="L655" s="32"/>
      <c r="M655" s="32"/>
      <c r="N655" s="32"/>
    </row>
    <row r="656" spans="1:14" ht="19.5" customHeight="1" x14ac:dyDescent="0.25">
      <c r="A656" s="1">
        <v>4502</v>
      </c>
      <c r="B656" s="36">
        <v>45975</v>
      </c>
      <c r="C656" s="32"/>
      <c r="D656" s="4" t="s">
        <v>20</v>
      </c>
      <c r="E656" s="32"/>
      <c r="F656" s="5">
        <v>3</v>
      </c>
      <c r="G656" s="32"/>
      <c r="H656" s="36">
        <v>45977</v>
      </c>
      <c r="I656" s="5">
        <v>9</v>
      </c>
      <c r="J656" s="36">
        <v>45987</v>
      </c>
      <c r="K656" s="32"/>
      <c r="L656" s="32"/>
      <c r="M656" s="32" t="s">
        <v>1</v>
      </c>
      <c r="N656" s="32"/>
    </row>
    <row r="657" spans="1:14" ht="19.5" customHeight="1" x14ac:dyDescent="0.25">
      <c r="A657" s="1">
        <v>4576</v>
      </c>
      <c r="B657" s="36">
        <v>45975</v>
      </c>
      <c r="C657" s="32"/>
      <c r="D657" s="4" t="s">
        <v>20</v>
      </c>
      <c r="E657" s="32"/>
      <c r="F657" s="5">
        <v>3</v>
      </c>
      <c r="G657" s="32"/>
      <c r="H657" s="36">
        <v>45977</v>
      </c>
      <c r="I657" s="5">
        <v>9</v>
      </c>
      <c r="J657" s="36">
        <v>45987</v>
      </c>
      <c r="K657" s="32" t="s">
        <v>3</v>
      </c>
      <c r="L657" s="32"/>
      <c r="M657" s="32"/>
      <c r="N657" s="32"/>
    </row>
    <row r="658" spans="1:14" ht="19.5" customHeight="1" x14ac:dyDescent="0.25">
      <c r="A658" s="1">
        <v>2996</v>
      </c>
      <c r="B658" s="36">
        <v>45975</v>
      </c>
      <c r="C658" s="32"/>
      <c r="D658" s="4" t="s">
        <v>13</v>
      </c>
      <c r="E658" s="32"/>
      <c r="F658" s="5">
        <v>5</v>
      </c>
      <c r="G658" s="32"/>
      <c r="H658" s="36">
        <v>45979</v>
      </c>
      <c r="I658" s="5">
        <v>5</v>
      </c>
      <c r="J658" s="36">
        <v>45985</v>
      </c>
      <c r="K658" s="32"/>
      <c r="L658" s="32"/>
      <c r="M658" s="32"/>
      <c r="N658" s="32" t="s">
        <v>4</v>
      </c>
    </row>
    <row r="659" spans="1:14" ht="19.5" customHeight="1" x14ac:dyDescent="0.25">
      <c r="A659" s="1">
        <v>3459</v>
      </c>
      <c r="B659" s="36">
        <v>45977</v>
      </c>
      <c r="C659" s="32"/>
      <c r="D659" s="4" t="s">
        <v>13</v>
      </c>
      <c r="E659" s="32"/>
      <c r="F659" s="5">
        <v>5</v>
      </c>
      <c r="G659" s="32"/>
      <c r="H659" s="36">
        <v>45981</v>
      </c>
      <c r="I659" s="5">
        <v>5</v>
      </c>
      <c r="J659" s="36">
        <v>45987</v>
      </c>
      <c r="K659" s="32"/>
      <c r="L659" s="32" t="s">
        <v>5</v>
      </c>
      <c r="M659" s="32"/>
      <c r="N659" s="32" t="s">
        <v>4</v>
      </c>
    </row>
    <row r="660" spans="1:14" ht="19.5" customHeight="1" x14ac:dyDescent="0.25">
      <c r="A660" s="1">
        <v>4703</v>
      </c>
      <c r="B660" s="36">
        <v>45977</v>
      </c>
      <c r="C660" s="32"/>
      <c r="D660" s="4" t="s">
        <v>21</v>
      </c>
      <c r="E660" s="32"/>
      <c r="F660" s="5">
        <v>5</v>
      </c>
      <c r="G660" s="32"/>
      <c r="H660" s="36">
        <v>45981</v>
      </c>
      <c r="I660" s="5">
        <v>9</v>
      </c>
      <c r="J660" s="36">
        <v>45991</v>
      </c>
      <c r="K660" s="32"/>
      <c r="L660" s="32"/>
      <c r="M660" s="32" t="s">
        <v>1</v>
      </c>
      <c r="N660" s="32"/>
    </row>
    <row r="661" spans="1:14" ht="19.5" customHeight="1" x14ac:dyDescent="0.25">
      <c r="A661" s="1">
        <v>3768</v>
      </c>
      <c r="B661" s="36">
        <v>45978</v>
      </c>
      <c r="C661" s="32"/>
      <c r="D661" s="4" t="s">
        <v>21</v>
      </c>
      <c r="E661" s="32"/>
      <c r="F661" s="5">
        <v>5</v>
      </c>
      <c r="G661" s="32"/>
      <c r="H661" s="36">
        <v>45982</v>
      </c>
      <c r="I661" s="5">
        <v>9</v>
      </c>
      <c r="J661" s="36">
        <v>45992</v>
      </c>
      <c r="K661" s="32"/>
      <c r="L661" s="32"/>
      <c r="M661" s="32" t="s">
        <v>1</v>
      </c>
      <c r="N661" s="32"/>
    </row>
    <row r="662" spans="1:14" ht="19.5" customHeight="1" x14ac:dyDescent="0.25">
      <c r="A662" s="1">
        <v>2819</v>
      </c>
      <c r="B662" s="36">
        <v>45978</v>
      </c>
      <c r="C662" s="32"/>
      <c r="D662" s="4" t="s">
        <v>21</v>
      </c>
      <c r="E662" s="32"/>
      <c r="F662" s="5">
        <v>5</v>
      </c>
      <c r="G662" s="32"/>
      <c r="H662" s="36">
        <v>45982</v>
      </c>
      <c r="I662" s="5">
        <v>9</v>
      </c>
      <c r="J662" s="36">
        <v>45992</v>
      </c>
      <c r="K662" s="32" t="s">
        <v>3</v>
      </c>
      <c r="L662" s="32"/>
      <c r="M662" s="32"/>
      <c r="N662" s="32"/>
    </row>
    <row r="663" spans="1:14" ht="19.5" customHeight="1" x14ac:dyDescent="0.25">
      <c r="A663" s="1">
        <v>3253</v>
      </c>
      <c r="B663" s="36">
        <v>45978</v>
      </c>
      <c r="C663" s="32"/>
      <c r="D663" s="4" t="s">
        <v>21</v>
      </c>
      <c r="E663" s="32"/>
      <c r="F663" s="5">
        <v>3</v>
      </c>
      <c r="G663" s="32"/>
      <c r="H663" s="36">
        <v>45980</v>
      </c>
      <c r="I663" s="5">
        <v>9</v>
      </c>
      <c r="J663" s="36">
        <v>45990</v>
      </c>
      <c r="K663" s="32"/>
      <c r="L663" s="32" t="s">
        <v>5</v>
      </c>
      <c r="M663" s="32" t="s">
        <v>1</v>
      </c>
      <c r="N663" s="32" t="s">
        <v>4</v>
      </c>
    </row>
    <row r="664" spans="1:14" ht="19.5" customHeight="1" x14ac:dyDescent="0.25">
      <c r="A664" s="1">
        <v>5213</v>
      </c>
      <c r="B664" s="36">
        <v>45978</v>
      </c>
      <c r="C664" s="32"/>
      <c r="D664" s="4" t="s">
        <v>7</v>
      </c>
      <c r="E664" s="32"/>
      <c r="F664" s="5">
        <v>5</v>
      </c>
      <c r="G664" s="32"/>
      <c r="H664" s="36">
        <v>45982</v>
      </c>
      <c r="I664" s="5">
        <v>3</v>
      </c>
      <c r="J664" s="36">
        <v>45986</v>
      </c>
      <c r="K664" s="32"/>
      <c r="L664" s="32"/>
      <c r="M664" s="32" t="s">
        <v>1</v>
      </c>
      <c r="N664" s="32"/>
    </row>
    <row r="665" spans="1:14" ht="19.5" customHeight="1" x14ac:dyDescent="0.25">
      <c r="A665" s="1">
        <v>5206</v>
      </c>
      <c r="B665" s="36">
        <v>45979</v>
      </c>
      <c r="C665" s="32"/>
      <c r="D665" s="4" t="s">
        <v>7</v>
      </c>
      <c r="E665" s="32"/>
      <c r="F665" s="5">
        <v>5</v>
      </c>
      <c r="G665" s="32"/>
      <c r="H665" s="36">
        <v>45983</v>
      </c>
      <c r="I665" s="5">
        <v>3</v>
      </c>
      <c r="J665" s="36">
        <v>45987</v>
      </c>
      <c r="K665" s="32"/>
      <c r="L665" s="32"/>
      <c r="M665" s="32" t="s">
        <v>1</v>
      </c>
      <c r="N665" s="32"/>
    </row>
    <row r="666" spans="1:14" ht="19.5" customHeight="1" x14ac:dyDescent="0.25">
      <c r="A666" s="1">
        <v>2997</v>
      </c>
      <c r="B666" s="36">
        <v>45980</v>
      </c>
      <c r="C666" s="32"/>
      <c r="D666" s="4" t="s">
        <v>13</v>
      </c>
      <c r="E666" s="32"/>
      <c r="F666" s="5">
        <v>5</v>
      </c>
      <c r="G666" s="32"/>
      <c r="H666" s="36">
        <v>45984</v>
      </c>
      <c r="I666" s="5">
        <v>5</v>
      </c>
      <c r="J666" s="36">
        <v>45990</v>
      </c>
      <c r="K666" s="32"/>
      <c r="L666" s="32" t="s">
        <v>5</v>
      </c>
      <c r="M666" s="32"/>
      <c r="N666" s="32"/>
    </row>
    <row r="667" spans="1:14" ht="19.5" customHeight="1" x14ac:dyDescent="0.25">
      <c r="A667" s="1">
        <v>2864</v>
      </c>
      <c r="B667" s="36">
        <v>45980</v>
      </c>
      <c r="C667" s="32"/>
      <c r="D667" s="4" t="s">
        <v>13</v>
      </c>
      <c r="E667" s="32"/>
      <c r="F667" s="5">
        <v>5</v>
      </c>
      <c r="G667" s="32"/>
      <c r="H667" s="36">
        <v>45984</v>
      </c>
      <c r="I667" s="5">
        <v>5</v>
      </c>
      <c r="J667" s="36">
        <v>45990</v>
      </c>
      <c r="K667" s="32" t="s">
        <v>3</v>
      </c>
      <c r="L667" s="32"/>
      <c r="M667" s="32"/>
      <c r="N667" s="32"/>
    </row>
    <row r="668" spans="1:14" ht="19.5" customHeight="1" x14ac:dyDescent="0.25">
      <c r="A668" s="1">
        <v>2862</v>
      </c>
      <c r="B668" s="36">
        <v>45982</v>
      </c>
      <c r="C668" s="32"/>
      <c r="D668" s="4" t="s">
        <v>7</v>
      </c>
      <c r="E668" s="32"/>
      <c r="F668" s="5">
        <v>5</v>
      </c>
      <c r="G668" s="32"/>
      <c r="H668" s="36">
        <v>45986</v>
      </c>
      <c r="I668" s="5">
        <v>3</v>
      </c>
      <c r="J668" s="36">
        <v>45990</v>
      </c>
      <c r="K668" s="32"/>
      <c r="L668" s="32"/>
      <c r="M668" s="32" t="s">
        <v>1</v>
      </c>
      <c r="N668" s="32"/>
    </row>
    <row r="669" spans="1:14" ht="19.5" customHeight="1" x14ac:dyDescent="0.25">
      <c r="A669" s="1">
        <v>4163</v>
      </c>
      <c r="B669" s="36">
        <v>45983</v>
      </c>
      <c r="C669" s="32"/>
      <c r="D669" s="4" t="s">
        <v>25</v>
      </c>
      <c r="E669" s="32"/>
      <c r="F669" s="5">
        <v>5</v>
      </c>
      <c r="G669" s="32"/>
      <c r="H669" s="36">
        <v>45987</v>
      </c>
      <c r="I669" s="5">
        <v>5</v>
      </c>
      <c r="J669" s="36">
        <v>45993</v>
      </c>
      <c r="K669" s="32"/>
      <c r="L669" s="32" t="s">
        <v>5</v>
      </c>
      <c r="M669" s="32"/>
      <c r="N669" s="32"/>
    </row>
    <row r="670" spans="1:14" ht="19.5" customHeight="1" x14ac:dyDescent="0.25">
      <c r="A670" s="1">
        <v>2996</v>
      </c>
      <c r="B670" s="36">
        <v>45984</v>
      </c>
      <c r="C670" s="32"/>
      <c r="D670" s="4" t="s">
        <v>20</v>
      </c>
      <c r="E670" s="32"/>
      <c r="F670" s="5">
        <v>3</v>
      </c>
      <c r="G670" s="32"/>
      <c r="H670" s="36">
        <v>45986</v>
      </c>
      <c r="I670" s="5">
        <v>9</v>
      </c>
      <c r="J670" s="36">
        <v>45996</v>
      </c>
      <c r="K670" s="32"/>
      <c r="L670" s="32"/>
      <c r="M670" s="32"/>
      <c r="N670" s="32" t="s">
        <v>4</v>
      </c>
    </row>
    <row r="671" spans="1:14" ht="19.5" customHeight="1" x14ac:dyDescent="0.25">
      <c r="A671" s="1">
        <v>4681</v>
      </c>
      <c r="B671" s="36">
        <v>45984</v>
      </c>
      <c r="C671" s="32"/>
      <c r="D671" s="4" t="s">
        <v>13</v>
      </c>
      <c r="E671" s="32"/>
      <c r="F671" s="5">
        <v>5</v>
      </c>
      <c r="G671" s="32"/>
      <c r="H671" s="36">
        <v>45988</v>
      </c>
      <c r="I671" s="5">
        <v>5</v>
      </c>
      <c r="J671" s="36">
        <v>45994</v>
      </c>
      <c r="K671" s="32" t="s">
        <v>3</v>
      </c>
      <c r="L671" s="32"/>
      <c r="M671" s="32"/>
      <c r="N671" s="32"/>
    </row>
    <row r="672" spans="1:14" ht="19.5" customHeight="1" x14ac:dyDescent="0.25">
      <c r="A672" s="1">
        <v>4421</v>
      </c>
      <c r="B672" s="36">
        <v>45983</v>
      </c>
      <c r="C672" s="32"/>
      <c r="D672" s="4" t="s">
        <v>20</v>
      </c>
      <c r="E672" s="32"/>
      <c r="F672" s="5">
        <v>3</v>
      </c>
      <c r="G672" s="32"/>
      <c r="H672" s="36">
        <v>45985</v>
      </c>
      <c r="I672" s="5">
        <v>9</v>
      </c>
      <c r="J672" s="36">
        <v>45995</v>
      </c>
      <c r="K672" s="32"/>
      <c r="L672" s="32"/>
      <c r="M672" s="32"/>
      <c r="N672" s="32" t="s">
        <v>4</v>
      </c>
    </row>
    <row r="673" spans="1:14" ht="19.5" customHeight="1" x14ac:dyDescent="0.25">
      <c r="A673" s="1">
        <v>4198</v>
      </c>
      <c r="B673" s="36">
        <v>45983</v>
      </c>
      <c r="C673" s="32"/>
      <c r="D673" s="4" t="s">
        <v>13</v>
      </c>
      <c r="E673" s="32"/>
      <c r="F673" s="5">
        <v>5</v>
      </c>
      <c r="G673" s="32"/>
      <c r="H673" s="36">
        <v>45987</v>
      </c>
      <c r="I673" s="5">
        <v>5</v>
      </c>
      <c r="J673" s="36">
        <v>45993</v>
      </c>
      <c r="K673" s="32"/>
      <c r="L673" s="32"/>
      <c r="M673" s="32"/>
      <c r="N673" s="32"/>
    </row>
    <row r="674" spans="1:14" ht="19.5" customHeight="1" x14ac:dyDescent="0.25">
      <c r="A674" s="1">
        <v>3802</v>
      </c>
      <c r="B674" s="36">
        <v>45984</v>
      </c>
      <c r="C674" s="32"/>
      <c r="D674" s="4" t="s">
        <v>20</v>
      </c>
      <c r="E674" s="32"/>
      <c r="F674" s="5">
        <v>5</v>
      </c>
      <c r="G674" s="32"/>
      <c r="H674" s="36">
        <v>45988</v>
      </c>
      <c r="I674" s="5">
        <v>9</v>
      </c>
      <c r="J674" s="36">
        <v>45998</v>
      </c>
      <c r="K674" s="32" t="s">
        <v>3</v>
      </c>
      <c r="L674" s="32" t="s">
        <v>5</v>
      </c>
      <c r="M674" s="32"/>
      <c r="N674" s="32"/>
    </row>
    <row r="675" spans="1:14" ht="19.5" customHeight="1" x14ac:dyDescent="0.25">
      <c r="A675" s="1">
        <v>4742</v>
      </c>
      <c r="B675" s="36">
        <v>45984</v>
      </c>
      <c r="C675" s="32"/>
      <c r="D675" s="4" t="s">
        <v>25</v>
      </c>
      <c r="E675" s="32"/>
      <c r="F675" s="5">
        <v>5</v>
      </c>
      <c r="G675" s="32"/>
      <c r="H675" s="36">
        <v>45988</v>
      </c>
      <c r="I675" s="5">
        <v>5</v>
      </c>
      <c r="J675" s="36">
        <v>45994</v>
      </c>
      <c r="K675" s="32"/>
      <c r="L675" s="32" t="s">
        <v>5</v>
      </c>
      <c r="M675" s="32"/>
      <c r="N675" s="32"/>
    </row>
    <row r="676" spans="1:14" ht="19.5" customHeight="1" x14ac:dyDescent="0.25">
      <c r="A676" s="1">
        <v>4848</v>
      </c>
      <c r="B676" s="36">
        <v>45985</v>
      </c>
      <c r="C676" s="32"/>
      <c r="D676" s="4" t="s">
        <v>13</v>
      </c>
      <c r="E676" s="32"/>
      <c r="F676" s="5">
        <v>5</v>
      </c>
      <c r="G676" s="32"/>
      <c r="H676" s="36">
        <v>45989</v>
      </c>
      <c r="I676" s="5">
        <v>5</v>
      </c>
      <c r="J676" s="36">
        <v>45995</v>
      </c>
      <c r="K676" s="32"/>
      <c r="L676" s="32" t="s">
        <v>5</v>
      </c>
      <c r="M676" s="32"/>
      <c r="N676" s="32"/>
    </row>
    <row r="677" spans="1:14" ht="19.5" customHeight="1" x14ac:dyDescent="0.25">
      <c r="A677" s="1">
        <v>2517</v>
      </c>
      <c r="B677" s="36">
        <v>45985</v>
      </c>
      <c r="C677" s="32"/>
      <c r="D677" s="4" t="s">
        <v>25</v>
      </c>
      <c r="E677" s="32"/>
      <c r="F677" s="5">
        <v>5</v>
      </c>
      <c r="G677" s="32"/>
      <c r="H677" s="36">
        <v>45989</v>
      </c>
      <c r="I677" s="5">
        <v>5</v>
      </c>
      <c r="J677" s="36">
        <v>45995</v>
      </c>
      <c r="K677" s="32"/>
      <c r="L677" s="32"/>
      <c r="M677" s="32" t="s">
        <v>1</v>
      </c>
      <c r="N677" s="32"/>
    </row>
    <row r="678" spans="1:14" ht="19.5" customHeight="1" x14ac:dyDescent="0.25">
      <c r="A678" s="1">
        <v>3432</v>
      </c>
      <c r="B678" s="36">
        <v>45985</v>
      </c>
      <c r="C678" s="32"/>
      <c r="D678" s="4" t="s">
        <v>13</v>
      </c>
      <c r="E678" s="32"/>
      <c r="F678" s="5">
        <v>5</v>
      </c>
      <c r="G678" s="32"/>
      <c r="H678" s="36">
        <v>45989</v>
      </c>
      <c r="I678" s="5">
        <v>5</v>
      </c>
      <c r="J678" s="36">
        <v>45995</v>
      </c>
      <c r="K678" s="32"/>
      <c r="L678" s="32"/>
      <c r="M678" s="32" t="s">
        <v>1</v>
      </c>
      <c r="N678" s="32"/>
    </row>
    <row r="679" spans="1:14" ht="19.5" customHeight="1" x14ac:dyDescent="0.25">
      <c r="A679" s="1">
        <v>4715</v>
      </c>
      <c r="B679" s="36">
        <v>45987</v>
      </c>
      <c r="C679" s="32"/>
      <c r="D679" s="4" t="s">
        <v>25</v>
      </c>
      <c r="E679" s="32"/>
      <c r="F679" s="5">
        <v>5</v>
      </c>
      <c r="G679" s="32"/>
      <c r="H679" s="36">
        <v>45991</v>
      </c>
      <c r="I679" s="5">
        <v>5</v>
      </c>
      <c r="J679" s="36">
        <v>45997</v>
      </c>
      <c r="K679" s="32"/>
      <c r="L679" s="32"/>
      <c r="M679" s="32" t="s">
        <v>1</v>
      </c>
      <c r="N679" s="32"/>
    </row>
    <row r="680" spans="1:14" ht="19.5" customHeight="1" x14ac:dyDescent="0.25">
      <c r="A680" s="1">
        <v>2333</v>
      </c>
      <c r="B680" s="36">
        <v>45987</v>
      </c>
      <c r="C680" s="32"/>
      <c r="D680" s="4" t="s">
        <v>20</v>
      </c>
      <c r="E680" s="32"/>
      <c r="F680" s="5">
        <v>5</v>
      </c>
      <c r="G680" s="32"/>
      <c r="H680" s="36">
        <v>45991</v>
      </c>
      <c r="I680" s="5">
        <v>9</v>
      </c>
      <c r="J680" s="36">
        <v>46001</v>
      </c>
      <c r="K680" s="32"/>
      <c r="L680" s="32" t="s">
        <v>5</v>
      </c>
      <c r="M680" s="32"/>
      <c r="N680" s="32"/>
    </row>
    <row r="681" spans="1:14" ht="19.5" customHeight="1" x14ac:dyDescent="0.25">
      <c r="A681" s="1">
        <v>2303</v>
      </c>
      <c r="B681" s="36">
        <v>45987</v>
      </c>
      <c r="C681" s="32"/>
      <c r="D681" s="4" t="s">
        <v>20</v>
      </c>
      <c r="E681" s="32"/>
      <c r="F681" s="5">
        <v>5</v>
      </c>
      <c r="G681" s="32"/>
      <c r="H681" s="36">
        <v>45991</v>
      </c>
      <c r="I681" s="5">
        <v>9</v>
      </c>
      <c r="J681" s="36">
        <v>46001</v>
      </c>
      <c r="K681" s="32"/>
      <c r="L681" s="32" t="s">
        <v>5</v>
      </c>
      <c r="M681" s="32"/>
      <c r="N681" s="32"/>
    </row>
    <row r="682" spans="1:14" ht="19.5" customHeight="1" x14ac:dyDescent="0.25">
      <c r="A682" s="1">
        <v>3339</v>
      </c>
      <c r="B682" s="36">
        <v>45987</v>
      </c>
      <c r="C682" s="32"/>
      <c r="D682" s="4" t="s">
        <v>25</v>
      </c>
      <c r="E682" s="32"/>
      <c r="F682" s="5">
        <v>5</v>
      </c>
      <c r="G682" s="32"/>
      <c r="H682" s="36">
        <v>45991</v>
      </c>
      <c r="I682" s="5">
        <v>5</v>
      </c>
      <c r="J682" s="36">
        <v>45997</v>
      </c>
      <c r="K682" s="32" t="s">
        <v>3</v>
      </c>
      <c r="L682" s="32"/>
      <c r="M682" s="32"/>
      <c r="N682" s="32"/>
    </row>
    <row r="683" spans="1:14" ht="19.5" customHeight="1" x14ac:dyDescent="0.25">
      <c r="A683" s="1">
        <v>2904</v>
      </c>
      <c r="B683" s="36">
        <v>45987</v>
      </c>
      <c r="C683" s="32"/>
      <c r="D683" s="4" t="s">
        <v>20</v>
      </c>
      <c r="E683" s="32"/>
      <c r="F683" s="5">
        <v>5</v>
      </c>
      <c r="G683" s="32"/>
      <c r="H683" s="36">
        <v>45991</v>
      </c>
      <c r="I683" s="5">
        <v>9</v>
      </c>
      <c r="J683" s="36">
        <v>46001</v>
      </c>
      <c r="K683" s="32"/>
      <c r="L683" s="32"/>
      <c r="M683" s="32"/>
      <c r="N683" s="32" t="s">
        <v>4</v>
      </c>
    </row>
    <row r="684" spans="1:14" ht="19.5" customHeight="1" x14ac:dyDescent="0.25">
      <c r="A684" s="1">
        <v>3094</v>
      </c>
      <c r="B684" s="36">
        <v>45987</v>
      </c>
      <c r="C684" s="32"/>
      <c r="D684" s="4" t="s">
        <v>7</v>
      </c>
      <c r="E684" s="32"/>
      <c r="F684" s="5">
        <v>3</v>
      </c>
      <c r="G684" s="32"/>
      <c r="H684" s="36">
        <v>45989</v>
      </c>
      <c r="I684" s="5">
        <v>3</v>
      </c>
      <c r="J684" s="36">
        <v>45993</v>
      </c>
      <c r="K684" s="32"/>
      <c r="L684" s="32"/>
      <c r="M684" s="32" t="s">
        <v>1</v>
      </c>
      <c r="N684" s="32"/>
    </row>
    <row r="685" spans="1:14" ht="19.5" customHeight="1" x14ac:dyDescent="0.25">
      <c r="A685" s="1">
        <v>2108</v>
      </c>
      <c r="B685" s="36">
        <v>45988</v>
      </c>
      <c r="C685" s="32"/>
      <c r="D685" s="4" t="s">
        <v>13</v>
      </c>
      <c r="E685" s="32"/>
      <c r="F685" s="5">
        <v>5</v>
      </c>
      <c r="G685" s="32"/>
      <c r="H685" s="36">
        <v>45992</v>
      </c>
      <c r="I685" s="5">
        <v>5</v>
      </c>
      <c r="J685" s="36">
        <v>45998</v>
      </c>
      <c r="K685" s="32"/>
      <c r="L685" s="32" t="s">
        <v>5</v>
      </c>
      <c r="M685" s="32"/>
      <c r="N685" s="32"/>
    </row>
    <row r="686" spans="1:14" ht="19.5" customHeight="1" x14ac:dyDescent="0.25">
      <c r="A686" s="1">
        <v>3753</v>
      </c>
      <c r="B686" s="36">
        <v>45990</v>
      </c>
      <c r="C686" s="32"/>
      <c r="D686" s="4" t="s">
        <v>7</v>
      </c>
      <c r="E686" s="32"/>
      <c r="F686" s="5">
        <v>5</v>
      </c>
      <c r="G686" s="32"/>
      <c r="H686" s="36">
        <v>45994</v>
      </c>
      <c r="I686" s="5">
        <v>3</v>
      </c>
      <c r="J686" s="36">
        <v>45998</v>
      </c>
      <c r="K686" s="32"/>
      <c r="L686" s="32"/>
      <c r="M686" s="32"/>
      <c r="N686" s="32" t="s">
        <v>4</v>
      </c>
    </row>
    <row r="687" spans="1:14" ht="19.5" customHeight="1" x14ac:dyDescent="0.25">
      <c r="A687" s="1">
        <v>4263</v>
      </c>
      <c r="B687" s="36">
        <v>45990</v>
      </c>
      <c r="C687" s="32"/>
      <c r="D687" s="4" t="s">
        <v>25</v>
      </c>
      <c r="E687" s="32"/>
      <c r="F687" s="5">
        <v>5</v>
      </c>
      <c r="G687" s="32"/>
      <c r="H687" s="36">
        <v>45994</v>
      </c>
      <c r="I687" s="5">
        <v>5</v>
      </c>
      <c r="J687" s="36">
        <v>46000</v>
      </c>
      <c r="K687" s="32" t="s">
        <v>3</v>
      </c>
      <c r="L687" s="32"/>
      <c r="M687" s="32"/>
      <c r="N687" s="32"/>
    </row>
    <row r="688" spans="1:14" ht="19.5" customHeight="1" x14ac:dyDescent="0.25">
      <c r="A688" s="1">
        <v>4223</v>
      </c>
      <c r="B688" s="36">
        <v>45990</v>
      </c>
      <c r="C688" s="32"/>
      <c r="D688" s="4" t="s">
        <v>25</v>
      </c>
      <c r="E688" s="32"/>
      <c r="F688" s="5">
        <v>5</v>
      </c>
      <c r="G688" s="32"/>
      <c r="H688" s="36">
        <v>45994</v>
      </c>
      <c r="I688" s="5">
        <v>5</v>
      </c>
      <c r="J688" s="36">
        <v>46000</v>
      </c>
      <c r="K688" s="32"/>
      <c r="L688" s="32"/>
      <c r="M688" s="32" t="s">
        <v>1</v>
      </c>
      <c r="N688" s="32"/>
    </row>
    <row r="689" spans="1:14" ht="19.5" customHeight="1" x14ac:dyDescent="0.25">
      <c r="A689" s="1">
        <v>4163</v>
      </c>
      <c r="B689" s="36">
        <v>45993</v>
      </c>
      <c r="C689" s="32"/>
      <c r="D689" s="4" t="s">
        <v>21</v>
      </c>
      <c r="E689" s="32"/>
      <c r="F689" s="5">
        <v>3</v>
      </c>
      <c r="G689" s="32"/>
      <c r="H689" s="36">
        <v>45995</v>
      </c>
      <c r="I689" s="5">
        <v>9</v>
      </c>
      <c r="J689" s="36">
        <v>46005</v>
      </c>
      <c r="K689" s="32"/>
      <c r="L689" s="32" t="s">
        <v>5</v>
      </c>
      <c r="M689" s="32"/>
      <c r="N689" s="32"/>
    </row>
    <row r="690" spans="1:14" ht="19.5" customHeight="1" x14ac:dyDescent="0.25">
      <c r="A690" s="1">
        <v>4989</v>
      </c>
      <c r="B690" s="36">
        <v>45992</v>
      </c>
      <c r="C690" s="32"/>
      <c r="D690" s="4" t="s">
        <v>7</v>
      </c>
      <c r="E690" s="32"/>
      <c r="F690" s="5">
        <v>5</v>
      </c>
      <c r="G690" s="32"/>
      <c r="H690" s="36">
        <v>45996</v>
      </c>
      <c r="I690" s="5">
        <v>3</v>
      </c>
      <c r="J690" s="36">
        <v>46000</v>
      </c>
      <c r="K690" s="32" t="s">
        <v>3</v>
      </c>
      <c r="L690" s="32"/>
      <c r="M690" s="32"/>
      <c r="N690" s="32"/>
    </row>
    <row r="691" spans="1:14" ht="19.5" customHeight="1" x14ac:dyDescent="0.25">
      <c r="A691" s="1">
        <v>3432</v>
      </c>
      <c r="B691" s="36">
        <v>45993</v>
      </c>
      <c r="C691" s="32"/>
      <c r="D691" s="4" t="s">
        <v>21</v>
      </c>
      <c r="E691" s="32"/>
      <c r="F691" s="5">
        <v>3</v>
      </c>
      <c r="G691" s="32"/>
      <c r="H691" s="36">
        <v>45996</v>
      </c>
      <c r="I691" s="5">
        <v>9</v>
      </c>
      <c r="J691" s="36">
        <v>46006</v>
      </c>
      <c r="K691" s="32" t="s">
        <v>3</v>
      </c>
      <c r="L691" s="32"/>
      <c r="M691" s="32" t="s">
        <v>1</v>
      </c>
      <c r="N691" s="32"/>
    </row>
    <row r="692" spans="1:14" ht="19.5" customHeight="1" x14ac:dyDescent="0.25">
      <c r="A692" s="1">
        <v>3025</v>
      </c>
      <c r="B692" s="36">
        <v>45993</v>
      </c>
      <c r="C692" s="32"/>
      <c r="D692" s="4" t="s">
        <v>7</v>
      </c>
      <c r="E692" s="32"/>
      <c r="F692" s="5">
        <v>5</v>
      </c>
      <c r="G692" s="32"/>
      <c r="H692" s="36">
        <v>45997</v>
      </c>
      <c r="I692" s="5">
        <v>3</v>
      </c>
      <c r="J692" s="36">
        <v>46001</v>
      </c>
      <c r="K692" s="32"/>
      <c r="L692" s="32"/>
      <c r="M692" s="32"/>
      <c r="N692" s="32" t="s">
        <v>4</v>
      </c>
    </row>
    <row r="693" spans="1:14" ht="19.5" customHeight="1" x14ac:dyDescent="0.25">
      <c r="A693" s="1">
        <v>3039</v>
      </c>
      <c r="B693" s="36">
        <v>45994</v>
      </c>
      <c r="C693" s="32"/>
      <c r="D693" s="4" t="s">
        <v>7</v>
      </c>
      <c r="E693" s="32"/>
      <c r="F693" s="5">
        <v>5</v>
      </c>
      <c r="G693" s="32"/>
      <c r="H693" s="36">
        <v>45998</v>
      </c>
      <c r="I693" s="5">
        <v>3</v>
      </c>
      <c r="J693" s="36">
        <v>46002</v>
      </c>
      <c r="K693" s="32"/>
      <c r="L693" s="32"/>
      <c r="M693" s="32" t="s">
        <v>1</v>
      </c>
      <c r="N693" s="32"/>
    </row>
    <row r="694" spans="1:14" ht="19.5" customHeight="1" x14ac:dyDescent="0.25">
      <c r="A694" s="1">
        <v>5416</v>
      </c>
      <c r="B694" s="36">
        <v>45994</v>
      </c>
      <c r="C694" s="32"/>
      <c r="D694" s="4" t="s">
        <v>7</v>
      </c>
      <c r="E694" s="32"/>
      <c r="F694" s="5">
        <v>5</v>
      </c>
      <c r="G694" s="32"/>
      <c r="H694" s="36">
        <v>45998</v>
      </c>
      <c r="I694" s="5">
        <v>3</v>
      </c>
      <c r="J694" s="36">
        <v>46002</v>
      </c>
      <c r="K694" s="32"/>
      <c r="L694" s="32"/>
      <c r="M694" s="32" t="s">
        <v>1</v>
      </c>
      <c r="N694" s="32"/>
    </row>
    <row r="695" spans="1:14" ht="19.5" customHeight="1" x14ac:dyDescent="0.25">
      <c r="A695" s="1">
        <v>4232</v>
      </c>
      <c r="B695" s="36">
        <v>45994</v>
      </c>
      <c r="C695" s="32"/>
      <c r="D695" s="4" t="s">
        <v>7</v>
      </c>
      <c r="E695" s="32"/>
      <c r="F695" s="5">
        <v>5</v>
      </c>
      <c r="G695" s="32"/>
      <c r="H695" s="36">
        <v>45998</v>
      </c>
      <c r="I695" s="5">
        <v>3</v>
      </c>
      <c r="J695" s="36">
        <v>46002</v>
      </c>
      <c r="K695" s="32"/>
      <c r="L695" s="32" t="s">
        <v>5</v>
      </c>
      <c r="M695" s="32"/>
      <c r="N695" s="32"/>
    </row>
    <row r="696" spans="1:14" ht="19.5" customHeight="1" x14ac:dyDescent="0.25">
      <c r="A696" s="1">
        <v>3469</v>
      </c>
      <c r="B696" s="36">
        <v>45994</v>
      </c>
      <c r="C696" s="32"/>
      <c r="D696" s="4" t="s">
        <v>7</v>
      </c>
      <c r="E696" s="32"/>
      <c r="F696" s="5">
        <v>5</v>
      </c>
      <c r="G696" s="32"/>
      <c r="H696" s="36">
        <v>45998</v>
      </c>
      <c r="I696" s="5">
        <v>3</v>
      </c>
      <c r="J696" s="36">
        <v>46002</v>
      </c>
      <c r="K696" s="32"/>
      <c r="L696" s="32" t="s">
        <v>5</v>
      </c>
      <c r="M696" s="32"/>
      <c r="N696" s="32"/>
    </row>
    <row r="697" spans="1:14" ht="19.5" customHeight="1" x14ac:dyDescent="0.25">
      <c r="A697" s="1">
        <v>4157</v>
      </c>
      <c r="B697" s="36">
        <v>45996</v>
      </c>
      <c r="C697" s="32"/>
      <c r="D697" s="4" t="s">
        <v>7</v>
      </c>
      <c r="E697" s="32"/>
      <c r="F697" s="5">
        <v>5</v>
      </c>
      <c r="G697" s="32"/>
      <c r="H697" s="36">
        <v>46000</v>
      </c>
      <c r="I697" s="5">
        <v>3</v>
      </c>
      <c r="J697" s="36">
        <v>46004</v>
      </c>
      <c r="K697" s="32"/>
      <c r="L697" s="32" t="s">
        <v>5</v>
      </c>
      <c r="M697" s="32"/>
      <c r="N697" s="32"/>
    </row>
    <row r="698" spans="1:14" ht="19.5" customHeight="1" x14ac:dyDescent="0.25">
      <c r="A698" s="1">
        <v>4616</v>
      </c>
      <c r="B698" s="36">
        <v>45996</v>
      </c>
      <c r="C698" s="32"/>
      <c r="D698" s="4" t="s">
        <v>7</v>
      </c>
      <c r="E698" s="32"/>
      <c r="F698" s="5">
        <v>5</v>
      </c>
      <c r="G698" s="32"/>
      <c r="H698" s="36">
        <v>46000</v>
      </c>
      <c r="I698" s="5">
        <v>3</v>
      </c>
      <c r="J698" s="36">
        <v>46004</v>
      </c>
      <c r="K698" s="32"/>
      <c r="L698" s="32" t="s">
        <v>5</v>
      </c>
      <c r="M698" s="32"/>
      <c r="N698" s="32"/>
    </row>
    <row r="699" spans="1:14" ht="19.5" customHeight="1" x14ac:dyDescent="0.25">
      <c r="A699" s="1">
        <v>3123</v>
      </c>
      <c r="B699" s="36">
        <v>45996</v>
      </c>
      <c r="C699" s="32"/>
      <c r="D699" s="4" t="s">
        <v>20</v>
      </c>
      <c r="E699" s="32"/>
      <c r="F699" s="5">
        <v>5</v>
      </c>
      <c r="G699" s="32"/>
      <c r="H699" s="36">
        <v>46000</v>
      </c>
      <c r="I699" s="5">
        <v>9</v>
      </c>
      <c r="J699" s="36">
        <v>46010</v>
      </c>
      <c r="K699" s="32"/>
      <c r="L699" s="32" t="s">
        <v>5</v>
      </c>
      <c r="M699" s="32"/>
      <c r="N699" s="32"/>
    </row>
    <row r="700" spans="1:14" ht="19.5" customHeight="1" x14ac:dyDescent="0.25">
      <c r="A700" s="1">
        <v>4234</v>
      </c>
      <c r="B700" s="36">
        <v>45999</v>
      </c>
      <c r="C700" s="32"/>
      <c r="D700" s="4" t="s">
        <v>7</v>
      </c>
      <c r="E700" s="32"/>
      <c r="F700" s="5">
        <v>5</v>
      </c>
      <c r="G700" s="32"/>
      <c r="H700" s="36">
        <v>46003</v>
      </c>
      <c r="I700" s="5">
        <v>3</v>
      </c>
      <c r="J700" s="36">
        <v>46007</v>
      </c>
      <c r="K700" s="32"/>
      <c r="L700" s="32"/>
      <c r="M700" s="32"/>
      <c r="N700" s="32" t="s">
        <v>4</v>
      </c>
    </row>
    <row r="701" spans="1:14" ht="19.5" customHeight="1" x14ac:dyDescent="0.25">
      <c r="A701" s="1">
        <v>3902</v>
      </c>
      <c r="B701" s="36">
        <v>46000</v>
      </c>
      <c r="C701" s="32"/>
      <c r="D701" s="4" t="s">
        <v>20</v>
      </c>
      <c r="E701" s="32"/>
      <c r="F701" s="5">
        <v>5</v>
      </c>
      <c r="G701" s="32"/>
      <c r="H701" s="36">
        <v>46004</v>
      </c>
      <c r="I701" s="5">
        <v>9</v>
      </c>
      <c r="J701" s="36">
        <v>46014</v>
      </c>
      <c r="K701" s="32" t="s">
        <v>3</v>
      </c>
      <c r="L701" s="32"/>
      <c r="M701" s="32"/>
      <c r="N701" s="32"/>
    </row>
    <row r="702" spans="1:14" ht="19.5" customHeight="1" x14ac:dyDescent="0.25">
      <c r="A702" s="1">
        <v>3350</v>
      </c>
      <c r="B702" s="36">
        <v>46002</v>
      </c>
      <c r="C702" s="32"/>
      <c r="D702" s="4" t="s">
        <v>20</v>
      </c>
      <c r="E702" s="32"/>
      <c r="F702" s="5">
        <v>5</v>
      </c>
      <c r="G702" s="32"/>
      <c r="H702" s="36">
        <v>46006</v>
      </c>
      <c r="I702" s="5">
        <v>9</v>
      </c>
      <c r="J702" s="36">
        <v>46016</v>
      </c>
      <c r="K702" s="32"/>
      <c r="L702" s="32" t="s">
        <v>5</v>
      </c>
      <c r="M702" s="32"/>
      <c r="N702" s="32"/>
    </row>
    <row r="703" spans="1:14" ht="19.5" customHeight="1" x14ac:dyDescent="0.25">
      <c r="A703" s="1">
        <v>4064</v>
      </c>
      <c r="B703" s="36">
        <v>46002</v>
      </c>
      <c r="C703" s="32"/>
      <c r="D703" s="4" t="s">
        <v>0</v>
      </c>
      <c r="E703" s="32"/>
      <c r="F703" s="5">
        <v>5</v>
      </c>
      <c r="G703" s="32"/>
      <c r="H703" s="36">
        <v>46006</v>
      </c>
      <c r="I703" s="5">
        <v>5</v>
      </c>
      <c r="J703" s="36">
        <v>46012</v>
      </c>
      <c r="K703" s="32" t="s">
        <v>3</v>
      </c>
      <c r="L703" s="32"/>
      <c r="M703" s="32"/>
      <c r="N703" s="32"/>
    </row>
    <row r="704" spans="1:14" ht="19.5" customHeight="1" x14ac:dyDescent="0.25">
      <c r="A704" s="1">
        <v>4160</v>
      </c>
      <c r="B704" s="36">
        <v>46002</v>
      </c>
      <c r="C704" s="32"/>
      <c r="D704" s="4" t="s">
        <v>7</v>
      </c>
      <c r="E704" s="32"/>
      <c r="F704" s="5">
        <v>5</v>
      </c>
      <c r="G704" s="32"/>
      <c r="H704" s="36">
        <v>46006</v>
      </c>
      <c r="I704" s="5">
        <v>3</v>
      </c>
      <c r="J704" s="36">
        <v>46010</v>
      </c>
      <c r="K704" s="32"/>
      <c r="L704" s="32"/>
      <c r="M704" s="32"/>
      <c r="N704" s="32" t="s">
        <v>4</v>
      </c>
    </row>
    <row r="705" spans="1:14" ht="19.5" customHeight="1" x14ac:dyDescent="0.25">
      <c r="A705" s="1">
        <v>4317</v>
      </c>
      <c r="B705" s="36">
        <v>46005</v>
      </c>
      <c r="C705" s="32"/>
      <c r="D705" s="4" t="s">
        <v>7</v>
      </c>
      <c r="E705" s="32"/>
      <c r="F705" s="5">
        <v>5</v>
      </c>
      <c r="G705" s="32"/>
      <c r="H705" s="36">
        <v>46009</v>
      </c>
      <c r="I705" s="5">
        <v>3</v>
      </c>
      <c r="J705" s="36">
        <v>46013</v>
      </c>
      <c r="K705" s="32"/>
      <c r="L705" s="32"/>
      <c r="M705" s="32"/>
      <c r="N705" s="32" t="s">
        <v>4</v>
      </c>
    </row>
    <row r="706" spans="1:14" ht="19.5" customHeight="1" x14ac:dyDescent="0.25">
      <c r="A706" s="1">
        <v>4189</v>
      </c>
      <c r="B706" s="36">
        <v>46009</v>
      </c>
      <c r="C706" s="32"/>
      <c r="D706" s="4" t="s">
        <v>20</v>
      </c>
      <c r="E706" s="32"/>
      <c r="F706" s="5">
        <v>3</v>
      </c>
      <c r="G706" s="32"/>
      <c r="H706" s="36">
        <v>46011</v>
      </c>
      <c r="I706" s="5">
        <v>9</v>
      </c>
      <c r="J706" s="36">
        <v>46021</v>
      </c>
      <c r="K706" s="32" t="s">
        <v>3</v>
      </c>
      <c r="L706" s="32"/>
      <c r="M706" s="32"/>
      <c r="N706" s="32"/>
    </row>
    <row r="707" spans="1:14" ht="19.5" customHeight="1" x14ac:dyDescent="0.25">
      <c r="A707" s="1">
        <v>2765</v>
      </c>
      <c r="B707" s="36">
        <v>46006</v>
      </c>
      <c r="C707" s="32"/>
      <c r="D707" s="4" t="s">
        <v>20</v>
      </c>
      <c r="E707" s="32"/>
      <c r="F707" s="5">
        <v>3</v>
      </c>
      <c r="G707" s="32"/>
      <c r="H707" s="36">
        <v>46008</v>
      </c>
      <c r="I707" s="5">
        <v>9</v>
      </c>
      <c r="J707" s="36">
        <v>46018</v>
      </c>
      <c r="K707" s="32"/>
      <c r="L707" s="32"/>
      <c r="M707" s="32" t="s">
        <v>1</v>
      </c>
      <c r="N707" s="32"/>
    </row>
    <row r="708" spans="1:14" ht="19.5" customHeight="1" x14ac:dyDescent="0.25">
      <c r="A708" s="1">
        <v>4600</v>
      </c>
      <c r="B708" s="36">
        <v>46006</v>
      </c>
      <c r="C708" s="32"/>
      <c r="D708" s="4" t="s">
        <v>7</v>
      </c>
      <c r="E708" s="32"/>
      <c r="F708" s="5">
        <v>5</v>
      </c>
      <c r="G708" s="32"/>
      <c r="H708" s="36">
        <v>46010</v>
      </c>
      <c r="I708" s="5">
        <v>3</v>
      </c>
      <c r="J708" s="36">
        <v>46014</v>
      </c>
      <c r="K708" s="32"/>
      <c r="L708" s="32" t="s">
        <v>5</v>
      </c>
      <c r="M708" s="32"/>
      <c r="N708" s="32"/>
    </row>
    <row r="709" spans="1:14" ht="19.5" customHeight="1" x14ac:dyDescent="0.25">
      <c r="A709" s="1">
        <v>3764</v>
      </c>
      <c r="B709" s="36">
        <v>46008</v>
      </c>
      <c r="C709" s="32"/>
      <c r="D709" s="4" t="s">
        <v>7</v>
      </c>
      <c r="E709" s="32"/>
      <c r="F709" s="5">
        <v>5</v>
      </c>
      <c r="G709" s="32"/>
      <c r="H709" s="36">
        <v>46012</v>
      </c>
      <c r="I709" s="5">
        <v>3</v>
      </c>
      <c r="J709" s="36">
        <v>46016</v>
      </c>
      <c r="K709" s="32" t="s">
        <v>3</v>
      </c>
      <c r="L709" s="32"/>
      <c r="M709" s="32"/>
      <c r="N709" s="32"/>
    </row>
    <row r="710" spans="1:14" ht="19.5" customHeight="1" x14ac:dyDescent="0.25">
      <c r="A710" s="1">
        <v>1203</v>
      </c>
      <c r="B710" s="36">
        <v>45706</v>
      </c>
      <c r="C710" s="32"/>
      <c r="D710" s="4" t="s">
        <v>7</v>
      </c>
      <c r="E710" s="32"/>
      <c r="F710" s="5">
        <v>5</v>
      </c>
      <c r="G710" s="32"/>
      <c r="H710" s="36">
        <v>46013</v>
      </c>
      <c r="I710" s="5">
        <v>3</v>
      </c>
      <c r="J710" s="36">
        <v>46017</v>
      </c>
      <c r="K710" s="32" t="s">
        <v>3</v>
      </c>
      <c r="L710" s="32"/>
      <c r="M710" s="32"/>
      <c r="N710" s="32"/>
    </row>
    <row r="711" spans="1:14" ht="19.5" customHeight="1" x14ac:dyDescent="0.25">
      <c r="A711" s="1">
        <v>3879</v>
      </c>
      <c r="B711" s="36">
        <v>45706</v>
      </c>
      <c r="C711" s="32"/>
      <c r="D711" s="4" t="s">
        <v>0</v>
      </c>
      <c r="E711" s="32"/>
      <c r="F711" s="5">
        <v>5</v>
      </c>
      <c r="G711" s="32"/>
      <c r="H711" s="36">
        <v>46013</v>
      </c>
      <c r="I711" s="5">
        <v>5</v>
      </c>
      <c r="J711" s="36">
        <v>46019</v>
      </c>
      <c r="K711" s="32" t="s">
        <v>3</v>
      </c>
      <c r="L711" s="32"/>
      <c r="M711" s="32"/>
      <c r="N711" s="32"/>
    </row>
    <row r="712" spans="1:14" ht="19.5" customHeight="1" x14ac:dyDescent="0.25">
      <c r="A712" s="1">
        <v>4144</v>
      </c>
      <c r="B712" s="36">
        <v>45706</v>
      </c>
      <c r="C712" s="32"/>
      <c r="D712" s="4" t="s">
        <v>21</v>
      </c>
      <c r="E712" s="32"/>
      <c r="F712" s="5">
        <v>5</v>
      </c>
      <c r="G712" s="32"/>
      <c r="H712" s="36">
        <v>46013</v>
      </c>
      <c r="I712" s="5">
        <v>9</v>
      </c>
      <c r="J712" s="36">
        <v>46023</v>
      </c>
      <c r="K712" s="32"/>
      <c r="L712" s="32"/>
      <c r="M712" s="32"/>
      <c r="N712" s="32" t="s">
        <v>4</v>
      </c>
    </row>
    <row r="713" spans="1:14" ht="19.5" customHeight="1" x14ac:dyDescent="0.25">
      <c r="A713" s="1">
        <v>3782</v>
      </c>
      <c r="B713" s="36">
        <v>45706</v>
      </c>
      <c r="C713" s="32"/>
      <c r="D713" s="4" t="s">
        <v>21</v>
      </c>
      <c r="E713" s="32"/>
      <c r="F713" s="5">
        <v>5</v>
      </c>
      <c r="G713" s="32"/>
      <c r="H713" s="36">
        <v>46013</v>
      </c>
      <c r="I713" s="5">
        <v>9</v>
      </c>
      <c r="J713" s="36">
        <v>45658</v>
      </c>
      <c r="K713" s="32"/>
      <c r="L713" s="32" t="s">
        <v>5</v>
      </c>
      <c r="M713" s="32"/>
      <c r="N713" s="32"/>
    </row>
    <row r="714" spans="1:14" ht="19.5" customHeight="1" x14ac:dyDescent="0.25">
      <c r="A714" s="1">
        <v>5131</v>
      </c>
      <c r="B714" s="36">
        <v>45707</v>
      </c>
      <c r="C714" s="32"/>
      <c r="D714" s="4" t="s">
        <v>7</v>
      </c>
      <c r="E714" s="32"/>
      <c r="F714" s="5">
        <v>5</v>
      </c>
      <c r="G714" s="32"/>
      <c r="H714" s="36">
        <v>46014</v>
      </c>
      <c r="I714" s="5">
        <v>3</v>
      </c>
      <c r="J714" s="36">
        <v>46018</v>
      </c>
      <c r="K714" s="32"/>
      <c r="L714" s="32" t="s">
        <v>5</v>
      </c>
      <c r="M714" s="32"/>
      <c r="N714" s="32"/>
    </row>
    <row r="715" spans="1:14" ht="19.5" customHeight="1" x14ac:dyDescent="0.25">
      <c r="A715" s="1">
        <v>4255</v>
      </c>
      <c r="B715" s="36">
        <v>46010</v>
      </c>
      <c r="C715" s="32"/>
      <c r="D715" s="4" t="s">
        <v>25</v>
      </c>
      <c r="E715" s="32"/>
      <c r="F715" s="5">
        <v>5</v>
      </c>
      <c r="G715" s="32"/>
      <c r="H715" s="36">
        <v>46014</v>
      </c>
      <c r="I715" s="5">
        <v>5</v>
      </c>
      <c r="J715" s="36">
        <v>46020</v>
      </c>
      <c r="K715" s="32"/>
      <c r="L715" s="32"/>
      <c r="M715" s="32"/>
      <c r="N715" s="32" t="s">
        <v>4</v>
      </c>
    </row>
    <row r="716" spans="1:14" ht="19.5" customHeight="1" x14ac:dyDescent="0.25">
      <c r="A716" s="1">
        <v>3065</v>
      </c>
      <c r="B716" s="36">
        <v>46010</v>
      </c>
      <c r="C716" s="32"/>
      <c r="D716" s="4" t="s">
        <v>21</v>
      </c>
      <c r="E716" s="32"/>
      <c r="F716" s="5">
        <v>5</v>
      </c>
      <c r="G716" s="32"/>
      <c r="H716" s="37">
        <v>46014</v>
      </c>
      <c r="I716" s="5">
        <v>9</v>
      </c>
      <c r="J716" s="36">
        <v>46024</v>
      </c>
      <c r="K716" s="32" t="s">
        <v>3</v>
      </c>
      <c r="L716" s="32"/>
      <c r="M716" s="32"/>
      <c r="N716" s="32"/>
    </row>
    <row r="717" spans="1:14" ht="19.5" customHeight="1" x14ac:dyDescent="0.25">
      <c r="A717" s="1">
        <v>4063</v>
      </c>
      <c r="B717" s="36">
        <v>46011</v>
      </c>
      <c r="C717" s="32"/>
      <c r="D717" s="4" t="s">
        <v>21</v>
      </c>
      <c r="E717" s="32"/>
      <c r="F717" s="5">
        <v>5</v>
      </c>
      <c r="G717" s="32"/>
      <c r="H717" s="36">
        <v>46015</v>
      </c>
      <c r="I717" s="5">
        <v>9</v>
      </c>
      <c r="J717" s="36">
        <v>46025</v>
      </c>
      <c r="K717" s="32" t="s">
        <v>3</v>
      </c>
      <c r="L717" s="32"/>
      <c r="M717" s="32"/>
      <c r="N717" s="32"/>
    </row>
    <row r="718" spans="1:14" ht="19.5" customHeight="1" x14ac:dyDescent="0.25">
      <c r="A718" s="1">
        <v>3877</v>
      </c>
      <c r="B718" s="36">
        <v>46011</v>
      </c>
      <c r="C718" s="32"/>
      <c r="D718" s="4" t="s">
        <v>21</v>
      </c>
      <c r="E718" s="32"/>
      <c r="F718" s="5">
        <v>5</v>
      </c>
      <c r="G718" s="32"/>
      <c r="H718" s="36">
        <v>46015</v>
      </c>
      <c r="I718" s="5">
        <v>9</v>
      </c>
      <c r="J718" s="36">
        <v>46025</v>
      </c>
      <c r="K718" s="32"/>
      <c r="L718" s="32"/>
      <c r="M718" s="32"/>
      <c r="N718" s="32" t="s">
        <v>4</v>
      </c>
    </row>
    <row r="719" spans="1:14" ht="19.5" customHeight="1" x14ac:dyDescent="0.25">
      <c r="A719" s="1">
        <v>2899</v>
      </c>
      <c r="B719" s="36">
        <v>46012</v>
      </c>
      <c r="C719" s="32"/>
      <c r="D719" s="4" t="s">
        <v>7</v>
      </c>
      <c r="E719" s="32"/>
      <c r="F719" s="5">
        <v>5</v>
      </c>
      <c r="G719" s="32"/>
      <c r="H719" s="36">
        <v>46016</v>
      </c>
      <c r="I719" s="5">
        <v>3</v>
      </c>
      <c r="J719" s="36">
        <v>46020</v>
      </c>
      <c r="K719" s="32"/>
      <c r="L719" s="32"/>
      <c r="M719" s="32" t="s">
        <v>1</v>
      </c>
      <c r="N719" s="32"/>
    </row>
    <row r="720" spans="1:14" ht="19.5" customHeight="1" x14ac:dyDescent="0.25">
      <c r="A720" s="1">
        <v>3879</v>
      </c>
      <c r="B720" s="36">
        <v>46012</v>
      </c>
      <c r="C720" s="32"/>
      <c r="D720" s="4" t="s">
        <v>21</v>
      </c>
      <c r="E720" s="32"/>
      <c r="F720" s="5">
        <v>5</v>
      </c>
      <c r="G720" s="32"/>
      <c r="H720" s="36">
        <v>46016</v>
      </c>
      <c r="I720" s="5">
        <v>9</v>
      </c>
      <c r="J720" s="36">
        <v>46026</v>
      </c>
      <c r="K720" s="32" t="s">
        <v>3</v>
      </c>
      <c r="L720" s="32"/>
      <c r="M720" s="32"/>
      <c r="N720" s="32"/>
    </row>
    <row r="721" spans="1:14" ht="19.5" customHeight="1" x14ac:dyDescent="0.25">
      <c r="A721" s="1">
        <v>4758</v>
      </c>
      <c r="B721" s="36">
        <v>46014</v>
      </c>
      <c r="C721" s="32"/>
      <c r="D721" s="4" t="s">
        <v>7</v>
      </c>
      <c r="E721" s="32"/>
      <c r="F721" s="5">
        <v>5</v>
      </c>
      <c r="G721" s="32"/>
      <c r="H721" s="36">
        <v>46018</v>
      </c>
      <c r="I721" s="5">
        <v>3</v>
      </c>
      <c r="J721" s="36">
        <v>46022</v>
      </c>
      <c r="K721" s="32"/>
      <c r="L721" s="32"/>
      <c r="M721" s="32"/>
      <c r="N721" s="32" t="s">
        <v>4</v>
      </c>
    </row>
    <row r="722" spans="1:14" ht="19.5" customHeight="1" x14ac:dyDescent="0.25">
      <c r="A722" s="1">
        <v>2108</v>
      </c>
      <c r="B722" s="36">
        <v>46015</v>
      </c>
      <c r="C722" s="32"/>
      <c r="D722" s="4" t="s">
        <v>7</v>
      </c>
      <c r="E722" s="32"/>
      <c r="F722" s="5">
        <v>5</v>
      </c>
      <c r="G722" s="32"/>
      <c r="H722" s="36">
        <v>46019</v>
      </c>
      <c r="I722" s="5">
        <v>3</v>
      </c>
      <c r="J722" s="36">
        <v>46023</v>
      </c>
      <c r="K722" s="32"/>
      <c r="L722" s="32" t="s">
        <v>5</v>
      </c>
      <c r="M722" s="32"/>
      <c r="N722" s="32"/>
    </row>
    <row r="723" spans="1:14" ht="19.5" customHeight="1" x14ac:dyDescent="0.25">
      <c r="A723" s="1">
        <v>4305</v>
      </c>
      <c r="B723" s="36">
        <v>46015</v>
      </c>
      <c r="C723" s="32"/>
      <c r="D723" s="4" t="s">
        <v>25</v>
      </c>
      <c r="E723" s="32"/>
      <c r="F723" s="5">
        <v>5</v>
      </c>
      <c r="G723" s="32"/>
      <c r="H723" s="36">
        <v>46019</v>
      </c>
      <c r="I723" s="5">
        <v>5</v>
      </c>
      <c r="J723" s="36">
        <v>46025</v>
      </c>
      <c r="K723" s="32"/>
      <c r="L723" s="32"/>
      <c r="M723" s="32" t="s">
        <v>1</v>
      </c>
      <c r="N723" s="32"/>
    </row>
    <row r="724" spans="1:14" ht="19.5" customHeight="1" x14ac:dyDescent="0.25">
      <c r="A724" s="1">
        <v>4075</v>
      </c>
      <c r="B724" s="36">
        <v>46017</v>
      </c>
      <c r="C724" s="32"/>
      <c r="D724" s="4" t="s">
        <v>21</v>
      </c>
      <c r="E724" s="32"/>
      <c r="F724" s="5">
        <v>5</v>
      </c>
      <c r="G724" s="32"/>
      <c r="H724" s="36">
        <v>46021</v>
      </c>
      <c r="I724" s="5">
        <v>9</v>
      </c>
      <c r="J724" s="36">
        <v>46032</v>
      </c>
      <c r="K724" s="32" t="s">
        <v>3</v>
      </c>
      <c r="L724" s="32"/>
      <c r="M724" s="32"/>
      <c r="N724" s="32"/>
    </row>
    <row r="725" spans="1:14" ht="19.5" customHeight="1" x14ac:dyDescent="0.25">
      <c r="A725" s="1">
        <v>4578</v>
      </c>
      <c r="B725" s="36">
        <v>46018</v>
      </c>
      <c r="C725" s="32"/>
      <c r="D725" s="4" t="s">
        <v>7</v>
      </c>
      <c r="E725" s="32"/>
      <c r="F725" s="5">
        <v>5</v>
      </c>
      <c r="G725" s="32"/>
      <c r="H725" s="36">
        <v>46022</v>
      </c>
      <c r="I725" s="5">
        <v>3</v>
      </c>
      <c r="J725" s="36">
        <v>46026</v>
      </c>
      <c r="K725" s="32"/>
      <c r="L725" s="32" t="s">
        <v>5</v>
      </c>
      <c r="M725" s="32"/>
      <c r="N725" s="32"/>
    </row>
    <row r="726" spans="1:14" ht="19.5" customHeight="1" x14ac:dyDescent="0.25">
      <c r="A726" s="1">
        <v>5263</v>
      </c>
      <c r="B726" s="36">
        <v>46018</v>
      </c>
      <c r="C726" s="32"/>
      <c r="D726" s="4" t="s">
        <v>7</v>
      </c>
      <c r="E726" s="32"/>
      <c r="F726" s="5">
        <v>5</v>
      </c>
      <c r="G726" s="32"/>
      <c r="H726" s="36">
        <v>46022</v>
      </c>
      <c r="I726" s="5">
        <v>3</v>
      </c>
      <c r="J726" s="36">
        <v>46026</v>
      </c>
      <c r="K726" s="32"/>
      <c r="L726" s="32" t="s">
        <v>5</v>
      </c>
      <c r="M726" s="32"/>
      <c r="N726" s="32"/>
    </row>
    <row r="727" spans="1:14" ht="19.5" customHeight="1" x14ac:dyDescent="0.25">
      <c r="A727" s="1">
        <v>3210</v>
      </c>
      <c r="B727" s="36">
        <v>46018</v>
      </c>
      <c r="C727" s="32"/>
      <c r="D727" s="4" t="s">
        <v>21</v>
      </c>
      <c r="E727" s="32"/>
      <c r="F727" s="5">
        <v>5</v>
      </c>
      <c r="G727" s="32"/>
      <c r="H727" s="36">
        <v>46387</v>
      </c>
      <c r="I727" s="5">
        <v>9</v>
      </c>
      <c r="J727" s="36">
        <v>46032</v>
      </c>
      <c r="K727" s="32"/>
      <c r="L727" s="32" t="s">
        <v>5</v>
      </c>
      <c r="M727" s="32"/>
      <c r="N727" s="32"/>
    </row>
    <row r="728" spans="1:14" ht="19.5" customHeight="1" x14ac:dyDescent="0.25">
      <c r="A728" s="1">
        <v>3891</v>
      </c>
      <c r="B728" s="36">
        <v>46020</v>
      </c>
      <c r="C728" s="32"/>
      <c r="D728" s="4" t="s">
        <v>25</v>
      </c>
      <c r="E728" s="32"/>
      <c r="F728" s="5">
        <v>5</v>
      </c>
      <c r="G728" s="32"/>
      <c r="H728" s="36">
        <v>46024</v>
      </c>
      <c r="I728" s="5">
        <v>5</v>
      </c>
      <c r="J728" s="36">
        <v>46030</v>
      </c>
      <c r="K728" s="32"/>
      <c r="L728" s="32"/>
      <c r="M728" s="32"/>
      <c r="N728" s="32" t="s">
        <v>4</v>
      </c>
    </row>
    <row r="729" spans="1:14" ht="19.5" customHeight="1" x14ac:dyDescent="0.25">
      <c r="A729" s="1">
        <v>4232</v>
      </c>
      <c r="B729" s="36">
        <v>46020</v>
      </c>
      <c r="C729" s="32"/>
      <c r="D729" s="4" t="s">
        <v>25</v>
      </c>
      <c r="E729" s="32"/>
      <c r="F729" s="5">
        <v>5</v>
      </c>
      <c r="G729" s="32"/>
      <c r="H729" s="36">
        <v>46024</v>
      </c>
      <c r="I729" s="5">
        <v>5</v>
      </c>
      <c r="J729" s="36">
        <v>46030</v>
      </c>
      <c r="K729" s="32"/>
      <c r="L729" s="32" t="s">
        <v>5</v>
      </c>
      <c r="M729" s="32"/>
      <c r="N729" s="32"/>
    </row>
    <row r="730" spans="1:14" ht="19.5" customHeight="1" x14ac:dyDescent="0.25">
      <c r="A730" s="1">
        <v>2875</v>
      </c>
      <c r="B730" s="36">
        <v>46021</v>
      </c>
      <c r="C730" s="32"/>
      <c r="D730" s="4" t="s">
        <v>7</v>
      </c>
      <c r="E730" s="32"/>
      <c r="F730" s="5">
        <v>5</v>
      </c>
      <c r="G730" s="32"/>
      <c r="H730" s="36">
        <v>46025</v>
      </c>
      <c r="I730" s="5">
        <v>3</v>
      </c>
      <c r="J730" s="36">
        <v>46029</v>
      </c>
      <c r="K730" s="32"/>
      <c r="L730" s="32" t="s">
        <v>5</v>
      </c>
      <c r="M730" s="32"/>
      <c r="N730" s="32"/>
    </row>
    <row r="731" spans="1:14" ht="19.5" customHeight="1" x14ac:dyDescent="0.25">
      <c r="A731" s="1">
        <v>4949</v>
      </c>
      <c r="B731" s="36">
        <v>46021</v>
      </c>
      <c r="C731" s="32"/>
      <c r="D731" s="4" t="s">
        <v>20</v>
      </c>
      <c r="E731" s="32"/>
      <c r="F731" s="5">
        <v>3</v>
      </c>
      <c r="G731" s="32"/>
      <c r="H731" s="36">
        <v>46024</v>
      </c>
      <c r="I731" s="5">
        <v>9</v>
      </c>
      <c r="J731" s="36">
        <v>46034</v>
      </c>
      <c r="K731" s="32"/>
      <c r="L731" s="32"/>
      <c r="M731" s="32" t="s">
        <v>1</v>
      </c>
      <c r="N731" s="32"/>
    </row>
    <row r="732" spans="1:14" ht="19.5" customHeight="1" x14ac:dyDescent="0.25">
      <c r="A732" s="1">
        <v>4335</v>
      </c>
      <c r="B732" s="36">
        <v>46022</v>
      </c>
      <c r="C732" s="32"/>
      <c r="D732" s="4" t="s">
        <v>7</v>
      </c>
      <c r="E732" s="32"/>
      <c r="F732" s="5">
        <v>5</v>
      </c>
      <c r="G732" s="32"/>
      <c r="H732" s="36">
        <v>46026</v>
      </c>
      <c r="I732" s="5">
        <v>3</v>
      </c>
      <c r="J732" s="36">
        <v>46031</v>
      </c>
      <c r="K732" s="32"/>
      <c r="L732" s="32"/>
      <c r="M732" s="32" t="s">
        <v>1</v>
      </c>
      <c r="N732" s="32"/>
    </row>
    <row r="733" spans="1:14" ht="19.5" customHeight="1" x14ac:dyDescent="0.25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</row>
  </sheetData>
  <mergeCells count="1"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B6E3-F794-45EB-BB2E-6EB6B09117C5}">
  <dimension ref="A1:G1542"/>
  <sheetViews>
    <sheetView workbookViewId="0"/>
  </sheetViews>
  <sheetFormatPr defaultRowHeight="15" x14ac:dyDescent="0.25"/>
  <cols>
    <col min="6" max="6" width="14" bestFit="1" customWidth="1"/>
  </cols>
  <sheetData>
    <row r="1" spans="1:7" x14ac:dyDescent="0.25">
      <c r="A1" s="22">
        <v>46143</v>
      </c>
    </row>
    <row r="2" spans="1:7" x14ac:dyDescent="0.25">
      <c r="A2" t="s">
        <v>98</v>
      </c>
      <c r="B2" t="s">
        <v>5</v>
      </c>
      <c r="C2" t="s">
        <v>3</v>
      </c>
      <c r="D2" t="s">
        <v>99</v>
      </c>
      <c r="E2" t="s">
        <v>4</v>
      </c>
      <c r="F2" t="s">
        <v>100</v>
      </c>
      <c r="G2" t="s">
        <v>101</v>
      </c>
    </row>
    <row r="3" spans="1:7" x14ac:dyDescent="0.25">
      <c r="A3">
        <v>0</v>
      </c>
      <c r="B3">
        <v>2</v>
      </c>
      <c r="C3">
        <v>2</v>
      </c>
      <c r="D3">
        <v>1</v>
      </c>
      <c r="E3">
        <v>1</v>
      </c>
      <c r="F3">
        <v>3</v>
      </c>
      <c r="G3">
        <v>1.5</v>
      </c>
    </row>
    <row r="4" spans="1:7" x14ac:dyDescent="0.25">
      <c r="A4">
        <v>218</v>
      </c>
      <c r="B4">
        <v>3</v>
      </c>
      <c r="C4">
        <v>1</v>
      </c>
      <c r="D4">
        <v>2</v>
      </c>
      <c r="E4">
        <v>1</v>
      </c>
      <c r="F4">
        <v>3</v>
      </c>
      <c r="G4">
        <v>1.75</v>
      </c>
    </row>
    <row r="5" spans="1:7" x14ac:dyDescent="0.25">
      <c r="A5">
        <v>301</v>
      </c>
      <c r="B5">
        <v>2</v>
      </c>
      <c r="C5">
        <v>1</v>
      </c>
      <c r="D5">
        <v>1</v>
      </c>
      <c r="E5">
        <v>2</v>
      </c>
      <c r="F5">
        <v>3</v>
      </c>
      <c r="G5">
        <v>1.5</v>
      </c>
    </row>
    <row r="6" spans="1:7" x14ac:dyDescent="0.25">
      <c r="A6">
        <v>574</v>
      </c>
      <c r="B6">
        <v>1</v>
      </c>
      <c r="C6">
        <v>1</v>
      </c>
      <c r="D6">
        <v>1</v>
      </c>
      <c r="E6">
        <v>1</v>
      </c>
      <c r="F6">
        <v>3</v>
      </c>
      <c r="G6">
        <v>1</v>
      </c>
    </row>
    <row r="7" spans="1:7" x14ac:dyDescent="0.25">
      <c r="A7">
        <v>649</v>
      </c>
      <c r="B7">
        <v>2</v>
      </c>
      <c r="C7">
        <v>3</v>
      </c>
      <c r="D7">
        <v>3</v>
      </c>
      <c r="E7">
        <v>1</v>
      </c>
      <c r="F7">
        <v>3</v>
      </c>
      <c r="G7">
        <v>2.25</v>
      </c>
    </row>
    <row r="8" spans="1:7" x14ac:dyDescent="0.25">
      <c r="A8">
        <v>650</v>
      </c>
      <c r="B8">
        <v>2</v>
      </c>
      <c r="C8">
        <v>2</v>
      </c>
      <c r="D8">
        <v>3</v>
      </c>
      <c r="E8">
        <v>3</v>
      </c>
      <c r="F8">
        <v>3</v>
      </c>
      <c r="G8">
        <v>2.5</v>
      </c>
    </row>
    <row r="9" spans="1:7" x14ac:dyDescent="0.25">
      <c r="A9">
        <v>653</v>
      </c>
      <c r="B9">
        <v>3</v>
      </c>
      <c r="C9">
        <v>2</v>
      </c>
      <c r="D9">
        <v>2</v>
      </c>
      <c r="E9">
        <v>1</v>
      </c>
      <c r="F9">
        <v>3</v>
      </c>
      <c r="G9">
        <v>2</v>
      </c>
    </row>
    <row r="10" spans="1:7" x14ac:dyDescent="0.25">
      <c r="A10">
        <v>657</v>
      </c>
      <c r="B10">
        <v>3</v>
      </c>
      <c r="C10">
        <v>1</v>
      </c>
      <c r="D10">
        <v>2</v>
      </c>
      <c r="E10">
        <v>0</v>
      </c>
      <c r="F10">
        <v>3</v>
      </c>
      <c r="G10">
        <v>1.5</v>
      </c>
    </row>
    <row r="11" spans="1:7" x14ac:dyDescent="0.25">
      <c r="A11">
        <v>850</v>
      </c>
      <c r="B11">
        <v>0</v>
      </c>
      <c r="C11">
        <v>2</v>
      </c>
      <c r="D11">
        <v>2</v>
      </c>
      <c r="E11">
        <v>0</v>
      </c>
      <c r="F11">
        <v>3</v>
      </c>
      <c r="G11">
        <v>1</v>
      </c>
    </row>
    <row r="12" spans="1:7" x14ac:dyDescent="0.25">
      <c r="A12">
        <v>892</v>
      </c>
      <c r="B12">
        <v>1</v>
      </c>
      <c r="C12">
        <v>1</v>
      </c>
      <c r="D12">
        <v>1</v>
      </c>
      <c r="E12">
        <v>1</v>
      </c>
      <c r="F12">
        <v>3</v>
      </c>
      <c r="G12">
        <v>1</v>
      </c>
    </row>
    <row r="13" spans="1:7" x14ac:dyDescent="0.25">
      <c r="A13">
        <v>1142</v>
      </c>
      <c r="B13">
        <v>1</v>
      </c>
      <c r="C13">
        <v>1</v>
      </c>
      <c r="D13">
        <v>1</v>
      </c>
      <c r="E13">
        <v>4</v>
      </c>
      <c r="F13">
        <v>2</v>
      </c>
      <c r="G13">
        <v>1.75</v>
      </c>
    </row>
    <row r="14" spans="1:7" x14ac:dyDescent="0.25">
      <c r="A14">
        <v>1160</v>
      </c>
      <c r="B14">
        <v>2</v>
      </c>
      <c r="C14">
        <v>2</v>
      </c>
      <c r="D14">
        <v>1</v>
      </c>
      <c r="E14">
        <v>1</v>
      </c>
      <c r="F14">
        <v>3</v>
      </c>
      <c r="G14">
        <v>1.5</v>
      </c>
    </row>
    <row r="15" spans="1:7" x14ac:dyDescent="0.25">
      <c r="A15">
        <v>1166</v>
      </c>
      <c r="B15">
        <v>3</v>
      </c>
      <c r="C15">
        <v>3</v>
      </c>
      <c r="D15">
        <v>1</v>
      </c>
      <c r="E15">
        <v>2</v>
      </c>
      <c r="F15">
        <v>3</v>
      </c>
      <c r="G15">
        <v>2.25</v>
      </c>
    </row>
    <row r="16" spans="1:7" x14ac:dyDescent="0.25">
      <c r="A16">
        <v>1178</v>
      </c>
      <c r="B16">
        <v>4</v>
      </c>
      <c r="C16">
        <v>3</v>
      </c>
      <c r="D16">
        <v>4</v>
      </c>
      <c r="E16">
        <v>3</v>
      </c>
      <c r="F16">
        <v>3</v>
      </c>
      <c r="G16">
        <v>3.5</v>
      </c>
    </row>
    <row r="17" spans="1:7" x14ac:dyDescent="0.25">
      <c r="A17">
        <v>1184</v>
      </c>
      <c r="B17">
        <v>4</v>
      </c>
      <c r="C17">
        <v>3</v>
      </c>
      <c r="D17">
        <v>3</v>
      </c>
      <c r="E17">
        <v>0</v>
      </c>
      <c r="F17">
        <v>3</v>
      </c>
      <c r="G17">
        <v>2.5</v>
      </c>
    </row>
    <row r="18" spans="1:7" x14ac:dyDescent="0.25">
      <c r="A18">
        <v>1198</v>
      </c>
      <c r="B18">
        <v>3</v>
      </c>
      <c r="C18">
        <v>3</v>
      </c>
      <c r="D18">
        <v>2</v>
      </c>
      <c r="E18">
        <v>3</v>
      </c>
      <c r="F18">
        <v>3</v>
      </c>
      <c r="G18">
        <v>2.75</v>
      </c>
    </row>
    <row r="19" spans="1:7" x14ac:dyDescent="0.25">
      <c r="A19">
        <v>1200</v>
      </c>
      <c r="B19">
        <v>2</v>
      </c>
      <c r="C19">
        <v>3</v>
      </c>
      <c r="D19">
        <v>1</v>
      </c>
      <c r="E19">
        <v>1</v>
      </c>
      <c r="F19">
        <v>2</v>
      </c>
      <c r="G19">
        <v>1.75</v>
      </c>
    </row>
    <row r="20" spans="1:7" x14ac:dyDescent="0.25">
      <c r="A20">
        <v>1202</v>
      </c>
      <c r="B20">
        <v>3</v>
      </c>
      <c r="C20">
        <v>3</v>
      </c>
      <c r="D20">
        <v>0</v>
      </c>
      <c r="E20">
        <v>3</v>
      </c>
      <c r="F20">
        <v>3</v>
      </c>
      <c r="G20">
        <v>2.25</v>
      </c>
    </row>
    <row r="21" spans="1:7" x14ac:dyDescent="0.25">
      <c r="A21">
        <v>1204</v>
      </c>
      <c r="B21">
        <v>3</v>
      </c>
      <c r="C21">
        <v>3</v>
      </c>
      <c r="D21">
        <v>3</v>
      </c>
      <c r="E21">
        <v>3</v>
      </c>
      <c r="F21">
        <v>3</v>
      </c>
      <c r="G21">
        <v>3</v>
      </c>
    </row>
    <row r="22" spans="1:7" x14ac:dyDescent="0.25">
      <c r="A22">
        <v>1216</v>
      </c>
      <c r="B22">
        <v>2</v>
      </c>
      <c r="C22">
        <v>2</v>
      </c>
      <c r="D22">
        <v>1</v>
      </c>
      <c r="E22">
        <v>1</v>
      </c>
      <c r="F22">
        <v>2</v>
      </c>
      <c r="G22">
        <v>1.5</v>
      </c>
    </row>
    <row r="23" spans="1:7" x14ac:dyDescent="0.25">
      <c r="A23">
        <v>1226</v>
      </c>
      <c r="B23">
        <v>1</v>
      </c>
      <c r="C23">
        <v>1</v>
      </c>
      <c r="D23">
        <v>1</v>
      </c>
      <c r="E23">
        <v>1</v>
      </c>
      <c r="F23">
        <v>3</v>
      </c>
      <c r="G23">
        <v>1</v>
      </c>
    </row>
    <row r="24" spans="1:7" x14ac:dyDescent="0.25">
      <c r="A24">
        <v>1746</v>
      </c>
      <c r="B24">
        <v>3</v>
      </c>
      <c r="C24">
        <v>2</v>
      </c>
      <c r="D24">
        <v>1</v>
      </c>
      <c r="E24">
        <v>2</v>
      </c>
      <c r="F24">
        <v>3</v>
      </c>
      <c r="G24">
        <v>2</v>
      </c>
    </row>
    <row r="25" spans="1:7" x14ac:dyDescent="0.25">
      <c r="A25">
        <v>1868</v>
      </c>
      <c r="B25">
        <v>3</v>
      </c>
      <c r="C25">
        <v>3</v>
      </c>
      <c r="D25">
        <v>2</v>
      </c>
      <c r="E25">
        <v>2</v>
      </c>
      <c r="F25">
        <v>3</v>
      </c>
      <c r="G25">
        <v>2.5</v>
      </c>
    </row>
    <row r="26" spans="1:7" x14ac:dyDescent="0.25">
      <c r="A26">
        <v>1954</v>
      </c>
      <c r="B26">
        <v>4</v>
      </c>
      <c r="C26">
        <v>4</v>
      </c>
      <c r="D26">
        <v>3</v>
      </c>
      <c r="E26">
        <v>3</v>
      </c>
      <c r="F26">
        <v>3</v>
      </c>
      <c r="G26">
        <v>3.5</v>
      </c>
    </row>
    <row r="27" spans="1:7" x14ac:dyDescent="0.25">
      <c r="A27">
        <v>1997</v>
      </c>
      <c r="B27">
        <v>4</v>
      </c>
      <c r="C27">
        <v>4</v>
      </c>
      <c r="D27">
        <v>4</v>
      </c>
      <c r="E27">
        <v>3</v>
      </c>
      <c r="F27">
        <v>3</v>
      </c>
      <c r="G27">
        <v>3.75</v>
      </c>
    </row>
    <row r="28" spans="1:7" x14ac:dyDescent="0.25">
      <c r="A28">
        <v>2001</v>
      </c>
      <c r="B28">
        <v>3</v>
      </c>
      <c r="C28">
        <v>3</v>
      </c>
      <c r="D28">
        <v>1</v>
      </c>
      <c r="E28">
        <v>1</v>
      </c>
      <c r="F28">
        <v>4</v>
      </c>
      <c r="G28">
        <v>2</v>
      </c>
    </row>
    <row r="29" spans="1:7" x14ac:dyDescent="0.25">
      <c r="A29">
        <v>2018</v>
      </c>
      <c r="B29">
        <v>3</v>
      </c>
      <c r="C29">
        <v>4</v>
      </c>
      <c r="D29">
        <v>3</v>
      </c>
      <c r="E29">
        <v>4</v>
      </c>
      <c r="F29">
        <v>3</v>
      </c>
      <c r="G29">
        <v>3.5</v>
      </c>
    </row>
    <row r="30" spans="1:7" x14ac:dyDescent="0.25">
      <c r="A30">
        <v>2049</v>
      </c>
      <c r="B30">
        <v>1</v>
      </c>
      <c r="C30">
        <v>3</v>
      </c>
      <c r="D30">
        <v>1</v>
      </c>
      <c r="E30">
        <v>3</v>
      </c>
      <c r="F30">
        <v>4</v>
      </c>
      <c r="G30">
        <v>2</v>
      </c>
    </row>
    <row r="31" spans="1:7" x14ac:dyDescent="0.25">
      <c r="A31">
        <v>2108</v>
      </c>
      <c r="B31">
        <v>3</v>
      </c>
      <c r="C31">
        <v>3</v>
      </c>
      <c r="D31">
        <v>2</v>
      </c>
      <c r="E31">
        <v>2</v>
      </c>
      <c r="F31">
        <v>3</v>
      </c>
      <c r="G31">
        <v>2.5</v>
      </c>
    </row>
    <row r="32" spans="1:7" x14ac:dyDescent="0.25">
      <c r="A32">
        <v>2183</v>
      </c>
      <c r="B32">
        <v>1</v>
      </c>
      <c r="C32">
        <v>1</v>
      </c>
      <c r="D32">
        <v>1</v>
      </c>
      <c r="E32">
        <v>1</v>
      </c>
      <c r="F32">
        <v>3</v>
      </c>
      <c r="G32">
        <v>1</v>
      </c>
    </row>
    <row r="33" spans="1:7" x14ac:dyDescent="0.25">
      <c r="A33">
        <v>2224</v>
      </c>
      <c r="B33">
        <v>4</v>
      </c>
      <c r="C33">
        <v>3</v>
      </c>
      <c r="D33">
        <v>3</v>
      </c>
      <c r="E33">
        <v>3</v>
      </c>
      <c r="F33">
        <v>2</v>
      </c>
      <c r="G33">
        <v>3.25</v>
      </c>
    </row>
    <row r="34" spans="1:7" x14ac:dyDescent="0.25">
      <c r="A34">
        <v>2225</v>
      </c>
      <c r="B34">
        <v>3</v>
      </c>
      <c r="C34">
        <v>0</v>
      </c>
      <c r="D34">
        <v>2</v>
      </c>
      <c r="E34">
        <v>1</v>
      </c>
      <c r="F34">
        <v>3</v>
      </c>
      <c r="G34">
        <v>1.5</v>
      </c>
    </row>
    <row r="35" spans="1:7" x14ac:dyDescent="0.25">
      <c r="A35">
        <v>2233</v>
      </c>
      <c r="B35">
        <v>1</v>
      </c>
      <c r="C35">
        <v>2</v>
      </c>
      <c r="D35">
        <v>1</v>
      </c>
      <c r="E35">
        <v>1</v>
      </c>
      <c r="F35">
        <v>3</v>
      </c>
      <c r="G35">
        <v>1.25</v>
      </c>
    </row>
    <row r="36" spans="1:7" x14ac:dyDescent="0.25">
      <c r="A36">
        <v>2279</v>
      </c>
      <c r="B36">
        <v>1</v>
      </c>
      <c r="C36">
        <v>1</v>
      </c>
      <c r="D36">
        <v>2</v>
      </c>
      <c r="E36">
        <v>1</v>
      </c>
      <c r="F36">
        <v>3</v>
      </c>
      <c r="G36">
        <v>1.25</v>
      </c>
    </row>
    <row r="37" spans="1:7" x14ac:dyDescent="0.25">
      <c r="A37">
        <v>2303</v>
      </c>
      <c r="B37">
        <v>4</v>
      </c>
      <c r="C37">
        <v>4</v>
      </c>
      <c r="D37">
        <v>3</v>
      </c>
      <c r="E37">
        <v>4</v>
      </c>
      <c r="F37">
        <v>3</v>
      </c>
      <c r="G37">
        <v>3.75</v>
      </c>
    </row>
    <row r="38" spans="1:7" x14ac:dyDescent="0.25">
      <c r="A38">
        <v>2358</v>
      </c>
      <c r="B38">
        <v>1</v>
      </c>
      <c r="C38">
        <v>1</v>
      </c>
      <c r="D38">
        <v>3</v>
      </c>
      <c r="E38">
        <v>0</v>
      </c>
      <c r="F38">
        <v>3</v>
      </c>
      <c r="G38">
        <v>1.25</v>
      </c>
    </row>
    <row r="39" spans="1:7" x14ac:dyDescent="0.25">
      <c r="A39">
        <v>2362</v>
      </c>
      <c r="B39">
        <v>2</v>
      </c>
      <c r="C39">
        <v>2</v>
      </c>
      <c r="D39">
        <v>1</v>
      </c>
      <c r="E39">
        <v>1</v>
      </c>
      <c r="F39">
        <v>3</v>
      </c>
      <c r="G39">
        <v>1.5</v>
      </c>
    </row>
    <row r="40" spans="1:7" x14ac:dyDescent="0.25">
      <c r="A40">
        <v>2439</v>
      </c>
      <c r="B40">
        <v>0</v>
      </c>
      <c r="C40">
        <v>3</v>
      </c>
      <c r="D40">
        <v>3</v>
      </c>
      <c r="E40">
        <v>3</v>
      </c>
      <c r="F40">
        <v>2</v>
      </c>
      <c r="G40">
        <v>2.25</v>
      </c>
    </row>
    <row r="41" spans="1:7" x14ac:dyDescent="0.25">
      <c r="A41">
        <v>2457</v>
      </c>
      <c r="B41">
        <v>4</v>
      </c>
      <c r="C41">
        <v>3</v>
      </c>
      <c r="D41">
        <v>2</v>
      </c>
      <c r="E41">
        <v>3</v>
      </c>
      <c r="F41">
        <v>3</v>
      </c>
      <c r="G41">
        <v>3</v>
      </c>
    </row>
    <row r="42" spans="1:7" x14ac:dyDescent="0.25">
      <c r="A42">
        <v>2494</v>
      </c>
      <c r="B42">
        <v>3</v>
      </c>
      <c r="C42">
        <v>3</v>
      </c>
      <c r="D42">
        <v>0</v>
      </c>
      <c r="E42">
        <v>2</v>
      </c>
      <c r="F42">
        <v>3</v>
      </c>
      <c r="G42">
        <v>2</v>
      </c>
    </row>
    <row r="43" spans="1:7" x14ac:dyDescent="0.25">
      <c r="A43">
        <v>2521</v>
      </c>
      <c r="B43">
        <v>3</v>
      </c>
      <c r="C43">
        <v>2</v>
      </c>
      <c r="D43">
        <v>2</v>
      </c>
      <c r="E43">
        <v>2</v>
      </c>
      <c r="F43">
        <v>4</v>
      </c>
      <c r="G43">
        <v>2.25</v>
      </c>
    </row>
    <row r="44" spans="1:7" x14ac:dyDescent="0.25">
      <c r="A44">
        <v>2533</v>
      </c>
      <c r="B44">
        <v>1</v>
      </c>
      <c r="C44">
        <v>1</v>
      </c>
      <c r="D44">
        <v>2</v>
      </c>
      <c r="E44">
        <v>1</v>
      </c>
      <c r="F44">
        <v>3</v>
      </c>
      <c r="G44">
        <v>1.25</v>
      </c>
    </row>
    <row r="45" spans="1:7" x14ac:dyDescent="0.25">
      <c r="A45">
        <v>2540</v>
      </c>
      <c r="B45">
        <v>4</v>
      </c>
      <c r="C45">
        <v>4</v>
      </c>
      <c r="D45">
        <v>3</v>
      </c>
      <c r="E45">
        <v>2</v>
      </c>
      <c r="F45">
        <v>3</v>
      </c>
      <c r="G45">
        <v>3.25</v>
      </c>
    </row>
    <row r="46" spans="1:7" x14ac:dyDescent="0.25">
      <c r="A46">
        <v>2575</v>
      </c>
      <c r="B46">
        <v>4</v>
      </c>
      <c r="C46">
        <v>4</v>
      </c>
      <c r="D46">
        <v>3</v>
      </c>
      <c r="E46">
        <v>4</v>
      </c>
      <c r="F46">
        <v>3</v>
      </c>
      <c r="G46">
        <v>3.75</v>
      </c>
    </row>
    <row r="47" spans="1:7" x14ac:dyDescent="0.25">
      <c r="A47">
        <v>2625</v>
      </c>
      <c r="B47">
        <v>1</v>
      </c>
      <c r="C47">
        <v>2</v>
      </c>
      <c r="D47">
        <v>1</v>
      </c>
      <c r="E47">
        <v>3</v>
      </c>
      <c r="F47">
        <v>3</v>
      </c>
      <c r="G47">
        <v>1.75</v>
      </c>
    </row>
    <row r="48" spans="1:7" x14ac:dyDescent="0.25">
      <c r="A48">
        <v>2634</v>
      </c>
      <c r="B48">
        <v>3</v>
      </c>
      <c r="C48">
        <v>2</v>
      </c>
      <c r="D48">
        <v>1</v>
      </c>
      <c r="E48">
        <v>1</v>
      </c>
      <c r="F48">
        <v>3</v>
      </c>
      <c r="G48">
        <v>1.75</v>
      </c>
    </row>
    <row r="49" spans="1:7" x14ac:dyDescent="0.25">
      <c r="A49">
        <v>2643</v>
      </c>
      <c r="B49">
        <v>2</v>
      </c>
      <c r="C49">
        <v>0</v>
      </c>
      <c r="D49">
        <v>1</v>
      </c>
      <c r="E49">
        <v>2</v>
      </c>
      <c r="F49">
        <v>3</v>
      </c>
      <c r="G49">
        <v>1.25</v>
      </c>
    </row>
    <row r="50" spans="1:7" x14ac:dyDescent="0.25">
      <c r="A50">
        <v>2679</v>
      </c>
      <c r="B50">
        <v>2</v>
      </c>
      <c r="C50">
        <v>2</v>
      </c>
      <c r="D50">
        <v>1</v>
      </c>
      <c r="E50">
        <v>2</v>
      </c>
      <c r="F50">
        <v>3</v>
      </c>
      <c r="G50">
        <v>1.75</v>
      </c>
    </row>
    <row r="51" spans="1:7" x14ac:dyDescent="0.25">
      <c r="A51">
        <v>2688</v>
      </c>
      <c r="B51">
        <v>1</v>
      </c>
      <c r="C51">
        <v>1</v>
      </c>
      <c r="D51">
        <v>1</v>
      </c>
      <c r="E51">
        <v>1</v>
      </c>
      <c r="F51">
        <v>4</v>
      </c>
      <c r="G51">
        <v>1</v>
      </c>
    </row>
    <row r="52" spans="1:7" x14ac:dyDescent="0.25">
      <c r="A52">
        <v>2692</v>
      </c>
      <c r="B52">
        <v>3</v>
      </c>
      <c r="C52">
        <v>2</v>
      </c>
      <c r="D52">
        <v>2</v>
      </c>
      <c r="E52">
        <v>3</v>
      </c>
      <c r="F52">
        <v>3</v>
      </c>
      <c r="G52">
        <v>2.5</v>
      </c>
    </row>
    <row r="53" spans="1:7" x14ac:dyDescent="0.25">
      <c r="A53">
        <v>2703</v>
      </c>
      <c r="B53">
        <v>3</v>
      </c>
      <c r="C53">
        <v>2</v>
      </c>
      <c r="D53">
        <v>2</v>
      </c>
      <c r="E53">
        <v>2</v>
      </c>
      <c r="F53">
        <v>3</v>
      </c>
      <c r="G53">
        <v>2.25</v>
      </c>
    </row>
    <row r="54" spans="1:7" x14ac:dyDescent="0.25">
      <c r="A54">
        <v>2723</v>
      </c>
      <c r="B54">
        <v>4</v>
      </c>
      <c r="C54">
        <v>2</v>
      </c>
      <c r="D54">
        <v>3</v>
      </c>
      <c r="E54">
        <v>2</v>
      </c>
      <c r="F54">
        <v>3</v>
      </c>
      <c r="G54">
        <v>2.75</v>
      </c>
    </row>
    <row r="55" spans="1:7" x14ac:dyDescent="0.25">
      <c r="A55">
        <v>2730</v>
      </c>
      <c r="B55">
        <v>1</v>
      </c>
      <c r="C55">
        <v>1</v>
      </c>
      <c r="D55">
        <v>1</v>
      </c>
      <c r="E55">
        <v>1</v>
      </c>
      <c r="F55">
        <v>3</v>
      </c>
      <c r="G55">
        <v>1</v>
      </c>
    </row>
    <row r="56" spans="1:7" x14ac:dyDescent="0.25">
      <c r="A56">
        <v>2732</v>
      </c>
      <c r="B56">
        <v>1</v>
      </c>
      <c r="C56">
        <v>1</v>
      </c>
      <c r="D56">
        <v>2</v>
      </c>
      <c r="E56">
        <v>2</v>
      </c>
      <c r="F56">
        <v>4</v>
      </c>
      <c r="G56">
        <v>1.5</v>
      </c>
    </row>
    <row r="57" spans="1:7" x14ac:dyDescent="0.25">
      <c r="A57">
        <v>2744</v>
      </c>
      <c r="B57">
        <v>3</v>
      </c>
      <c r="C57">
        <v>2</v>
      </c>
      <c r="D57">
        <v>2</v>
      </c>
      <c r="E57">
        <v>2</v>
      </c>
      <c r="F57">
        <v>3</v>
      </c>
      <c r="G57">
        <v>2.25</v>
      </c>
    </row>
    <row r="58" spans="1:7" x14ac:dyDescent="0.25">
      <c r="A58">
        <v>2760</v>
      </c>
      <c r="B58">
        <v>3</v>
      </c>
      <c r="C58">
        <v>4</v>
      </c>
      <c r="D58">
        <v>3</v>
      </c>
      <c r="E58">
        <v>3</v>
      </c>
      <c r="F58">
        <v>3</v>
      </c>
      <c r="G58">
        <v>3.25</v>
      </c>
    </row>
    <row r="59" spans="1:7" x14ac:dyDescent="0.25">
      <c r="A59">
        <v>2761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 x14ac:dyDescent="0.25">
      <c r="A60">
        <v>2765</v>
      </c>
      <c r="B60">
        <v>1</v>
      </c>
      <c r="C60">
        <v>1</v>
      </c>
      <c r="D60">
        <v>1</v>
      </c>
      <c r="E60">
        <v>1</v>
      </c>
      <c r="F60">
        <v>3</v>
      </c>
      <c r="G60">
        <v>1</v>
      </c>
    </row>
    <row r="61" spans="1:7" x14ac:dyDescent="0.25">
      <c r="A61">
        <v>2791</v>
      </c>
      <c r="B61">
        <v>1</v>
      </c>
      <c r="C61">
        <v>1</v>
      </c>
      <c r="D61">
        <v>1</v>
      </c>
      <c r="E61">
        <v>1</v>
      </c>
      <c r="F61">
        <v>3</v>
      </c>
      <c r="G61">
        <v>1</v>
      </c>
    </row>
    <row r="62" spans="1:7" x14ac:dyDescent="0.25">
      <c r="A62">
        <v>2792</v>
      </c>
      <c r="B62">
        <v>1</v>
      </c>
      <c r="C62">
        <v>1</v>
      </c>
      <c r="D62">
        <v>1</v>
      </c>
      <c r="E62">
        <v>1</v>
      </c>
      <c r="F62">
        <v>3</v>
      </c>
      <c r="G62">
        <v>1</v>
      </c>
    </row>
    <row r="63" spans="1:7" x14ac:dyDescent="0.25">
      <c r="A63">
        <v>2800</v>
      </c>
      <c r="B63">
        <v>2</v>
      </c>
      <c r="C63">
        <v>3</v>
      </c>
      <c r="D63">
        <v>2</v>
      </c>
      <c r="E63">
        <v>2</v>
      </c>
      <c r="F63">
        <v>3</v>
      </c>
      <c r="G63">
        <v>2.25</v>
      </c>
    </row>
    <row r="64" spans="1:7" x14ac:dyDescent="0.25">
      <c r="A64">
        <v>2802</v>
      </c>
      <c r="B64">
        <v>2</v>
      </c>
      <c r="C64">
        <v>1</v>
      </c>
      <c r="D64">
        <v>1</v>
      </c>
      <c r="E64">
        <v>1</v>
      </c>
      <c r="F64">
        <v>3</v>
      </c>
      <c r="G64">
        <v>1.25</v>
      </c>
    </row>
    <row r="65" spans="1:7" x14ac:dyDescent="0.25">
      <c r="A65">
        <v>2822</v>
      </c>
      <c r="B65">
        <v>4</v>
      </c>
      <c r="C65">
        <v>2</v>
      </c>
      <c r="D65">
        <v>3</v>
      </c>
      <c r="E65">
        <v>2</v>
      </c>
      <c r="F65">
        <v>3</v>
      </c>
      <c r="G65">
        <v>2.75</v>
      </c>
    </row>
    <row r="66" spans="1:7" x14ac:dyDescent="0.25">
      <c r="A66">
        <v>2836</v>
      </c>
      <c r="B66">
        <v>1</v>
      </c>
      <c r="C66">
        <v>1</v>
      </c>
      <c r="D66">
        <v>1</v>
      </c>
      <c r="E66">
        <v>1</v>
      </c>
      <c r="F66">
        <v>3</v>
      </c>
      <c r="G66">
        <v>1</v>
      </c>
    </row>
    <row r="67" spans="1:7" x14ac:dyDescent="0.25">
      <c r="A67">
        <v>2856</v>
      </c>
      <c r="B67">
        <v>2</v>
      </c>
      <c r="C67">
        <v>1</v>
      </c>
      <c r="D67">
        <v>1</v>
      </c>
      <c r="E67">
        <v>2</v>
      </c>
      <c r="F67">
        <v>4</v>
      </c>
      <c r="G67">
        <v>1.5</v>
      </c>
    </row>
    <row r="68" spans="1:7" x14ac:dyDescent="0.25">
      <c r="A68">
        <v>2861</v>
      </c>
      <c r="B68">
        <v>4</v>
      </c>
      <c r="C68">
        <v>4</v>
      </c>
      <c r="D68">
        <v>3</v>
      </c>
      <c r="E68">
        <v>3</v>
      </c>
      <c r="F68">
        <v>3</v>
      </c>
      <c r="G68">
        <v>3.5</v>
      </c>
    </row>
    <row r="69" spans="1:7" x14ac:dyDescent="0.25">
      <c r="A69">
        <v>2862</v>
      </c>
      <c r="B69">
        <v>1</v>
      </c>
      <c r="C69">
        <v>3</v>
      </c>
      <c r="D69">
        <v>2</v>
      </c>
      <c r="E69">
        <v>1</v>
      </c>
      <c r="F69">
        <v>3</v>
      </c>
      <c r="G69">
        <v>1.75</v>
      </c>
    </row>
    <row r="70" spans="1:7" x14ac:dyDescent="0.25">
      <c r="A70">
        <v>2863</v>
      </c>
      <c r="B70">
        <v>1</v>
      </c>
      <c r="C70">
        <v>1</v>
      </c>
      <c r="D70">
        <v>1</v>
      </c>
      <c r="E70">
        <v>1</v>
      </c>
      <c r="F70">
        <v>4</v>
      </c>
      <c r="G70">
        <v>1</v>
      </c>
    </row>
    <row r="71" spans="1:7" x14ac:dyDescent="0.25">
      <c r="A71">
        <v>2871</v>
      </c>
      <c r="B71">
        <v>1</v>
      </c>
      <c r="C71">
        <v>1</v>
      </c>
      <c r="D71">
        <v>1</v>
      </c>
      <c r="E71">
        <v>1</v>
      </c>
      <c r="F71">
        <v>3</v>
      </c>
      <c r="G71">
        <v>1</v>
      </c>
    </row>
    <row r="72" spans="1:7" x14ac:dyDescent="0.25">
      <c r="A72">
        <v>2875</v>
      </c>
      <c r="B72">
        <v>1</v>
      </c>
      <c r="C72">
        <v>1</v>
      </c>
      <c r="D72">
        <v>1</v>
      </c>
      <c r="E72">
        <v>1</v>
      </c>
      <c r="F72">
        <v>3</v>
      </c>
      <c r="G72">
        <v>1</v>
      </c>
    </row>
    <row r="73" spans="1:7" x14ac:dyDescent="0.25">
      <c r="A73">
        <v>2886</v>
      </c>
      <c r="B73">
        <v>2</v>
      </c>
      <c r="C73">
        <v>2</v>
      </c>
      <c r="D73">
        <v>3</v>
      </c>
      <c r="E73">
        <v>3</v>
      </c>
      <c r="F73">
        <v>2</v>
      </c>
      <c r="G73">
        <v>2.5</v>
      </c>
    </row>
    <row r="74" spans="1:7" x14ac:dyDescent="0.25">
      <c r="A74">
        <v>2887</v>
      </c>
      <c r="B74">
        <v>3</v>
      </c>
      <c r="C74">
        <v>4</v>
      </c>
      <c r="D74">
        <v>3</v>
      </c>
      <c r="E74">
        <v>3</v>
      </c>
      <c r="F74">
        <v>3</v>
      </c>
      <c r="G74">
        <v>3.25</v>
      </c>
    </row>
    <row r="75" spans="1:7" x14ac:dyDescent="0.25">
      <c r="A75">
        <v>2889</v>
      </c>
      <c r="B75">
        <v>3</v>
      </c>
      <c r="C75">
        <v>3</v>
      </c>
      <c r="D75">
        <v>3</v>
      </c>
      <c r="E75">
        <v>2</v>
      </c>
      <c r="F75">
        <v>3</v>
      </c>
      <c r="G75">
        <v>2.75</v>
      </c>
    </row>
    <row r="76" spans="1:7" x14ac:dyDescent="0.25">
      <c r="A76">
        <v>2892</v>
      </c>
      <c r="B76">
        <v>3</v>
      </c>
      <c r="C76">
        <v>3</v>
      </c>
      <c r="D76">
        <v>1</v>
      </c>
      <c r="E76">
        <v>2</v>
      </c>
      <c r="F76">
        <v>3</v>
      </c>
      <c r="G76">
        <v>2.25</v>
      </c>
    </row>
    <row r="77" spans="1:7" x14ac:dyDescent="0.25">
      <c r="A77">
        <v>2898</v>
      </c>
      <c r="B77">
        <v>1</v>
      </c>
      <c r="C77">
        <v>1</v>
      </c>
      <c r="D77">
        <v>2</v>
      </c>
      <c r="E77">
        <v>2</v>
      </c>
      <c r="F77">
        <v>3</v>
      </c>
      <c r="G77">
        <v>1.5</v>
      </c>
    </row>
    <row r="78" spans="1:7" x14ac:dyDescent="0.25">
      <c r="A78">
        <v>2904</v>
      </c>
      <c r="B78">
        <v>3</v>
      </c>
      <c r="C78">
        <v>3</v>
      </c>
      <c r="D78">
        <v>2</v>
      </c>
      <c r="E78">
        <v>3</v>
      </c>
      <c r="F78">
        <v>2</v>
      </c>
      <c r="G78">
        <v>2.75</v>
      </c>
    </row>
    <row r="79" spans="1:7" x14ac:dyDescent="0.25">
      <c r="A79">
        <v>2924</v>
      </c>
      <c r="B79">
        <v>2</v>
      </c>
      <c r="C79">
        <v>4</v>
      </c>
      <c r="D79">
        <v>3</v>
      </c>
      <c r="E79">
        <v>3</v>
      </c>
      <c r="F79">
        <v>3</v>
      </c>
      <c r="G79">
        <v>3</v>
      </c>
    </row>
    <row r="80" spans="1:7" x14ac:dyDescent="0.25">
      <c r="A80">
        <v>2925</v>
      </c>
      <c r="B80">
        <v>4</v>
      </c>
      <c r="C80">
        <v>4</v>
      </c>
      <c r="D80">
        <v>4</v>
      </c>
      <c r="E80">
        <v>3</v>
      </c>
      <c r="F80">
        <v>4</v>
      </c>
      <c r="G80">
        <v>3.75</v>
      </c>
    </row>
    <row r="81" spans="1:7" x14ac:dyDescent="0.25">
      <c r="A81">
        <v>2931</v>
      </c>
      <c r="B81">
        <v>3</v>
      </c>
      <c r="C81">
        <v>2</v>
      </c>
      <c r="D81">
        <v>3</v>
      </c>
      <c r="E81">
        <v>3</v>
      </c>
      <c r="F81">
        <v>3</v>
      </c>
      <c r="G81">
        <v>2.75</v>
      </c>
    </row>
    <row r="82" spans="1:7" x14ac:dyDescent="0.25">
      <c r="A82">
        <v>2935</v>
      </c>
      <c r="B82">
        <v>2</v>
      </c>
      <c r="C82">
        <v>2</v>
      </c>
      <c r="D82">
        <v>1</v>
      </c>
      <c r="E82">
        <v>2</v>
      </c>
      <c r="F82">
        <v>2</v>
      </c>
      <c r="G82">
        <v>1.75</v>
      </c>
    </row>
    <row r="83" spans="1:7" x14ac:dyDescent="0.25">
      <c r="A83">
        <v>2936</v>
      </c>
      <c r="B83">
        <v>2</v>
      </c>
      <c r="C83">
        <v>1</v>
      </c>
      <c r="D83">
        <v>1</v>
      </c>
      <c r="E83">
        <v>0</v>
      </c>
      <c r="F83">
        <v>3</v>
      </c>
      <c r="G83">
        <v>1</v>
      </c>
    </row>
    <row r="84" spans="1:7" x14ac:dyDescent="0.25">
      <c r="A84">
        <v>2943</v>
      </c>
      <c r="B84">
        <v>3</v>
      </c>
      <c r="C84">
        <v>4</v>
      </c>
      <c r="D84">
        <v>4</v>
      </c>
      <c r="E84">
        <v>3</v>
      </c>
      <c r="F84">
        <v>3</v>
      </c>
      <c r="G84">
        <v>3.5</v>
      </c>
    </row>
    <row r="85" spans="1:7" x14ac:dyDescent="0.25">
      <c r="A85">
        <v>2944</v>
      </c>
      <c r="B85">
        <v>0</v>
      </c>
      <c r="C85">
        <v>4</v>
      </c>
      <c r="D85">
        <v>4</v>
      </c>
      <c r="E85">
        <v>4</v>
      </c>
      <c r="F85">
        <v>3</v>
      </c>
      <c r="G85">
        <v>3</v>
      </c>
    </row>
    <row r="86" spans="1:7" x14ac:dyDescent="0.25">
      <c r="A86">
        <v>2947</v>
      </c>
      <c r="B86">
        <v>3</v>
      </c>
      <c r="C86">
        <v>4</v>
      </c>
      <c r="D86">
        <v>3</v>
      </c>
      <c r="E86">
        <v>3</v>
      </c>
      <c r="F86">
        <v>3</v>
      </c>
      <c r="G86">
        <v>3.25</v>
      </c>
    </row>
    <row r="87" spans="1:7" x14ac:dyDescent="0.25">
      <c r="A87">
        <v>2952</v>
      </c>
      <c r="B87">
        <v>2</v>
      </c>
      <c r="C87">
        <v>4</v>
      </c>
      <c r="D87">
        <v>3</v>
      </c>
      <c r="E87">
        <v>0</v>
      </c>
      <c r="F87">
        <v>4</v>
      </c>
      <c r="G87">
        <v>2.25</v>
      </c>
    </row>
    <row r="88" spans="1:7" x14ac:dyDescent="0.25">
      <c r="A88">
        <v>2954</v>
      </c>
      <c r="B88">
        <v>4</v>
      </c>
      <c r="C88">
        <v>2</v>
      </c>
      <c r="D88">
        <v>3</v>
      </c>
      <c r="E88">
        <v>3</v>
      </c>
      <c r="F88">
        <v>3</v>
      </c>
      <c r="G88">
        <v>3</v>
      </c>
    </row>
    <row r="89" spans="1:7" x14ac:dyDescent="0.25">
      <c r="A89">
        <v>2962</v>
      </c>
      <c r="B89">
        <v>3</v>
      </c>
      <c r="C89">
        <v>2</v>
      </c>
      <c r="D89">
        <v>3</v>
      </c>
      <c r="E89">
        <v>3</v>
      </c>
      <c r="F89">
        <v>3</v>
      </c>
      <c r="G89">
        <v>2.75</v>
      </c>
    </row>
    <row r="90" spans="1:7" x14ac:dyDescent="0.25">
      <c r="A90">
        <v>2963</v>
      </c>
      <c r="B90">
        <v>1</v>
      </c>
      <c r="C90">
        <v>2</v>
      </c>
      <c r="D90">
        <v>3</v>
      </c>
      <c r="E90">
        <v>3</v>
      </c>
      <c r="F90">
        <v>3</v>
      </c>
      <c r="G90">
        <v>2.25</v>
      </c>
    </row>
    <row r="91" spans="1:7" x14ac:dyDescent="0.25">
      <c r="A91">
        <v>2964</v>
      </c>
      <c r="B91">
        <v>2</v>
      </c>
      <c r="C91">
        <v>2</v>
      </c>
      <c r="D91">
        <v>3</v>
      </c>
      <c r="E91">
        <v>2</v>
      </c>
      <c r="F91">
        <v>3</v>
      </c>
      <c r="G91">
        <v>2.25</v>
      </c>
    </row>
    <row r="92" spans="1:7" x14ac:dyDescent="0.25">
      <c r="A92">
        <v>2969</v>
      </c>
      <c r="B92">
        <v>0</v>
      </c>
      <c r="C92">
        <v>0</v>
      </c>
      <c r="D92">
        <v>2</v>
      </c>
      <c r="E92">
        <v>2</v>
      </c>
      <c r="F92">
        <v>3</v>
      </c>
      <c r="G92">
        <v>1</v>
      </c>
    </row>
    <row r="93" spans="1:7" x14ac:dyDescent="0.25">
      <c r="A93">
        <v>2971</v>
      </c>
      <c r="B93">
        <v>0</v>
      </c>
      <c r="C93">
        <v>3</v>
      </c>
      <c r="D93">
        <v>2</v>
      </c>
      <c r="E93">
        <v>2</v>
      </c>
      <c r="F93">
        <v>4</v>
      </c>
      <c r="G93">
        <v>1.75</v>
      </c>
    </row>
    <row r="94" spans="1:7" x14ac:dyDescent="0.25">
      <c r="A94">
        <v>2973</v>
      </c>
      <c r="B94">
        <v>3</v>
      </c>
      <c r="C94">
        <v>3</v>
      </c>
      <c r="D94">
        <v>3</v>
      </c>
      <c r="E94">
        <v>1</v>
      </c>
      <c r="F94">
        <v>3</v>
      </c>
      <c r="G94">
        <v>2.5</v>
      </c>
    </row>
    <row r="95" spans="1:7" x14ac:dyDescent="0.25">
      <c r="A95">
        <v>2979</v>
      </c>
      <c r="B95">
        <v>4</v>
      </c>
      <c r="C95">
        <v>0</v>
      </c>
      <c r="D95">
        <v>4</v>
      </c>
      <c r="E95">
        <v>0</v>
      </c>
      <c r="F95">
        <v>3</v>
      </c>
      <c r="G95">
        <v>2</v>
      </c>
    </row>
    <row r="96" spans="1:7" x14ac:dyDescent="0.25">
      <c r="A96">
        <v>2981</v>
      </c>
      <c r="B96">
        <v>2</v>
      </c>
      <c r="C96">
        <v>2</v>
      </c>
      <c r="D96">
        <v>3</v>
      </c>
      <c r="E96">
        <v>2</v>
      </c>
      <c r="F96">
        <v>3</v>
      </c>
      <c r="G96">
        <v>2.25</v>
      </c>
    </row>
    <row r="97" spans="1:7" x14ac:dyDescent="0.25">
      <c r="A97">
        <v>2987</v>
      </c>
      <c r="B97">
        <v>2</v>
      </c>
      <c r="C97">
        <v>1</v>
      </c>
      <c r="D97">
        <v>1</v>
      </c>
      <c r="E97">
        <v>1</v>
      </c>
      <c r="F97">
        <v>3</v>
      </c>
      <c r="G97">
        <v>1.25</v>
      </c>
    </row>
    <row r="98" spans="1:7" x14ac:dyDescent="0.25">
      <c r="A98">
        <v>2988</v>
      </c>
      <c r="B98">
        <v>3</v>
      </c>
      <c r="C98">
        <v>3</v>
      </c>
      <c r="D98">
        <v>2</v>
      </c>
      <c r="E98">
        <v>3</v>
      </c>
      <c r="F98">
        <v>3</v>
      </c>
      <c r="G98">
        <v>2.75</v>
      </c>
    </row>
    <row r="99" spans="1:7" x14ac:dyDescent="0.25">
      <c r="A99">
        <v>2996</v>
      </c>
      <c r="B99">
        <v>4</v>
      </c>
      <c r="C99">
        <v>4</v>
      </c>
      <c r="D99">
        <v>3</v>
      </c>
      <c r="E99">
        <v>4</v>
      </c>
      <c r="F99">
        <v>4</v>
      </c>
      <c r="G99">
        <v>3.75</v>
      </c>
    </row>
    <row r="100" spans="1:7" x14ac:dyDescent="0.25">
      <c r="A100">
        <v>2997</v>
      </c>
      <c r="B100">
        <v>3</v>
      </c>
      <c r="C100">
        <v>2</v>
      </c>
      <c r="D100">
        <v>3</v>
      </c>
      <c r="E100">
        <v>3</v>
      </c>
      <c r="F100">
        <v>2</v>
      </c>
      <c r="G100">
        <v>2.75</v>
      </c>
    </row>
    <row r="101" spans="1:7" x14ac:dyDescent="0.25">
      <c r="A101">
        <v>3004</v>
      </c>
      <c r="B101">
        <v>2</v>
      </c>
      <c r="C101">
        <v>2</v>
      </c>
      <c r="D101">
        <v>2</v>
      </c>
      <c r="E101">
        <v>2</v>
      </c>
      <c r="F101">
        <v>3</v>
      </c>
      <c r="G101">
        <v>2</v>
      </c>
    </row>
    <row r="102" spans="1:7" x14ac:dyDescent="0.25">
      <c r="A102">
        <v>3007</v>
      </c>
      <c r="B102">
        <v>1</v>
      </c>
      <c r="C102">
        <v>2</v>
      </c>
      <c r="D102">
        <v>0</v>
      </c>
      <c r="E102">
        <v>1</v>
      </c>
      <c r="F102">
        <v>3</v>
      </c>
      <c r="G102">
        <v>1</v>
      </c>
    </row>
    <row r="103" spans="1:7" x14ac:dyDescent="0.25">
      <c r="A103">
        <v>3008</v>
      </c>
      <c r="B103">
        <v>1</v>
      </c>
      <c r="C103">
        <v>1</v>
      </c>
      <c r="D103">
        <v>1</v>
      </c>
      <c r="E103">
        <v>1</v>
      </c>
      <c r="F103">
        <v>3</v>
      </c>
      <c r="G103">
        <v>1</v>
      </c>
    </row>
    <row r="104" spans="1:7" x14ac:dyDescent="0.25">
      <c r="A104">
        <v>3009</v>
      </c>
      <c r="B104">
        <v>1</v>
      </c>
      <c r="C104">
        <v>1</v>
      </c>
      <c r="D104">
        <v>3</v>
      </c>
      <c r="E104">
        <v>3</v>
      </c>
      <c r="F104">
        <v>3</v>
      </c>
      <c r="G104">
        <v>2</v>
      </c>
    </row>
    <row r="105" spans="1:7" x14ac:dyDescent="0.25">
      <c r="A105">
        <v>3015</v>
      </c>
      <c r="B105">
        <v>1</v>
      </c>
      <c r="C105">
        <v>2</v>
      </c>
      <c r="D105">
        <v>2</v>
      </c>
      <c r="E105">
        <v>2</v>
      </c>
      <c r="F105">
        <v>3</v>
      </c>
      <c r="G105">
        <v>1.75</v>
      </c>
    </row>
    <row r="106" spans="1:7" x14ac:dyDescent="0.25">
      <c r="A106">
        <v>3020</v>
      </c>
      <c r="B106">
        <v>2</v>
      </c>
      <c r="C106">
        <v>4</v>
      </c>
      <c r="D106">
        <v>1</v>
      </c>
      <c r="E106">
        <v>1</v>
      </c>
      <c r="F106">
        <v>4</v>
      </c>
      <c r="G106">
        <v>2</v>
      </c>
    </row>
    <row r="107" spans="1:7" x14ac:dyDescent="0.25">
      <c r="A107">
        <v>3023</v>
      </c>
      <c r="B107">
        <v>1</v>
      </c>
      <c r="C107">
        <v>0</v>
      </c>
      <c r="D107">
        <v>1</v>
      </c>
      <c r="E107">
        <v>1</v>
      </c>
      <c r="F107">
        <v>3</v>
      </c>
      <c r="G107">
        <v>0.75</v>
      </c>
    </row>
    <row r="108" spans="1:7" x14ac:dyDescent="0.25">
      <c r="A108">
        <v>3025</v>
      </c>
      <c r="B108">
        <v>4</v>
      </c>
      <c r="C108">
        <v>3</v>
      </c>
      <c r="D108">
        <v>3</v>
      </c>
      <c r="E108">
        <v>3</v>
      </c>
      <c r="F108">
        <v>3</v>
      </c>
      <c r="G108">
        <v>3.25</v>
      </c>
    </row>
    <row r="109" spans="1:7" x14ac:dyDescent="0.25">
      <c r="A109">
        <v>3028</v>
      </c>
      <c r="B109">
        <v>3</v>
      </c>
      <c r="C109">
        <v>3</v>
      </c>
      <c r="D109">
        <v>2</v>
      </c>
      <c r="E109">
        <v>3</v>
      </c>
      <c r="F109">
        <v>4</v>
      </c>
      <c r="G109">
        <v>2.75</v>
      </c>
    </row>
    <row r="110" spans="1:7" x14ac:dyDescent="0.25">
      <c r="A110">
        <v>3034</v>
      </c>
      <c r="B110">
        <v>4</v>
      </c>
      <c r="C110">
        <v>2</v>
      </c>
      <c r="D110">
        <v>3</v>
      </c>
      <c r="E110">
        <v>3</v>
      </c>
      <c r="F110">
        <v>3</v>
      </c>
      <c r="G110">
        <v>3</v>
      </c>
    </row>
    <row r="111" spans="1:7" x14ac:dyDescent="0.25">
      <c r="A111">
        <v>3053</v>
      </c>
      <c r="B111">
        <v>3</v>
      </c>
      <c r="C111">
        <v>3</v>
      </c>
      <c r="D111">
        <v>3</v>
      </c>
      <c r="E111">
        <v>3</v>
      </c>
      <c r="F111">
        <v>3</v>
      </c>
      <c r="G111">
        <v>3</v>
      </c>
    </row>
    <row r="112" spans="1:7" x14ac:dyDescent="0.25">
      <c r="A112">
        <v>3054</v>
      </c>
      <c r="B112">
        <v>0</v>
      </c>
      <c r="C112">
        <v>0</v>
      </c>
      <c r="D112">
        <v>4</v>
      </c>
      <c r="E112">
        <v>4</v>
      </c>
      <c r="F112">
        <v>3</v>
      </c>
      <c r="G112">
        <v>2</v>
      </c>
    </row>
    <row r="113" spans="1:7" x14ac:dyDescent="0.25">
      <c r="A113">
        <v>3060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</row>
    <row r="114" spans="1:7" x14ac:dyDescent="0.25">
      <c r="A114">
        <v>3064</v>
      </c>
      <c r="B114">
        <v>2</v>
      </c>
      <c r="C114">
        <v>2</v>
      </c>
      <c r="D114">
        <v>3</v>
      </c>
      <c r="E114">
        <v>2</v>
      </c>
      <c r="F114">
        <v>3</v>
      </c>
      <c r="G114">
        <v>2.25</v>
      </c>
    </row>
    <row r="115" spans="1:7" x14ac:dyDescent="0.25">
      <c r="A115">
        <v>3066</v>
      </c>
      <c r="B115">
        <v>3</v>
      </c>
      <c r="C115">
        <v>2</v>
      </c>
      <c r="D115">
        <v>3</v>
      </c>
      <c r="E115">
        <v>3</v>
      </c>
      <c r="F115">
        <v>2</v>
      </c>
      <c r="G115">
        <v>2.75</v>
      </c>
    </row>
    <row r="116" spans="1:7" x14ac:dyDescent="0.25">
      <c r="A116">
        <v>3070</v>
      </c>
      <c r="B116">
        <v>4</v>
      </c>
      <c r="C116">
        <v>3</v>
      </c>
      <c r="D116">
        <v>3</v>
      </c>
      <c r="E116">
        <v>0</v>
      </c>
      <c r="F116">
        <v>3</v>
      </c>
      <c r="G116">
        <v>2.5</v>
      </c>
    </row>
    <row r="117" spans="1:7" x14ac:dyDescent="0.25">
      <c r="A117">
        <v>3072</v>
      </c>
      <c r="B117">
        <v>2</v>
      </c>
      <c r="C117">
        <v>1</v>
      </c>
      <c r="D117">
        <v>1</v>
      </c>
      <c r="E117">
        <v>1</v>
      </c>
      <c r="F117">
        <v>3</v>
      </c>
      <c r="G117">
        <v>1.25</v>
      </c>
    </row>
    <row r="118" spans="1:7" x14ac:dyDescent="0.25">
      <c r="A118">
        <v>3074</v>
      </c>
      <c r="B118">
        <v>3</v>
      </c>
      <c r="C118">
        <v>3</v>
      </c>
      <c r="D118">
        <v>3</v>
      </c>
      <c r="E118">
        <v>3</v>
      </c>
      <c r="F118">
        <v>3</v>
      </c>
      <c r="G118">
        <v>3</v>
      </c>
    </row>
    <row r="119" spans="1:7" x14ac:dyDescent="0.25">
      <c r="A119">
        <v>3075</v>
      </c>
      <c r="B119">
        <v>0</v>
      </c>
      <c r="C119">
        <v>2</v>
      </c>
      <c r="D119">
        <v>1</v>
      </c>
      <c r="E119">
        <v>1</v>
      </c>
      <c r="F119">
        <v>3</v>
      </c>
      <c r="G119">
        <v>1</v>
      </c>
    </row>
    <row r="120" spans="1:7" x14ac:dyDescent="0.25">
      <c r="A120">
        <v>3095</v>
      </c>
      <c r="B120">
        <v>3</v>
      </c>
      <c r="C120">
        <v>3</v>
      </c>
      <c r="D120">
        <v>3</v>
      </c>
      <c r="E120">
        <v>3</v>
      </c>
      <c r="F120">
        <v>2</v>
      </c>
      <c r="G120">
        <v>3</v>
      </c>
    </row>
    <row r="121" spans="1:7" x14ac:dyDescent="0.25">
      <c r="A121">
        <v>3105</v>
      </c>
      <c r="B121">
        <v>3</v>
      </c>
      <c r="C121">
        <v>3</v>
      </c>
      <c r="D121">
        <v>1</v>
      </c>
      <c r="E121">
        <v>1</v>
      </c>
      <c r="F121">
        <v>3</v>
      </c>
      <c r="G121">
        <v>2</v>
      </c>
    </row>
    <row r="122" spans="1:7" x14ac:dyDescent="0.25">
      <c r="A122">
        <v>3122</v>
      </c>
      <c r="B122">
        <v>3</v>
      </c>
      <c r="C122">
        <v>4</v>
      </c>
      <c r="D122">
        <v>2</v>
      </c>
      <c r="E122">
        <v>3</v>
      </c>
      <c r="F122">
        <v>3</v>
      </c>
      <c r="G122">
        <v>3</v>
      </c>
    </row>
    <row r="123" spans="1:7" x14ac:dyDescent="0.25">
      <c r="A123">
        <v>3123</v>
      </c>
      <c r="B123">
        <v>2</v>
      </c>
      <c r="C123">
        <v>1</v>
      </c>
      <c r="D123">
        <v>0</v>
      </c>
      <c r="E123">
        <v>1</v>
      </c>
      <c r="F123">
        <v>3</v>
      </c>
      <c r="G123">
        <v>1</v>
      </c>
    </row>
    <row r="124" spans="1:7" x14ac:dyDescent="0.25">
      <c r="A124">
        <v>3150</v>
      </c>
      <c r="B124">
        <v>3</v>
      </c>
      <c r="C124">
        <v>3</v>
      </c>
      <c r="D124">
        <v>2</v>
      </c>
      <c r="E124">
        <v>2</v>
      </c>
      <c r="F124">
        <v>2</v>
      </c>
      <c r="G124">
        <v>2.5</v>
      </c>
    </row>
    <row r="125" spans="1:7" x14ac:dyDescent="0.25">
      <c r="A125">
        <v>3153</v>
      </c>
      <c r="B125">
        <v>2</v>
      </c>
      <c r="C125">
        <v>1</v>
      </c>
      <c r="D125">
        <v>1</v>
      </c>
      <c r="E125">
        <v>1</v>
      </c>
      <c r="F125">
        <v>3</v>
      </c>
      <c r="G125">
        <v>1.25</v>
      </c>
    </row>
    <row r="126" spans="1:7" x14ac:dyDescent="0.25">
      <c r="A126">
        <v>3155</v>
      </c>
      <c r="B126">
        <v>3</v>
      </c>
      <c r="C126">
        <v>3</v>
      </c>
      <c r="D126">
        <v>2</v>
      </c>
      <c r="E126">
        <v>1</v>
      </c>
      <c r="F126">
        <v>2</v>
      </c>
      <c r="G126">
        <v>2.25</v>
      </c>
    </row>
    <row r="127" spans="1:7" x14ac:dyDescent="0.25">
      <c r="A127">
        <v>3159</v>
      </c>
      <c r="B127">
        <v>4</v>
      </c>
      <c r="C127">
        <v>4</v>
      </c>
      <c r="D127">
        <v>3</v>
      </c>
      <c r="E127">
        <v>3</v>
      </c>
      <c r="F127">
        <v>3</v>
      </c>
      <c r="G127">
        <v>3.5</v>
      </c>
    </row>
    <row r="128" spans="1:7" x14ac:dyDescent="0.25">
      <c r="A128">
        <v>3160</v>
      </c>
      <c r="B128">
        <v>0</v>
      </c>
      <c r="C128">
        <v>2</v>
      </c>
      <c r="D128">
        <v>1</v>
      </c>
      <c r="E128">
        <v>1</v>
      </c>
      <c r="F128">
        <v>3</v>
      </c>
      <c r="G128">
        <v>1</v>
      </c>
    </row>
    <row r="129" spans="1:7" x14ac:dyDescent="0.25">
      <c r="A129">
        <v>3163</v>
      </c>
      <c r="B129">
        <v>4</v>
      </c>
      <c r="C129">
        <v>4</v>
      </c>
      <c r="D129">
        <v>4</v>
      </c>
      <c r="E129">
        <v>4</v>
      </c>
      <c r="F129">
        <v>3</v>
      </c>
      <c r="G129">
        <v>4</v>
      </c>
    </row>
    <row r="130" spans="1:7" x14ac:dyDescent="0.25">
      <c r="A130">
        <v>3164</v>
      </c>
      <c r="B130">
        <v>2</v>
      </c>
      <c r="C130">
        <v>2</v>
      </c>
      <c r="D130">
        <v>1</v>
      </c>
      <c r="E130">
        <v>1</v>
      </c>
      <c r="F130">
        <v>4</v>
      </c>
      <c r="G130">
        <v>1.5</v>
      </c>
    </row>
    <row r="131" spans="1:7" x14ac:dyDescent="0.25">
      <c r="A131">
        <v>3169</v>
      </c>
      <c r="B131">
        <v>2</v>
      </c>
      <c r="C131">
        <v>2</v>
      </c>
      <c r="D131">
        <v>1</v>
      </c>
      <c r="E131">
        <v>3</v>
      </c>
      <c r="F131">
        <v>3</v>
      </c>
      <c r="G131">
        <v>2</v>
      </c>
    </row>
    <row r="132" spans="1:7" x14ac:dyDescent="0.25">
      <c r="A132">
        <v>3174</v>
      </c>
      <c r="B132">
        <v>2</v>
      </c>
      <c r="C132">
        <v>3</v>
      </c>
      <c r="D132">
        <v>2</v>
      </c>
      <c r="E132">
        <v>2</v>
      </c>
      <c r="F132">
        <v>3</v>
      </c>
      <c r="G132">
        <v>2.25</v>
      </c>
    </row>
    <row r="133" spans="1:7" x14ac:dyDescent="0.25">
      <c r="A133">
        <v>3177</v>
      </c>
      <c r="B133">
        <v>3</v>
      </c>
      <c r="C133">
        <v>0</v>
      </c>
      <c r="D133">
        <v>3</v>
      </c>
      <c r="E133">
        <v>3</v>
      </c>
      <c r="F133">
        <v>3</v>
      </c>
      <c r="G133">
        <v>2.25</v>
      </c>
    </row>
    <row r="134" spans="1:7" x14ac:dyDescent="0.25">
      <c r="A134">
        <v>3178</v>
      </c>
      <c r="B134">
        <v>2</v>
      </c>
      <c r="C134">
        <v>1</v>
      </c>
      <c r="D134">
        <v>1</v>
      </c>
      <c r="E134">
        <v>1</v>
      </c>
      <c r="F134">
        <v>3</v>
      </c>
      <c r="G134">
        <v>1.25</v>
      </c>
    </row>
    <row r="135" spans="1:7" x14ac:dyDescent="0.25">
      <c r="A135">
        <v>3186</v>
      </c>
      <c r="B135">
        <v>3</v>
      </c>
      <c r="C135">
        <v>3</v>
      </c>
      <c r="D135">
        <v>3</v>
      </c>
      <c r="E135">
        <v>3</v>
      </c>
      <c r="F135">
        <v>4</v>
      </c>
      <c r="G135">
        <v>3</v>
      </c>
    </row>
    <row r="136" spans="1:7" x14ac:dyDescent="0.25">
      <c r="A136">
        <v>3190</v>
      </c>
      <c r="B136">
        <v>3</v>
      </c>
      <c r="C136">
        <v>2</v>
      </c>
      <c r="D136">
        <v>1</v>
      </c>
      <c r="E136">
        <v>1</v>
      </c>
      <c r="F136">
        <v>3</v>
      </c>
      <c r="G136">
        <v>1.75</v>
      </c>
    </row>
    <row r="137" spans="1:7" x14ac:dyDescent="0.25">
      <c r="A137">
        <v>3193</v>
      </c>
      <c r="B137">
        <v>3</v>
      </c>
      <c r="C137">
        <v>2</v>
      </c>
      <c r="D137">
        <v>2</v>
      </c>
      <c r="E137">
        <v>2</v>
      </c>
      <c r="F137">
        <v>3</v>
      </c>
      <c r="G137">
        <v>2.25</v>
      </c>
    </row>
    <row r="138" spans="1:7" x14ac:dyDescent="0.25">
      <c r="A138">
        <v>3207</v>
      </c>
      <c r="B138">
        <v>2</v>
      </c>
      <c r="C138">
        <v>1</v>
      </c>
      <c r="D138">
        <v>2</v>
      </c>
      <c r="E138">
        <v>2</v>
      </c>
      <c r="F138">
        <v>3</v>
      </c>
      <c r="G138">
        <v>1.75</v>
      </c>
    </row>
    <row r="139" spans="1:7" x14ac:dyDescent="0.25">
      <c r="A139">
        <v>3208</v>
      </c>
      <c r="B139">
        <v>3</v>
      </c>
      <c r="C139">
        <v>1</v>
      </c>
      <c r="D139">
        <v>2</v>
      </c>
      <c r="E139">
        <v>2</v>
      </c>
      <c r="F139">
        <v>3</v>
      </c>
      <c r="G139">
        <v>2</v>
      </c>
    </row>
    <row r="140" spans="1:7" x14ac:dyDescent="0.25">
      <c r="A140">
        <v>3210</v>
      </c>
      <c r="B140">
        <v>2</v>
      </c>
      <c r="C140">
        <v>2</v>
      </c>
      <c r="D140">
        <v>3</v>
      </c>
      <c r="E140">
        <v>3</v>
      </c>
      <c r="F140">
        <v>3</v>
      </c>
      <c r="G140">
        <v>2.5</v>
      </c>
    </row>
    <row r="141" spans="1:7" x14ac:dyDescent="0.25">
      <c r="A141">
        <v>3211</v>
      </c>
      <c r="B141">
        <v>3</v>
      </c>
      <c r="C141">
        <v>3</v>
      </c>
      <c r="D141">
        <v>3</v>
      </c>
      <c r="E141">
        <v>2</v>
      </c>
      <c r="F141">
        <v>3</v>
      </c>
      <c r="G141">
        <v>2.75</v>
      </c>
    </row>
    <row r="142" spans="1:7" x14ac:dyDescent="0.25">
      <c r="A142">
        <v>3213</v>
      </c>
      <c r="B142">
        <v>3</v>
      </c>
      <c r="C142">
        <v>2</v>
      </c>
      <c r="D142">
        <v>2</v>
      </c>
      <c r="E142">
        <v>0</v>
      </c>
      <c r="F142">
        <v>3</v>
      </c>
      <c r="G142">
        <v>1.75</v>
      </c>
    </row>
    <row r="143" spans="1:7" x14ac:dyDescent="0.25">
      <c r="A143">
        <v>3218</v>
      </c>
      <c r="B143">
        <v>4</v>
      </c>
      <c r="C143">
        <v>3</v>
      </c>
      <c r="D143">
        <v>2</v>
      </c>
      <c r="E143">
        <v>2</v>
      </c>
      <c r="F143">
        <v>3</v>
      </c>
      <c r="G143">
        <v>2.75</v>
      </c>
    </row>
    <row r="144" spans="1:7" x14ac:dyDescent="0.25">
      <c r="A144">
        <v>3226</v>
      </c>
      <c r="B144">
        <v>1</v>
      </c>
      <c r="C144">
        <v>3</v>
      </c>
      <c r="D144">
        <v>1</v>
      </c>
      <c r="E144">
        <v>1</v>
      </c>
      <c r="F144">
        <v>3</v>
      </c>
      <c r="G144">
        <v>1.5</v>
      </c>
    </row>
    <row r="145" spans="1:7" x14ac:dyDescent="0.25">
      <c r="A145">
        <v>3238</v>
      </c>
      <c r="B145">
        <v>3</v>
      </c>
      <c r="C145">
        <v>3</v>
      </c>
      <c r="D145">
        <v>3</v>
      </c>
      <c r="E145">
        <v>3</v>
      </c>
      <c r="F145">
        <v>3</v>
      </c>
      <c r="G145">
        <v>3</v>
      </c>
    </row>
    <row r="146" spans="1:7" x14ac:dyDescent="0.25">
      <c r="A146">
        <v>3250</v>
      </c>
      <c r="B146">
        <v>3</v>
      </c>
      <c r="C146">
        <v>3</v>
      </c>
      <c r="D146">
        <v>2</v>
      </c>
      <c r="E146">
        <v>3</v>
      </c>
      <c r="F146">
        <v>3</v>
      </c>
      <c r="G146">
        <v>2.75</v>
      </c>
    </row>
    <row r="147" spans="1:7" x14ac:dyDescent="0.25">
      <c r="A147">
        <v>3254</v>
      </c>
      <c r="B147">
        <v>4</v>
      </c>
      <c r="C147">
        <v>4</v>
      </c>
      <c r="D147">
        <v>3</v>
      </c>
      <c r="E147">
        <v>3</v>
      </c>
      <c r="F147">
        <v>3</v>
      </c>
      <c r="G147">
        <v>3.5</v>
      </c>
    </row>
    <row r="148" spans="1:7" x14ac:dyDescent="0.25">
      <c r="A148">
        <v>3261</v>
      </c>
      <c r="B148">
        <v>2</v>
      </c>
      <c r="C148">
        <v>2</v>
      </c>
      <c r="D148">
        <v>1</v>
      </c>
      <c r="E148">
        <v>2</v>
      </c>
      <c r="F148">
        <v>3</v>
      </c>
      <c r="G148">
        <v>1.75</v>
      </c>
    </row>
    <row r="149" spans="1:7" x14ac:dyDescent="0.25">
      <c r="A149">
        <v>3262</v>
      </c>
      <c r="B149">
        <v>3</v>
      </c>
      <c r="C149">
        <v>4</v>
      </c>
      <c r="D149">
        <v>4</v>
      </c>
      <c r="E149">
        <v>3</v>
      </c>
      <c r="F149">
        <v>3</v>
      </c>
      <c r="G149">
        <v>3.5</v>
      </c>
    </row>
    <row r="150" spans="1:7" x14ac:dyDescent="0.25">
      <c r="A150">
        <v>3263</v>
      </c>
      <c r="B150">
        <v>1</v>
      </c>
      <c r="C150">
        <v>1</v>
      </c>
      <c r="D150">
        <v>1</v>
      </c>
      <c r="E150">
        <v>1</v>
      </c>
      <c r="F150">
        <v>3</v>
      </c>
      <c r="G150">
        <v>1</v>
      </c>
    </row>
    <row r="151" spans="1:7" x14ac:dyDescent="0.25">
      <c r="A151">
        <v>3278</v>
      </c>
      <c r="B151">
        <v>1</v>
      </c>
      <c r="C151">
        <v>1</v>
      </c>
      <c r="D151">
        <v>1</v>
      </c>
      <c r="E151">
        <v>1</v>
      </c>
      <c r="F151">
        <v>3</v>
      </c>
      <c r="G151">
        <v>1</v>
      </c>
    </row>
    <row r="152" spans="1:7" x14ac:dyDescent="0.25">
      <c r="A152">
        <v>3282</v>
      </c>
      <c r="B152">
        <v>4</v>
      </c>
      <c r="C152">
        <v>3</v>
      </c>
      <c r="D152">
        <v>1</v>
      </c>
      <c r="E152">
        <v>3</v>
      </c>
      <c r="F152">
        <v>3</v>
      </c>
      <c r="G152">
        <v>2.75</v>
      </c>
    </row>
    <row r="153" spans="1:7" x14ac:dyDescent="0.25">
      <c r="A153">
        <v>3284</v>
      </c>
      <c r="B153">
        <v>3</v>
      </c>
      <c r="C153">
        <v>3</v>
      </c>
      <c r="D153">
        <v>2</v>
      </c>
      <c r="E153">
        <v>2</v>
      </c>
      <c r="F153">
        <v>3</v>
      </c>
      <c r="G153">
        <v>2.5</v>
      </c>
    </row>
    <row r="154" spans="1:7" x14ac:dyDescent="0.25">
      <c r="A154">
        <v>3288</v>
      </c>
      <c r="B154">
        <v>4</v>
      </c>
      <c r="C154">
        <v>3</v>
      </c>
      <c r="D154">
        <v>4</v>
      </c>
      <c r="E154">
        <v>4</v>
      </c>
      <c r="F154">
        <v>3</v>
      </c>
      <c r="G154">
        <v>3.75</v>
      </c>
    </row>
    <row r="155" spans="1:7" x14ac:dyDescent="0.25">
      <c r="A155">
        <v>3291</v>
      </c>
      <c r="B155">
        <v>2</v>
      </c>
      <c r="C155">
        <v>2</v>
      </c>
      <c r="D155">
        <v>1</v>
      </c>
      <c r="E155">
        <v>1</v>
      </c>
      <c r="F155">
        <v>3</v>
      </c>
      <c r="G155">
        <v>1.5</v>
      </c>
    </row>
    <row r="156" spans="1:7" x14ac:dyDescent="0.25">
      <c r="A156">
        <v>3295</v>
      </c>
      <c r="B156">
        <v>4</v>
      </c>
      <c r="C156">
        <v>3</v>
      </c>
      <c r="D156">
        <v>1</v>
      </c>
      <c r="E156">
        <v>3</v>
      </c>
      <c r="F156">
        <v>3</v>
      </c>
      <c r="G156">
        <v>2.75</v>
      </c>
    </row>
    <row r="157" spans="1:7" x14ac:dyDescent="0.25">
      <c r="A157">
        <v>3297</v>
      </c>
      <c r="B157">
        <v>0</v>
      </c>
      <c r="C157">
        <v>3</v>
      </c>
      <c r="D157">
        <v>1</v>
      </c>
      <c r="E157">
        <v>1</v>
      </c>
      <c r="F157">
        <v>3</v>
      </c>
      <c r="G157">
        <v>1.25</v>
      </c>
    </row>
    <row r="158" spans="1:7" x14ac:dyDescent="0.25">
      <c r="A158">
        <v>3335</v>
      </c>
      <c r="B158">
        <v>1</v>
      </c>
      <c r="C158">
        <v>1</v>
      </c>
      <c r="D158">
        <v>1</v>
      </c>
      <c r="E158">
        <v>1</v>
      </c>
      <c r="F158">
        <v>3</v>
      </c>
      <c r="G158">
        <v>1</v>
      </c>
    </row>
    <row r="159" spans="1:7" x14ac:dyDescent="0.25">
      <c r="A159">
        <v>3338</v>
      </c>
      <c r="B159">
        <v>4</v>
      </c>
      <c r="C159">
        <v>4</v>
      </c>
      <c r="D159">
        <v>4</v>
      </c>
      <c r="E159">
        <v>4</v>
      </c>
      <c r="F159">
        <v>3</v>
      </c>
      <c r="G159">
        <v>4</v>
      </c>
    </row>
    <row r="160" spans="1:7" x14ac:dyDescent="0.25">
      <c r="A160">
        <v>3339</v>
      </c>
      <c r="B160">
        <v>2</v>
      </c>
      <c r="C160">
        <v>2</v>
      </c>
      <c r="D160">
        <v>2</v>
      </c>
      <c r="E160">
        <v>2</v>
      </c>
      <c r="F160">
        <v>3</v>
      </c>
      <c r="G160">
        <v>2</v>
      </c>
    </row>
    <row r="161" spans="1:7" x14ac:dyDescent="0.25">
      <c r="A161">
        <v>3340</v>
      </c>
      <c r="B161">
        <v>3</v>
      </c>
      <c r="C161">
        <v>3</v>
      </c>
      <c r="D161">
        <v>1</v>
      </c>
      <c r="E161">
        <v>1</v>
      </c>
      <c r="F161">
        <v>3</v>
      </c>
      <c r="G161">
        <v>2</v>
      </c>
    </row>
    <row r="162" spans="1:7" x14ac:dyDescent="0.25">
      <c r="A162">
        <v>3341</v>
      </c>
      <c r="B162">
        <v>3</v>
      </c>
      <c r="C162">
        <v>3</v>
      </c>
      <c r="D162">
        <v>1</v>
      </c>
      <c r="E162">
        <v>1</v>
      </c>
      <c r="F162">
        <v>3</v>
      </c>
      <c r="G162">
        <v>2</v>
      </c>
    </row>
    <row r="163" spans="1:7" x14ac:dyDescent="0.25">
      <c r="A163">
        <v>3349</v>
      </c>
      <c r="B163">
        <v>1</v>
      </c>
      <c r="C163">
        <v>1</v>
      </c>
      <c r="D163">
        <v>1</v>
      </c>
      <c r="E163">
        <v>1</v>
      </c>
      <c r="F163">
        <v>3</v>
      </c>
      <c r="G163">
        <v>1</v>
      </c>
    </row>
    <row r="164" spans="1:7" x14ac:dyDescent="0.25">
      <c r="A164">
        <v>3350</v>
      </c>
      <c r="B164">
        <v>1</v>
      </c>
      <c r="C164">
        <v>1</v>
      </c>
      <c r="D164">
        <v>2</v>
      </c>
      <c r="E164">
        <v>1</v>
      </c>
      <c r="F164">
        <v>3</v>
      </c>
      <c r="G164">
        <v>1.25</v>
      </c>
    </row>
    <row r="165" spans="1:7" x14ac:dyDescent="0.25">
      <c r="A165">
        <v>3355</v>
      </c>
      <c r="B165">
        <v>1</v>
      </c>
      <c r="C165">
        <v>1</v>
      </c>
      <c r="D165">
        <v>2</v>
      </c>
      <c r="E165">
        <v>1</v>
      </c>
      <c r="F165">
        <v>2</v>
      </c>
      <c r="G165">
        <v>1.25</v>
      </c>
    </row>
    <row r="166" spans="1:7" x14ac:dyDescent="0.25">
      <c r="A166">
        <v>3357</v>
      </c>
      <c r="B166">
        <v>2</v>
      </c>
      <c r="C166">
        <v>1</v>
      </c>
      <c r="D166">
        <v>2</v>
      </c>
      <c r="E166">
        <v>1</v>
      </c>
      <c r="F166">
        <v>3</v>
      </c>
      <c r="G166">
        <v>1.5</v>
      </c>
    </row>
    <row r="167" spans="1:7" x14ac:dyDescent="0.25">
      <c r="A167">
        <v>3366</v>
      </c>
      <c r="B167">
        <v>3</v>
      </c>
      <c r="C167">
        <v>2</v>
      </c>
      <c r="D167">
        <v>1</v>
      </c>
      <c r="E167">
        <v>1</v>
      </c>
      <c r="F167">
        <v>3</v>
      </c>
      <c r="G167">
        <v>1.75</v>
      </c>
    </row>
    <row r="168" spans="1:7" x14ac:dyDescent="0.25">
      <c r="A168">
        <v>3368</v>
      </c>
      <c r="B168">
        <v>1</v>
      </c>
      <c r="C168">
        <v>2</v>
      </c>
      <c r="D168">
        <v>1</v>
      </c>
      <c r="E168">
        <v>2</v>
      </c>
      <c r="F168">
        <v>4</v>
      </c>
      <c r="G168">
        <v>1.5</v>
      </c>
    </row>
    <row r="169" spans="1:7" x14ac:dyDescent="0.25">
      <c r="A169">
        <v>3370</v>
      </c>
      <c r="B169">
        <v>4</v>
      </c>
      <c r="C169">
        <v>4</v>
      </c>
      <c r="D169">
        <v>3</v>
      </c>
      <c r="E169">
        <v>3</v>
      </c>
      <c r="F169">
        <v>3</v>
      </c>
      <c r="G169">
        <v>3.5</v>
      </c>
    </row>
    <row r="170" spans="1:7" x14ac:dyDescent="0.25">
      <c r="A170">
        <v>3372</v>
      </c>
      <c r="B170">
        <v>4</v>
      </c>
      <c r="C170">
        <v>4</v>
      </c>
      <c r="D170">
        <v>3</v>
      </c>
      <c r="E170">
        <v>3</v>
      </c>
      <c r="F170">
        <v>3</v>
      </c>
      <c r="G170">
        <v>3.5</v>
      </c>
    </row>
    <row r="171" spans="1:7" x14ac:dyDescent="0.25">
      <c r="A171">
        <v>3376</v>
      </c>
      <c r="B171">
        <v>1</v>
      </c>
      <c r="C171">
        <v>1</v>
      </c>
      <c r="D171">
        <v>1</v>
      </c>
      <c r="E171">
        <v>1</v>
      </c>
      <c r="F171">
        <v>3</v>
      </c>
      <c r="G171">
        <v>1</v>
      </c>
    </row>
    <row r="172" spans="1:7" x14ac:dyDescent="0.25">
      <c r="A172">
        <v>3383</v>
      </c>
      <c r="B172">
        <v>2</v>
      </c>
      <c r="C172">
        <v>3</v>
      </c>
      <c r="D172">
        <v>1</v>
      </c>
      <c r="E172">
        <v>2</v>
      </c>
      <c r="F172">
        <v>3</v>
      </c>
      <c r="G172">
        <v>2</v>
      </c>
    </row>
    <row r="173" spans="1:7" x14ac:dyDescent="0.25">
      <c r="A173">
        <v>3384</v>
      </c>
      <c r="B173">
        <v>1</v>
      </c>
      <c r="C173">
        <v>1</v>
      </c>
      <c r="D173">
        <v>1</v>
      </c>
      <c r="E173">
        <v>1</v>
      </c>
      <c r="F173">
        <v>3</v>
      </c>
      <c r="G173">
        <v>1</v>
      </c>
    </row>
    <row r="174" spans="1:7" x14ac:dyDescent="0.25">
      <c r="A174">
        <v>3385</v>
      </c>
      <c r="B174">
        <v>3</v>
      </c>
      <c r="C174">
        <v>4</v>
      </c>
      <c r="D174">
        <v>2</v>
      </c>
      <c r="E174">
        <v>3</v>
      </c>
      <c r="F174">
        <v>3</v>
      </c>
      <c r="G174">
        <v>3</v>
      </c>
    </row>
    <row r="175" spans="1:7" x14ac:dyDescent="0.25">
      <c r="A175">
        <v>3386</v>
      </c>
      <c r="B175">
        <v>3</v>
      </c>
      <c r="C175">
        <v>4</v>
      </c>
      <c r="D175">
        <v>4</v>
      </c>
      <c r="E175">
        <v>3</v>
      </c>
      <c r="F175">
        <v>4</v>
      </c>
      <c r="G175">
        <v>3.5</v>
      </c>
    </row>
    <row r="176" spans="1:7" x14ac:dyDescent="0.25">
      <c r="A176">
        <v>3388</v>
      </c>
      <c r="B176">
        <v>1</v>
      </c>
      <c r="C176">
        <v>1</v>
      </c>
      <c r="D176">
        <v>1</v>
      </c>
      <c r="E176">
        <v>1</v>
      </c>
      <c r="F176">
        <v>3</v>
      </c>
      <c r="G176">
        <v>1</v>
      </c>
    </row>
    <row r="177" spans="1:7" x14ac:dyDescent="0.25">
      <c r="A177">
        <v>3390</v>
      </c>
      <c r="B177">
        <v>3</v>
      </c>
      <c r="C177">
        <v>0</v>
      </c>
      <c r="D177">
        <v>3</v>
      </c>
      <c r="E177">
        <v>3</v>
      </c>
      <c r="F177">
        <v>2</v>
      </c>
      <c r="G177">
        <v>2.25</v>
      </c>
    </row>
    <row r="178" spans="1:7" x14ac:dyDescent="0.25">
      <c r="A178">
        <v>3393</v>
      </c>
      <c r="B178">
        <v>1</v>
      </c>
      <c r="C178">
        <v>2</v>
      </c>
      <c r="D178">
        <v>1</v>
      </c>
      <c r="E178">
        <v>2</v>
      </c>
      <c r="F178">
        <v>4</v>
      </c>
      <c r="G178">
        <v>1.5</v>
      </c>
    </row>
    <row r="179" spans="1:7" x14ac:dyDescent="0.25">
      <c r="A179">
        <v>3394</v>
      </c>
      <c r="B179">
        <v>1</v>
      </c>
      <c r="C179">
        <v>1</v>
      </c>
      <c r="D179">
        <v>2</v>
      </c>
      <c r="E179">
        <v>2</v>
      </c>
      <c r="F179">
        <v>3</v>
      </c>
      <c r="G179">
        <v>1.5</v>
      </c>
    </row>
    <row r="180" spans="1:7" x14ac:dyDescent="0.25">
      <c r="A180">
        <v>3397</v>
      </c>
      <c r="B180">
        <v>3</v>
      </c>
      <c r="C180">
        <v>3</v>
      </c>
      <c r="D180">
        <v>3</v>
      </c>
      <c r="E180">
        <v>3</v>
      </c>
      <c r="F180">
        <v>3</v>
      </c>
      <c r="G180">
        <v>3</v>
      </c>
    </row>
    <row r="181" spans="1:7" x14ac:dyDescent="0.25">
      <c r="A181">
        <v>3401</v>
      </c>
      <c r="B181">
        <v>1</v>
      </c>
      <c r="C181">
        <v>2</v>
      </c>
      <c r="D181">
        <v>1</v>
      </c>
      <c r="E181">
        <v>1</v>
      </c>
      <c r="F181">
        <v>3</v>
      </c>
      <c r="G181">
        <v>1.25</v>
      </c>
    </row>
    <row r="182" spans="1:7" x14ac:dyDescent="0.25">
      <c r="A182">
        <v>3402</v>
      </c>
      <c r="B182">
        <v>3</v>
      </c>
      <c r="C182">
        <v>0</v>
      </c>
      <c r="D182">
        <v>3</v>
      </c>
      <c r="E182">
        <v>3</v>
      </c>
      <c r="F182">
        <v>3</v>
      </c>
      <c r="G182">
        <v>2.25</v>
      </c>
    </row>
    <row r="183" spans="1:7" x14ac:dyDescent="0.25">
      <c r="A183">
        <v>3413</v>
      </c>
      <c r="B183">
        <v>3</v>
      </c>
      <c r="C183">
        <v>3</v>
      </c>
      <c r="D183">
        <v>3</v>
      </c>
      <c r="E183">
        <v>3</v>
      </c>
      <c r="F183">
        <v>3</v>
      </c>
      <c r="G183">
        <v>3</v>
      </c>
    </row>
    <row r="184" spans="1:7" x14ac:dyDescent="0.25">
      <c r="A184">
        <v>3417</v>
      </c>
      <c r="B184">
        <v>1</v>
      </c>
      <c r="C184">
        <v>2</v>
      </c>
      <c r="D184">
        <v>2</v>
      </c>
      <c r="E184">
        <v>2</v>
      </c>
      <c r="F184">
        <v>3</v>
      </c>
      <c r="G184">
        <v>1.75</v>
      </c>
    </row>
    <row r="185" spans="1:7" x14ac:dyDescent="0.25">
      <c r="A185">
        <v>3420</v>
      </c>
      <c r="B185">
        <v>3</v>
      </c>
      <c r="C185">
        <v>4</v>
      </c>
      <c r="D185">
        <v>4</v>
      </c>
      <c r="E185">
        <v>4</v>
      </c>
      <c r="F185">
        <v>3</v>
      </c>
      <c r="G185">
        <v>3.75</v>
      </c>
    </row>
    <row r="186" spans="1:7" x14ac:dyDescent="0.25">
      <c r="A186">
        <v>3421</v>
      </c>
      <c r="B186">
        <v>3</v>
      </c>
      <c r="C186">
        <v>4</v>
      </c>
      <c r="D186">
        <v>2</v>
      </c>
      <c r="E186">
        <v>3</v>
      </c>
      <c r="F186">
        <v>3</v>
      </c>
      <c r="G186">
        <v>3</v>
      </c>
    </row>
    <row r="187" spans="1:7" x14ac:dyDescent="0.25">
      <c r="A187">
        <v>3422</v>
      </c>
      <c r="B187">
        <v>4</v>
      </c>
      <c r="C187">
        <v>4</v>
      </c>
      <c r="D187">
        <v>3</v>
      </c>
      <c r="E187">
        <v>2</v>
      </c>
      <c r="F187">
        <v>2</v>
      </c>
      <c r="G187">
        <v>3.25</v>
      </c>
    </row>
    <row r="188" spans="1:7" x14ac:dyDescent="0.25">
      <c r="A188">
        <v>3424</v>
      </c>
      <c r="B188">
        <v>1</v>
      </c>
      <c r="C188">
        <v>3</v>
      </c>
      <c r="D188">
        <v>1</v>
      </c>
      <c r="E188">
        <v>2</v>
      </c>
      <c r="F188">
        <v>3</v>
      </c>
      <c r="G188">
        <v>1.75</v>
      </c>
    </row>
    <row r="189" spans="1:7" x14ac:dyDescent="0.25">
      <c r="A189">
        <v>3427</v>
      </c>
      <c r="B189">
        <v>1</v>
      </c>
      <c r="C189">
        <v>1</v>
      </c>
      <c r="D189">
        <v>1</v>
      </c>
      <c r="E189">
        <v>1</v>
      </c>
      <c r="F189">
        <v>3</v>
      </c>
      <c r="G189">
        <v>1</v>
      </c>
    </row>
    <row r="190" spans="1:7" x14ac:dyDescent="0.25">
      <c r="A190">
        <v>3428</v>
      </c>
      <c r="B190">
        <v>3</v>
      </c>
      <c r="C190">
        <v>2</v>
      </c>
      <c r="D190">
        <v>3</v>
      </c>
      <c r="E190">
        <v>3</v>
      </c>
      <c r="F190">
        <v>3</v>
      </c>
      <c r="G190">
        <v>2.75</v>
      </c>
    </row>
    <row r="191" spans="1:7" x14ac:dyDescent="0.25">
      <c r="A191">
        <v>3432</v>
      </c>
      <c r="B191">
        <v>3</v>
      </c>
      <c r="C191">
        <v>2</v>
      </c>
      <c r="D191">
        <v>2</v>
      </c>
      <c r="E191">
        <v>2</v>
      </c>
      <c r="F191">
        <v>3</v>
      </c>
      <c r="G191">
        <v>2.25</v>
      </c>
    </row>
    <row r="192" spans="1:7" x14ac:dyDescent="0.25">
      <c r="A192">
        <v>3437</v>
      </c>
      <c r="B192">
        <v>3</v>
      </c>
      <c r="C192">
        <v>2</v>
      </c>
      <c r="D192">
        <v>2</v>
      </c>
      <c r="E192">
        <v>2</v>
      </c>
      <c r="F192">
        <v>3</v>
      </c>
      <c r="G192">
        <v>2.25</v>
      </c>
    </row>
    <row r="193" spans="1:7" x14ac:dyDescent="0.25">
      <c r="A193">
        <v>3439</v>
      </c>
      <c r="B193">
        <v>3</v>
      </c>
      <c r="C193">
        <v>2</v>
      </c>
      <c r="D193">
        <v>2</v>
      </c>
      <c r="E193">
        <v>2</v>
      </c>
      <c r="F193">
        <v>4</v>
      </c>
      <c r="G193">
        <v>2.25</v>
      </c>
    </row>
    <row r="194" spans="1:7" x14ac:dyDescent="0.25">
      <c r="A194">
        <v>3443</v>
      </c>
      <c r="B194">
        <v>3</v>
      </c>
      <c r="C194">
        <v>3</v>
      </c>
      <c r="D194">
        <v>1</v>
      </c>
      <c r="E194">
        <v>2</v>
      </c>
      <c r="F194">
        <v>2</v>
      </c>
      <c r="G194">
        <v>2.25</v>
      </c>
    </row>
    <row r="195" spans="1:7" x14ac:dyDescent="0.25">
      <c r="A195">
        <v>3445</v>
      </c>
      <c r="B195">
        <v>1</v>
      </c>
      <c r="C195">
        <v>1</v>
      </c>
      <c r="D195">
        <v>1</v>
      </c>
      <c r="E195">
        <v>1</v>
      </c>
      <c r="F195">
        <v>3</v>
      </c>
      <c r="G195">
        <v>1</v>
      </c>
    </row>
    <row r="196" spans="1:7" x14ac:dyDescent="0.25">
      <c r="A196">
        <v>3458</v>
      </c>
      <c r="B196">
        <v>4</v>
      </c>
      <c r="C196">
        <v>3</v>
      </c>
      <c r="D196">
        <v>2</v>
      </c>
      <c r="E196">
        <v>3</v>
      </c>
      <c r="F196">
        <v>3</v>
      </c>
      <c r="G196">
        <v>3</v>
      </c>
    </row>
    <row r="197" spans="1:7" x14ac:dyDescent="0.25">
      <c r="A197">
        <v>3459</v>
      </c>
      <c r="B197">
        <v>2</v>
      </c>
      <c r="C197">
        <v>1</v>
      </c>
      <c r="D197">
        <v>1</v>
      </c>
      <c r="E197">
        <v>1</v>
      </c>
      <c r="F197">
        <v>3</v>
      </c>
      <c r="G197">
        <v>1.25</v>
      </c>
    </row>
    <row r="198" spans="1:7" x14ac:dyDescent="0.25">
      <c r="A198">
        <v>3471</v>
      </c>
      <c r="B198">
        <v>2</v>
      </c>
      <c r="C198">
        <v>1</v>
      </c>
      <c r="D198">
        <v>2</v>
      </c>
      <c r="E198">
        <v>1</v>
      </c>
      <c r="F198">
        <v>3</v>
      </c>
      <c r="G198">
        <v>1.5</v>
      </c>
    </row>
    <row r="199" spans="1:7" x14ac:dyDescent="0.25">
      <c r="A199">
        <v>3473</v>
      </c>
      <c r="B199">
        <v>2</v>
      </c>
      <c r="C199">
        <v>2</v>
      </c>
      <c r="D199">
        <v>1</v>
      </c>
      <c r="E199">
        <v>1</v>
      </c>
      <c r="F199">
        <v>4</v>
      </c>
      <c r="G199">
        <v>1.5</v>
      </c>
    </row>
    <row r="200" spans="1:7" x14ac:dyDescent="0.25">
      <c r="A200">
        <v>3476</v>
      </c>
      <c r="B200">
        <v>2</v>
      </c>
      <c r="C200">
        <v>2</v>
      </c>
      <c r="D200">
        <v>2</v>
      </c>
      <c r="E200">
        <v>1</v>
      </c>
      <c r="F200">
        <v>4</v>
      </c>
      <c r="G200">
        <v>1.75</v>
      </c>
    </row>
    <row r="201" spans="1:7" x14ac:dyDescent="0.25">
      <c r="A201">
        <v>3478</v>
      </c>
      <c r="B201">
        <v>1</v>
      </c>
      <c r="C201">
        <v>1</v>
      </c>
      <c r="D201">
        <v>1</v>
      </c>
      <c r="E201">
        <v>1</v>
      </c>
      <c r="F201">
        <v>2</v>
      </c>
      <c r="G201">
        <v>1</v>
      </c>
    </row>
    <row r="202" spans="1:7" x14ac:dyDescent="0.25">
      <c r="A202">
        <v>3481</v>
      </c>
      <c r="B202">
        <v>1</v>
      </c>
      <c r="C202">
        <v>1</v>
      </c>
      <c r="D202">
        <v>1</v>
      </c>
      <c r="E202">
        <v>1</v>
      </c>
      <c r="F202">
        <v>3</v>
      </c>
      <c r="G202">
        <v>1</v>
      </c>
    </row>
    <row r="203" spans="1:7" x14ac:dyDescent="0.25">
      <c r="A203">
        <v>3486</v>
      </c>
      <c r="B203">
        <v>3</v>
      </c>
      <c r="C203">
        <v>3</v>
      </c>
      <c r="D203">
        <v>1</v>
      </c>
      <c r="E203">
        <v>1</v>
      </c>
      <c r="F203">
        <v>3</v>
      </c>
      <c r="G203">
        <v>2</v>
      </c>
    </row>
    <row r="204" spans="1:7" x14ac:dyDescent="0.25">
      <c r="A204">
        <v>3491</v>
      </c>
      <c r="B204">
        <v>4</v>
      </c>
      <c r="C204">
        <v>4</v>
      </c>
      <c r="D204">
        <v>3</v>
      </c>
      <c r="E204">
        <v>3</v>
      </c>
      <c r="F204">
        <v>1</v>
      </c>
      <c r="G204">
        <v>3.5</v>
      </c>
    </row>
    <row r="205" spans="1:7" x14ac:dyDescent="0.25">
      <c r="A205">
        <v>3493</v>
      </c>
      <c r="B205">
        <v>3</v>
      </c>
      <c r="C205">
        <v>0</v>
      </c>
      <c r="D205">
        <v>1</v>
      </c>
      <c r="E205">
        <v>3</v>
      </c>
      <c r="F205">
        <v>3</v>
      </c>
      <c r="G205">
        <v>1.75</v>
      </c>
    </row>
    <row r="206" spans="1:7" x14ac:dyDescent="0.25">
      <c r="A206">
        <v>3494</v>
      </c>
      <c r="B206">
        <v>4</v>
      </c>
      <c r="C206">
        <v>4</v>
      </c>
      <c r="D206">
        <v>2</v>
      </c>
      <c r="E206">
        <v>3</v>
      </c>
      <c r="F206">
        <v>3</v>
      </c>
      <c r="G206">
        <v>3.25</v>
      </c>
    </row>
    <row r="207" spans="1:7" x14ac:dyDescent="0.25">
      <c r="A207">
        <v>3503</v>
      </c>
      <c r="B207">
        <v>3</v>
      </c>
      <c r="C207">
        <v>2</v>
      </c>
      <c r="D207">
        <v>3</v>
      </c>
      <c r="E207">
        <v>3</v>
      </c>
      <c r="F207">
        <v>3</v>
      </c>
      <c r="G207">
        <v>2.75</v>
      </c>
    </row>
    <row r="208" spans="1:7" x14ac:dyDescent="0.25">
      <c r="A208">
        <v>3506</v>
      </c>
      <c r="B208">
        <v>1</v>
      </c>
      <c r="C208">
        <v>1</v>
      </c>
      <c r="D208">
        <v>1</v>
      </c>
      <c r="E208">
        <v>1</v>
      </c>
      <c r="F208">
        <v>3</v>
      </c>
      <c r="G208">
        <v>1</v>
      </c>
    </row>
    <row r="209" spans="1:7" x14ac:dyDescent="0.25">
      <c r="A209">
        <v>3509</v>
      </c>
      <c r="B209">
        <v>3</v>
      </c>
      <c r="C209">
        <v>2</v>
      </c>
      <c r="D209">
        <v>1</v>
      </c>
      <c r="E209">
        <v>2</v>
      </c>
      <c r="F209">
        <v>3</v>
      </c>
      <c r="G209">
        <v>2</v>
      </c>
    </row>
    <row r="210" spans="1:7" x14ac:dyDescent="0.25">
      <c r="A210">
        <v>3510</v>
      </c>
      <c r="B210">
        <v>3</v>
      </c>
      <c r="C210">
        <v>3</v>
      </c>
      <c r="D210">
        <v>2</v>
      </c>
      <c r="E210">
        <v>2</v>
      </c>
      <c r="F210">
        <v>3</v>
      </c>
      <c r="G210">
        <v>2.5</v>
      </c>
    </row>
    <row r="211" spans="1:7" x14ac:dyDescent="0.25">
      <c r="A211">
        <v>3513</v>
      </c>
      <c r="B211">
        <v>4</v>
      </c>
      <c r="C211">
        <v>4</v>
      </c>
      <c r="D211">
        <v>2</v>
      </c>
      <c r="E211">
        <v>3</v>
      </c>
      <c r="F211">
        <v>3</v>
      </c>
      <c r="G211">
        <v>3.25</v>
      </c>
    </row>
    <row r="212" spans="1:7" x14ac:dyDescent="0.25">
      <c r="A212">
        <v>3519</v>
      </c>
      <c r="B212">
        <v>2</v>
      </c>
      <c r="C212">
        <v>2</v>
      </c>
      <c r="D212">
        <v>3</v>
      </c>
      <c r="E212">
        <v>1</v>
      </c>
      <c r="F212">
        <v>2</v>
      </c>
      <c r="G212">
        <v>2</v>
      </c>
    </row>
    <row r="213" spans="1:7" x14ac:dyDescent="0.25">
      <c r="A213">
        <v>3520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1.25</v>
      </c>
    </row>
    <row r="214" spans="1:7" x14ac:dyDescent="0.25">
      <c r="A214">
        <v>3526</v>
      </c>
      <c r="B214">
        <v>1</v>
      </c>
      <c r="C214">
        <v>1</v>
      </c>
      <c r="D214">
        <v>1</v>
      </c>
      <c r="E214">
        <v>1</v>
      </c>
      <c r="F214">
        <v>3</v>
      </c>
      <c r="G214">
        <v>1</v>
      </c>
    </row>
    <row r="215" spans="1:7" x14ac:dyDescent="0.25">
      <c r="A215">
        <v>3533</v>
      </c>
      <c r="B215">
        <v>1</v>
      </c>
      <c r="C215">
        <v>1</v>
      </c>
      <c r="D215">
        <v>1</v>
      </c>
      <c r="E215">
        <v>1</v>
      </c>
      <c r="F215">
        <v>3</v>
      </c>
      <c r="G215">
        <v>1</v>
      </c>
    </row>
    <row r="216" spans="1:7" x14ac:dyDescent="0.25">
      <c r="A216">
        <v>3543</v>
      </c>
      <c r="B216">
        <v>1</v>
      </c>
      <c r="C216">
        <v>2</v>
      </c>
      <c r="D216">
        <v>1</v>
      </c>
      <c r="E216">
        <v>1</v>
      </c>
      <c r="F216">
        <v>3</v>
      </c>
      <c r="G216">
        <v>1.25</v>
      </c>
    </row>
    <row r="217" spans="1:7" x14ac:dyDescent="0.25">
      <c r="A217">
        <v>3549</v>
      </c>
      <c r="B217">
        <v>2</v>
      </c>
      <c r="C217">
        <v>2</v>
      </c>
      <c r="D217">
        <v>2</v>
      </c>
      <c r="E217">
        <v>2</v>
      </c>
      <c r="F217">
        <v>3</v>
      </c>
      <c r="G217">
        <v>2</v>
      </c>
    </row>
    <row r="218" spans="1:7" x14ac:dyDescent="0.25">
      <c r="A218">
        <v>3553</v>
      </c>
      <c r="B218">
        <v>1</v>
      </c>
      <c r="C218">
        <v>2</v>
      </c>
      <c r="D218">
        <v>2</v>
      </c>
      <c r="E218">
        <v>1</v>
      </c>
      <c r="F218">
        <v>2</v>
      </c>
      <c r="G218">
        <v>1.5</v>
      </c>
    </row>
    <row r="219" spans="1:7" x14ac:dyDescent="0.25">
      <c r="A219">
        <v>3554</v>
      </c>
      <c r="B219">
        <v>1</v>
      </c>
      <c r="C219">
        <v>1</v>
      </c>
      <c r="D219">
        <v>1</v>
      </c>
      <c r="E219">
        <v>1</v>
      </c>
      <c r="F219">
        <v>4</v>
      </c>
      <c r="G219">
        <v>1</v>
      </c>
    </row>
    <row r="220" spans="1:7" x14ac:dyDescent="0.25">
      <c r="A220">
        <v>3556</v>
      </c>
      <c r="B220">
        <v>2</v>
      </c>
      <c r="C220">
        <v>3</v>
      </c>
      <c r="D220">
        <v>2</v>
      </c>
      <c r="E220">
        <v>1</v>
      </c>
      <c r="F220">
        <v>3</v>
      </c>
      <c r="G220">
        <v>2</v>
      </c>
    </row>
    <row r="221" spans="1:7" x14ac:dyDescent="0.25">
      <c r="A221">
        <v>3558</v>
      </c>
      <c r="B221">
        <v>3</v>
      </c>
      <c r="C221">
        <v>3</v>
      </c>
      <c r="D221">
        <v>1</v>
      </c>
      <c r="E221">
        <v>1</v>
      </c>
      <c r="F221">
        <v>3</v>
      </c>
      <c r="G221">
        <v>2</v>
      </c>
    </row>
    <row r="222" spans="1:7" x14ac:dyDescent="0.25">
      <c r="A222">
        <v>3560</v>
      </c>
      <c r="B222">
        <v>3</v>
      </c>
      <c r="C222">
        <v>4</v>
      </c>
      <c r="D222">
        <v>4</v>
      </c>
      <c r="E222">
        <v>4</v>
      </c>
      <c r="F222">
        <v>2</v>
      </c>
      <c r="G222">
        <v>3.75</v>
      </c>
    </row>
    <row r="223" spans="1:7" x14ac:dyDescent="0.25">
      <c r="A223">
        <v>3562</v>
      </c>
      <c r="B223">
        <v>2</v>
      </c>
      <c r="C223">
        <v>2</v>
      </c>
      <c r="D223">
        <v>0</v>
      </c>
      <c r="E223">
        <v>2</v>
      </c>
      <c r="F223">
        <v>3</v>
      </c>
      <c r="G223">
        <v>1.5</v>
      </c>
    </row>
    <row r="224" spans="1:7" x14ac:dyDescent="0.25">
      <c r="A224">
        <v>3563</v>
      </c>
      <c r="B224">
        <v>4</v>
      </c>
      <c r="C224">
        <v>4</v>
      </c>
      <c r="D224">
        <v>2</v>
      </c>
      <c r="E224">
        <v>3</v>
      </c>
      <c r="F224">
        <v>3</v>
      </c>
      <c r="G224">
        <v>3.25</v>
      </c>
    </row>
    <row r="225" spans="1:7" x14ac:dyDescent="0.25">
      <c r="A225">
        <v>3564</v>
      </c>
      <c r="B225">
        <v>4</v>
      </c>
      <c r="C225">
        <v>0</v>
      </c>
      <c r="D225">
        <v>4</v>
      </c>
      <c r="E225">
        <v>4</v>
      </c>
      <c r="F225">
        <v>3</v>
      </c>
      <c r="G225">
        <v>3</v>
      </c>
    </row>
    <row r="226" spans="1:7" x14ac:dyDescent="0.25">
      <c r="A226">
        <v>3569</v>
      </c>
      <c r="B226">
        <v>1</v>
      </c>
      <c r="C226">
        <v>2</v>
      </c>
      <c r="D226">
        <v>3</v>
      </c>
      <c r="E226">
        <v>3</v>
      </c>
      <c r="F226">
        <v>3</v>
      </c>
      <c r="G226">
        <v>2.25</v>
      </c>
    </row>
    <row r="227" spans="1:7" x14ac:dyDescent="0.25">
      <c r="A227">
        <v>3572</v>
      </c>
      <c r="B227">
        <v>1</v>
      </c>
      <c r="C227">
        <v>1</v>
      </c>
      <c r="D227">
        <v>1</v>
      </c>
      <c r="E227">
        <v>1</v>
      </c>
      <c r="F227">
        <v>3</v>
      </c>
      <c r="G227">
        <v>1</v>
      </c>
    </row>
    <row r="228" spans="1:7" x14ac:dyDescent="0.25">
      <c r="A228">
        <v>3573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1.25</v>
      </c>
    </row>
    <row r="229" spans="1:7" x14ac:dyDescent="0.25">
      <c r="A229">
        <v>3574</v>
      </c>
      <c r="B229">
        <v>1</v>
      </c>
      <c r="C229">
        <v>0</v>
      </c>
      <c r="D229">
        <v>1</v>
      </c>
      <c r="E229">
        <v>1</v>
      </c>
      <c r="F229">
        <v>3</v>
      </c>
      <c r="G229">
        <v>0.75</v>
      </c>
    </row>
    <row r="230" spans="1:7" x14ac:dyDescent="0.25">
      <c r="A230">
        <v>3575</v>
      </c>
      <c r="B230">
        <v>3</v>
      </c>
      <c r="C230">
        <v>1</v>
      </c>
      <c r="D230">
        <v>3</v>
      </c>
      <c r="E230">
        <v>2</v>
      </c>
      <c r="F230">
        <v>3</v>
      </c>
      <c r="G230">
        <v>2.25</v>
      </c>
    </row>
    <row r="231" spans="1:7" x14ac:dyDescent="0.25">
      <c r="A231">
        <v>3577</v>
      </c>
      <c r="B231">
        <v>2</v>
      </c>
      <c r="C231">
        <v>2</v>
      </c>
      <c r="D231">
        <v>2</v>
      </c>
      <c r="E231">
        <v>2</v>
      </c>
      <c r="F231">
        <v>3</v>
      </c>
      <c r="G231">
        <v>2</v>
      </c>
    </row>
    <row r="232" spans="1:7" x14ac:dyDescent="0.25">
      <c r="A232">
        <v>3578</v>
      </c>
      <c r="B232">
        <v>2</v>
      </c>
      <c r="C232">
        <v>2</v>
      </c>
      <c r="D232">
        <v>2</v>
      </c>
      <c r="E232">
        <v>2</v>
      </c>
      <c r="F232">
        <v>3</v>
      </c>
      <c r="G232">
        <v>2</v>
      </c>
    </row>
    <row r="233" spans="1:7" x14ac:dyDescent="0.25">
      <c r="A233">
        <v>3581</v>
      </c>
      <c r="B233">
        <v>1</v>
      </c>
      <c r="C233">
        <v>1</v>
      </c>
      <c r="D233">
        <v>1</v>
      </c>
      <c r="E233">
        <v>1</v>
      </c>
      <c r="F233">
        <v>2</v>
      </c>
      <c r="G233">
        <v>1</v>
      </c>
    </row>
    <row r="234" spans="1:7" x14ac:dyDescent="0.25">
      <c r="A234">
        <v>3583</v>
      </c>
      <c r="B234">
        <v>1</v>
      </c>
      <c r="C234">
        <v>1</v>
      </c>
      <c r="D234">
        <v>1</v>
      </c>
      <c r="E234">
        <v>1</v>
      </c>
      <c r="F234">
        <v>3</v>
      </c>
      <c r="G234">
        <v>1</v>
      </c>
    </row>
    <row r="235" spans="1:7" x14ac:dyDescent="0.25">
      <c r="A235">
        <v>3586</v>
      </c>
      <c r="B235">
        <v>2</v>
      </c>
      <c r="C235">
        <v>2</v>
      </c>
      <c r="D235">
        <v>2</v>
      </c>
      <c r="E235">
        <v>2</v>
      </c>
      <c r="F235">
        <v>3</v>
      </c>
      <c r="G235">
        <v>2</v>
      </c>
    </row>
    <row r="236" spans="1:7" x14ac:dyDescent="0.25">
      <c r="A236">
        <v>3590</v>
      </c>
      <c r="B236">
        <v>3</v>
      </c>
      <c r="C236">
        <v>2</v>
      </c>
      <c r="D236">
        <v>1</v>
      </c>
      <c r="E236">
        <v>2</v>
      </c>
      <c r="F236">
        <v>3</v>
      </c>
      <c r="G236">
        <v>2</v>
      </c>
    </row>
    <row r="237" spans="1:7" x14ac:dyDescent="0.25">
      <c r="A237">
        <v>3591</v>
      </c>
      <c r="B237">
        <v>1</v>
      </c>
      <c r="C237">
        <v>2</v>
      </c>
      <c r="D237">
        <v>0</v>
      </c>
      <c r="E237">
        <v>1</v>
      </c>
      <c r="F237">
        <v>3</v>
      </c>
      <c r="G237">
        <v>1</v>
      </c>
    </row>
    <row r="238" spans="1:7" x14ac:dyDescent="0.25">
      <c r="A238">
        <v>3594</v>
      </c>
      <c r="B238">
        <v>1</v>
      </c>
      <c r="C238">
        <v>1</v>
      </c>
      <c r="D238">
        <v>1</v>
      </c>
      <c r="E238">
        <v>2</v>
      </c>
      <c r="F238">
        <v>2</v>
      </c>
      <c r="G238">
        <v>1.25</v>
      </c>
    </row>
    <row r="239" spans="1:7" x14ac:dyDescent="0.25">
      <c r="A239">
        <v>3597</v>
      </c>
      <c r="B239">
        <v>1</v>
      </c>
      <c r="C239">
        <v>1</v>
      </c>
      <c r="D239">
        <v>1</v>
      </c>
      <c r="E239">
        <v>1</v>
      </c>
      <c r="F239">
        <v>3</v>
      </c>
      <c r="G239">
        <v>1</v>
      </c>
    </row>
    <row r="240" spans="1:7" x14ac:dyDescent="0.25">
      <c r="A240">
        <v>3604</v>
      </c>
      <c r="B240">
        <v>1</v>
      </c>
      <c r="C240">
        <v>1</v>
      </c>
      <c r="D240">
        <v>1</v>
      </c>
      <c r="E240">
        <v>1</v>
      </c>
      <c r="F240">
        <v>2</v>
      </c>
      <c r="G240">
        <v>1</v>
      </c>
    </row>
    <row r="241" spans="1:7" x14ac:dyDescent="0.25">
      <c r="A241">
        <v>3608</v>
      </c>
      <c r="B241">
        <v>2</v>
      </c>
      <c r="C241">
        <v>1</v>
      </c>
      <c r="D241">
        <v>1</v>
      </c>
      <c r="E241">
        <v>1</v>
      </c>
      <c r="F241">
        <v>3</v>
      </c>
      <c r="G241">
        <v>1.25</v>
      </c>
    </row>
    <row r="242" spans="1:7" x14ac:dyDescent="0.25">
      <c r="A242">
        <v>3611</v>
      </c>
      <c r="B242">
        <v>1</v>
      </c>
      <c r="C242">
        <v>2</v>
      </c>
      <c r="D242">
        <v>2</v>
      </c>
      <c r="E242">
        <v>1</v>
      </c>
      <c r="F242">
        <v>3</v>
      </c>
      <c r="G242">
        <v>1.5</v>
      </c>
    </row>
    <row r="243" spans="1:7" x14ac:dyDescent="0.25">
      <c r="A243">
        <v>3613</v>
      </c>
      <c r="B243">
        <v>3</v>
      </c>
      <c r="C243">
        <v>2</v>
      </c>
      <c r="D243">
        <v>2</v>
      </c>
      <c r="E243">
        <v>3</v>
      </c>
      <c r="F243">
        <v>3</v>
      </c>
      <c r="G243">
        <v>2.5</v>
      </c>
    </row>
    <row r="244" spans="1:7" x14ac:dyDescent="0.25">
      <c r="A244">
        <v>3614</v>
      </c>
      <c r="B244">
        <v>2</v>
      </c>
      <c r="C244">
        <v>2</v>
      </c>
      <c r="D244">
        <v>2</v>
      </c>
      <c r="E244">
        <v>1</v>
      </c>
      <c r="F244">
        <v>4</v>
      </c>
      <c r="G244">
        <v>1.75</v>
      </c>
    </row>
    <row r="245" spans="1:7" x14ac:dyDescent="0.25">
      <c r="A245">
        <v>3617</v>
      </c>
      <c r="B245">
        <v>2</v>
      </c>
      <c r="C245">
        <v>0</v>
      </c>
      <c r="D245">
        <v>2</v>
      </c>
      <c r="E245">
        <v>0</v>
      </c>
      <c r="F245">
        <v>2</v>
      </c>
      <c r="G245">
        <v>1</v>
      </c>
    </row>
    <row r="246" spans="1:7" x14ac:dyDescent="0.25">
      <c r="A246">
        <v>3624</v>
      </c>
      <c r="B246">
        <v>4</v>
      </c>
      <c r="C246">
        <v>4</v>
      </c>
      <c r="D246">
        <v>0</v>
      </c>
      <c r="E246">
        <v>4</v>
      </c>
      <c r="F246">
        <v>3</v>
      </c>
      <c r="G246">
        <v>3</v>
      </c>
    </row>
    <row r="247" spans="1:7" x14ac:dyDescent="0.25">
      <c r="A247">
        <v>3626</v>
      </c>
      <c r="B247">
        <v>1</v>
      </c>
      <c r="C247">
        <v>1</v>
      </c>
      <c r="D247">
        <v>2</v>
      </c>
      <c r="E247">
        <v>2</v>
      </c>
      <c r="F247">
        <v>3</v>
      </c>
      <c r="G247">
        <v>1.5</v>
      </c>
    </row>
    <row r="248" spans="1:7" x14ac:dyDescent="0.25">
      <c r="A248">
        <v>3630</v>
      </c>
      <c r="B248">
        <v>4</v>
      </c>
      <c r="C248">
        <v>1</v>
      </c>
      <c r="D248">
        <v>2</v>
      </c>
      <c r="E248">
        <v>2</v>
      </c>
      <c r="F248">
        <v>2</v>
      </c>
      <c r="G248">
        <v>2.25</v>
      </c>
    </row>
    <row r="249" spans="1:7" x14ac:dyDescent="0.25">
      <c r="A249">
        <v>3631</v>
      </c>
      <c r="B249">
        <v>3</v>
      </c>
      <c r="C249">
        <v>2</v>
      </c>
      <c r="D249">
        <v>2</v>
      </c>
      <c r="E249">
        <v>2</v>
      </c>
      <c r="F249">
        <v>3</v>
      </c>
      <c r="G249">
        <v>2.25</v>
      </c>
    </row>
    <row r="250" spans="1:7" x14ac:dyDescent="0.25">
      <c r="A250">
        <v>3632</v>
      </c>
      <c r="B250">
        <v>1</v>
      </c>
      <c r="C250">
        <v>1</v>
      </c>
      <c r="D250">
        <v>1</v>
      </c>
      <c r="E250">
        <v>1</v>
      </c>
      <c r="F250">
        <v>4</v>
      </c>
      <c r="G250">
        <v>1</v>
      </c>
    </row>
    <row r="251" spans="1:7" x14ac:dyDescent="0.25">
      <c r="A251">
        <v>3635</v>
      </c>
      <c r="B251">
        <v>1</v>
      </c>
      <c r="C251">
        <v>1</v>
      </c>
      <c r="D251">
        <v>1</v>
      </c>
      <c r="E251">
        <v>1</v>
      </c>
      <c r="F251">
        <v>3</v>
      </c>
      <c r="G251">
        <v>1</v>
      </c>
    </row>
    <row r="252" spans="1:7" x14ac:dyDescent="0.25">
      <c r="A252">
        <v>3637</v>
      </c>
      <c r="B252">
        <v>4</v>
      </c>
      <c r="C252">
        <v>4</v>
      </c>
      <c r="D252">
        <v>4</v>
      </c>
      <c r="E252">
        <v>4</v>
      </c>
      <c r="F252">
        <v>4</v>
      </c>
      <c r="G252">
        <v>4</v>
      </c>
    </row>
    <row r="253" spans="1:7" x14ac:dyDescent="0.25">
      <c r="A253">
        <v>3651</v>
      </c>
      <c r="B253">
        <v>2</v>
      </c>
      <c r="C253">
        <v>1</v>
      </c>
      <c r="D253">
        <v>1</v>
      </c>
      <c r="E253">
        <v>1</v>
      </c>
      <c r="F253">
        <v>3</v>
      </c>
      <c r="G253">
        <v>1.25</v>
      </c>
    </row>
    <row r="254" spans="1:7" x14ac:dyDescent="0.25">
      <c r="A254">
        <v>3653</v>
      </c>
      <c r="B254">
        <v>1</v>
      </c>
      <c r="C254">
        <v>2</v>
      </c>
      <c r="D254">
        <v>1</v>
      </c>
      <c r="E254">
        <v>1</v>
      </c>
      <c r="F254">
        <v>3</v>
      </c>
      <c r="G254">
        <v>1.25</v>
      </c>
    </row>
    <row r="255" spans="1:7" x14ac:dyDescent="0.25">
      <c r="A255">
        <v>3654</v>
      </c>
      <c r="B255">
        <v>1</v>
      </c>
      <c r="C255">
        <v>1</v>
      </c>
      <c r="D255">
        <v>1</v>
      </c>
      <c r="E255">
        <v>1</v>
      </c>
      <c r="F255">
        <v>2</v>
      </c>
      <c r="G255">
        <v>1</v>
      </c>
    </row>
    <row r="256" spans="1:7" x14ac:dyDescent="0.25">
      <c r="A256">
        <v>3655</v>
      </c>
      <c r="B256">
        <v>1</v>
      </c>
      <c r="C256">
        <v>3</v>
      </c>
      <c r="D256">
        <v>1</v>
      </c>
      <c r="E256">
        <v>1</v>
      </c>
      <c r="F256">
        <v>3</v>
      </c>
      <c r="G256">
        <v>1.5</v>
      </c>
    </row>
    <row r="257" spans="1:7" x14ac:dyDescent="0.25">
      <c r="A257">
        <v>3658</v>
      </c>
      <c r="B257">
        <v>2</v>
      </c>
      <c r="C257">
        <v>2</v>
      </c>
      <c r="D257">
        <v>1</v>
      </c>
      <c r="E257">
        <v>3</v>
      </c>
      <c r="F257">
        <v>3</v>
      </c>
      <c r="G257">
        <v>2</v>
      </c>
    </row>
    <row r="258" spans="1:7" x14ac:dyDescent="0.25">
      <c r="A258">
        <v>3660</v>
      </c>
      <c r="B258">
        <v>0</v>
      </c>
      <c r="C258">
        <v>1</v>
      </c>
      <c r="D258">
        <v>1</v>
      </c>
      <c r="E258">
        <v>1</v>
      </c>
      <c r="F258">
        <v>3</v>
      </c>
      <c r="G258">
        <v>0.75</v>
      </c>
    </row>
    <row r="259" spans="1:7" x14ac:dyDescent="0.25">
      <c r="A259">
        <v>3662</v>
      </c>
      <c r="B259">
        <v>4</v>
      </c>
      <c r="C259">
        <v>4</v>
      </c>
      <c r="D259">
        <v>4</v>
      </c>
      <c r="E259">
        <v>4</v>
      </c>
      <c r="F259">
        <v>3</v>
      </c>
      <c r="G259">
        <v>4</v>
      </c>
    </row>
    <row r="260" spans="1:7" x14ac:dyDescent="0.25">
      <c r="A260">
        <v>3663</v>
      </c>
      <c r="B260">
        <v>2</v>
      </c>
      <c r="C260">
        <v>1</v>
      </c>
      <c r="D260">
        <v>2</v>
      </c>
      <c r="E260">
        <v>2</v>
      </c>
      <c r="F260">
        <v>3</v>
      </c>
      <c r="G260">
        <v>1.75</v>
      </c>
    </row>
    <row r="261" spans="1:7" x14ac:dyDescent="0.25">
      <c r="A261">
        <v>3664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1.25</v>
      </c>
    </row>
    <row r="262" spans="1:7" x14ac:dyDescent="0.25">
      <c r="A262">
        <v>3665</v>
      </c>
      <c r="B262">
        <v>1</v>
      </c>
      <c r="C262">
        <v>1</v>
      </c>
      <c r="D262">
        <v>1</v>
      </c>
      <c r="E262">
        <v>1</v>
      </c>
      <c r="F262">
        <v>2</v>
      </c>
      <c r="G262">
        <v>1</v>
      </c>
    </row>
    <row r="263" spans="1:7" x14ac:dyDescent="0.25">
      <c r="A263">
        <v>3667</v>
      </c>
      <c r="B263">
        <v>1</v>
      </c>
      <c r="C263">
        <v>1</v>
      </c>
      <c r="D263">
        <v>2</v>
      </c>
      <c r="E263">
        <v>2</v>
      </c>
      <c r="F263">
        <v>3</v>
      </c>
      <c r="G263">
        <v>1.5</v>
      </c>
    </row>
    <row r="264" spans="1:7" x14ac:dyDescent="0.25">
      <c r="A264">
        <v>3672</v>
      </c>
      <c r="B264">
        <v>4</v>
      </c>
      <c r="C264">
        <v>4</v>
      </c>
      <c r="D264">
        <v>4</v>
      </c>
      <c r="E264">
        <v>4</v>
      </c>
      <c r="F264">
        <v>3</v>
      </c>
      <c r="G264">
        <v>4</v>
      </c>
    </row>
    <row r="265" spans="1:7" x14ac:dyDescent="0.25">
      <c r="A265">
        <v>3674</v>
      </c>
      <c r="B265">
        <v>1</v>
      </c>
      <c r="C265">
        <v>1</v>
      </c>
      <c r="D265">
        <v>1</v>
      </c>
      <c r="E265">
        <v>1</v>
      </c>
      <c r="F265">
        <v>3</v>
      </c>
      <c r="G265">
        <v>1</v>
      </c>
    </row>
    <row r="266" spans="1:7" x14ac:dyDescent="0.25">
      <c r="A266">
        <v>3676</v>
      </c>
      <c r="B266">
        <v>1</v>
      </c>
      <c r="C266">
        <v>1</v>
      </c>
      <c r="D266">
        <v>1</v>
      </c>
      <c r="E266">
        <v>1</v>
      </c>
      <c r="F266">
        <v>3</v>
      </c>
      <c r="G266">
        <v>1</v>
      </c>
    </row>
    <row r="267" spans="1:7" x14ac:dyDescent="0.25">
      <c r="A267">
        <v>3677</v>
      </c>
      <c r="B267">
        <v>2</v>
      </c>
      <c r="C267">
        <v>2</v>
      </c>
      <c r="D267">
        <v>3</v>
      </c>
      <c r="E267">
        <v>2</v>
      </c>
      <c r="F267">
        <v>3</v>
      </c>
      <c r="G267">
        <v>2.25</v>
      </c>
    </row>
    <row r="268" spans="1:7" x14ac:dyDescent="0.25">
      <c r="A268">
        <v>3680</v>
      </c>
      <c r="B268">
        <v>4</v>
      </c>
      <c r="C268">
        <v>0</v>
      </c>
      <c r="D268">
        <v>1</v>
      </c>
      <c r="E268">
        <v>2</v>
      </c>
      <c r="F268">
        <v>3</v>
      </c>
      <c r="G268">
        <v>1.75</v>
      </c>
    </row>
    <row r="269" spans="1:7" x14ac:dyDescent="0.25">
      <c r="A269">
        <v>3685</v>
      </c>
      <c r="B269">
        <v>3</v>
      </c>
      <c r="C269">
        <v>3</v>
      </c>
      <c r="D269">
        <v>3</v>
      </c>
      <c r="E269">
        <v>3</v>
      </c>
      <c r="F269">
        <v>3</v>
      </c>
      <c r="G269">
        <v>3</v>
      </c>
    </row>
    <row r="270" spans="1:7" x14ac:dyDescent="0.25">
      <c r="A270">
        <v>3688</v>
      </c>
      <c r="B270">
        <v>4</v>
      </c>
      <c r="C270">
        <v>4</v>
      </c>
      <c r="D270">
        <v>4</v>
      </c>
      <c r="E270">
        <v>4</v>
      </c>
      <c r="F270">
        <v>2</v>
      </c>
      <c r="G270">
        <v>4</v>
      </c>
    </row>
    <row r="271" spans="1:7" x14ac:dyDescent="0.25">
      <c r="A271">
        <v>3693</v>
      </c>
      <c r="B271">
        <v>2</v>
      </c>
      <c r="C271">
        <v>2</v>
      </c>
      <c r="D271">
        <v>1</v>
      </c>
      <c r="E271">
        <v>1</v>
      </c>
      <c r="F271">
        <v>3</v>
      </c>
      <c r="G271">
        <v>1.5</v>
      </c>
    </row>
    <row r="272" spans="1:7" x14ac:dyDescent="0.25">
      <c r="A272">
        <v>3696</v>
      </c>
      <c r="B272">
        <v>1</v>
      </c>
      <c r="C272">
        <v>2</v>
      </c>
      <c r="D272">
        <v>1</v>
      </c>
      <c r="E272">
        <v>2</v>
      </c>
      <c r="F272">
        <v>2</v>
      </c>
      <c r="G272">
        <v>1.5</v>
      </c>
    </row>
    <row r="273" spans="1:7" x14ac:dyDescent="0.25">
      <c r="A273">
        <v>3697</v>
      </c>
      <c r="B273">
        <v>1</v>
      </c>
      <c r="C273">
        <v>1</v>
      </c>
      <c r="D273">
        <v>1</v>
      </c>
      <c r="E273">
        <v>1</v>
      </c>
      <c r="F273">
        <v>2</v>
      </c>
      <c r="G273">
        <v>1</v>
      </c>
    </row>
    <row r="274" spans="1:7" x14ac:dyDescent="0.25">
      <c r="A274">
        <v>3700</v>
      </c>
      <c r="B274">
        <v>1</v>
      </c>
      <c r="C274">
        <v>1</v>
      </c>
      <c r="D274">
        <v>2</v>
      </c>
      <c r="E274">
        <v>2</v>
      </c>
      <c r="F274">
        <v>3</v>
      </c>
      <c r="G274">
        <v>1.5</v>
      </c>
    </row>
    <row r="275" spans="1:7" x14ac:dyDescent="0.25">
      <c r="A275">
        <v>3701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1.25</v>
      </c>
    </row>
    <row r="276" spans="1:7" x14ac:dyDescent="0.25">
      <c r="A276">
        <v>3706</v>
      </c>
      <c r="B276">
        <v>1</v>
      </c>
      <c r="C276">
        <v>2</v>
      </c>
      <c r="D276">
        <v>2</v>
      </c>
      <c r="E276">
        <v>2</v>
      </c>
      <c r="F276">
        <v>3</v>
      </c>
      <c r="G276">
        <v>1.75</v>
      </c>
    </row>
    <row r="277" spans="1:7" x14ac:dyDescent="0.25">
      <c r="A277">
        <v>3710</v>
      </c>
      <c r="B277">
        <v>2</v>
      </c>
      <c r="C277">
        <v>3</v>
      </c>
      <c r="D277">
        <v>2</v>
      </c>
      <c r="E277">
        <v>2</v>
      </c>
      <c r="F277">
        <v>2</v>
      </c>
      <c r="G277">
        <v>2.25</v>
      </c>
    </row>
    <row r="278" spans="1:7" x14ac:dyDescent="0.25">
      <c r="A278">
        <v>3711</v>
      </c>
      <c r="B278">
        <v>2</v>
      </c>
      <c r="C278">
        <v>3</v>
      </c>
      <c r="D278">
        <v>1</v>
      </c>
      <c r="E278">
        <v>1</v>
      </c>
      <c r="F278">
        <v>2</v>
      </c>
      <c r="G278">
        <v>1.75</v>
      </c>
    </row>
    <row r="279" spans="1:7" x14ac:dyDescent="0.25">
      <c r="A279">
        <v>3712</v>
      </c>
      <c r="B279">
        <v>1</v>
      </c>
      <c r="C279">
        <v>1</v>
      </c>
      <c r="D279">
        <v>3</v>
      </c>
      <c r="E279">
        <v>1</v>
      </c>
      <c r="F279">
        <v>3</v>
      </c>
      <c r="G279">
        <v>1.5</v>
      </c>
    </row>
    <row r="280" spans="1:7" x14ac:dyDescent="0.25">
      <c r="A280">
        <v>3722</v>
      </c>
      <c r="B280">
        <v>1</v>
      </c>
      <c r="C280">
        <v>1</v>
      </c>
      <c r="D280">
        <v>1</v>
      </c>
      <c r="E280">
        <v>1</v>
      </c>
      <c r="F280">
        <v>3</v>
      </c>
      <c r="G280">
        <v>1</v>
      </c>
    </row>
    <row r="281" spans="1:7" x14ac:dyDescent="0.25">
      <c r="A281">
        <v>3723</v>
      </c>
      <c r="B281">
        <v>1</v>
      </c>
      <c r="C281">
        <v>1</v>
      </c>
      <c r="D281">
        <v>1</v>
      </c>
      <c r="E281">
        <v>1</v>
      </c>
      <c r="F281">
        <v>3</v>
      </c>
      <c r="G281">
        <v>1</v>
      </c>
    </row>
    <row r="282" spans="1:7" x14ac:dyDescent="0.25">
      <c r="A282">
        <v>3725</v>
      </c>
      <c r="B282">
        <v>2</v>
      </c>
      <c r="C282">
        <v>2</v>
      </c>
      <c r="D282">
        <v>2</v>
      </c>
      <c r="E282">
        <v>1</v>
      </c>
      <c r="F282">
        <v>2</v>
      </c>
      <c r="G282">
        <v>1.75</v>
      </c>
    </row>
    <row r="283" spans="1:7" x14ac:dyDescent="0.25">
      <c r="A283">
        <v>3728</v>
      </c>
      <c r="B283">
        <v>2</v>
      </c>
      <c r="C283">
        <v>3</v>
      </c>
      <c r="D283">
        <v>2</v>
      </c>
      <c r="E283">
        <v>3</v>
      </c>
      <c r="F283">
        <v>3</v>
      </c>
      <c r="G283">
        <v>2.5</v>
      </c>
    </row>
    <row r="284" spans="1:7" x14ac:dyDescent="0.25">
      <c r="A284">
        <v>3730</v>
      </c>
      <c r="B284">
        <v>3</v>
      </c>
      <c r="C284">
        <v>3</v>
      </c>
      <c r="D284">
        <v>2</v>
      </c>
      <c r="E284">
        <v>1</v>
      </c>
      <c r="F284">
        <v>3</v>
      </c>
      <c r="G284">
        <v>2.25</v>
      </c>
    </row>
    <row r="285" spans="1:7" x14ac:dyDescent="0.25">
      <c r="A285">
        <v>3737</v>
      </c>
      <c r="B285">
        <v>1</v>
      </c>
      <c r="C285">
        <v>2</v>
      </c>
      <c r="D285">
        <v>2</v>
      </c>
      <c r="E285">
        <v>1</v>
      </c>
      <c r="F285">
        <v>3</v>
      </c>
      <c r="G285">
        <v>1.5</v>
      </c>
    </row>
    <row r="286" spans="1:7" x14ac:dyDescent="0.25">
      <c r="A286">
        <v>3739</v>
      </c>
      <c r="B286">
        <v>1</v>
      </c>
      <c r="C286">
        <v>1</v>
      </c>
      <c r="D286">
        <v>1</v>
      </c>
      <c r="E286">
        <v>1</v>
      </c>
      <c r="F286">
        <v>2</v>
      </c>
      <c r="G286">
        <v>1</v>
      </c>
    </row>
    <row r="287" spans="1:7" x14ac:dyDescent="0.25">
      <c r="A287">
        <v>3740</v>
      </c>
      <c r="B287">
        <v>1</v>
      </c>
      <c r="C287">
        <v>3</v>
      </c>
      <c r="D287">
        <v>1</v>
      </c>
      <c r="E287">
        <v>1</v>
      </c>
      <c r="F287">
        <v>3</v>
      </c>
      <c r="G287">
        <v>1.5</v>
      </c>
    </row>
    <row r="288" spans="1:7" x14ac:dyDescent="0.25">
      <c r="A288">
        <v>3742</v>
      </c>
      <c r="B288">
        <v>4</v>
      </c>
      <c r="C288">
        <v>4</v>
      </c>
      <c r="D288">
        <v>3</v>
      </c>
      <c r="E288">
        <v>1</v>
      </c>
      <c r="F288">
        <v>3</v>
      </c>
      <c r="G288">
        <v>3</v>
      </c>
    </row>
    <row r="289" spans="1:7" x14ac:dyDescent="0.25">
      <c r="A289">
        <v>3743</v>
      </c>
      <c r="B289">
        <v>3</v>
      </c>
      <c r="C289">
        <v>3</v>
      </c>
      <c r="D289">
        <v>2</v>
      </c>
      <c r="E289">
        <v>1</v>
      </c>
      <c r="F289">
        <v>3</v>
      </c>
      <c r="G289">
        <v>2.25</v>
      </c>
    </row>
    <row r="290" spans="1:7" x14ac:dyDescent="0.25">
      <c r="A290">
        <v>3746</v>
      </c>
      <c r="B290">
        <v>4</v>
      </c>
      <c r="C290">
        <v>3</v>
      </c>
      <c r="D290">
        <v>2</v>
      </c>
      <c r="E290">
        <v>0</v>
      </c>
      <c r="F290">
        <v>3</v>
      </c>
      <c r="G290">
        <v>2.25</v>
      </c>
    </row>
    <row r="291" spans="1:7" x14ac:dyDescent="0.25">
      <c r="A291">
        <v>3747</v>
      </c>
      <c r="B291">
        <v>3</v>
      </c>
      <c r="C291">
        <v>3</v>
      </c>
      <c r="D291">
        <v>2</v>
      </c>
      <c r="E291">
        <v>2</v>
      </c>
      <c r="F291">
        <v>3</v>
      </c>
      <c r="G291">
        <v>2.5</v>
      </c>
    </row>
    <row r="292" spans="1:7" x14ac:dyDescent="0.25">
      <c r="A292">
        <v>3749</v>
      </c>
      <c r="B292">
        <v>2</v>
      </c>
      <c r="C292">
        <v>2</v>
      </c>
      <c r="D292">
        <v>2</v>
      </c>
      <c r="E292">
        <v>1</v>
      </c>
      <c r="F292">
        <v>2</v>
      </c>
      <c r="G292">
        <v>1.75</v>
      </c>
    </row>
    <row r="293" spans="1:7" x14ac:dyDescent="0.25">
      <c r="A293">
        <v>3753</v>
      </c>
      <c r="B293">
        <v>4</v>
      </c>
      <c r="C293">
        <v>4</v>
      </c>
      <c r="D293">
        <v>4</v>
      </c>
      <c r="E293">
        <v>4</v>
      </c>
      <c r="F293">
        <v>3</v>
      </c>
      <c r="G293">
        <v>4</v>
      </c>
    </row>
    <row r="294" spans="1:7" x14ac:dyDescent="0.25">
      <c r="A294">
        <v>3754</v>
      </c>
      <c r="B294">
        <v>2</v>
      </c>
      <c r="C294">
        <v>2</v>
      </c>
      <c r="D294">
        <v>2</v>
      </c>
      <c r="E294">
        <v>2</v>
      </c>
      <c r="F294">
        <v>4</v>
      </c>
      <c r="G294">
        <v>2</v>
      </c>
    </row>
    <row r="295" spans="1:7" x14ac:dyDescent="0.25">
      <c r="A295">
        <v>3761</v>
      </c>
      <c r="B295">
        <v>1</v>
      </c>
      <c r="C295">
        <v>0</v>
      </c>
      <c r="D295">
        <v>1</v>
      </c>
      <c r="E295">
        <v>1</v>
      </c>
      <c r="F295">
        <v>4</v>
      </c>
      <c r="G295">
        <v>0.75</v>
      </c>
    </row>
    <row r="296" spans="1:7" x14ac:dyDescent="0.25">
      <c r="A296">
        <v>3763</v>
      </c>
      <c r="B296">
        <v>2</v>
      </c>
      <c r="C296">
        <v>2</v>
      </c>
      <c r="D296">
        <v>1</v>
      </c>
      <c r="E296">
        <v>2</v>
      </c>
      <c r="F296">
        <v>3</v>
      </c>
      <c r="G296">
        <v>1.75</v>
      </c>
    </row>
    <row r="297" spans="1:7" x14ac:dyDescent="0.25">
      <c r="A297">
        <v>3764</v>
      </c>
      <c r="B297">
        <v>2</v>
      </c>
      <c r="C297">
        <v>1</v>
      </c>
      <c r="D297">
        <v>1</v>
      </c>
      <c r="E297">
        <v>1</v>
      </c>
      <c r="F297">
        <v>3</v>
      </c>
      <c r="G297">
        <v>1.25</v>
      </c>
    </row>
    <row r="298" spans="1:7" x14ac:dyDescent="0.25">
      <c r="A298">
        <v>3765</v>
      </c>
      <c r="B298">
        <v>1</v>
      </c>
      <c r="C298">
        <v>1</v>
      </c>
      <c r="D298">
        <v>1</v>
      </c>
      <c r="E298">
        <v>1</v>
      </c>
      <c r="F298">
        <v>3</v>
      </c>
      <c r="G298">
        <v>1</v>
      </c>
    </row>
    <row r="299" spans="1:7" x14ac:dyDescent="0.25">
      <c r="A299">
        <v>3767</v>
      </c>
      <c r="B299">
        <v>4</v>
      </c>
      <c r="C299">
        <v>4</v>
      </c>
      <c r="D299">
        <v>3</v>
      </c>
      <c r="E299">
        <v>3</v>
      </c>
      <c r="F299">
        <v>3</v>
      </c>
      <c r="G299">
        <v>3.5</v>
      </c>
    </row>
    <row r="300" spans="1:7" x14ac:dyDescent="0.25">
      <c r="A300">
        <v>3775</v>
      </c>
      <c r="B300">
        <v>2</v>
      </c>
      <c r="C300">
        <v>2</v>
      </c>
      <c r="D300">
        <v>2</v>
      </c>
      <c r="E300">
        <v>1</v>
      </c>
      <c r="F300">
        <v>2</v>
      </c>
      <c r="G300">
        <v>1.75</v>
      </c>
    </row>
    <row r="301" spans="1:7" x14ac:dyDescent="0.25">
      <c r="A301">
        <v>3780</v>
      </c>
      <c r="B301">
        <v>4</v>
      </c>
      <c r="C301">
        <v>4</v>
      </c>
      <c r="D301">
        <v>2</v>
      </c>
      <c r="E301">
        <v>2</v>
      </c>
      <c r="F301">
        <v>3</v>
      </c>
      <c r="G301">
        <v>3</v>
      </c>
    </row>
    <row r="302" spans="1:7" x14ac:dyDescent="0.25">
      <c r="A302">
        <v>3782</v>
      </c>
      <c r="B302">
        <v>2</v>
      </c>
      <c r="C302">
        <v>2</v>
      </c>
      <c r="D302">
        <v>1</v>
      </c>
      <c r="E302">
        <v>1</v>
      </c>
      <c r="F302">
        <v>3</v>
      </c>
      <c r="G302">
        <v>1.5</v>
      </c>
    </row>
    <row r="303" spans="1:7" x14ac:dyDescent="0.25">
      <c r="A303">
        <v>3783</v>
      </c>
      <c r="B303">
        <v>2</v>
      </c>
      <c r="C303">
        <v>2</v>
      </c>
      <c r="D303">
        <v>1</v>
      </c>
      <c r="E303">
        <v>1</v>
      </c>
      <c r="F303">
        <v>3</v>
      </c>
      <c r="G303">
        <v>1.5</v>
      </c>
    </row>
    <row r="304" spans="1:7" x14ac:dyDescent="0.25">
      <c r="A304">
        <v>3784</v>
      </c>
      <c r="B304">
        <v>2</v>
      </c>
      <c r="C304">
        <v>1</v>
      </c>
      <c r="D304">
        <v>2</v>
      </c>
      <c r="E304">
        <v>3</v>
      </c>
      <c r="F304">
        <v>2</v>
      </c>
      <c r="G304">
        <v>2</v>
      </c>
    </row>
    <row r="305" spans="1:7" x14ac:dyDescent="0.25">
      <c r="A305">
        <v>3785</v>
      </c>
      <c r="B305">
        <v>3</v>
      </c>
      <c r="C305">
        <v>4</v>
      </c>
      <c r="D305">
        <v>3</v>
      </c>
      <c r="E305">
        <v>3</v>
      </c>
      <c r="F305">
        <v>3</v>
      </c>
      <c r="G305">
        <v>3.25</v>
      </c>
    </row>
    <row r="306" spans="1:7" x14ac:dyDescent="0.25">
      <c r="A306">
        <v>3786</v>
      </c>
      <c r="B306">
        <v>3</v>
      </c>
      <c r="C306">
        <v>2</v>
      </c>
      <c r="D306">
        <v>2</v>
      </c>
      <c r="E306">
        <v>1</v>
      </c>
      <c r="F306">
        <v>3</v>
      </c>
      <c r="G306">
        <v>2</v>
      </c>
    </row>
    <row r="307" spans="1:7" x14ac:dyDescent="0.25">
      <c r="A307">
        <v>3789</v>
      </c>
      <c r="B307">
        <v>2</v>
      </c>
      <c r="C307">
        <v>3</v>
      </c>
      <c r="D307">
        <v>2</v>
      </c>
      <c r="E307">
        <v>2</v>
      </c>
      <c r="F307">
        <v>3</v>
      </c>
      <c r="G307">
        <v>2.25</v>
      </c>
    </row>
    <row r="308" spans="1:7" x14ac:dyDescent="0.25">
      <c r="A308">
        <v>3792</v>
      </c>
      <c r="B308">
        <v>3</v>
      </c>
      <c r="C308">
        <v>4</v>
      </c>
      <c r="D308">
        <v>2</v>
      </c>
      <c r="E308">
        <v>2</v>
      </c>
      <c r="F308">
        <v>3</v>
      </c>
      <c r="G308">
        <v>2.75</v>
      </c>
    </row>
    <row r="309" spans="1:7" x14ac:dyDescent="0.25">
      <c r="A309">
        <v>3796</v>
      </c>
      <c r="B309">
        <v>3</v>
      </c>
      <c r="C309">
        <v>3</v>
      </c>
      <c r="D309">
        <v>2</v>
      </c>
      <c r="E309">
        <v>2</v>
      </c>
      <c r="F309">
        <v>3</v>
      </c>
      <c r="G309">
        <v>2.5</v>
      </c>
    </row>
    <row r="310" spans="1:7" x14ac:dyDescent="0.25">
      <c r="A310">
        <v>3800</v>
      </c>
      <c r="B310">
        <v>0</v>
      </c>
      <c r="C310">
        <v>1</v>
      </c>
      <c r="D310">
        <v>2</v>
      </c>
      <c r="E310">
        <v>1</v>
      </c>
      <c r="F310">
        <v>3</v>
      </c>
      <c r="G310">
        <v>1</v>
      </c>
    </row>
    <row r="311" spans="1:7" x14ac:dyDescent="0.25">
      <c r="A311">
        <v>3803</v>
      </c>
      <c r="B311">
        <v>2</v>
      </c>
      <c r="C311">
        <v>1</v>
      </c>
      <c r="D311">
        <v>1</v>
      </c>
      <c r="E311">
        <v>2</v>
      </c>
      <c r="F311">
        <v>2</v>
      </c>
      <c r="G311">
        <v>1.5</v>
      </c>
    </row>
    <row r="312" spans="1:7" x14ac:dyDescent="0.25">
      <c r="A312">
        <v>3804</v>
      </c>
      <c r="B312">
        <v>1</v>
      </c>
      <c r="C312">
        <v>1</v>
      </c>
      <c r="D312">
        <v>1</v>
      </c>
      <c r="E312">
        <v>1</v>
      </c>
      <c r="F312">
        <v>3</v>
      </c>
      <c r="G312">
        <v>1</v>
      </c>
    </row>
    <row r="313" spans="1:7" x14ac:dyDescent="0.25">
      <c r="A313">
        <v>3806</v>
      </c>
      <c r="B313">
        <v>1</v>
      </c>
      <c r="C313">
        <v>1</v>
      </c>
      <c r="D313">
        <v>1</v>
      </c>
      <c r="E313">
        <v>1</v>
      </c>
      <c r="F313">
        <v>3</v>
      </c>
      <c r="G313">
        <v>1</v>
      </c>
    </row>
    <row r="314" spans="1:7" x14ac:dyDescent="0.25">
      <c r="A314">
        <v>3807</v>
      </c>
      <c r="B314">
        <v>2</v>
      </c>
      <c r="C314">
        <v>2</v>
      </c>
      <c r="D314">
        <v>1</v>
      </c>
      <c r="E314">
        <v>1</v>
      </c>
      <c r="F314">
        <v>3</v>
      </c>
      <c r="G314">
        <v>1.5</v>
      </c>
    </row>
    <row r="315" spans="1:7" x14ac:dyDescent="0.25">
      <c r="A315">
        <v>3814</v>
      </c>
      <c r="B315">
        <v>1</v>
      </c>
      <c r="C315">
        <v>1</v>
      </c>
      <c r="D315">
        <v>1</v>
      </c>
      <c r="E315">
        <v>1</v>
      </c>
      <c r="F315">
        <v>3</v>
      </c>
      <c r="G315">
        <v>1</v>
      </c>
    </row>
    <row r="316" spans="1:7" x14ac:dyDescent="0.25">
      <c r="A316">
        <v>3816</v>
      </c>
      <c r="B316">
        <v>1</v>
      </c>
      <c r="C316">
        <v>1</v>
      </c>
      <c r="D316">
        <v>1</v>
      </c>
      <c r="E316">
        <v>1</v>
      </c>
      <c r="F316">
        <v>3</v>
      </c>
      <c r="G316">
        <v>1</v>
      </c>
    </row>
    <row r="317" spans="1:7" x14ac:dyDescent="0.25">
      <c r="A317">
        <v>3818</v>
      </c>
      <c r="B317">
        <v>3</v>
      </c>
      <c r="C317">
        <v>3</v>
      </c>
      <c r="D317">
        <v>1</v>
      </c>
      <c r="E317">
        <v>2</v>
      </c>
      <c r="F317">
        <v>2</v>
      </c>
      <c r="G317">
        <v>2.25</v>
      </c>
    </row>
    <row r="318" spans="1:7" x14ac:dyDescent="0.25">
      <c r="A318">
        <v>3821</v>
      </c>
      <c r="B318">
        <v>2</v>
      </c>
      <c r="C318">
        <v>1</v>
      </c>
      <c r="D318">
        <v>1</v>
      </c>
      <c r="E318">
        <v>1</v>
      </c>
      <c r="F318">
        <v>3</v>
      </c>
      <c r="G318">
        <v>1.25</v>
      </c>
    </row>
    <row r="319" spans="1:7" x14ac:dyDescent="0.25">
      <c r="A319">
        <v>3822</v>
      </c>
      <c r="B319">
        <v>2</v>
      </c>
      <c r="C319">
        <v>1</v>
      </c>
      <c r="D319">
        <v>1</v>
      </c>
      <c r="E319">
        <v>1</v>
      </c>
      <c r="F319">
        <v>3</v>
      </c>
      <c r="G319">
        <v>1.25</v>
      </c>
    </row>
    <row r="320" spans="1:7" x14ac:dyDescent="0.25">
      <c r="A320">
        <v>3823</v>
      </c>
      <c r="B320">
        <v>3</v>
      </c>
      <c r="C320">
        <v>3</v>
      </c>
      <c r="D320">
        <v>3</v>
      </c>
      <c r="E320">
        <v>3</v>
      </c>
      <c r="F320">
        <v>3</v>
      </c>
      <c r="G320">
        <v>3</v>
      </c>
    </row>
    <row r="321" spans="1:7" x14ac:dyDescent="0.25">
      <c r="A321">
        <v>3825</v>
      </c>
      <c r="B321">
        <v>4</v>
      </c>
      <c r="C321">
        <v>3</v>
      </c>
      <c r="D321">
        <v>4</v>
      </c>
      <c r="E321">
        <v>4</v>
      </c>
      <c r="F321">
        <v>3</v>
      </c>
      <c r="G321">
        <v>3.75</v>
      </c>
    </row>
    <row r="322" spans="1:7" x14ac:dyDescent="0.25">
      <c r="A322">
        <v>3826</v>
      </c>
      <c r="B322">
        <v>4</v>
      </c>
      <c r="C322">
        <v>3</v>
      </c>
      <c r="D322">
        <v>3</v>
      </c>
      <c r="E322">
        <v>3</v>
      </c>
      <c r="F322">
        <v>2</v>
      </c>
      <c r="G322">
        <v>3.25</v>
      </c>
    </row>
    <row r="323" spans="1:7" x14ac:dyDescent="0.25">
      <c r="A323">
        <v>3833</v>
      </c>
      <c r="B323">
        <v>3</v>
      </c>
      <c r="C323">
        <v>3</v>
      </c>
      <c r="D323">
        <v>2</v>
      </c>
      <c r="E323">
        <v>2</v>
      </c>
      <c r="F323">
        <v>3</v>
      </c>
      <c r="G323">
        <v>2.5</v>
      </c>
    </row>
    <row r="324" spans="1:7" x14ac:dyDescent="0.25">
      <c r="A324">
        <v>3834</v>
      </c>
      <c r="B324">
        <v>3</v>
      </c>
      <c r="C324">
        <v>3</v>
      </c>
      <c r="D324">
        <v>1</v>
      </c>
      <c r="E324">
        <v>2</v>
      </c>
      <c r="F324">
        <v>3</v>
      </c>
      <c r="G324">
        <v>2.25</v>
      </c>
    </row>
    <row r="325" spans="1:7" x14ac:dyDescent="0.25">
      <c r="A325">
        <v>3837</v>
      </c>
      <c r="B325">
        <v>3</v>
      </c>
      <c r="C325">
        <v>4</v>
      </c>
      <c r="D325">
        <v>4</v>
      </c>
      <c r="E325">
        <v>4</v>
      </c>
      <c r="F325">
        <v>4</v>
      </c>
      <c r="G325">
        <v>3.75</v>
      </c>
    </row>
    <row r="326" spans="1:7" x14ac:dyDescent="0.25">
      <c r="A326">
        <v>3838</v>
      </c>
      <c r="B326">
        <v>2</v>
      </c>
      <c r="C326">
        <v>2</v>
      </c>
      <c r="D326">
        <v>1</v>
      </c>
      <c r="E326">
        <v>2</v>
      </c>
      <c r="F326">
        <v>2</v>
      </c>
      <c r="G326">
        <v>1.75</v>
      </c>
    </row>
    <row r="327" spans="1:7" x14ac:dyDescent="0.25">
      <c r="A327">
        <v>3841</v>
      </c>
      <c r="B327">
        <v>4</v>
      </c>
      <c r="C327">
        <v>4</v>
      </c>
      <c r="D327">
        <v>3</v>
      </c>
      <c r="E327">
        <v>3</v>
      </c>
      <c r="F327">
        <v>3</v>
      </c>
      <c r="G327">
        <v>3.5</v>
      </c>
    </row>
    <row r="328" spans="1:7" x14ac:dyDescent="0.25">
      <c r="A328">
        <v>3843</v>
      </c>
      <c r="B328">
        <v>2</v>
      </c>
      <c r="C328">
        <v>1</v>
      </c>
      <c r="D328">
        <v>1</v>
      </c>
      <c r="E328">
        <v>1</v>
      </c>
      <c r="F328">
        <v>3</v>
      </c>
      <c r="G328">
        <v>1.25</v>
      </c>
    </row>
    <row r="329" spans="1:7" x14ac:dyDescent="0.25">
      <c r="A329">
        <v>3845</v>
      </c>
      <c r="B329">
        <v>2</v>
      </c>
      <c r="C329">
        <v>3</v>
      </c>
      <c r="D329">
        <v>2</v>
      </c>
      <c r="E329">
        <v>2</v>
      </c>
      <c r="F329">
        <v>3</v>
      </c>
      <c r="G329">
        <v>2.25</v>
      </c>
    </row>
    <row r="330" spans="1:7" x14ac:dyDescent="0.25">
      <c r="A330">
        <v>3848</v>
      </c>
      <c r="B330">
        <v>1</v>
      </c>
      <c r="C330">
        <v>1</v>
      </c>
      <c r="D330">
        <v>2</v>
      </c>
      <c r="E330">
        <v>1</v>
      </c>
      <c r="F330">
        <v>2</v>
      </c>
      <c r="G330">
        <v>1.25</v>
      </c>
    </row>
    <row r="331" spans="1:7" x14ac:dyDescent="0.25">
      <c r="A331">
        <v>3850</v>
      </c>
      <c r="B331">
        <v>1</v>
      </c>
      <c r="C331">
        <v>1</v>
      </c>
      <c r="D331">
        <v>1</v>
      </c>
      <c r="E331">
        <v>1</v>
      </c>
      <c r="F331">
        <v>2</v>
      </c>
      <c r="G331">
        <v>1</v>
      </c>
    </row>
    <row r="332" spans="1:7" x14ac:dyDescent="0.25">
      <c r="A332">
        <v>3851</v>
      </c>
      <c r="B332">
        <v>1</v>
      </c>
      <c r="C332">
        <v>2</v>
      </c>
      <c r="D332">
        <v>2</v>
      </c>
      <c r="E332">
        <v>1</v>
      </c>
      <c r="F332">
        <v>3</v>
      </c>
      <c r="G332">
        <v>1.5</v>
      </c>
    </row>
    <row r="333" spans="1:7" x14ac:dyDescent="0.25">
      <c r="A333">
        <v>3852</v>
      </c>
      <c r="B333">
        <v>4</v>
      </c>
      <c r="C333">
        <v>3</v>
      </c>
      <c r="D333">
        <v>4</v>
      </c>
      <c r="E333">
        <v>3</v>
      </c>
      <c r="F333">
        <v>3</v>
      </c>
      <c r="G333">
        <v>3.5</v>
      </c>
    </row>
    <row r="334" spans="1:7" x14ac:dyDescent="0.25">
      <c r="A334">
        <v>3853</v>
      </c>
      <c r="B334">
        <v>3</v>
      </c>
      <c r="C334">
        <v>3</v>
      </c>
      <c r="D334">
        <v>1</v>
      </c>
      <c r="E334">
        <v>1</v>
      </c>
      <c r="F334">
        <v>3</v>
      </c>
      <c r="G334">
        <v>2</v>
      </c>
    </row>
    <row r="335" spans="1:7" x14ac:dyDescent="0.25">
      <c r="A335">
        <v>3855</v>
      </c>
      <c r="B335">
        <v>2</v>
      </c>
      <c r="C335">
        <v>3</v>
      </c>
      <c r="D335">
        <v>2</v>
      </c>
      <c r="E335">
        <v>1</v>
      </c>
      <c r="F335">
        <v>2</v>
      </c>
      <c r="G335">
        <v>2</v>
      </c>
    </row>
    <row r="336" spans="1:7" x14ac:dyDescent="0.25">
      <c r="A336">
        <v>3856</v>
      </c>
      <c r="B336">
        <v>1</v>
      </c>
      <c r="C336">
        <v>1</v>
      </c>
      <c r="D336">
        <v>1</v>
      </c>
      <c r="E336">
        <v>2</v>
      </c>
      <c r="F336">
        <v>3</v>
      </c>
      <c r="G336">
        <v>1.25</v>
      </c>
    </row>
    <row r="337" spans="1:7" x14ac:dyDescent="0.25">
      <c r="A337">
        <v>3860</v>
      </c>
      <c r="B337">
        <v>2</v>
      </c>
      <c r="C337">
        <v>3</v>
      </c>
      <c r="D337">
        <v>3</v>
      </c>
      <c r="E337">
        <v>2</v>
      </c>
      <c r="F337">
        <v>3</v>
      </c>
      <c r="G337">
        <v>2.5</v>
      </c>
    </row>
    <row r="338" spans="1:7" x14ac:dyDescent="0.25">
      <c r="A338">
        <v>3861</v>
      </c>
      <c r="B338">
        <v>1</v>
      </c>
      <c r="C338">
        <v>2</v>
      </c>
      <c r="D338">
        <v>2</v>
      </c>
      <c r="E338">
        <v>1</v>
      </c>
      <c r="F338">
        <v>3</v>
      </c>
      <c r="G338">
        <v>1.5</v>
      </c>
    </row>
    <row r="339" spans="1:7" x14ac:dyDescent="0.25">
      <c r="A339">
        <v>3864</v>
      </c>
      <c r="B339">
        <v>3</v>
      </c>
      <c r="C339">
        <v>3</v>
      </c>
      <c r="D339">
        <v>2</v>
      </c>
      <c r="E339">
        <v>1</v>
      </c>
      <c r="F339">
        <v>3</v>
      </c>
      <c r="G339">
        <v>2.25</v>
      </c>
    </row>
    <row r="340" spans="1:7" x14ac:dyDescent="0.25">
      <c r="A340">
        <v>3870</v>
      </c>
      <c r="B340">
        <v>4</v>
      </c>
      <c r="C340">
        <v>4</v>
      </c>
      <c r="D340">
        <v>3</v>
      </c>
      <c r="E340">
        <v>3</v>
      </c>
      <c r="F340">
        <v>3</v>
      </c>
      <c r="G340">
        <v>3.5</v>
      </c>
    </row>
    <row r="341" spans="1:7" x14ac:dyDescent="0.25">
      <c r="A341">
        <v>3878</v>
      </c>
      <c r="B341">
        <v>2</v>
      </c>
      <c r="C341">
        <v>1</v>
      </c>
      <c r="D341">
        <v>1</v>
      </c>
      <c r="E341">
        <v>1</v>
      </c>
      <c r="F341">
        <v>3</v>
      </c>
      <c r="G341">
        <v>1.25</v>
      </c>
    </row>
    <row r="342" spans="1:7" x14ac:dyDescent="0.25">
      <c r="A342">
        <v>3882</v>
      </c>
      <c r="B342">
        <v>1</v>
      </c>
      <c r="C342">
        <v>1</v>
      </c>
      <c r="D342">
        <v>1</v>
      </c>
      <c r="E342">
        <v>1</v>
      </c>
      <c r="F342">
        <v>3</v>
      </c>
      <c r="G342">
        <v>1</v>
      </c>
    </row>
    <row r="343" spans="1:7" x14ac:dyDescent="0.25">
      <c r="A343">
        <v>3883</v>
      </c>
      <c r="B343">
        <v>3</v>
      </c>
      <c r="C343">
        <v>3</v>
      </c>
      <c r="D343">
        <v>3</v>
      </c>
      <c r="E343">
        <v>3</v>
      </c>
      <c r="F343">
        <v>3</v>
      </c>
      <c r="G343">
        <v>3</v>
      </c>
    </row>
    <row r="344" spans="1:7" x14ac:dyDescent="0.25">
      <c r="A344">
        <v>3887</v>
      </c>
      <c r="B344">
        <v>3</v>
      </c>
      <c r="C344">
        <v>2</v>
      </c>
      <c r="D344">
        <v>2</v>
      </c>
      <c r="E344">
        <v>1</v>
      </c>
      <c r="F344">
        <v>2</v>
      </c>
      <c r="G344">
        <v>2</v>
      </c>
    </row>
    <row r="345" spans="1:7" x14ac:dyDescent="0.25">
      <c r="A345">
        <v>3893</v>
      </c>
      <c r="B345">
        <v>3</v>
      </c>
      <c r="C345">
        <v>2</v>
      </c>
      <c r="D345">
        <v>2</v>
      </c>
      <c r="E345">
        <v>3</v>
      </c>
      <c r="F345">
        <v>4</v>
      </c>
      <c r="G345">
        <v>2.5</v>
      </c>
    </row>
    <row r="346" spans="1:7" x14ac:dyDescent="0.25">
      <c r="A346">
        <v>3894</v>
      </c>
      <c r="B346">
        <v>4</v>
      </c>
      <c r="C346">
        <v>3</v>
      </c>
      <c r="D346">
        <v>2</v>
      </c>
      <c r="E346">
        <v>3</v>
      </c>
      <c r="F346">
        <v>2</v>
      </c>
      <c r="G346">
        <v>3</v>
      </c>
    </row>
    <row r="347" spans="1:7" x14ac:dyDescent="0.25">
      <c r="A347">
        <v>3895</v>
      </c>
      <c r="B347">
        <v>1</v>
      </c>
      <c r="C347">
        <v>2</v>
      </c>
      <c r="D347">
        <v>2</v>
      </c>
      <c r="E347">
        <v>2</v>
      </c>
      <c r="F347">
        <v>3</v>
      </c>
      <c r="G347">
        <v>1.75</v>
      </c>
    </row>
    <row r="348" spans="1:7" x14ac:dyDescent="0.25">
      <c r="A348">
        <v>3896</v>
      </c>
      <c r="B348">
        <v>3</v>
      </c>
      <c r="C348">
        <v>3</v>
      </c>
      <c r="D348">
        <v>2</v>
      </c>
      <c r="E348">
        <v>2</v>
      </c>
      <c r="F348">
        <v>2</v>
      </c>
      <c r="G348">
        <v>2.5</v>
      </c>
    </row>
    <row r="349" spans="1:7" x14ac:dyDescent="0.25">
      <c r="A349">
        <v>3897</v>
      </c>
      <c r="B349">
        <v>4</v>
      </c>
      <c r="C349">
        <v>4</v>
      </c>
      <c r="D349">
        <v>3</v>
      </c>
      <c r="E349">
        <v>3</v>
      </c>
      <c r="F349">
        <v>3</v>
      </c>
      <c r="G349">
        <v>3.5</v>
      </c>
    </row>
    <row r="350" spans="1:7" x14ac:dyDescent="0.25">
      <c r="A350">
        <v>3898</v>
      </c>
      <c r="B350">
        <v>1</v>
      </c>
      <c r="C350">
        <v>1</v>
      </c>
      <c r="D350">
        <v>1</v>
      </c>
      <c r="E350">
        <v>1</v>
      </c>
      <c r="F350">
        <v>3</v>
      </c>
      <c r="G350">
        <v>1</v>
      </c>
    </row>
    <row r="351" spans="1:7" x14ac:dyDescent="0.25">
      <c r="A351">
        <v>3899</v>
      </c>
      <c r="B351">
        <v>2</v>
      </c>
      <c r="C351">
        <v>2</v>
      </c>
      <c r="D351">
        <v>1</v>
      </c>
      <c r="E351">
        <v>1</v>
      </c>
      <c r="F351">
        <v>3</v>
      </c>
      <c r="G351">
        <v>1.5</v>
      </c>
    </row>
    <row r="352" spans="1:7" x14ac:dyDescent="0.25">
      <c r="A352">
        <v>3901</v>
      </c>
      <c r="B352">
        <v>3</v>
      </c>
      <c r="C352">
        <v>3</v>
      </c>
      <c r="D352">
        <v>4</v>
      </c>
      <c r="E352">
        <v>2</v>
      </c>
      <c r="F352">
        <v>3</v>
      </c>
      <c r="G352">
        <v>3</v>
      </c>
    </row>
    <row r="353" spans="1:7" x14ac:dyDescent="0.25">
      <c r="A353">
        <v>3903</v>
      </c>
      <c r="B353">
        <v>1</v>
      </c>
      <c r="C353">
        <v>1</v>
      </c>
      <c r="D353">
        <v>1</v>
      </c>
      <c r="E353">
        <v>1</v>
      </c>
      <c r="F353">
        <v>3</v>
      </c>
      <c r="G353">
        <v>1</v>
      </c>
    </row>
    <row r="354" spans="1:7" x14ac:dyDescent="0.25">
      <c r="A354">
        <v>3904</v>
      </c>
      <c r="B354">
        <v>1</v>
      </c>
      <c r="C354">
        <v>1</v>
      </c>
      <c r="D354">
        <v>1</v>
      </c>
      <c r="E354">
        <v>1</v>
      </c>
      <c r="F354">
        <v>3</v>
      </c>
      <c r="G354">
        <v>1</v>
      </c>
    </row>
    <row r="355" spans="1:7" x14ac:dyDescent="0.25">
      <c r="A355">
        <v>3905</v>
      </c>
      <c r="B355">
        <v>4</v>
      </c>
      <c r="C355">
        <v>2</v>
      </c>
      <c r="D355">
        <v>1</v>
      </c>
      <c r="E355">
        <v>1</v>
      </c>
      <c r="F355">
        <v>2</v>
      </c>
      <c r="G355">
        <v>2</v>
      </c>
    </row>
    <row r="356" spans="1:7" x14ac:dyDescent="0.25">
      <c r="A356">
        <v>3906</v>
      </c>
      <c r="B356">
        <v>1</v>
      </c>
      <c r="C356">
        <v>1</v>
      </c>
      <c r="D356">
        <v>1</v>
      </c>
      <c r="E356">
        <v>1</v>
      </c>
      <c r="F356">
        <v>3</v>
      </c>
      <c r="G356">
        <v>1</v>
      </c>
    </row>
    <row r="357" spans="1:7" x14ac:dyDescent="0.25">
      <c r="A357">
        <v>3907</v>
      </c>
      <c r="B357">
        <v>1</v>
      </c>
      <c r="C357">
        <v>1</v>
      </c>
      <c r="D357">
        <v>2</v>
      </c>
      <c r="E357">
        <v>1</v>
      </c>
      <c r="F357">
        <v>3</v>
      </c>
      <c r="G357">
        <v>1.25</v>
      </c>
    </row>
    <row r="358" spans="1:7" x14ac:dyDescent="0.25">
      <c r="A358">
        <v>3908</v>
      </c>
      <c r="B358">
        <v>2</v>
      </c>
      <c r="C358">
        <v>2</v>
      </c>
      <c r="D358">
        <v>1</v>
      </c>
      <c r="E358">
        <v>1</v>
      </c>
      <c r="F358">
        <v>4</v>
      </c>
      <c r="G358">
        <v>1.5</v>
      </c>
    </row>
    <row r="359" spans="1:7" x14ac:dyDescent="0.25">
      <c r="A359">
        <v>3911</v>
      </c>
      <c r="B359">
        <v>3</v>
      </c>
      <c r="C359">
        <v>2</v>
      </c>
      <c r="D359">
        <v>1</v>
      </c>
      <c r="E359">
        <v>1</v>
      </c>
      <c r="F359">
        <v>3</v>
      </c>
      <c r="G359">
        <v>1.75</v>
      </c>
    </row>
    <row r="360" spans="1:7" x14ac:dyDescent="0.25">
      <c r="A360">
        <v>3912</v>
      </c>
      <c r="B360">
        <v>2</v>
      </c>
      <c r="C360">
        <v>3</v>
      </c>
      <c r="D360">
        <v>2</v>
      </c>
      <c r="E360">
        <v>2</v>
      </c>
      <c r="F360">
        <v>3</v>
      </c>
      <c r="G360">
        <v>2.25</v>
      </c>
    </row>
    <row r="361" spans="1:7" x14ac:dyDescent="0.25">
      <c r="A361">
        <v>3913</v>
      </c>
      <c r="B361">
        <v>1</v>
      </c>
      <c r="C361">
        <v>2</v>
      </c>
      <c r="D361">
        <v>0</v>
      </c>
      <c r="E361">
        <v>1</v>
      </c>
      <c r="F361">
        <v>3</v>
      </c>
      <c r="G361">
        <v>1</v>
      </c>
    </row>
    <row r="362" spans="1:7" x14ac:dyDescent="0.25">
      <c r="A362">
        <v>3914</v>
      </c>
      <c r="B362">
        <v>3</v>
      </c>
      <c r="C362">
        <v>3</v>
      </c>
      <c r="D362">
        <v>2</v>
      </c>
      <c r="E362">
        <v>3</v>
      </c>
      <c r="F362">
        <v>2</v>
      </c>
      <c r="G362">
        <v>2.75</v>
      </c>
    </row>
    <row r="363" spans="1:7" x14ac:dyDescent="0.25">
      <c r="A363">
        <v>3915</v>
      </c>
      <c r="B363">
        <v>2</v>
      </c>
      <c r="C363">
        <v>2</v>
      </c>
      <c r="D363">
        <v>2</v>
      </c>
      <c r="E363">
        <v>1</v>
      </c>
      <c r="F363">
        <v>3</v>
      </c>
      <c r="G363">
        <v>1.75</v>
      </c>
    </row>
    <row r="364" spans="1:7" x14ac:dyDescent="0.25">
      <c r="A364">
        <v>3916</v>
      </c>
      <c r="B364">
        <v>2</v>
      </c>
      <c r="C364">
        <v>2</v>
      </c>
      <c r="D364">
        <v>1</v>
      </c>
      <c r="E364">
        <v>2</v>
      </c>
      <c r="F364">
        <v>3</v>
      </c>
      <c r="G364">
        <v>1.75</v>
      </c>
    </row>
    <row r="365" spans="1:7" x14ac:dyDescent="0.25">
      <c r="A365">
        <v>3919</v>
      </c>
      <c r="B365">
        <v>2</v>
      </c>
      <c r="C365">
        <v>2</v>
      </c>
      <c r="D365">
        <v>1</v>
      </c>
      <c r="E365">
        <v>1</v>
      </c>
      <c r="F365">
        <v>4</v>
      </c>
      <c r="G365">
        <v>1.5</v>
      </c>
    </row>
    <row r="366" spans="1:7" x14ac:dyDescent="0.25">
      <c r="A366">
        <v>3922</v>
      </c>
      <c r="B366">
        <v>3</v>
      </c>
      <c r="C366">
        <v>3</v>
      </c>
      <c r="D366">
        <v>1</v>
      </c>
      <c r="E366">
        <v>2</v>
      </c>
      <c r="F366">
        <v>2</v>
      </c>
      <c r="G366">
        <v>2.25</v>
      </c>
    </row>
    <row r="367" spans="1:7" x14ac:dyDescent="0.25">
      <c r="A367">
        <v>3923</v>
      </c>
      <c r="B367">
        <v>4</v>
      </c>
      <c r="C367">
        <v>4</v>
      </c>
      <c r="D367">
        <v>3</v>
      </c>
      <c r="E367">
        <v>4</v>
      </c>
      <c r="F367">
        <v>3</v>
      </c>
      <c r="G367">
        <v>3.75</v>
      </c>
    </row>
    <row r="368" spans="1:7" x14ac:dyDescent="0.25">
      <c r="A368">
        <v>3924</v>
      </c>
      <c r="B368">
        <v>2</v>
      </c>
      <c r="C368">
        <v>3</v>
      </c>
      <c r="D368">
        <v>3</v>
      </c>
      <c r="E368">
        <v>3</v>
      </c>
      <c r="F368">
        <v>3</v>
      </c>
      <c r="G368">
        <v>2.75</v>
      </c>
    </row>
    <row r="369" spans="1:7" x14ac:dyDescent="0.25">
      <c r="A369">
        <v>3925</v>
      </c>
      <c r="B369">
        <v>2</v>
      </c>
      <c r="C369">
        <v>2</v>
      </c>
      <c r="D369">
        <v>2</v>
      </c>
      <c r="E369">
        <v>2</v>
      </c>
      <c r="F369">
        <v>3</v>
      </c>
      <c r="G369">
        <v>2</v>
      </c>
    </row>
    <row r="370" spans="1:7" x14ac:dyDescent="0.25">
      <c r="A370">
        <v>3927</v>
      </c>
      <c r="B370">
        <v>1</v>
      </c>
      <c r="C370">
        <v>1</v>
      </c>
      <c r="D370">
        <v>1</v>
      </c>
      <c r="E370">
        <v>1</v>
      </c>
      <c r="F370">
        <v>3</v>
      </c>
      <c r="G370">
        <v>1</v>
      </c>
    </row>
    <row r="371" spans="1:7" x14ac:dyDescent="0.25">
      <c r="A371">
        <v>3928</v>
      </c>
      <c r="B371">
        <v>1</v>
      </c>
      <c r="C371">
        <v>1</v>
      </c>
      <c r="D371">
        <v>1</v>
      </c>
      <c r="E371">
        <v>2</v>
      </c>
      <c r="F371">
        <v>4</v>
      </c>
      <c r="G371">
        <v>1.25</v>
      </c>
    </row>
    <row r="372" spans="1:7" x14ac:dyDescent="0.25">
      <c r="A372">
        <v>3929</v>
      </c>
      <c r="B372">
        <v>3</v>
      </c>
      <c r="C372">
        <v>3</v>
      </c>
      <c r="D372">
        <v>1</v>
      </c>
      <c r="E372">
        <v>2</v>
      </c>
      <c r="F372">
        <v>3</v>
      </c>
      <c r="G372">
        <v>2.25</v>
      </c>
    </row>
    <row r="373" spans="1:7" x14ac:dyDescent="0.25">
      <c r="A373">
        <v>3930</v>
      </c>
      <c r="B373">
        <v>1</v>
      </c>
      <c r="C373">
        <v>1</v>
      </c>
      <c r="D373">
        <v>1</v>
      </c>
      <c r="E373">
        <v>2</v>
      </c>
      <c r="F373">
        <v>3</v>
      </c>
      <c r="G373">
        <v>1.25</v>
      </c>
    </row>
    <row r="374" spans="1:7" x14ac:dyDescent="0.25">
      <c r="A374">
        <v>3933</v>
      </c>
      <c r="B374">
        <v>4</v>
      </c>
      <c r="C374">
        <v>4</v>
      </c>
      <c r="D374">
        <v>0</v>
      </c>
      <c r="E374">
        <v>4</v>
      </c>
      <c r="F374">
        <v>3</v>
      </c>
      <c r="G374">
        <v>3</v>
      </c>
    </row>
    <row r="375" spans="1:7" x14ac:dyDescent="0.25">
      <c r="A375">
        <v>3935</v>
      </c>
      <c r="B375">
        <v>3</v>
      </c>
      <c r="C375">
        <v>2</v>
      </c>
      <c r="D375">
        <v>2</v>
      </c>
      <c r="E375">
        <v>2</v>
      </c>
      <c r="F375">
        <v>3</v>
      </c>
      <c r="G375">
        <v>2.25</v>
      </c>
    </row>
    <row r="376" spans="1:7" x14ac:dyDescent="0.25">
      <c r="A376">
        <v>3938</v>
      </c>
      <c r="B376">
        <v>2</v>
      </c>
      <c r="C376">
        <v>1</v>
      </c>
      <c r="D376">
        <v>1</v>
      </c>
      <c r="E376">
        <v>2</v>
      </c>
      <c r="F376">
        <v>3</v>
      </c>
      <c r="G376">
        <v>1.5</v>
      </c>
    </row>
    <row r="377" spans="1:7" x14ac:dyDescent="0.25">
      <c r="A377">
        <v>3941</v>
      </c>
      <c r="B377">
        <v>3</v>
      </c>
      <c r="C377">
        <v>2</v>
      </c>
      <c r="D377">
        <v>3</v>
      </c>
      <c r="E377">
        <v>2</v>
      </c>
      <c r="F377">
        <v>2</v>
      </c>
      <c r="G377">
        <v>2.5</v>
      </c>
    </row>
    <row r="378" spans="1:7" x14ac:dyDescent="0.25">
      <c r="A378">
        <v>3943</v>
      </c>
      <c r="B378">
        <v>1</v>
      </c>
      <c r="C378">
        <v>1</v>
      </c>
      <c r="D378">
        <v>1</v>
      </c>
      <c r="E378">
        <v>1</v>
      </c>
      <c r="F378">
        <v>3</v>
      </c>
      <c r="G378">
        <v>1</v>
      </c>
    </row>
    <row r="379" spans="1:7" x14ac:dyDescent="0.25">
      <c r="A379">
        <v>3944</v>
      </c>
      <c r="B379">
        <v>3</v>
      </c>
      <c r="C379">
        <v>2</v>
      </c>
      <c r="D379">
        <v>1</v>
      </c>
      <c r="E379">
        <v>2</v>
      </c>
      <c r="F379">
        <v>2</v>
      </c>
      <c r="G379">
        <v>2</v>
      </c>
    </row>
    <row r="380" spans="1:7" x14ac:dyDescent="0.25">
      <c r="A380">
        <v>3947</v>
      </c>
      <c r="B380">
        <v>3</v>
      </c>
      <c r="C380">
        <v>1</v>
      </c>
      <c r="D380">
        <v>2</v>
      </c>
      <c r="E380">
        <v>2</v>
      </c>
      <c r="F380">
        <v>3</v>
      </c>
      <c r="G380">
        <v>2</v>
      </c>
    </row>
    <row r="381" spans="1:7" x14ac:dyDescent="0.25">
      <c r="A381">
        <v>3948</v>
      </c>
      <c r="B381">
        <v>3</v>
      </c>
      <c r="C381">
        <v>3</v>
      </c>
      <c r="D381">
        <v>2</v>
      </c>
      <c r="E381">
        <v>2</v>
      </c>
      <c r="F381">
        <v>3</v>
      </c>
      <c r="G381">
        <v>2.5</v>
      </c>
    </row>
    <row r="382" spans="1:7" x14ac:dyDescent="0.25">
      <c r="A382">
        <v>3950</v>
      </c>
      <c r="B382">
        <v>1</v>
      </c>
      <c r="C382">
        <v>1</v>
      </c>
      <c r="D382">
        <v>1</v>
      </c>
      <c r="E382">
        <v>1</v>
      </c>
      <c r="F382">
        <v>2</v>
      </c>
      <c r="G382">
        <v>1</v>
      </c>
    </row>
    <row r="383" spans="1:7" x14ac:dyDescent="0.25">
      <c r="A383">
        <v>3951</v>
      </c>
      <c r="B383">
        <v>3</v>
      </c>
      <c r="C383">
        <v>2</v>
      </c>
      <c r="D383">
        <v>1</v>
      </c>
      <c r="E383">
        <v>2</v>
      </c>
      <c r="F383">
        <v>3</v>
      </c>
      <c r="G383">
        <v>2</v>
      </c>
    </row>
    <row r="384" spans="1:7" x14ac:dyDescent="0.25">
      <c r="A384">
        <v>3952</v>
      </c>
      <c r="B384">
        <v>1</v>
      </c>
      <c r="C384">
        <v>1</v>
      </c>
      <c r="D384">
        <v>1</v>
      </c>
      <c r="E384">
        <v>0</v>
      </c>
      <c r="F384">
        <v>3</v>
      </c>
      <c r="G384">
        <v>0.75</v>
      </c>
    </row>
    <row r="385" spans="1:7" x14ac:dyDescent="0.25">
      <c r="A385">
        <v>3955</v>
      </c>
      <c r="B385">
        <v>3</v>
      </c>
      <c r="C385">
        <v>3</v>
      </c>
      <c r="D385">
        <v>2</v>
      </c>
      <c r="E385">
        <v>2</v>
      </c>
      <c r="F385">
        <v>3</v>
      </c>
      <c r="G385">
        <v>2.5</v>
      </c>
    </row>
    <row r="386" spans="1:7" x14ac:dyDescent="0.25">
      <c r="A386">
        <v>3957</v>
      </c>
      <c r="B386">
        <v>2</v>
      </c>
      <c r="C386">
        <v>2</v>
      </c>
      <c r="D386">
        <v>1</v>
      </c>
      <c r="E386">
        <v>2</v>
      </c>
      <c r="F386">
        <v>3</v>
      </c>
      <c r="G386">
        <v>1.75</v>
      </c>
    </row>
    <row r="387" spans="1:7" x14ac:dyDescent="0.25">
      <c r="A387">
        <v>3958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 x14ac:dyDescent="0.25">
      <c r="A388">
        <v>3960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1.25</v>
      </c>
    </row>
    <row r="389" spans="1:7" x14ac:dyDescent="0.25">
      <c r="A389">
        <v>3961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</row>
    <row r="390" spans="1:7" x14ac:dyDescent="0.25">
      <c r="A390">
        <v>3962</v>
      </c>
      <c r="B390">
        <v>4</v>
      </c>
      <c r="C390">
        <v>4</v>
      </c>
      <c r="D390">
        <v>3</v>
      </c>
      <c r="E390">
        <v>3</v>
      </c>
      <c r="F390">
        <v>3</v>
      </c>
      <c r="G390">
        <v>3.5</v>
      </c>
    </row>
    <row r="391" spans="1:7" x14ac:dyDescent="0.25">
      <c r="A391">
        <v>3963</v>
      </c>
      <c r="B391">
        <v>2</v>
      </c>
      <c r="C391">
        <v>2</v>
      </c>
      <c r="D391">
        <v>2</v>
      </c>
      <c r="E391">
        <v>3</v>
      </c>
      <c r="F391">
        <v>3</v>
      </c>
      <c r="G391">
        <v>2.25</v>
      </c>
    </row>
    <row r="392" spans="1:7" x14ac:dyDescent="0.25">
      <c r="A392">
        <v>3964</v>
      </c>
      <c r="B392">
        <v>2</v>
      </c>
      <c r="C392">
        <v>2</v>
      </c>
      <c r="D392">
        <v>2</v>
      </c>
      <c r="E392">
        <v>2</v>
      </c>
      <c r="F392">
        <v>3</v>
      </c>
      <c r="G392">
        <v>2</v>
      </c>
    </row>
    <row r="393" spans="1:7" x14ac:dyDescent="0.25">
      <c r="A393">
        <v>3967</v>
      </c>
      <c r="B393">
        <v>2</v>
      </c>
      <c r="C393">
        <v>2</v>
      </c>
      <c r="D393">
        <v>2</v>
      </c>
      <c r="E393">
        <v>2</v>
      </c>
      <c r="F393">
        <v>3</v>
      </c>
      <c r="G393">
        <v>2</v>
      </c>
    </row>
    <row r="394" spans="1:7" x14ac:dyDescent="0.25">
      <c r="A394">
        <v>3970</v>
      </c>
      <c r="B394">
        <v>4</v>
      </c>
      <c r="C394">
        <v>3</v>
      </c>
      <c r="D394">
        <v>3</v>
      </c>
      <c r="E394">
        <v>2</v>
      </c>
      <c r="F394">
        <v>3</v>
      </c>
      <c r="G394">
        <v>3</v>
      </c>
    </row>
    <row r="395" spans="1:7" x14ac:dyDescent="0.25">
      <c r="A395">
        <v>3974</v>
      </c>
      <c r="B395">
        <v>2</v>
      </c>
      <c r="C395">
        <v>2</v>
      </c>
      <c r="D395">
        <v>3</v>
      </c>
      <c r="E395">
        <v>3</v>
      </c>
      <c r="F395">
        <v>3</v>
      </c>
      <c r="G395">
        <v>2.5</v>
      </c>
    </row>
    <row r="396" spans="1:7" x14ac:dyDescent="0.25">
      <c r="A396">
        <v>3975</v>
      </c>
      <c r="B396">
        <v>1</v>
      </c>
      <c r="C396">
        <v>2</v>
      </c>
      <c r="D396">
        <v>2</v>
      </c>
      <c r="E396">
        <v>2</v>
      </c>
      <c r="F396">
        <v>3</v>
      </c>
      <c r="G396">
        <v>1.75</v>
      </c>
    </row>
    <row r="397" spans="1:7" x14ac:dyDescent="0.25">
      <c r="A397">
        <v>3979</v>
      </c>
      <c r="B397">
        <v>3</v>
      </c>
      <c r="C397">
        <v>2</v>
      </c>
      <c r="D397">
        <v>1</v>
      </c>
      <c r="E397">
        <v>1</v>
      </c>
      <c r="F397">
        <v>3</v>
      </c>
      <c r="G397">
        <v>1.75</v>
      </c>
    </row>
    <row r="398" spans="1:7" x14ac:dyDescent="0.25">
      <c r="A398">
        <v>3983</v>
      </c>
      <c r="B398">
        <v>1</v>
      </c>
      <c r="C398">
        <v>1</v>
      </c>
      <c r="D398">
        <v>1</v>
      </c>
      <c r="E398">
        <v>1</v>
      </c>
      <c r="F398">
        <v>3</v>
      </c>
      <c r="G398">
        <v>1</v>
      </c>
    </row>
    <row r="399" spans="1:7" x14ac:dyDescent="0.25">
      <c r="A399">
        <v>3984</v>
      </c>
      <c r="B399">
        <v>2</v>
      </c>
      <c r="C399">
        <v>2</v>
      </c>
      <c r="D399">
        <v>2</v>
      </c>
      <c r="E399">
        <v>3</v>
      </c>
      <c r="F399">
        <v>3</v>
      </c>
      <c r="G399">
        <v>2.25</v>
      </c>
    </row>
    <row r="400" spans="1:7" x14ac:dyDescent="0.25">
      <c r="A400">
        <v>3985</v>
      </c>
      <c r="B400">
        <v>2</v>
      </c>
      <c r="C400">
        <v>3</v>
      </c>
      <c r="D400">
        <v>3</v>
      </c>
      <c r="E400">
        <v>1</v>
      </c>
      <c r="F400">
        <v>3</v>
      </c>
      <c r="G400">
        <v>2.25</v>
      </c>
    </row>
    <row r="401" spans="1:7" x14ac:dyDescent="0.25">
      <c r="A401">
        <v>3986</v>
      </c>
      <c r="B401">
        <v>2</v>
      </c>
      <c r="C401">
        <v>3</v>
      </c>
      <c r="D401">
        <v>1</v>
      </c>
      <c r="E401">
        <v>1</v>
      </c>
      <c r="F401">
        <v>3</v>
      </c>
      <c r="G401">
        <v>1.75</v>
      </c>
    </row>
    <row r="402" spans="1:7" x14ac:dyDescent="0.25">
      <c r="A402">
        <v>3987</v>
      </c>
      <c r="B402">
        <v>1</v>
      </c>
      <c r="C402">
        <v>2</v>
      </c>
      <c r="D402">
        <v>1</v>
      </c>
      <c r="E402">
        <v>1</v>
      </c>
      <c r="F402">
        <v>3</v>
      </c>
      <c r="G402">
        <v>1.25</v>
      </c>
    </row>
    <row r="403" spans="1:7" x14ac:dyDescent="0.25">
      <c r="A403">
        <v>3988</v>
      </c>
      <c r="B403">
        <v>4</v>
      </c>
      <c r="C403">
        <v>4</v>
      </c>
      <c r="D403">
        <v>4</v>
      </c>
      <c r="E403">
        <v>4</v>
      </c>
      <c r="F403">
        <v>3</v>
      </c>
      <c r="G403">
        <v>4</v>
      </c>
    </row>
    <row r="404" spans="1:7" x14ac:dyDescent="0.25">
      <c r="A404">
        <v>3989</v>
      </c>
      <c r="B404">
        <v>3</v>
      </c>
      <c r="C404">
        <v>3</v>
      </c>
      <c r="D404">
        <v>3</v>
      </c>
      <c r="E404">
        <v>2</v>
      </c>
      <c r="F404">
        <v>4</v>
      </c>
      <c r="G404">
        <v>2.75</v>
      </c>
    </row>
    <row r="405" spans="1:7" x14ac:dyDescent="0.25">
      <c r="A405">
        <v>3990</v>
      </c>
      <c r="B405">
        <v>1</v>
      </c>
      <c r="C405">
        <v>1</v>
      </c>
      <c r="D405">
        <v>1</v>
      </c>
      <c r="E405">
        <v>1</v>
      </c>
      <c r="F405">
        <v>4</v>
      </c>
      <c r="G405">
        <v>1</v>
      </c>
    </row>
    <row r="406" spans="1:7" x14ac:dyDescent="0.25">
      <c r="A406">
        <v>3992</v>
      </c>
      <c r="B406">
        <v>1</v>
      </c>
      <c r="C406">
        <v>1</v>
      </c>
      <c r="D406">
        <v>2</v>
      </c>
      <c r="E406">
        <v>3</v>
      </c>
      <c r="F406">
        <v>3</v>
      </c>
      <c r="G406">
        <v>1.75</v>
      </c>
    </row>
    <row r="407" spans="1:7" x14ac:dyDescent="0.25">
      <c r="A407">
        <v>3994</v>
      </c>
      <c r="B407">
        <v>2</v>
      </c>
      <c r="C407">
        <v>3</v>
      </c>
      <c r="D407">
        <v>0</v>
      </c>
      <c r="E407">
        <v>1</v>
      </c>
      <c r="F407">
        <v>4</v>
      </c>
      <c r="G407">
        <v>1.5</v>
      </c>
    </row>
    <row r="408" spans="1:7" x14ac:dyDescent="0.25">
      <c r="A408">
        <v>3996</v>
      </c>
      <c r="B408">
        <v>3</v>
      </c>
      <c r="C408">
        <v>4</v>
      </c>
      <c r="D408">
        <v>2</v>
      </c>
      <c r="E408">
        <v>3</v>
      </c>
      <c r="F408">
        <v>3</v>
      </c>
      <c r="G408">
        <v>3</v>
      </c>
    </row>
    <row r="409" spans="1:7" x14ac:dyDescent="0.25">
      <c r="A409">
        <v>3997</v>
      </c>
      <c r="B409">
        <v>3</v>
      </c>
      <c r="C409">
        <v>4</v>
      </c>
      <c r="D409">
        <v>3</v>
      </c>
      <c r="E409">
        <v>3</v>
      </c>
      <c r="F409">
        <v>3</v>
      </c>
      <c r="G409">
        <v>3.25</v>
      </c>
    </row>
    <row r="410" spans="1:7" x14ac:dyDescent="0.25">
      <c r="A410">
        <v>3999</v>
      </c>
      <c r="B410">
        <v>3</v>
      </c>
      <c r="C410">
        <v>3</v>
      </c>
      <c r="D410">
        <v>2</v>
      </c>
      <c r="E410">
        <v>3</v>
      </c>
      <c r="F410">
        <v>2</v>
      </c>
      <c r="G410">
        <v>2.75</v>
      </c>
    </row>
    <row r="411" spans="1:7" x14ac:dyDescent="0.25">
      <c r="A411">
        <v>4002</v>
      </c>
      <c r="B411">
        <v>3</v>
      </c>
      <c r="C411">
        <v>3</v>
      </c>
      <c r="D411">
        <v>2</v>
      </c>
      <c r="E411">
        <v>1</v>
      </c>
      <c r="F411">
        <v>3</v>
      </c>
      <c r="G411">
        <v>2.25</v>
      </c>
    </row>
    <row r="412" spans="1:7" x14ac:dyDescent="0.25">
      <c r="A412">
        <v>4004</v>
      </c>
      <c r="B412">
        <v>3</v>
      </c>
      <c r="C412">
        <v>4</v>
      </c>
      <c r="D412">
        <v>2</v>
      </c>
      <c r="E412">
        <v>3</v>
      </c>
      <c r="F412">
        <v>4</v>
      </c>
      <c r="G412">
        <v>3</v>
      </c>
    </row>
    <row r="413" spans="1:7" x14ac:dyDescent="0.25">
      <c r="A413">
        <v>4006</v>
      </c>
      <c r="B413">
        <v>3</v>
      </c>
      <c r="C413">
        <v>3</v>
      </c>
      <c r="D413">
        <v>2</v>
      </c>
      <c r="E413">
        <v>3</v>
      </c>
      <c r="F413">
        <v>3</v>
      </c>
      <c r="G413">
        <v>2.75</v>
      </c>
    </row>
    <row r="414" spans="1:7" x14ac:dyDescent="0.25">
      <c r="A414">
        <v>4007</v>
      </c>
      <c r="B414">
        <v>3</v>
      </c>
      <c r="C414">
        <v>3</v>
      </c>
      <c r="D414">
        <v>2</v>
      </c>
      <c r="E414">
        <v>2</v>
      </c>
      <c r="F414">
        <v>3</v>
      </c>
      <c r="G414">
        <v>2.5</v>
      </c>
    </row>
    <row r="415" spans="1:7" x14ac:dyDescent="0.25">
      <c r="A415">
        <v>4008</v>
      </c>
      <c r="B415">
        <v>3</v>
      </c>
      <c r="C415">
        <v>3</v>
      </c>
      <c r="D415">
        <v>2</v>
      </c>
      <c r="E415">
        <v>2</v>
      </c>
      <c r="F415">
        <v>3</v>
      </c>
      <c r="G415">
        <v>2.5</v>
      </c>
    </row>
    <row r="416" spans="1:7" x14ac:dyDescent="0.25">
      <c r="A416">
        <v>4014</v>
      </c>
      <c r="B416">
        <v>2</v>
      </c>
      <c r="C416">
        <v>1</v>
      </c>
      <c r="D416">
        <v>1</v>
      </c>
      <c r="E416">
        <v>1</v>
      </c>
      <c r="F416">
        <v>3</v>
      </c>
      <c r="G416">
        <v>1.25</v>
      </c>
    </row>
    <row r="417" spans="1:7" x14ac:dyDescent="0.25">
      <c r="A417">
        <v>4016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1.25</v>
      </c>
    </row>
    <row r="418" spans="1:7" x14ac:dyDescent="0.25">
      <c r="A418">
        <v>4017</v>
      </c>
      <c r="B418">
        <v>4</v>
      </c>
      <c r="C418">
        <v>4</v>
      </c>
      <c r="D418">
        <v>3</v>
      </c>
      <c r="E418">
        <v>3</v>
      </c>
      <c r="F418">
        <v>3</v>
      </c>
      <c r="G418">
        <v>3.5</v>
      </c>
    </row>
    <row r="419" spans="1:7" x14ac:dyDescent="0.25">
      <c r="A419">
        <v>4019</v>
      </c>
      <c r="B419">
        <v>1</v>
      </c>
      <c r="C419">
        <v>2</v>
      </c>
      <c r="D419">
        <v>1</v>
      </c>
      <c r="E419">
        <v>1</v>
      </c>
      <c r="F419">
        <v>3</v>
      </c>
      <c r="G419">
        <v>1.25</v>
      </c>
    </row>
    <row r="420" spans="1:7" x14ac:dyDescent="0.25">
      <c r="A420">
        <v>4023</v>
      </c>
      <c r="B420">
        <v>3</v>
      </c>
      <c r="C420">
        <v>3</v>
      </c>
      <c r="D420">
        <v>3</v>
      </c>
      <c r="E420">
        <v>2</v>
      </c>
      <c r="F420">
        <v>3</v>
      </c>
      <c r="G420">
        <v>2.75</v>
      </c>
    </row>
    <row r="421" spans="1:7" x14ac:dyDescent="0.25">
      <c r="A421">
        <v>4025</v>
      </c>
      <c r="B421">
        <v>1</v>
      </c>
      <c r="C421">
        <v>1</v>
      </c>
      <c r="D421">
        <v>1</v>
      </c>
      <c r="E421">
        <v>1</v>
      </c>
      <c r="F421">
        <v>3</v>
      </c>
      <c r="G421">
        <v>1</v>
      </c>
    </row>
    <row r="422" spans="1:7" x14ac:dyDescent="0.25">
      <c r="A422">
        <v>4026</v>
      </c>
      <c r="B422">
        <v>3</v>
      </c>
      <c r="C422">
        <v>2</v>
      </c>
      <c r="D422">
        <v>2</v>
      </c>
      <c r="E422">
        <v>2</v>
      </c>
      <c r="F422">
        <v>3</v>
      </c>
      <c r="G422">
        <v>2.25</v>
      </c>
    </row>
    <row r="423" spans="1:7" x14ac:dyDescent="0.25">
      <c r="A423">
        <v>4028</v>
      </c>
      <c r="B423">
        <v>3</v>
      </c>
      <c r="C423">
        <v>2</v>
      </c>
      <c r="D423">
        <v>2</v>
      </c>
      <c r="E423">
        <v>2</v>
      </c>
      <c r="F423">
        <v>3</v>
      </c>
      <c r="G423">
        <v>2.25</v>
      </c>
    </row>
    <row r="424" spans="1:7" x14ac:dyDescent="0.25">
      <c r="A424">
        <v>4032</v>
      </c>
      <c r="B424">
        <v>3</v>
      </c>
      <c r="C424">
        <v>3</v>
      </c>
      <c r="D424">
        <v>2</v>
      </c>
      <c r="E424">
        <v>3</v>
      </c>
      <c r="F424">
        <v>3</v>
      </c>
      <c r="G424">
        <v>2.75</v>
      </c>
    </row>
    <row r="425" spans="1:7" x14ac:dyDescent="0.25">
      <c r="A425">
        <v>4034</v>
      </c>
      <c r="B425">
        <v>3</v>
      </c>
      <c r="C425">
        <v>2</v>
      </c>
      <c r="D425">
        <v>1</v>
      </c>
      <c r="E425">
        <v>1</v>
      </c>
      <c r="F425">
        <v>2</v>
      </c>
      <c r="G425">
        <v>1.75</v>
      </c>
    </row>
    <row r="426" spans="1:7" x14ac:dyDescent="0.25">
      <c r="A426">
        <v>4037</v>
      </c>
      <c r="B426">
        <v>2</v>
      </c>
      <c r="C426">
        <v>1</v>
      </c>
      <c r="D426">
        <v>1</v>
      </c>
      <c r="E426">
        <v>1</v>
      </c>
      <c r="F426">
        <v>3</v>
      </c>
      <c r="G426">
        <v>1.25</v>
      </c>
    </row>
    <row r="427" spans="1:7" x14ac:dyDescent="0.25">
      <c r="A427">
        <v>4038</v>
      </c>
      <c r="B427">
        <v>1</v>
      </c>
      <c r="C427">
        <v>1</v>
      </c>
      <c r="D427">
        <v>0</v>
      </c>
      <c r="E427">
        <v>1</v>
      </c>
      <c r="F427">
        <v>3</v>
      </c>
      <c r="G427">
        <v>0.75</v>
      </c>
    </row>
    <row r="428" spans="1:7" x14ac:dyDescent="0.25">
      <c r="A428">
        <v>4040</v>
      </c>
      <c r="B428">
        <v>3</v>
      </c>
      <c r="C428">
        <v>3</v>
      </c>
      <c r="D428">
        <v>2</v>
      </c>
      <c r="E428">
        <v>2</v>
      </c>
      <c r="F428">
        <v>3</v>
      </c>
      <c r="G428">
        <v>2.5</v>
      </c>
    </row>
    <row r="429" spans="1:7" x14ac:dyDescent="0.25">
      <c r="A429">
        <v>4041</v>
      </c>
      <c r="B429">
        <v>4</v>
      </c>
      <c r="C429">
        <v>4</v>
      </c>
      <c r="D429">
        <v>4</v>
      </c>
      <c r="E429">
        <v>4</v>
      </c>
      <c r="F429">
        <v>2</v>
      </c>
      <c r="G429">
        <v>4</v>
      </c>
    </row>
    <row r="430" spans="1:7" x14ac:dyDescent="0.25">
      <c r="A430">
        <v>4042</v>
      </c>
      <c r="B430">
        <v>3</v>
      </c>
      <c r="C430">
        <v>2</v>
      </c>
      <c r="D430">
        <v>2</v>
      </c>
      <c r="E430">
        <v>1</v>
      </c>
      <c r="F430">
        <v>2</v>
      </c>
      <c r="G430">
        <v>2</v>
      </c>
    </row>
    <row r="431" spans="1:7" x14ac:dyDescent="0.25">
      <c r="A431">
        <v>4043</v>
      </c>
      <c r="B431">
        <v>2</v>
      </c>
      <c r="C431">
        <v>1</v>
      </c>
      <c r="D431">
        <v>3</v>
      </c>
      <c r="E431">
        <v>2</v>
      </c>
      <c r="F431">
        <v>3</v>
      </c>
      <c r="G431">
        <v>2</v>
      </c>
    </row>
    <row r="432" spans="1:7" x14ac:dyDescent="0.25">
      <c r="A432">
        <v>4044</v>
      </c>
      <c r="B432">
        <v>1</v>
      </c>
      <c r="C432">
        <v>2</v>
      </c>
      <c r="D432">
        <v>2</v>
      </c>
      <c r="E432">
        <v>0</v>
      </c>
      <c r="F432">
        <v>3</v>
      </c>
      <c r="G432">
        <v>1.25</v>
      </c>
    </row>
    <row r="433" spans="1:7" x14ac:dyDescent="0.25">
      <c r="A433">
        <v>4045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1.25</v>
      </c>
    </row>
    <row r="434" spans="1:7" x14ac:dyDescent="0.25">
      <c r="A434">
        <v>4047</v>
      </c>
      <c r="B434">
        <v>1</v>
      </c>
      <c r="C434">
        <v>1</v>
      </c>
      <c r="D434">
        <v>1</v>
      </c>
      <c r="E434">
        <v>1</v>
      </c>
      <c r="F434">
        <v>2</v>
      </c>
      <c r="G434">
        <v>1</v>
      </c>
    </row>
    <row r="435" spans="1:7" x14ac:dyDescent="0.25">
      <c r="A435">
        <v>4049</v>
      </c>
      <c r="B435">
        <v>2</v>
      </c>
      <c r="C435">
        <v>1</v>
      </c>
      <c r="D435">
        <v>2</v>
      </c>
      <c r="E435">
        <v>1</v>
      </c>
      <c r="F435">
        <v>3</v>
      </c>
      <c r="G435">
        <v>1.5</v>
      </c>
    </row>
    <row r="436" spans="1:7" x14ac:dyDescent="0.25">
      <c r="A436">
        <v>4051</v>
      </c>
      <c r="B436">
        <v>2</v>
      </c>
      <c r="C436">
        <v>1</v>
      </c>
      <c r="D436">
        <v>1</v>
      </c>
      <c r="E436">
        <v>1</v>
      </c>
      <c r="F436">
        <v>3</v>
      </c>
      <c r="G436">
        <v>1.25</v>
      </c>
    </row>
    <row r="437" spans="1:7" x14ac:dyDescent="0.25">
      <c r="A437">
        <v>4052</v>
      </c>
      <c r="B437">
        <v>1</v>
      </c>
      <c r="C437">
        <v>1</v>
      </c>
      <c r="D437">
        <v>3</v>
      </c>
      <c r="E437">
        <v>2</v>
      </c>
      <c r="F437">
        <v>3</v>
      </c>
      <c r="G437">
        <v>1.75</v>
      </c>
    </row>
    <row r="438" spans="1:7" x14ac:dyDescent="0.25">
      <c r="A438">
        <v>4055</v>
      </c>
      <c r="B438">
        <v>2</v>
      </c>
      <c r="C438">
        <v>2</v>
      </c>
      <c r="D438">
        <v>1</v>
      </c>
      <c r="E438">
        <v>1</v>
      </c>
      <c r="F438">
        <v>3</v>
      </c>
      <c r="G438">
        <v>1.5</v>
      </c>
    </row>
    <row r="439" spans="1:7" x14ac:dyDescent="0.25">
      <c r="A439">
        <v>4060</v>
      </c>
      <c r="B439">
        <v>2</v>
      </c>
      <c r="C439">
        <v>3</v>
      </c>
      <c r="D439">
        <v>2</v>
      </c>
      <c r="E439">
        <v>2</v>
      </c>
      <c r="F439">
        <v>3</v>
      </c>
      <c r="G439">
        <v>2.25</v>
      </c>
    </row>
    <row r="440" spans="1:7" x14ac:dyDescent="0.25">
      <c r="A440">
        <v>4061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1.25</v>
      </c>
    </row>
    <row r="441" spans="1:7" x14ac:dyDescent="0.25">
      <c r="A441">
        <v>4063</v>
      </c>
      <c r="B441">
        <v>1</v>
      </c>
      <c r="C441">
        <v>0</v>
      </c>
      <c r="D441">
        <v>2</v>
      </c>
      <c r="E441">
        <v>2</v>
      </c>
      <c r="F441">
        <v>3</v>
      </c>
      <c r="G441">
        <v>1.25</v>
      </c>
    </row>
    <row r="442" spans="1:7" x14ac:dyDescent="0.25">
      <c r="A442">
        <v>4064</v>
      </c>
      <c r="B442">
        <v>3</v>
      </c>
      <c r="C442">
        <v>2</v>
      </c>
      <c r="D442">
        <v>2</v>
      </c>
      <c r="E442">
        <v>3</v>
      </c>
      <c r="F442">
        <v>3</v>
      </c>
      <c r="G442">
        <v>2.5</v>
      </c>
    </row>
    <row r="443" spans="1:7" x14ac:dyDescent="0.25">
      <c r="A443">
        <v>4065</v>
      </c>
      <c r="B443">
        <v>1</v>
      </c>
      <c r="C443">
        <v>1</v>
      </c>
      <c r="D443">
        <v>1</v>
      </c>
      <c r="E443">
        <v>1</v>
      </c>
      <c r="F443">
        <v>3</v>
      </c>
      <c r="G443">
        <v>1</v>
      </c>
    </row>
    <row r="444" spans="1:7" x14ac:dyDescent="0.25">
      <c r="A444">
        <v>4067</v>
      </c>
      <c r="B444">
        <v>3</v>
      </c>
      <c r="C444">
        <v>4</v>
      </c>
      <c r="D444">
        <v>2</v>
      </c>
      <c r="E444">
        <v>3</v>
      </c>
      <c r="F444">
        <v>2</v>
      </c>
      <c r="G444">
        <v>3</v>
      </c>
    </row>
    <row r="445" spans="1:7" x14ac:dyDescent="0.25">
      <c r="A445">
        <v>4072</v>
      </c>
      <c r="B445">
        <v>2</v>
      </c>
      <c r="C445">
        <v>3</v>
      </c>
      <c r="D445">
        <v>4</v>
      </c>
      <c r="E445">
        <v>3</v>
      </c>
      <c r="F445">
        <v>4</v>
      </c>
      <c r="G445">
        <v>3</v>
      </c>
    </row>
    <row r="446" spans="1:7" x14ac:dyDescent="0.25">
      <c r="A446">
        <v>4074</v>
      </c>
      <c r="B446">
        <v>2</v>
      </c>
      <c r="C446">
        <v>1</v>
      </c>
      <c r="D446">
        <v>1</v>
      </c>
      <c r="E446">
        <v>1</v>
      </c>
      <c r="F446">
        <v>4</v>
      </c>
      <c r="G446">
        <v>1.25</v>
      </c>
    </row>
    <row r="447" spans="1:7" x14ac:dyDescent="0.25">
      <c r="A447">
        <v>4075</v>
      </c>
      <c r="B447">
        <v>3</v>
      </c>
      <c r="C447">
        <v>0</v>
      </c>
      <c r="D447">
        <v>1</v>
      </c>
      <c r="E447">
        <v>1</v>
      </c>
      <c r="F447">
        <v>3</v>
      </c>
      <c r="G447">
        <v>1.25</v>
      </c>
    </row>
    <row r="448" spans="1:7" x14ac:dyDescent="0.25">
      <c r="A448">
        <v>4076</v>
      </c>
      <c r="B448">
        <v>1</v>
      </c>
      <c r="C448">
        <v>1</v>
      </c>
      <c r="D448">
        <v>1</v>
      </c>
      <c r="E448">
        <v>1</v>
      </c>
      <c r="F448">
        <v>3</v>
      </c>
      <c r="G448">
        <v>1</v>
      </c>
    </row>
    <row r="449" spans="1:7" x14ac:dyDescent="0.25">
      <c r="A449">
        <v>4083</v>
      </c>
      <c r="B449">
        <v>3</v>
      </c>
      <c r="C449">
        <v>2</v>
      </c>
      <c r="D449">
        <v>2</v>
      </c>
      <c r="E449">
        <v>1</v>
      </c>
      <c r="F449">
        <v>3</v>
      </c>
      <c r="G449">
        <v>2</v>
      </c>
    </row>
    <row r="450" spans="1:7" x14ac:dyDescent="0.25">
      <c r="A450">
        <v>4085</v>
      </c>
      <c r="B450">
        <v>1</v>
      </c>
      <c r="C450">
        <v>1</v>
      </c>
      <c r="D450">
        <v>1</v>
      </c>
      <c r="E450">
        <v>1</v>
      </c>
      <c r="F450">
        <v>3</v>
      </c>
      <c r="G450">
        <v>1</v>
      </c>
    </row>
    <row r="451" spans="1:7" x14ac:dyDescent="0.25">
      <c r="A451">
        <v>4090</v>
      </c>
      <c r="B451">
        <v>3</v>
      </c>
      <c r="C451">
        <v>1</v>
      </c>
      <c r="D451">
        <v>3</v>
      </c>
      <c r="E451">
        <v>3</v>
      </c>
      <c r="F451">
        <v>3</v>
      </c>
      <c r="G451">
        <v>2.5</v>
      </c>
    </row>
    <row r="452" spans="1:7" x14ac:dyDescent="0.25">
      <c r="A452">
        <v>4093</v>
      </c>
      <c r="B452">
        <v>2</v>
      </c>
      <c r="C452">
        <v>1</v>
      </c>
      <c r="D452">
        <v>0</v>
      </c>
      <c r="E452">
        <v>1</v>
      </c>
      <c r="F452">
        <v>3</v>
      </c>
      <c r="G452">
        <v>1</v>
      </c>
    </row>
    <row r="453" spans="1:7" x14ac:dyDescent="0.25">
      <c r="A453">
        <v>4095</v>
      </c>
      <c r="B453">
        <v>1</v>
      </c>
      <c r="C453">
        <v>1</v>
      </c>
      <c r="D453">
        <v>1</v>
      </c>
      <c r="E453">
        <v>1</v>
      </c>
      <c r="F453">
        <v>3</v>
      </c>
      <c r="G453">
        <v>1</v>
      </c>
    </row>
    <row r="454" spans="1:7" x14ac:dyDescent="0.25">
      <c r="A454">
        <v>4099</v>
      </c>
      <c r="B454">
        <v>3</v>
      </c>
      <c r="C454">
        <v>3</v>
      </c>
      <c r="D454">
        <v>2</v>
      </c>
      <c r="E454">
        <v>3</v>
      </c>
      <c r="F454">
        <v>3</v>
      </c>
      <c r="G454">
        <v>2.75</v>
      </c>
    </row>
    <row r="455" spans="1:7" x14ac:dyDescent="0.25">
      <c r="A455">
        <v>4101</v>
      </c>
      <c r="B455">
        <v>2</v>
      </c>
      <c r="C455">
        <v>2</v>
      </c>
      <c r="D455">
        <v>1</v>
      </c>
      <c r="E455">
        <v>1</v>
      </c>
      <c r="F455">
        <v>3</v>
      </c>
      <c r="G455">
        <v>1.5</v>
      </c>
    </row>
    <row r="456" spans="1:7" x14ac:dyDescent="0.25">
      <c r="A456">
        <v>4102</v>
      </c>
      <c r="B456">
        <v>1</v>
      </c>
      <c r="C456">
        <v>2</v>
      </c>
      <c r="D456">
        <v>2</v>
      </c>
      <c r="E456">
        <v>2</v>
      </c>
      <c r="F456">
        <v>3</v>
      </c>
      <c r="G456">
        <v>1.75</v>
      </c>
    </row>
    <row r="457" spans="1:7" x14ac:dyDescent="0.25">
      <c r="A457">
        <v>4104</v>
      </c>
      <c r="B457">
        <v>1</v>
      </c>
      <c r="C457">
        <v>1</v>
      </c>
      <c r="D457">
        <v>1</v>
      </c>
      <c r="E457">
        <v>1</v>
      </c>
      <c r="F457">
        <v>3</v>
      </c>
      <c r="G457">
        <v>1</v>
      </c>
    </row>
    <row r="458" spans="1:7" x14ac:dyDescent="0.25">
      <c r="A458">
        <v>4105</v>
      </c>
      <c r="B458">
        <v>3</v>
      </c>
      <c r="C458">
        <v>3</v>
      </c>
      <c r="D458">
        <v>3</v>
      </c>
      <c r="E458">
        <v>3</v>
      </c>
      <c r="F458">
        <v>3</v>
      </c>
      <c r="G458">
        <v>3</v>
      </c>
    </row>
    <row r="459" spans="1:7" x14ac:dyDescent="0.25">
      <c r="A459">
        <v>4107</v>
      </c>
      <c r="B459">
        <v>2</v>
      </c>
      <c r="C459">
        <v>2</v>
      </c>
      <c r="D459">
        <v>2</v>
      </c>
      <c r="E459">
        <v>2</v>
      </c>
      <c r="F459">
        <v>3</v>
      </c>
      <c r="G459">
        <v>2</v>
      </c>
    </row>
    <row r="460" spans="1:7" x14ac:dyDescent="0.25">
      <c r="A460">
        <v>4115</v>
      </c>
      <c r="B460">
        <v>1</v>
      </c>
      <c r="C460">
        <v>1</v>
      </c>
      <c r="D460">
        <v>2</v>
      </c>
      <c r="E460">
        <v>1</v>
      </c>
      <c r="F460">
        <v>3</v>
      </c>
      <c r="G460">
        <v>1.25</v>
      </c>
    </row>
    <row r="461" spans="1:7" x14ac:dyDescent="0.25">
      <c r="A461">
        <v>4116</v>
      </c>
      <c r="B461">
        <v>1</v>
      </c>
      <c r="C461">
        <v>1</v>
      </c>
      <c r="D461">
        <v>1</v>
      </c>
      <c r="E461">
        <v>2</v>
      </c>
      <c r="F461">
        <v>3</v>
      </c>
      <c r="G461">
        <v>1.25</v>
      </c>
    </row>
    <row r="462" spans="1:7" x14ac:dyDescent="0.25">
      <c r="A462">
        <v>4118</v>
      </c>
      <c r="B462">
        <v>1</v>
      </c>
      <c r="C462">
        <v>1</v>
      </c>
      <c r="D462">
        <v>1</v>
      </c>
      <c r="E462">
        <v>2</v>
      </c>
      <c r="F462">
        <v>3</v>
      </c>
      <c r="G462">
        <v>1.25</v>
      </c>
    </row>
    <row r="463" spans="1:7" x14ac:dyDescent="0.25">
      <c r="A463">
        <v>4120</v>
      </c>
      <c r="B463">
        <v>4</v>
      </c>
      <c r="C463">
        <v>4</v>
      </c>
      <c r="D463">
        <v>4</v>
      </c>
      <c r="E463">
        <v>3</v>
      </c>
      <c r="F463">
        <v>3</v>
      </c>
      <c r="G463">
        <v>3.75</v>
      </c>
    </row>
    <row r="464" spans="1:7" x14ac:dyDescent="0.25">
      <c r="A464">
        <v>4123</v>
      </c>
      <c r="B464">
        <v>3</v>
      </c>
      <c r="C464">
        <v>2</v>
      </c>
      <c r="D464">
        <v>2</v>
      </c>
      <c r="E464">
        <v>1</v>
      </c>
      <c r="F464">
        <v>3</v>
      </c>
      <c r="G464">
        <v>2</v>
      </c>
    </row>
    <row r="465" spans="1:7" x14ac:dyDescent="0.25">
      <c r="A465">
        <v>4125</v>
      </c>
      <c r="B465">
        <v>2</v>
      </c>
      <c r="C465">
        <v>2</v>
      </c>
      <c r="D465">
        <v>1</v>
      </c>
      <c r="E465">
        <v>1</v>
      </c>
      <c r="F465">
        <v>3</v>
      </c>
      <c r="G465">
        <v>1.5</v>
      </c>
    </row>
    <row r="466" spans="1:7" x14ac:dyDescent="0.25">
      <c r="A466">
        <v>4126</v>
      </c>
      <c r="B466">
        <v>1</v>
      </c>
      <c r="C466">
        <v>1</v>
      </c>
      <c r="D466">
        <v>1</v>
      </c>
      <c r="E466">
        <v>1</v>
      </c>
      <c r="F466">
        <v>4</v>
      </c>
      <c r="G466">
        <v>1</v>
      </c>
    </row>
    <row r="467" spans="1:7" x14ac:dyDescent="0.25">
      <c r="A467">
        <v>4130</v>
      </c>
      <c r="B467">
        <v>1</v>
      </c>
      <c r="C467">
        <v>2</v>
      </c>
      <c r="D467">
        <v>1</v>
      </c>
      <c r="E467">
        <v>1</v>
      </c>
      <c r="F467">
        <v>3</v>
      </c>
      <c r="G467">
        <v>1.25</v>
      </c>
    </row>
    <row r="468" spans="1:7" x14ac:dyDescent="0.25">
      <c r="A468">
        <v>4133</v>
      </c>
      <c r="B468">
        <v>2</v>
      </c>
      <c r="C468">
        <v>2</v>
      </c>
      <c r="D468">
        <v>1</v>
      </c>
      <c r="E468">
        <v>1</v>
      </c>
      <c r="F468">
        <v>3</v>
      </c>
      <c r="G468">
        <v>1.5</v>
      </c>
    </row>
    <row r="469" spans="1:7" x14ac:dyDescent="0.25">
      <c r="A469">
        <v>4136</v>
      </c>
      <c r="B469">
        <v>4</v>
      </c>
      <c r="C469">
        <v>3</v>
      </c>
      <c r="D469">
        <v>2</v>
      </c>
      <c r="E469">
        <v>2</v>
      </c>
      <c r="F469">
        <v>2</v>
      </c>
      <c r="G469">
        <v>2.75</v>
      </c>
    </row>
    <row r="470" spans="1:7" x14ac:dyDescent="0.25">
      <c r="A470">
        <v>4139</v>
      </c>
      <c r="B470">
        <v>1</v>
      </c>
      <c r="C470">
        <v>1</v>
      </c>
      <c r="D470">
        <v>1</v>
      </c>
      <c r="E470">
        <v>1</v>
      </c>
      <c r="F470">
        <v>2</v>
      </c>
      <c r="G470">
        <v>1</v>
      </c>
    </row>
    <row r="471" spans="1:7" x14ac:dyDescent="0.25">
      <c r="A471">
        <v>4140</v>
      </c>
      <c r="B471">
        <v>3</v>
      </c>
      <c r="C471">
        <v>2</v>
      </c>
      <c r="D471">
        <v>2</v>
      </c>
      <c r="E471">
        <v>2</v>
      </c>
      <c r="F471">
        <v>3</v>
      </c>
      <c r="G471">
        <v>2.25</v>
      </c>
    </row>
    <row r="472" spans="1:7" x14ac:dyDescent="0.25">
      <c r="A472">
        <v>4141</v>
      </c>
      <c r="B472">
        <v>4</v>
      </c>
      <c r="C472">
        <v>4</v>
      </c>
      <c r="D472">
        <v>4</v>
      </c>
      <c r="E472">
        <v>4</v>
      </c>
      <c r="F472">
        <v>3</v>
      </c>
      <c r="G472">
        <v>4</v>
      </c>
    </row>
    <row r="473" spans="1:7" x14ac:dyDescent="0.25">
      <c r="A473">
        <v>4142</v>
      </c>
      <c r="B473">
        <v>1</v>
      </c>
      <c r="C473">
        <v>1</v>
      </c>
      <c r="D473">
        <v>1</v>
      </c>
      <c r="E473">
        <v>2</v>
      </c>
      <c r="F473">
        <v>3</v>
      </c>
      <c r="G473">
        <v>1.25</v>
      </c>
    </row>
    <row r="474" spans="1:7" x14ac:dyDescent="0.25">
      <c r="A474">
        <v>4145</v>
      </c>
      <c r="B474">
        <v>2</v>
      </c>
      <c r="C474">
        <v>3</v>
      </c>
      <c r="D474">
        <v>1</v>
      </c>
      <c r="E474">
        <v>2</v>
      </c>
      <c r="F474">
        <v>3</v>
      </c>
      <c r="G474">
        <v>2</v>
      </c>
    </row>
    <row r="475" spans="1:7" x14ac:dyDescent="0.25">
      <c r="A475">
        <v>4146</v>
      </c>
      <c r="B475">
        <v>3</v>
      </c>
      <c r="C475">
        <v>1</v>
      </c>
      <c r="D475">
        <v>2</v>
      </c>
      <c r="E475">
        <v>2</v>
      </c>
      <c r="F475">
        <v>3</v>
      </c>
      <c r="G475">
        <v>2</v>
      </c>
    </row>
    <row r="476" spans="1:7" x14ac:dyDescent="0.25">
      <c r="A476">
        <v>4151</v>
      </c>
      <c r="B476">
        <v>3</v>
      </c>
      <c r="C476">
        <v>2</v>
      </c>
      <c r="D476">
        <v>2</v>
      </c>
      <c r="E476">
        <v>2</v>
      </c>
      <c r="F476">
        <v>4</v>
      </c>
      <c r="G476">
        <v>2.25</v>
      </c>
    </row>
    <row r="477" spans="1:7" x14ac:dyDescent="0.25">
      <c r="A477">
        <v>4153</v>
      </c>
      <c r="B477">
        <v>3</v>
      </c>
      <c r="C477">
        <v>3</v>
      </c>
      <c r="D477">
        <v>2</v>
      </c>
      <c r="E477">
        <v>3</v>
      </c>
      <c r="F477">
        <v>3</v>
      </c>
      <c r="G477">
        <v>2.75</v>
      </c>
    </row>
    <row r="478" spans="1:7" x14ac:dyDescent="0.25">
      <c r="A478">
        <v>4155</v>
      </c>
      <c r="B478">
        <v>3</v>
      </c>
      <c r="C478">
        <v>2</v>
      </c>
      <c r="D478">
        <v>3</v>
      </c>
      <c r="E478">
        <v>2</v>
      </c>
      <c r="F478">
        <v>3</v>
      </c>
      <c r="G478">
        <v>2.5</v>
      </c>
    </row>
    <row r="479" spans="1:7" x14ac:dyDescent="0.25">
      <c r="A479">
        <v>4156</v>
      </c>
      <c r="B479">
        <v>2</v>
      </c>
      <c r="C479">
        <v>2</v>
      </c>
      <c r="D479">
        <v>1</v>
      </c>
      <c r="E479">
        <v>2</v>
      </c>
      <c r="F479">
        <v>3</v>
      </c>
      <c r="G479">
        <v>1.75</v>
      </c>
    </row>
    <row r="480" spans="1:7" x14ac:dyDescent="0.25">
      <c r="A480">
        <v>4159</v>
      </c>
      <c r="B480">
        <v>2</v>
      </c>
      <c r="C480">
        <v>1</v>
      </c>
      <c r="D480">
        <v>1</v>
      </c>
      <c r="E480">
        <v>1</v>
      </c>
      <c r="F480">
        <v>3</v>
      </c>
      <c r="G480">
        <v>1.25</v>
      </c>
    </row>
    <row r="481" spans="1:7" x14ac:dyDescent="0.25">
      <c r="A481">
        <v>4160</v>
      </c>
      <c r="B481">
        <v>2</v>
      </c>
      <c r="C481">
        <v>0</v>
      </c>
      <c r="D481">
        <v>4</v>
      </c>
      <c r="E481">
        <v>3</v>
      </c>
      <c r="F481">
        <v>3</v>
      </c>
      <c r="G481">
        <v>2.25</v>
      </c>
    </row>
    <row r="482" spans="1:7" x14ac:dyDescent="0.25">
      <c r="A482">
        <v>4163</v>
      </c>
      <c r="B482">
        <v>4</v>
      </c>
      <c r="C482">
        <v>4</v>
      </c>
      <c r="D482">
        <v>4</v>
      </c>
      <c r="E482">
        <v>4</v>
      </c>
      <c r="F482">
        <v>3</v>
      </c>
      <c r="G482">
        <v>4</v>
      </c>
    </row>
    <row r="483" spans="1:7" x14ac:dyDescent="0.25">
      <c r="A483">
        <v>4164</v>
      </c>
      <c r="B483">
        <v>1</v>
      </c>
      <c r="C483">
        <v>2</v>
      </c>
      <c r="D483">
        <v>1</v>
      </c>
      <c r="E483">
        <v>1</v>
      </c>
      <c r="F483">
        <v>3</v>
      </c>
      <c r="G483">
        <v>1.25</v>
      </c>
    </row>
    <row r="484" spans="1:7" x14ac:dyDescent="0.25">
      <c r="A484">
        <v>4166</v>
      </c>
      <c r="B484">
        <v>3</v>
      </c>
      <c r="C484">
        <v>3</v>
      </c>
      <c r="D484">
        <v>2</v>
      </c>
      <c r="E484">
        <v>2</v>
      </c>
      <c r="F484">
        <v>2</v>
      </c>
      <c r="G484">
        <v>2.5</v>
      </c>
    </row>
    <row r="485" spans="1:7" x14ac:dyDescent="0.25">
      <c r="A485">
        <v>4169</v>
      </c>
      <c r="B485">
        <v>3</v>
      </c>
      <c r="C485">
        <v>3</v>
      </c>
      <c r="D485">
        <v>3</v>
      </c>
      <c r="E485">
        <v>2</v>
      </c>
      <c r="F485">
        <v>3</v>
      </c>
      <c r="G485">
        <v>2.75</v>
      </c>
    </row>
    <row r="486" spans="1:7" x14ac:dyDescent="0.25">
      <c r="A486">
        <v>4176</v>
      </c>
      <c r="B486">
        <v>2</v>
      </c>
      <c r="C486">
        <v>1</v>
      </c>
      <c r="D486">
        <v>1</v>
      </c>
      <c r="E486">
        <v>2</v>
      </c>
      <c r="F486">
        <v>3</v>
      </c>
      <c r="G486">
        <v>1.5</v>
      </c>
    </row>
    <row r="487" spans="1:7" x14ac:dyDescent="0.25">
      <c r="A487">
        <v>4177</v>
      </c>
      <c r="B487">
        <v>2</v>
      </c>
      <c r="C487">
        <v>2</v>
      </c>
      <c r="D487">
        <v>2</v>
      </c>
      <c r="E487">
        <v>3</v>
      </c>
      <c r="F487">
        <v>3</v>
      </c>
      <c r="G487">
        <v>2.25</v>
      </c>
    </row>
    <row r="488" spans="1:7" x14ac:dyDescent="0.25">
      <c r="A488">
        <v>4178</v>
      </c>
      <c r="B488">
        <v>3</v>
      </c>
      <c r="C488">
        <v>3</v>
      </c>
      <c r="D488">
        <v>2</v>
      </c>
      <c r="E488">
        <v>2</v>
      </c>
      <c r="F488">
        <v>2</v>
      </c>
      <c r="G488">
        <v>2.5</v>
      </c>
    </row>
    <row r="489" spans="1:7" x14ac:dyDescent="0.25">
      <c r="A489">
        <v>4180</v>
      </c>
      <c r="B489">
        <v>1</v>
      </c>
      <c r="C489">
        <v>1</v>
      </c>
      <c r="D489">
        <v>1</v>
      </c>
      <c r="E489">
        <v>1</v>
      </c>
      <c r="F489">
        <v>3</v>
      </c>
      <c r="G489">
        <v>1</v>
      </c>
    </row>
    <row r="490" spans="1:7" x14ac:dyDescent="0.25">
      <c r="A490">
        <v>4181</v>
      </c>
      <c r="B490">
        <v>2</v>
      </c>
      <c r="C490">
        <v>3</v>
      </c>
      <c r="D490">
        <v>3</v>
      </c>
      <c r="E490">
        <v>3</v>
      </c>
      <c r="F490">
        <v>3</v>
      </c>
      <c r="G490">
        <v>2.75</v>
      </c>
    </row>
    <row r="491" spans="1:7" x14ac:dyDescent="0.25">
      <c r="A491">
        <v>4182</v>
      </c>
      <c r="B491">
        <v>3</v>
      </c>
      <c r="C491">
        <v>3</v>
      </c>
      <c r="D491">
        <v>2</v>
      </c>
      <c r="E491">
        <v>3</v>
      </c>
      <c r="F491">
        <v>3</v>
      </c>
      <c r="G491">
        <v>2.75</v>
      </c>
    </row>
    <row r="492" spans="1:7" x14ac:dyDescent="0.25">
      <c r="A492">
        <v>4183</v>
      </c>
      <c r="B492">
        <v>3</v>
      </c>
      <c r="C492">
        <v>3</v>
      </c>
      <c r="D492">
        <v>3</v>
      </c>
      <c r="E492">
        <v>2</v>
      </c>
      <c r="F492">
        <v>3</v>
      </c>
      <c r="G492">
        <v>2.75</v>
      </c>
    </row>
    <row r="493" spans="1:7" x14ac:dyDescent="0.25">
      <c r="A493">
        <v>4186</v>
      </c>
      <c r="B493">
        <v>1</v>
      </c>
      <c r="C493">
        <v>1</v>
      </c>
      <c r="D493">
        <v>1</v>
      </c>
      <c r="E493">
        <v>1</v>
      </c>
      <c r="F493">
        <v>3</v>
      </c>
      <c r="G493">
        <v>1</v>
      </c>
    </row>
    <row r="494" spans="1:7" x14ac:dyDescent="0.25">
      <c r="A494">
        <v>4187</v>
      </c>
      <c r="B494">
        <v>1</v>
      </c>
      <c r="C494">
        <v>1</v>
      </c>
      <c r="D494">
        <v>1</v>
      </c>
      <c r="E494">
        <v>1</v>
      </c>
      <c r="F494">
        <v>2</v>
      </c>
      <c r="G494">
        <v>1</v>
      </c>
    </row>
    <row r="495" spans="1:7" x14ac:dyDescent="0.25">
      <c r="A495">
        <v>4188</v>
      </c>
      <c r="B495">
        <v>3</v>
      </c>
      <c r="C495">
        <v>3</v>
      </c>
      <c r="D495">
        <v>2</v>
      </c>
      <c r="E495">
        <v>3</v>
      </c>
      <c r="F495">
        <v>2</v>
      </c>
      <c r="G495">
        <v>2.75</v>
      </c>
    </row>
    <row r="496" spans="1:7" x14ac:dyDescent="0.25">
      <c r="A496">
        <v>4190</v>
      </c>
      <c r="B496">
        <v>3</v>
      </c>
      <c r="C496">
        <v>3</v>
      </c>
      <c r="D496">
        <v>2</v>
      </c>
      <c r="E496">
        <v>2</v>
      </c>
      <c r="F496">
        <v>2</v>
      </c>
      <c r="G496">
        <v>2.5</v>
      </c>
    </row>
    <row r="497" spans="1:7" x14ac:dyDescent="0.25">
      <c r="A497">
        <v>4192</v>
      </c>
      <c r="B497">
        <v>2</v>
      </c>
      <c r="C497">
        <v>1</v>
      </c>
      <c r="D497">
        <v>1</v>
      </c>
      <c r="E497">
        <v>1</v>
      </c>
      <c r="F497">
        <v>3</v>
      </c>
      <c r="G497">
        <v>1.25</v>
      </c>
    </row>
    <row r="498" spans="1:7" x14ac:dyDescent="0.25">
      <c r="A498">
        <v>4194</v>
      </c>
      <c r="B498">
        <v>4</v>
      </c>
      <c r="C498">
        <v>4</v>
      </c>
      <c r="D498">
        <v>1</v>
      </c>
      <c r="E498">
        <v>2</v>
      </c>
      <c r="F498">
        <v>3</v>
      </c>
      <c r="G498">
        <v>2.75</v>
      </c>
    </row>
    <row r="499" spans="1:7" x14ac:dyDescent="0.25">
      <c r="A499">
        <v>4197</v>
      </c>
      <c r="B499">
        <v>2</v>
      </c>
      <c r="C499">
        <v>3</v>
      </c>
      <c r="D499">
        <v>2</v>
      </c>
      <c r="E499">
        <v>2</v>
      </c>
      <c r="F499">
        <v>3</v>
      </c>
      <c r="G499">
        <v>2.25</v>
      </c>
    </row>
    <row r="500" spans="1:7" x14ac:dyDescent="0.25">
      <c r="A500">
        <v>4200</v>
      </c>
      <c r="B500">
        <v>1</v>
      </c>
      <c r="C500">
        <v>1</v>
      </c>
      <c r="D500">
        <v>1</v>
      </c>
      <c r="E500">
        <v>1</v>
      </c>
      <c r="F500">
        <v>4</v>
      </c>
      <c r="G500">
        <v>1</v>
      </c>
    </row>
    <row r="501" spans="1:7" x14ac:dyDescent="0.25">
      <c r="A501">
        <v>4201</v>
      </c>
      <c r="B501">
        <v>2</v>
      </c>
      <c r="C501">
        <v>3</v>
      </c>
      <c r="D501">
        <v>3</v>
      </c>
      <c r="E501">
        <v>2</v>
      </c>
      <c r="F501">
        <v>3</v>
      </c>
      <c r="G501">
        <v>2.5</v>
      </c>
    </row>
    <row r="502" spans="1:7" x14ac:dyDescent="0.25">
      <c r="A502">
        <v>4204</v>
      </c>
      <c r="B502">
        <v>4</v>
      </c>
      <c r="C502">
        <v>2</v>
      </c>
      <c r="D502">
        <v>3</v>
      </c>
      <c r="E502">
        <v>3</v>
      </c>
      <c r="F502">
        <v>3</v>
      </c>
      <c r="G502">
        <v>3</v>
      </c>
    </row>
    <row r="503" spans="1:7" x14ac:dyDescent="0.25">
      <c r="A503">
        <v>4205</v>
      </c>
      <c r="B503">
        <v>3</v>
      </c>
      <c r="C503">
        <v>3</v>
      </c>
      <c r="D503">
        <v>1</v>
      </c>
      <c r="E503">
        <v>2</v>
      </c>
      <c r="F503">
        <v>4</v>
      </c>
      <c r="G503">
        <v>2.25</v>
      </c>
    </row>
    <row r="504" spans="1:7" x14ac:dyDescent="0.25">
      <c r="A504">
        <v>4207</v>
      </c>
      <c r="B504">
        <v>1</v>
      </c>
      <c r="C504">
        <v>1</v>
      </c>
      <c r="D504">
        <v>1</v>
      </c>
      <c r="E504">
        <v>0</v>
      </c>
      <c r="F504">
        <v>3</v>
      </c>
      <c r="G504">
        <v>0.75</v>
      </c>
    </row>
    <row r="505" spans="1:7" x14ac:dyDescent="0.25">
      <c r="A505">
        <v>4208</v>
      </c>
      <c r="B505">
        <v>3</v>
      </c>
      <c r="C505">
        <v>0</v>
      </c>
      <c r="D505">
        <v>2</v>
      </c>
      <c r="E505">
        <v>3</v>
      </c>
      <c r="F505">
        <v>3</v>
      </c>
      <c r="G505">
        <v>2</v>
      </c>
    </row>
    <row r="506" spans="1:7" x14ac:dyDescent="0.25">
      <c r="A506">
        <v>4209</v>
      </c>
      <c r="B506">
        <v>3</v>
      </c>
      <c r="C506">
        <v>2</v>
      </c>
      <c r="D506">
        <v>2</v>
      </c>
      <c r="E506">
        <v>3</v>
      </c>
      <c r="F506">
        <v>3</v>
      </c>
      <c r="G506">
        <v>2.5</v>
      </c>
    </row>
    <row r="507" spans="1:7" x14ac:dyDescent="0.25">
      <c r="A507">
        <v>4210</v>
      </c>
      <c r="B507">
        <v>1</v>
      </c>
      <c r="C507">
        <v>1</v>
      </c>
      <c r="D507">
        <v>1</v>
      </c>
      <c r="E507">
        <v>1</v>
      </c>
      <c r="F507">
        <v>3</v>
      </c>
      <c r="G507">
        <v>1</v>
      </c>
    </row>
    <row r="508" spans="1:7" x14ac:dyDescent="0.25">
      <c r="A508">
        <v>4211</v>
      </c>
      <c r="B508">
        <v>1</v>
      </c>
      <c r="C508">
        <v>2</v>
      </c>
      <c r="D508">
        <v>1</v>
      </c>
      <c r="E508">
        <v>1</v>
      </c>
      <c r="F508">
        <v>3</v>
      </c>
      <c r="G508">
        <v>1.25</v>
      </c>
    </row>
    <row r="509" spans="1:7" x14ac:dyDescent="0.25">
      <c r="A509">
        <v>4212</v>
      </c>
      <c r="B509">
        <v>1</v>
      </c>
      <c r="C509">
        <v>1</v>
      </c>
      <c r="D509">
        <v>2</v>
      </c>
      <c r="E509">
        <v>1</v>
      </c>
      <c r="F509">
        <v>3</v>
      </c>
      <c r="G509">
        <v>1.25</v>
      </c>
    </row>
    <row r="510" spans="1:7" x14ac:dyDescent="0.25">
      <c r="A510">
        <v>4214</v>
      </c>
      <c r="B510">
        <v>0</v>
      </c>
      <c r="C510">
        <v>1</v>
      </c>
      <c r="D510">
        <v>1</v>
      </c>
      <c r="E510">
        <v>1</v>
      </c>
      <c r="F510">
        <v>3</v>
      </c>
      <c r="G510">
        <v>0.75</v>
      </c>
    </row>
    <row r="511" spans="1:7" x14ac:dyDescent="0.25">
      <c r="A511">
        <v>4216</v>
      </c>
      <c r="B511">
        <v>3</v>
      </c>
      <c r="C511">
        <v>3</v>
      </c>
      <c r="D511">
        <v>3</v>
      </c>
      <c r="E511">
        <v>3</v>
      </c>
      <c r="F511">
        <v>2</v>
      </c>
      <c r="G511">
        <v>3</v>
      </c>
    </row>
    <row r="512" spans="1:7" x14ac:dyDescent="0.25">
      <c r="A512">
        <v>4219</v>
      </c>
      <c r="B512">
        <v>3</v>
      </c>
      <c r="C512">
        <v>3</v>
      </c>
      <c r="D512">
        <v>2</v>
      </c>
      <c r="E512">
        <v>3</v>
      </c>
      <c r="F512">
        <v>2</v>
      </c>
      <c r="G512">
        <v>2.75</v>
      </c>
    </row>
    <row r="513" spans="1:7" x14ac:dyDescent="0.25">
      <c r="A513">
        <v>4220</v>
      </c>
      <c r="B513">
        <v>2</v>
      </c>
      <c r="C513">
        <v>2</v>
      </c>
      <c r="D513">
        <v>1</v>
      </c>
      <c r="E513">
        <v>1</v>
      </c>
      <c r="F513">
        <v>2</v>
      </c>
      <c r="G513">
        <v>1.5</v>
      </c>
    </row>
    <row r="514" spans="1:7" x14ac:dyDescent="0.25">
      <c r="A514">
        <v>4221</v>
      </c>
      <c r="B514">
        <v>2</v>
      </c>
      <c r="C514">
        <v>2</v>
      </c>
      <c r="D514">
        <v>2</v>
      </c>
      <c r="E514">
        <v>2</v>
      </c>
      <c r="F514">
        <v>3</v>
      </c>
      <c r="G514">
        <v>2</v>
      </c>
    </row>
    <row r="515" spans="1:7" x14ac:dyDescent="0.25">
      <c r="A515">
        <v>4223</v>
      </c>
      <c r="B515">
        <v>1</v>
      </c>
      <c r="C515">
        <v>1</v>
      </c>
      <c r="D515">
        <v>1</v>
      </c>
      <c r="E515">
        <v>1</v>
      </c>
      <c r="F515">
        <v>3</v>
      </c>
      <c r="G515">
        <v>1</v>
      </c>
    </row>
    <row r="516" spans="1:7" x14ac:dyDescent="0.25">
      <c r="A516">
        <v>4224</v>
      </c>
      <c r="B516">
        <v>1</v>
      </c>
      <c r="C516">
        <v>3</v>
      </c>
      <c r="D516">
        <v>1</v>
      </c>
      <c r="E516">
        <v>1</v>
      </c>
      <c r="F516">
        <v>2</v>
      </c>
      <c r="G516">
        <v>1.5</v>
      </c>
    </row>
    <row r="517" spans="1:7" x14ac:dyDescent="0.25">
      <c r="A517">
        <v>4225</v>
      </c>
      <c r="B517">
        <v>2</v>
      </c>
      <c r="C517">
        <v>2</v>
      </c>
      <c r="D517">
        <v>1</v>
      </c>
      <c r="E517">
        <v>2</v>
      </c>
      <c r="F517">
        <v>3</v>
      </c>
      <c r="G517">
        <v>1.75</v>
      </c>
    </row>
    <row r="518" spans="1:7" x14ac:dyDescent="0.25">
      <c r="A518">
        <v>4226</v>
      </c>
      <c r="B518">
        <v>2</v>
      </c>
      <c r="C518">
        <v>2</v>
      </c>
      <c r="D518">
        <v>1</v>
      </c>
      <c r="E518">
        <v>1</v>
      </c>
      <c r="F518">
        <v>3</v>
      </c>
      <c r="G518">
        <v>1.5</v>
      </c>
    </row>
    <row r="519" spans="1:7" x14ac:dyDescent="0.25">
      <c r="A519">
        <v>4228</v>
      </c>
      <c r="B519">
        <v>3</v>
      </c>
      <c r="C519">
        <v>2</v>
      </c>
      <c r="D519">
        <v>1</v>
      </c>
      <c r="E519">
        <v>1</v>
      </c>
      <c r="F519">
        <v>2</v>
      </c>
      <c r="G519">
        <v>1.75</v>
      </c>
    </row>
    <row r="520" spans="1:7" x14ac:dyDescent="0.25">
      <c r="A520">
        <v>4229</v>
      </c>
      <c r="B520">
        <v>2</v>
      </c>
      <c r="C520">
        <v>3</v>
      </c>
      <c r="D520">
        <v>3</v>
      </c>
      <c r="E520">
        <v>2</v>
      </c>
      <c r="F520">
        <v>2</v>
      </c>
      <c r="G520">
        <v>2.5</v>
      </c>
    </row>
    <row r="521" spans="1:7" x14ac:dyDescent="0.25">
      <c r="A521">
        <v>4231</v>
      </c>
      <c r="B521">
        <v>1</v>
      </c>
      <c r="C521">
        <v>1</v>
      </c>
      <c r="D521">
        <v>1</v>
      </c>
      <c r="E521">
        <v>1</v>
      </c>
      <c r="F521">
        <v>3</v>
      </c>
      <c r="G521">
        <v>1</v>
      </c>
    </row>
    <row r="522" spans="1:7" x14ac:dyDescent="0.25">
      <c r="A522">
        <v>4232</v>
      </c>
      <c r="B522">
        <v>3</v>
      </c>
      <c r="C522">
        <v>3</v>
      </c>
      <c r="D522">
        <v>2</v>
      </c>
      <c r="E522">
        <v>3</v>
      </c>
      <c r="F522">
        <v>2</v>
      </c>
      <c r="G522">
        <v>2.75</v>
      </c>
    </row>
    <row r="523" spans="1:7" x14ac:dyDescent="0.25">
      <c r="A523">
        <v>4234</v>
      </c>
      <c r="B523">
        <v>3</v>
      </c>
      <c r="C523">
        <v>2</v>
      </c>
      <c r="D523">
        <v>1</v>
      </c>
      <c r="E523">
        <v>1</v>
      </c>
      <c r="F523">
        <v>3</v>
      </c>
      <c r="G523">
        <v>1.75</v>
      </c>
    </row>
    <row r="524" spans="1:7" x14ac:dyDescent="0.25">
      <c r="A524">
        <v>4235</v>
      </c>
      <c r="B524">
        <v>3</v>
      </c>
      <c r="C524">
        <v>2</v>
      </c>
      <c r="D524">
        <v>2</v>
      </c>
      <c r="E524">
        <v>4</v>
      </c>
      <c r="F524">
        <v>3</v>
      </c>
      <c r="G524">
        <v>2.75</v>
      </c>
    </row>
    <row r="525" spans="1:7" x14ac:dyDescent="0.25">
      <c r="A525">
        <v>4236</v>
      </c>
      <c r="B525">
        <v>1</v>
      </c>
      <c r="C525">
        <v>2</v>
      </c>
      <c r="D525">
        <v>2</v>
      </c>
      <c r="E525">
        <v>2</v>
      </c>
      <c r="F525">
        <v>3</v>
      </c>
      <c r="G525">
        <v>1.75</v>
      </c>
    </row>
    <row r="526" spans="1:7" x14ac:dyDescent="0.25">
      <c r="A526">
        <v>4243</v>
      </c>
      <c r="B526">
        <v>3</v>
      </c>
      <c r="C526">
        <v>3</v>
      </c>
      <c r="D526">
        <v>2</v>
      </c>
      <c r="E526">
        <v>1</v>
      </c>
      <c r="F526">
        <v>3</v>
      </c>
      <c r="G526">
        <v>2.25</v>
      </c>
    </row>
    <row r="527" spans="1:7" x14ac:dyDescent="0.25">
      <c r="A527">
        <v>4244</v>
      </c>
      <c r="B527">
        <v>0</v>
      </c>
      <c r="C527">
        <v>3</v>
      </c>
      <c r="D527">
        <v>2</v>
      </c>
      <c r="E527">
        <v>1</v>
      </c>
      <c r="F527">
        <v>3</v>
      </c>
      <c r="G527">
        <v>1.5</v>
      </c>
    </row>
    <row r="528" spans="1:7" x14ac:dyDescent="0.25">
      <c r="A528">
        <v>4251</v>
      </c>
      <c r="B528">
        <v>2</v>
      </c>
      <c r="C528">
        <v>2</v>
      </c>
      <c r="D528">
        <v>1</v>
      </c>
      <c r="E528">
        <v>1</v>
      </c>
      <c r="F528">
        <v>3</v>
      </c>
      <c r="G528">
        <v>1.5</v>
      </c>
    </row>
    <row r="529" spans="1:7" x14ac:dyDescent="0.25">
      <c r="A529">
        <v>4254</v>
      </c>
      <c r="B529">
        <v>1</v>
      </c>
      <c r="C529">
        <v>3</v>
      </c>
      <c r="D529">
        <v>3</v>
      </c>
      <c r="E529">
        <v>1</v>
      </c>
      <c r="F529">
        <v>3</v>
      </c>
      <c r="G529">
        <v>2</v>
      </c>
    </row>
    <row r="530" spans="1:7" x14ac:dyDescent="0.25">
      <c r="A530">
        <v>4255</v>
      </c>
      <c r="B530">
        <v>4</v>
      </c>
      <c r="C530">
        <v>4</v>
      </c>
      <c r="D530">
        <v>3</v>
      </c>
      <c r="E530">
        <v>3</v>
      </c>
      <c r="F530">
        <v>3</v>
      </c>
      <c r="G530">
        <v>3.5</v>
      </c>
    </row>
    <row r="531" spans="1:7" x14ac:dyDescent="0.25">
      <c r="A531">
        <v>4258</v>
      </c>
      <c r="B531">
        <v>1</v>
      </c>
      <c r="C531">
        <v>1</v>
      </c>
      <c r="D531">
        <v>1</v>
      </c>
      <c r="E531">
        <v>1</v>
      </c>
      <c r="F531">
        <v>3</v>
      </c>
      <c r="G531">
        <v>1</v>
      </c>
    </row>
    <row r="532" spans="1:7" x14ac:dyDescent="0.25">
      <c r="A532">
        <v>4259</v>
      </c>
      <c r="B532">
        <v>3</v>
      </c>
      <c r="C532">
        <v>0</v>
      </c>
      <c r="D532">
        <v>1</v>
      </c>
      <c r="E532">
        <v>1</v>
      </c>
      <c r="F532">
        <v>2</v>
      </c>
      <c r="G532">
        <v>1.25</v>
      </c>
    </row>
    <row r="533" spans="1:7" x14ac:dyDescent="0.25">
      <c r="A533">
        <v>4260</v>
      </c>
      <c r="B533">
        <v>2</v>
      </c>
      <c r="C533">
        <v>1</v>
      </c>
      <c r="D533">
        <v>1</v>
      </c>
      <c r="E533">
        <v>0</v>
      </c>
      <c r="F533">
        <v>3</v>
      </c>
      <c r="G533">
        <v>1</v>
      </c>
    </row>
    <row r="534" spans="1:7" x14ac:dyDescent="0.25">
      <c r="A534">
        <v>4262</v>
      </c>
      <c r="B534">
        <v>1</v>
      </c>
      <c r="C534">
        <v>1</v>
      </c>
      <c r="D534">
        <v>1</v>
      </c>
      <c r="E534">
        <v>1</v>
      </c>
      <c r="F534">
        <v>3</v>
      </c>
      <c r="G534">
        <v>1</v>
      </c>
    </row>
    <row r="535" spans="1:7" x14ac:dyDescent="0.25">
      <c r="A535">
        <v>4263</v>
      </c>
      <c r="B535">
        <v>4</v>
      </c>
      <c r="C535">
        <v>4</v>
      </c>
      <c r="D535">
        <v>3</v>
      </c>
      <c r="E535">
        <v>2</v>
      </c>
      <c r="F535">
        <v>2</v>
      </c>
      <c r="G535">
        <v>3.25</v>
      </c>
    </row>
    <row r="536" spans="1:7" x14ac:dyDescent="0.25">
      <c r="A536">
        <v>4265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</row>
    <row r="537" spans="1:7" x14ac:dyDescent="0.25">
      <c r="A537">
        <v>4267</v>
      </c>
      <c r="B537">
        <v>1</v>
      </c>
      <c r="C537">
        <v>2</v>
      </c>
      <c r="D537">
        <v>1</v>
      </c>
      <c r="E537">
        <v>1</v>
      </c>
      <c r="F537">
        <v>3</v>
      </c>
      <c r="G537">
        <v>1.25</v>
      </c>
    </row>
    <row r="538" spans="1:7" x14ac:dyDescent="0.25">
      <c r="A538">
        <v>4270</v>
      </c>
      <c r="B538">
        <v>3</v>
      </c>
      <c r="C538">
        <v>3</v>
      </c>
      <c r="D538">
        <v>2</v>
      </c>
      <c r="E538">
        <v>1</v>
      </c>
      <c r="F538">
        <v>3</v>
      </c>
      <c r="G538">
        <v>2.25</v>
      </c>
    </row>
    <row r="539" spans="1:7" x14ac:dyDescent="0.25">
      <c r="A539">
        <v>4271</v>
      </c>
      <c r="B539">
        <v>4</v>
      </c>
      <c r="C539">
        <v>4</v>
      </c>
      <c r="D539">
        <v>4</v>
      </c>
      <c r="E539">
        <v>4</v>
      </c>
      <c r="F539">
        <v>4</v>
      </c>
      <c r="G539">
        <v>4</v>
      </c>
    </row>
    <row r="540" spans="1:7" x14ac:dyDescent="0.25">
      <c r="A540">
        <v>4272</v>
      </c>
      <c r="B540">
        <v>2</v>
      </c>
      <c r="C540">
        <v>2</v>
      </c>
      <c r="D540">
        <v>3</v>
      </c>
      <c r="E540">
        <v>3</v>
      </c>
      <c r="F540">
        <v>3</v>
      </c>
      <c r="G540">
        <v>2.5</v>
      </c>
    </row>
    <row r="541" spans="1:7" x14ac:dyDescent="0.25">
      <c r="A541">
        <v>4275</v>
      </c>
      <c r="B541">
        <v>3</v>
      </c>
      <c r="C541">
        <v>3</v>
      </c>
      <c r="D541">
        <v>2</v>
      </c>
      <c r="E541">
        <v>2</v>
      </c>
      <c r="F541">
        <v>3</v>
      </c>
      <c r="G541">
        <v>2.5</v>
      </c>
    </row>
    <row r="542" spans="1:7" x14ac:dyDescent="0.25">
      <c r="A542">
        <v>4276</v>
      </c>
      <c r="B542">
        <v>1</v>
      </c>
      <c r="C542">
        <v>1</v>
      </c>
      <c r="D542">
        <v>1</v>
      </c>
      <c r="E542">
        <v>1</v>
      </c>
      <c r="F542">
        <v>3</v>
      </c>
      <c r="G542">
        <v>1</v>
      </c>
    </row>
    <row r="543" spans="1:7" x14ac:dyDescent="0.25">
      <c r="A543">
        <v>4278</v>
      </c>
      <c r="B543">
        <v>3</v>
      </c>
      <c r="C543">
        <v>3</v>
      </c>
      <c r="D543">
        <v>2</v>
      </c>
      <c r="E543">
        <v>3</v>
      </c>
      <c r="F543">
        <v>3</v>
      </c>
      <c r="G543">
        <v>2.75</v>
      </c>
    </row>
    <row r="544" spans="1:7" x14ac:dyDescent="0.25">
      <c r="A544">
        <v>4280</v>
      </c>
      <c r="B544">
        <v>1</v>
      </c>
      <c r="C544">
        <v>1</v>
      </c>
      <c r="D544">
        <v>1</v>
      </c>
      <c r="E544">
        <v>1</v>
      </c>
      <c r="F544">
        <v>3</v>
      </c>
      <c r="G544">
        <v>1</v>
      </c>
    </row>
    <row r="545" spans="1:7" x14ac:dyDescent="0.25">
      <c r="A545">
        <v>4281</v>
      </c>
      <c r="B545">
        <v>1</v>
      </c>
      <c r="C545">
        <v>1</v>
      </c>
      <c r="D545">
        <v>1</v>
      </c>
      <c r="E545">
        <v>1</v>
      </c>
      <c r="F545">
        <v>2</v>
      </c>
      <c r="G545">
        <v>1</v>
      </c>
    </row>
    <row r="546" spans="1:7" x14ac:dyDescent="0.25">
      <c r="A546">
        <v>4282</v>
      </c>
      <c r="B546">
        <v>4</v>
      </c>
      <c r="C546">
        <v>4</v>
      </c>
      <c r="D546">
        <v>2</v>
      </c>
      <c r="E546">
        <v>2</v>
      </c>
      <c r="F546">
        <v>3</v>
      </c>
      <c r="G546">
        <v>3</v>
      </c>
    </row>
    <row r="547" spans="1:7" x14ac:dyDescent="0.25">
      <c r="A547">
        <v>4287</v>
      </c>
      <c r="B547">
        <v>4</v>
      </c>
      <c r="C547">
        <v>3</v>
      </c>
      <c r="D547">
        <v>2</v>
      </c>
      <c r="E547">
        <v>2</v>
      </c>
      <c r="F547">
        <v>3</v>
      </c>
      <c r="G547">
        <v>2.75</v>
      </c>
    </row>
    <row r="548" spans="1:7" x14ac:dyDescent="0.25">
      <c r="A548">
        <v>4289</v>
      </c>
      <c r="B548">
        <v>3</v>
      </c>
      <c r="C548">
        <v>2</v>
      </c>
      <c r="D548">
        <v>2</v>
      </c>
      <c r="E548">
        <v>2</v>
      </c>
      <c r="F548">
        <v>2</v>
      </c>
      <c r="G548">
        <v>2.25</v>
      </c>
    </row>
    <row r="549" spans="1:7" x14ac:dyDescent="0.25">
      <c r="A549">
        <v>4290</v>
      </c>
      <c r="B549">
        <v>1</v>
      </c>
      <c r="C549">
        <v>1</v>
      </c>
      <c r="D549">
        <v>1</v>
      </c>
      <c r="E549">
        <v>0</v>
      </c>
      <c r="F549">
        <v>2</v>
      </c>
      <c r="G549">
        <v>0.75</v>
      </c>
    </row>
    <row r="550" spans="1:7" x14ac:dyDescent="0.25">
      <c r="A550">
        <v>4291</v>
      </c>
      <c r="B550">
        <v>1</v>
      </c>
      <c r="C550">
        <v>1</v>
      </c>
      <c r="D550">
        <v>1</v>
      </c>
      <c r="E550">
        <v>0</v>
      </c>
      <c r="F550">
        <v>3</v>
      </c>
      <c r="G550">
        <v>0.75</v>
      </c>
    </row>
    <row r="551" spans="1:7" x14ac:dyDescent="0.25">
      <c r="A551">
        <v>4293</v>
      </c>
      <c r="B551">
        <v>2</v>
      </c>
      <c r="C551">
        <v>2</v>
      </c>
      <c r="D551">
        <v>1</v>
      </c>
      <c r="E551">
        <v>2</v>
      </c>
      <c r="F551">
        <v>3</v>
      </c>
      <c r="G551">
        <v>1.75</v>
      </c>
    </row>
    <row r="552" spans="1:7" x14ac:dyDescent="0.25">
      <c r="A552">
        <v>4294</v>
      </c>
      <c r="B552">
        <v>1</v>
      </c>
      <c r="C552">
        <v>1</v>
      </c>
      <c r="D552">
        <v>1</v>
      </c>
      <c r="E552">
        <v>1</v>
      </c>
      <c r="F552">
        <v>3</v>
      </c>
      <c r="G552">
        <v>1</v>
      </c>
    </row>
    <row r="553" spans="1:7" x14ac:dyDescent="0.25">
      <c r="A553">
        <v>4295</v>
      </c>
      <c r="B553">
        <v>1</v>
      </c>
      <c r="C553">
        <v>1</v>
      </c>
      <c r="D553">
        <v>1</v>
      </c>
      <c r="E553">
        <v>1</v>
      </c>
      <c r="F553">
        <v>3</v>
      </c>
      <c r="G553">
        <v>1</v>
      </c>
    </row>
    <row r="554" spans="1:7" x14ac:dyDescent="0.25">
      <c r="A554">
        <v>4296</v>
      </c>
      <c r="B554">
        <v>3</v>
      </c>
      <c r="C554">
        <v>3</v>
      </c>
      <c r="D554">
        <v>1</v>
      </c>
      <c r="E554">
        <v>2</v>
      </c>
      <c r="F554">
        <v>3</v>
      </c>
      <c r="G554">
        <v>2.25</v>
      </c>
    </row>
    <row r="555" spans="1:7" x14ac:dyDescent="0.25">
      <c r="A555">
        <v>4297</v>
      </c>
      <c r="B555">
        <v>1</v>
      </c>
      <c r="C555">
        <v>1</v>
      </c>
      <c r="D555">
        <v>1</v>
      </c>
      <c r="E555">
        <v>1</v>
      </c>
      <c r="F555">
        <v>2</v>
      </c>
      <c r="G555">
        <v>1</v>
      </c>
    </row>
    <row r="556" spans="1:7" x14ac:dyDescent="0.25">
      <c r="A556">
        <v>4298</v>
      </c>
      <c r="B556">
        <v>4</v>
      </c>
      <c r="C556">
        <v>4</v>
      </c>
      <c r="D556">
        <v>3</v>
      </c>
      <c r="E556">
        <v>3</v>
      </c>
      <c r="F556">
        <v>2</v>
      </c>
      <c r="G556">
        <v>3.5</v>
      </c>
    </row>
    <row r="557" spans="1:7" x14ac:dyDescent="0.25">
      <c r="A557">
        <v>4299</v>
      </c>
      <c r="B557">
        <v>1</v>
      </c>
      <c r="C557">
        <v>2</v>
      </c>
      <c r="D557">
        <v>1</v>
      </c>
      <c r="E557">
        <v>2</v>
      </c>
      <c r="F557">
        <v>3</v>
      </c>
      <c r="G557">
        <v>1.5</v>
      </c>
    </row>
    <row r="558" spans="1:7" x14ac:dyDescent="0.25">
      <c r="A558">
        <v>4302</v>
      </c>
      <c r="B558">
        <v>1</v>
      </c>
      <c r="C558">
        <v>1</v>
      </c>
      <c r="D558">
        <v>2</v>
      </c>
      <c r="E558">
        <v>1</v>
      </c>
      <c r="F558">
        <v>3</v>
      </c>
      <c r="G558">
        <v>1.25</v>
      </c>
    </row>
    <row r="559" spans="1:7" x14ac:dyDescent="0.25">
      <c r="A559">
        <v>4303</v>
      </c>
      <c r="B559">
        <v>2</v>
      </c>
      <c r="C559">
        <v>3</v>
      </c>
      <c r="D559">
        <v>3</v>
      </c>
      <c r="E559">
        <v>3</v>
      </c>
      <c r="F559">
        <v>3</v>
      </c>
      <c r="G559">
        <v>2.75</v>
      </c>
    </row>
    <row r="560" spans="1:7" x14ac:dyDescent="0.25">
      <c r="A560">
        <v>4304</v>
      </c>
      <c r="B560">
        <v>2</v>
      </c>
      <c r="C560">
        <v>3</v>
      </c>
      <c r="D560">
        <v>2</v>
      </c>
      <c r="E560">
        <v>2</v>
      </c>
      <c r="F560">
        <v>3</v>
      </c>
      <c r="G560">
        <v>2.25</v>
      </c>
    </row>
    <row r="561" spans="1:7" x14ac:dyDescent="0.25">
      <c r="A561">
        <v>4305</v>
      </c>
      <c r="B561">
        <v>1</v>
      </c>
      <c r="C561">
        <v>2</v>
      </c>
      <c r="D561">
        <v>1</v>
      </c>
      <c r="E561">
        <v>1</v>
      </c>
      <c r="F561">
        <v>3</v>
      </c>
      <c r="G561">
        <v>1.25</v>
      </c>
    </row>
    <row r="562" spans="1:7" x14ac:dyDescent="0.25">
      <c r="A562">
        <v>4306</v>
      </c>
      <c r="B562">
        <v>1</v>
      </c>
      <c r="C562">
        <v>1</v>
      </c>
      <c r="D562">
        <v>1</v>
      </c>
      <c r="E562">
        <v>1</v>
      </c>
      <c r="F562">
        <v>2</v>
      </c>
      <c r="G562">
        <v>1</v>
      </c>
    </row>
    <row r="563" spans="1:7" x14ac:dyDescent="0.25">
      <c r="A563">
        <v>4307</v>
      </c>
      <c r="B563">
        <v>2</v>
      </c>
      <c r="C563">
        <v>2</v>
      </c>
      <c r="D563">
        <v>3</v>
      </c>
      <c r="E563">
        <v>2</v>
      </c>
      <c r="F563">
        <v>3</v>
      </c>
      <c r="G563">
        <v>2.25</v>
      </c>
    </row>
    <row r="564" spans="1:7" x14ac:dyDescent="0.25">
      <c r="A564">
        <v>4308</v>
      </c>
      <c r="B564">
        <v>1</v>
      </c>
      <c r="C564">
        <v>1</v>
      </c>
      <c r="D564">
        <v>1</v>
      </c>
      <c r="E564">
        <v>1</v>
      </c>
      <c r="F564">
        <v>3</v>
      </c>
      <c r="G564">
        <v>1</v>
      </c>
    </row>
    <row r="565" spans="1:7" x14ac:dyDescent="0.25">
      <c r="A565">
        <v>4309</v>
      </c>
      <c r="B565">
        <v>1</v>
      </c>
      <c r="C565">
        <v>2</v>
      </c>
      <c r="D565">
        <v>1</v>
      </c>
      <c r="E565">
        <v>1</v>
      </c>
      <c r="F565">
        <v>3</v>
      </c>
      <c r="G565">
        <v>1.25</v>
      </c>
    </row>
    <row r="566" spans="1:7" x14ac:dyDescent="0.25">
      <c r="A566">
        <v>4310</v>
      </c>
      <c r="B566">
        <v>3</v>
      </c>
      <c r="C566">
        <v>2</v>
      </c>
      <c r="D566">
        <v>2</v>
      </c>
      <c r="E566">
        <v>3</v>
      </c>
      <c r="F566">
        <v>3</v>
      </c>
      <c r="G566">
        <v>2.5</v>
      </c>
    </row>
    <row r="567" spans="1:7" x14ac:dyDescent="0.25">
      <c r="A567">
        <v>4313</v>
      </c>
      <c r="B567">
        <v>2</v>
      </c>
      <c r="C567">
        <v>2</v>
      </c>
      <c r="D567">
        <v>2</v>
      </c>
      <c r="E567">
        <v>1</v>
      </c>
      <c r="F567">
        <v>4</v>
      </c>
      <c r="G567">
        <v>1.75</v>
      </c>
    </row>
    <row r="568" spans="1:7" x14ac:dyDescent="0.25">
      <c r="A568">
        <v>4314</v>
      </c>
      <c r="B568">
        <v>1</v>
      </c>
      <c r="C568">
        <v>1</v>
      </c>
      <c r="D568">
        <v>1</v>
      </c>
      <c r="E568">
        <v>1</v>
      </c>
      <c r="F568">
        <v>2</v>
      </c>
      <c r="G568">
        <v>1</v>
      </c>
    </row>
    <row r="569" spans="1:7" x14ac:dyDescent="0.25">
      <c r="A569">
        <v>4317</v>
      </c>
      <c r="B569">
        <v>3</v>
      </c>
      <c r="C569">
        <v>3</v>
      </c>
      <c r="D569">
        <v>3</v>
      </c>
      <c r="E569">
        <v>3</v>
      </c>
      <c r="F569">
        <v>3</v>
      </c>
      <c r="G569">
        <v>3</v>
      </c>
    </row>
    <row r="570" spans="1:7" x14ac:dyDescent="0.25">
      <c r="A570">
        <v>4319</v>
      </c>
      <c r="B570">
        <v>4</v>
      </c>
      <c r="C570">
        <v>4</v>
      </c>
      <c r="D570">
        <v>4</v>
      </c>
      <c r="E570">
        <v>4</v>
      </c>
      <c r="F570">
        <v>3</v>
      </c>
      <c r="G570">
        <v>4</v>
      </c>
    </row>
    <row r="571" spans="1:7" x14ac:dyDescent="0.25">
      <c r="A571">
        <v>4322</v>
      </c>
      <c r="B571">
        <v>1</v>
      </c>
      <c r="C571">
        <v>1</v>
      </c>
      <c r="D571">
        <v>1</v>
      </c>
      <c r="E571">
        <v>1</v>
      </c>
      <c r="F571">
        <v>3</v>
      </c>
      <c r="G571">
        <v>1</v>
      </c>
    </row>
    <row r="572" spans="1:7" x14ac:dyDescent="0.25">
      <c r="A572">
        <v>4323</v>
      </c>
      <c r="B572">
        <v>1</v>
      </c>
      <c r="C572">
        <v>3</v>
      </c>
      <c r="D572">
        <v>2</v>
      </c>
      <c r="E572">
        <v>2</v>
      </c>
      <c r="F572">
        <v>3</v>
      </c>
      <c r="G572">
        <v>2</v>
      </c>
    </row>
    <row r="573" spans="1:7" x14ac:dyDescent="0.25">
      <c r="A573">
        <v>4324</v>
      </c>
      <c r="B573">
        <v>3</v>
      </c>
      <c r="C573">
        <v>3</v>
      </c>
      <c r="D573">
        <v>2</v>
      </c>
      <c r="E573">
        <v>3</v>
      </c>
      <c r="F573">
        <v>3</v>
      </c>
      <c r="G573">
        <v>2.75</v>
      </c>
    </row>
    <row r="574" spans="1:7" x14ac:dyDescent="0.25">
      <c r="A574">
        <v>4326</v>
      </c>
      <c r="B574">
        <v>0</v>
      </c>
      <c r="C574">
        <v>3</v>
      </c>
      <c r="D574">
        <v>1</v>
      </c>
      <c r="E574">
        <v>1</v>
      </c>
      <c r="F574">
        <v>3</v>
      </c>
      <c r="G574">
        <v>1.25</v>
      </c>
    </row>
    <row r="575" spans="1:7" x14ac:dyDescent="0.25">
      <c r="A575">
        <v>4327</v>
      </c>
      <c r="B575">
        <v>1</v>
      </c>
      <c r="C575">
        <v>3</v>
      </c>
      <c r="D575">
        <v>1</v>
      </c>
      <c r="E575">
        <v>1</v>
      </c>
      <c r="F575">
        <v>3</v>
      </c>
      <c r="G575">
        <v>1.5</v>
      </c>
    </row>
    <row r="576" spans="1:7" x14ac:dyDescent="0.25">
      <c r="A576">
        <v>4328</v>
      </c>
      <c r="B576">
        <v>2</v>
      </c>
      <c r="C576">
        <v>1</v>
      </c>
      <c r="D576">
        <v>2</v>
      </c>
      <c r="E576">
        <v>0</v>
      </c>
      <c r="F576">
        <v>3</v>
      </c>
      <c r="G576">
        <v>1.25</v>
      </c>
    </row>
    <row r="577" spans="1:7" x14ac:dyDescent="0.25">
      <c r="A577">
        <v>4329</v>
      </c>
      <c r="B577">
        <v>2</v>
      </c>
      <c r="C577">
        <v>1</v>
      </c>
      <c r="D577">
        <v>1</v>
      </c>
      <c r="E577">
        <v>1</v>
      </c>
      <c r="F577">
        <v>3</v>
      </c>
      <c r="G577">
        <v>1.25</v>
      </c>
    </row>
    <row r="578" spans="1:7" x14ac:dyDescent="0.25">
      <c r="A578">
        <v>4331</v>
      </c>
      <c r="B578">
        <v>3</v>
      </c>
      <c r="C578">
        <v>2</v>
      </c>
      <c r="D578">
        <v>1</v>
      </c>
      <c r="E578">
        <v>1</v>
      </c>
      <c r="F578">
        <v>4</v>
      </c>
      <c r="G578">
        <v>1.75</v>
      </c>
    </row>
    <row r="579" spans="1:7" x14ac:dyDescent="0.25">
      <c r="A579">
        <v>4332</v>
      </c>
      <c r="B579">
        <v>1</v>
      </c>
      <c r="C579">
        <v>1</v>
      </c>
      <c r="D579">
        <v>1</v>
      </c>
      <c r="E579">
        <v>1</v>
      </c>
      <c r="F579">
        <v>2</v>
      </c>
      <c r="G579">
        <v>1</v>
      </c>
    </row>
    <row r="580" spans="1:7" x14ac:dyDescent="0.25">
      <c r="A580">
        <v>4333</v>
      </c>
      <c r="B580">
        <v>0</v>
      </c>
      <c r="C580">
        <v>3</v>
      </c>
      <c r="D580">
        <v>3</v>
      </c>
      <c r="E580">
        <v>3</v>
      </c>
      <c r="F580">
        <v>4</v>
      </c>
      <c r="G580">
        <v>2.25</v>
      </c>
    </row>
    <row r="581" spans="1:7" x14ac:dyDescent="0.25">
      <c r="A581">
        <v>4334</v>
      </c>
      <c r="B581">
        <v>0</v>
      </c>
      <c r="C581">
        <v>1</v>
      </c>
      <c r="D581">
        <v>1</v>
      </c>
      <c r="E581">
        <v>1</v>
      </c>
      <c r="F581">
        <v>2</v>
      </c>
      <c r="G581">
        <v>0.75</v>
      </c>
    </row>
    <row r="582" spans="1:7" x14ac:dyDescent="0.25">
      <c r="A582">
        <v>4335</v>
      </c>
      <c r="B582">
        <v>2</v>
      </c>
      <c r="C582">
        <v>1</v>
      </c>
      <c r="D582">
        <v>1</v>
      </c>
      <c r="E582">
        <v>1</v>
      </c>
      <c r="F582">
        <v>3</v>
      </c>
      <c r="G582">
        <v>1.25</v>
      </c>
    </row>
    <row r="583" spans="1:7" x14ac:dyDescent="0.25">
      <c r="A583">
        <v>4336</v>
      </c>
      <c r="B583">
        <v>1</v>
      </c>
      <c r="C583">
        <v>1</v>
      </c>
      <c r="D583">
        <v>1</v>
      </c>
      <c r="E583">
        <v>2</v>
      </c>
      <c r="F583">
        <v>2</v>
      </c>
      <c r="G583">
        <v>1.25</v>
      </c>
    </row>
    <row r="584" spans="1:7" x14ac:dyDescent="0.25">
      <c r="A584">
        <v>4337</v>
      </c>
      <c r="B584">
        <v>2</v>
      </c>
      <c r="C584">
        <v>0</v>
      </c>
      <c r="D584">
        <v>2</v>
      </c>
      <c r="E584">
        <v>3</v>
      </c>
      <c r="F584">
        <v>3</v>
      </c>
      <c r="G584">
        <v>1.75</v>
      </c>
    </row>
    <row r="585" spans="1:7" x14ac:dyDescent="0.25">
      <c r="A585">
        <v>4338</v>
      </c>
      <c r="B585">
        <v>2</v>
      </c>
      <c r="C585">
        <v>2</v>
      </c>
      <c r="D585">
        <v>3</v>
      </c>
      <c r="E585">
        <v>2</v>
      </c>
      <c r="F585">
        <v>2</v>
      </c>
      <c r="G585">
        <v>2.25</v>
      </c>
    </row>
    <row r="586" spans="1:7" x14ac:dyDescent="0.25">
      <c r="A586">
        <v>4339</v>
      </c>
      <c r="B586">
        <v>1</v>
      </c>
      <c r="C586">
        <v>1</v>
      </c>
      <c r="D586">
        <v>1</v>
      </c>
      <c r="E586">
        <v>0</v>
      </c>
      <c r="F586">
        <v>3</v>
      </c>
      <c r="G586">
        <v>0.75</v>
      </c>
    </row>
    <row r="587" spans="1:7" x14ac:dyDescent="0.25">
      <c r="A587">
        <v>4340</v>
      </c>
      <c r="B587">
        <v>4</v>
      </c>
      <c r="C587">
        <v>4</v>
      </c>
      <c r="D587">
        <v>3</v>
      </c>
      <c r="E587">
        <v>3</v>
      </c>
      <c r="F587">
        <v>3</v>
      </c>
      <c r="G587">
        <v>3.5</v>
      </c>
    </row>
    <row r="588" spans="1:7" x14ac:dyDescent="0.25">
      <c r="A588">
        <v>4341</v>
      </c>
      <c r="B588">
        <v>0</v>
      </c>
      <c r="C588">
        <v>1</v>
      </c>
      <c r="D588">
        <v>1</v>
      </c>
      <c r="E588">
        <v>1</v>
      </c>
      <c r="F588">
        <v>3</v>
      </c>
      <c r="G588">
        <v>0.75</v>
      </c>
    </row>
    <row r="589" spans="1:7" x14ac:dyDescent="0.25">
      <c r="A589">
        <v>4343</v>
      </c>
      <c r="B589">
        <v>3</v>
      </c>
      <c r="C589">
        <v>3</v>
      </c>
      <c r="D589">
        <v>2</v>
      </c>
      <c r="E589">
        <v>2</v>
      </c>
      <c r="F589">
        <v>3</v>
      </c>
      <c r="G589">
        <v>2.5</v>
      </c>
    </row>
    <row r="590" spans="1:7" x14ac:dyDescent="0.25">
      <c r="A590">
        <v>4345</v>
      </c>
      <c r="B590">
        <v>2</v>
      </c>
      <c r="C590">
        <v>2</v>
      </c>
      <c r="D590">
        <v>1</v>
      </c>
      <c r="E590">
        <v>2</v>
      </c>
      <c r="F590">
        <v>3</v>
      </c>
      <c r="G590">
        <v>1.75</v>
      </c>
    </row>
    <row r="591" spans="1:7" x14ac:dyDescent="0.25">
      <c r="A591">
        <v>4346</v>
      </c>
      <c r="B591">
        <v>4</v>
      </c>
      <c r="C591">
        <v>4</v>
      </c>
      <c r="D591">
        <v>4</v>
      </c>
      <c r="E591">
        <v>4</v>
      </c>
      <c r="F591">
        <v>4</v>
      </c>
      <c r="G591">
        <v>4</v>
      </c>
    </row>
    <row r="592" spans="1:7" x14ac:dyDescent="0.25">
      <c r="A592">
        <v>4347</v>
      </c>
      <c r="B592">
        <v>2</v>
      </c>
      <c r="C592">
        <v>3</v>
      </c>
      <c r="D592">
        <v>2</v>
      </c>
      <c r="E592">
        <v>2</v>
      </c>
      <c r="F592">
        <v>3</v>
      </c>
      <c r="G592">
        <v>2.25</v>
      </c>
    </row>
    <row r="593" spans="1:7" x14ac:dyDescent="0.25">
      <c r="A593">
        <v>4349</v>
      </c>
      <c r="B593">
        <v>1</v>
      </c>
      <c r="C593">
        <v>1</v>
      </c>
      <c r="D593">
        <v>0</v>
      </c>
      <c r="E593">
        <v>0</v>
      </c>
      <c r="F593">
        <v>3</v>
      </c>
      <c r="G593">
        <v>0.5</v>
      </c>
    </row>
    <row r="594" spans="1:7" x14ac:dyDescent="0.25">
      <c r="A594">
        <v>4351</v>
      </c>
      <c r="B594">
        <v>4</v>
      </c>
      <c r="C594">
        <v>4</v>
      </c>
      <c r="D594">
        <v>3</v>
      </c>
      <c r="E594">
        <v>4</v>
      </c>
      <c r="F594">
        <v>3</v>
      </c>
      <c r="G594">
        <v>3.75</v>
      </c>
    </row>
    <row r="595" spans="1:7" x14ac:dyDescent="0.25">
      <c r="A595">
        <v>4352</v>
      </c>
      <c r="B595">
        <v>2</v>
      </c>
      <c r="C595">
        <v>2</v>
      </c>
      <c r="D595">
        <v>1</v>
      </c>
      <c r="E595">
        <v>1</v>
      </c>
      <c r="F595">
        <v>3</v>
      </c>
      <c r="G595">
        <v>1.5</v>
      </c>
    </row>
    <row r="596" spans="1:7" x14ac:dyDescent="0.25">
      <c r="A596">
        <v>4353</v>
      </c>
      <c r="B596">
        <v>4</v>
      </c>
      <c r="C596">
        <v>4</v>
      </c>
      <c r="D596">
        <v>3</v>
      </c>
      <c r="E596">
        <v>3</v>
      </c>
      <c r="F596">
        <v>3</v>
      </c>
      <c r="G596">
        <v>3.5</v>
      </c>
    </row>
    <row r="597" spans="1:7" x14ac:dyDescent="0.25">
      <c r="A597">
        <v>4356</v>
      </c>
      <c r="B597">
        <v>3</v>
      </c>
      <c r="C597">
        <v>2</v>
      </c>
      <c r="D597">
        <v>1</v>
      </c>
      <c r="E597">
        <v>2</v>
      </c>
      <c r="F597">
        <v>3</v>
      </c>
      <c r="G597">
        <v>2</v>
      </c>
    </row>
    <row r="598" spans="1:7" x14ac:dyDescent="0.25">
      <c r="A598">
        <v>4357</v>
      </c>
      <c r="B598">
        <v>1</v>
      </c>
      <c r="C598">
        <v>1</v>
      </c>
      <c r="D598">
        <v>1</v>
      </c>
      <c r="E598">
        <v>1</v>
      </c>
      <c r="F598">
        <v>3</v>
      </c>
      <c r="G598">
        <v>1</v>
      </c>
    </row>
    <row r="599" spans="1:7" x14ac:dyDescent="0.25">
      <c r="A599">
        <v>4358</v>
      </c>
      <c r="B599">
        <v>2</v>
      </c>
      <c r="C599">
        <v>1</v>
      </c>
      <c r="D599">
        <v>1</v>
      </c>
      <c r="E599">
        <v>1</v>
      </c>
      <c r="F599">
        <v>3</v>
      </c>
      <c r="G599">
        <v>1.25</v>
      </c>
    </row>
    <row r="600" spans="1:7" x14ac:dyDescent="0.25">
      <c r="A600">
        <v>4359</v>
      </c>
      <c r="B600">
        <v>4</v>
      </c>
      <c r="C600">
        <v>4</v>
      </c>
      <c r="D600">
        <v>3</v>
      </c>
      <c r="E600">
        <v>4</v>
      </c>
      <c r="F600">
        <v>3</v>
      </c>
      <c r="G600">
        <v>3.75</v>
      </c>
    </row>
    <row r="601" spans="1:7" x14ac:dyDescent="0.25">
      <c r="A601">
        <v>4360</v>
      </c>
      <c r="B601">
        <v>2</v>
      </c>
      <c r="C601">
        <v>2</v>
      </c>
      <c r="D601">
        <v>3</v>
      </c>
      <c r="E601">
        <v>0</v>
      </c>
      <c r="F601">
        <v>3</v>
      </c>
      <c r="G601">
        <v>1.75</v>
      </c>
    </row>
    <row r="602" spans="1:7" x14ac:dyDescent="0.25">
      <c r="A602">
        <v>4361</v>
      </c>
      <c r="B602">
        <v>1</v>
      </c>
      <c r="C602">
        <v>2</v>
      </c>
      <c r="D602">
        <v>1</v>
      </c>
      <c r="E602">
        <v>1</v>
      </c>
      <c r="F602">
        <v>2</v>
      </c>
      <c r="G602">
        <v>1.25</v>
      </c>
    </row>
    <row r="603" spans="1:7" x14ac:dyDescent="0.25">
      <c r="A603">
        <v>4362</v>
      </c>
      <c r="B603">
        <v>1</v>
      </c>
      <c r="C603">
        <v>1</v>
      </c>
      <c r="D603">
        <v>1</v>
      </c>
      <c r="E603">
        <v>1</v>
      </c>
      <c r="F603">
        <v>3</v>
      </c>
      <c r="G603">
        <v>1</v>
      </c>
    </row>
    <row r="604" spans="1:7" x14ac:dyDescent="0.25">
      <c r="A604">
        <v>4363</v>
      </c>
      <c r="B604">
        <v>1</v>
      </c>
      <c r="C604">
        <v>1</v>
      </c>
      <c r="D604">
        <v>2</v>
      </c>
      <c r="E604">
        <v>1</v>
      </c>
      <c r="F604">
        <v>2</v>
      </c>
      <c r="G604">
        <v>1.25</v>
      </c>
    </row>
    <row r="605" spans="1:7" x14ac:dyDescent="0.25">
      <c r="A605">
        <v>4366</v>
      </c>
      <c r="B605">
        <v>1</v>
      </c>
      <c r="C605">
        <v>0</v>
      </c>
      <c r="D605">
        <v>1</v>
      </c>
      <c r="E605">
        <v>1</v>
      </c>
      <c r="F605">
        <v>2</v>
      </c>
      <c r="G605">
        <v>0.75</v>
      </c>
    </row>
    <row r="606" spans="1:7" x14ac:dyDescent="0.25">
      <c r="A606">
        <v>4367</v>
      </c>
      <c r="B606">
        <v>1</v>
      </c>
      <c r="C606">
        <v>1</v>
      </c>
      <c r="D606">
        <v>2</v>
      </c>
      <c r="E606">
        <v>1</v>
      </c>
      <c r="F606">
        <v>3</v>
      </c>
      <c r="G606">
        <v>1.25</v>
      </c>
    </row>
    <row r="607" spans="1:7" x14ac:dyDescent="0.25">
      <c r="A607">
        <v>4370</v>
      </c>
      <c r="B607">
        <v>2</v>
      </c>
      <c r="C607">
        <v>0</v>
      </c>
      <c r="D607">
        <v>3</v>
      </c>
      <c r="E607">
        <v>2</v>
      </c>
      <c r="F607">
        <v>3</v>
      </c>
      <c r="G607">
        <v>1.75</v>
      </c>
    </row>
    <row r="608" spans="1:7" x14ac:dyDescent="0.25">
      <c r="A608">
        <v>4372</v>
      </c>
      <c r="B608">
        <v>4</v>
      </c>
      <c r="C608">
        <v>4</v>
      </c>
      <c r="D608">
        <v>4</v>
      </c>
      <c r="E608">
        <v>4</v>
      </c>
      <c r="F608">
        <v>3</v>
      </c>
      <c r="G608">
        <v>4</v>
      </c>
    </row>
    <row r="609" spans="1:7" x14ac:dyDescent="0.25">
      <c r="A609">
        <v>4373</v>
      </c>
      <c r="B609">
        <v>4</v>
      </c>
      <c r="C609">
        <v>4</v>
      </c>
      <c r="D609">
        <v>4</v>
      </c>
      <c r="E609">
        <v>4</v>
      </c>
      <c r="F609">
        <v>3</v>
      </c>
      <c r="G609">
        <v>4</v>
      </c>
    </row>
    <row r="610" spans="1:7" x14ac:dyDescent="0.25">
      <c r="A610">
        <v>4375</v>
      </c>
      <c r="B610">
        <v>3</v>
      </c>
      <c r="C610">
        <v>2</v>
      </c>
      <c r="D610">
        <v>1</v>
      </c>
      <c r="E610">
        <v>1</v>
      </c>
      <c r="F610">
        <v>4</v>
      </c>
      <c r="G610">
        <v>1.75</v>
      </c>
    </row>
    <row r="611" spans="1:7" x14ac:dyDescent="0.25">
      <c r="A611">
        <v>4376</v>
      </c>
      <c r="B611">
        <v>2</v>
      </c>
      <c r="C611">
        <v>3</v>
      </c>
      <c r="D611">
        <v>3</v>
      </c>
      <c r="E611">
        <v>3</v>
      </c>
      <c r="F611">
        <v>3</v>
      </c>
      <c r="G611">
        <v>2.75</v>
      </c>
    </row>
    <row r="612" spans="1:7" x14ac:dyDescent="0.25">
      <c r="A612">
        <v>4378</v>
      </c>
      <c r="B612">
        <v>3</v>
      </c>
      <c r="C612">
        <v>3</v>
      </c>
      <c r="D612">
        <v>2</v>
      </c>
      <c r="E612">
        <v>3</v>
      </c>
      <c r="F612">
        <v>2</v>
      </c>
      <c r="G612">
        <v>2.75</v>
      </c>
    </row>
    <row r="613" spans="1:7" x14ac:dyDescent="0.25">
      <c r="A613">
        <v>4379</v>
      </c>
      <c r="B613">
        <v>2</v>
      </c>
      <c r="C613">
        <v>3</v>
      </c>
      <c r="D613">
        <v>1</v>
      </c>
      <c r="E613">
        <v>1</v>
      </c>
      <c r="F613">
        <v>3</v>
      </c>
      <c r="G613">
        <v>1.75</v>
      </c>
    </row>
    <row r="614" spans="1:7" x14ac:dyDescent="0.25">
      <c r="A614">
        <v>4380</v>
      </c>
      <c r="B614">
        <v>2</v>
      </c>
      <c r="C614">
        <v>3</v>
      </c>
      <c r="D614">
        <v>3</v>
      </c>
      <c r="E614">
        <v>2</v>
      </c>
      <c r="F614">
        <v>3</v>
      </c>
      <c r="G614">
        <v>2.5</v>
      </c>
    </row>
    <row r="615" spans="1:7" x14ac:dyDescent="0.25">
      <c r="A615">
        <v>4382</v>
      </c>
      <c r="B615">
        <v>3</v>
      </c>
      <c r="C615">
        <v>2</v>
      </c>
      <c r="D615">
        <v>1</v>
      </c>
      <c r="E615">
        <v>2</v>
      </c>
      <c r="F615">
        <v>3</v>
      </c>
      <c r="G615">
        <v>2</v>
      </c>
    </row>
    <row r="616" spans="1:7" x14ac:dyDescent="0.25">
      <c r="A616">
        <v>4383</v>
      </c>
      <c r="B616">
        <v>1</v>
      </c>
      <c r="C616">
        <v>1</v>
      </c>
      <c r="D616">
        <v>1</v>
      </c>
      <c r="E616">
        <v>2</v>
      </c>
      <c r="F616">
        <v>3</v>
      </c>
      <c r="G616">
        <v>1.25</v>
      </c>
    </row>
    <row r="617" spans="1:7" x14ac:dyDescent="0.25">
      <c r="A617">
        <v>4386</v>
      </c>
      <c r="B617">
        <v>1</v>
      </c>
      <c r="C617">
        <v>1</v>
      </c>
      <c r="D617">
        <v>1</v>
      </c>
      <c r="E617">
        <v>1</v>
      </c>
      <c r="F617">
        <v>2</v>
      </c>
      <c r="G617">
        <v>1</v>
      </c>
    </row>
    <row r="618" spans="1:7" x14ac:dyDescent="0.25">
      <c r="A618">
        <v>4387</v>
      </c>
      <c r="B618">
        <v>3</v>
      </c>
      <c r="C618">
        <v>2</v>
      </c>
      <c r="D618">
        <v>2</v>
      </c>
      <c r="E618">
        <v>1</v>
      </c>
      <c r="F618">
        <v>3</v>
      </c>
      <c r="G618">
        <v>2</v>
      </c>
    </row>
    <row r="619" spans="1:7" x14ac:dyDescent="0.25">
      <c r="A619">
        <v>4389</v>
      </c>
      <c r="B619">
        <v>2</v>
      </c>
      <c r="C619">
        <v>1</v>
      </c>
      <c r="D619">
        <v>1</v>
      </c>
      <c r="E619">
        <v>1</v>
      </c>
      <c r="F619">
        <v>3</v>
      </c>
      <c r="G619">
        <v>1.25</v>
      </c>
    </row>
    <row r="620" spans="1:7" x14ac:dyDescent="0.25">
      <c r="A620">
        <v>4391</v>
      </c>
      <c r="B620">
        <v>3</v>
      </c>
      <c r="C620">
        <v>3</v>
      </c>
      <c r="D620">
        <v>3</v>
      </c>
      <c r="E620">
        <v>3</v>
      </c>
      <c r="F620">
        <v>3</v>
      </c>
      <c r="G620">
        <v>3</v>
      </c>
    </row>
    <row r="621" spans="1:7" x14ac:dyDescent="0.25">
      <c r="A621">
        <v>4392</v>
      </c>
      <c r="B621">
        <v>3</v>
      </c>
      <c r="C621">
        <v>3</v>
      </c>
      <c r="D621">
        <v>2</v>
      </c>
      <c r="E621">
        <v>2</v>
      </c>
      <c r="F621">
        <v>2</v>
      </c>
      <c r="G621">
        <v>2.5</v>
      </c>
    </row>
    <row r="622" spans="1:7" x14ac:dyDescent="0.25">
      <c r="A622">
        <v>4393</v>
      </c>
      <c r="B622">
        <v>2</v>
      </c>
      <c r="C622">
        <v>2</v>
      </c>
      <c r="D622">
        <v>1</v>
      </c>
      <c r="E622">
        <v>1</v>
      </c>
      <c r="F622">
        <v>3</v>
      </c>
      <c r="G622">
        <v>1.5</v>
      </c>
    </row>
    <row r="623" spans="1:7" x14ac:dyDescent="0.25">
      <c r="A623">
        <v>4394</v>
      </c>
      <c r="B623">
        <v>4</v>
      </c>
      <c r="C623">
        <v>3</v>
      </c>
      <c r="D623">
        <v>3</v>
      </c>
      <c r="E623">
        <v>2</v>
      </c>
      <c r="F623">
        <v>3</v>
      </c>
      <c r="G623">
        <v>3</v>
      </c>
    </row>
    <row r="624" spans="1:7" x14ac:dyDescent="0.25">
      <c r="A624">
        <v>4397</v>
      </c>
      <c r="B624">
        <v>1</v>
      </c>
      <c r="C624">
        <v>1</v>
      </c>
      <c r="D624">
        <v>1</v>
      </c>
      <c r="E624">
        <v>1</v>
      </c>
      <c r="F624">
        <v>3</v>
      </c>
      <c r="G624">
        <v>1</v>
      </c>
    </row>
    <row r="625" spans="1:7" x14ac:dyDescent="0.25">
      <c r="A625">
        <v>4398</v>
      </c>
      <c r="B625">
        <v>2</v>
      </c>
      <c r="C625">
        <v>2</v>
      </c>
      <c r="D625">
        <v>1</v>
      </c>
      <c r="E625">
        <v>2</v>
      </c>
      <c r="F625">
        <v>3</v>
      </c>
      <c r="G625">
        <v>1.75</v>
      </c>
    </row>
    <row r="626" spans="1:7" x14ac:dyDescent="0.25">
      <c r="A626">
        <v>4400</v>
      </c>
      <c r="B626">
        <v>2</v>
      </c>
      <c r="C626">
        <v>1</v>
      </c>
      <c r="D626">
        <v>1</v>
      </c>
      <c r="E626">
        <v>2</v>
      </c>
      <c r="F626">
        <v>2</v>
      </c>
      <c r="G626">
        <v>1.5</v>
      </c>
    </row>
    <row r="627" spans="1:7" x14ac:dyDescent="0.25">
      <c r="A627">
        <v>4401</v>
      </c>
      <c r="B627">
        <v>4</v>
      </c>
      <c r="C627">
        <v>4</v>
      </c>
      <c r="D627">
        <v>3</v>
      </c>
      <c r="E627">
        <v>3</v>
      </c>
      <c r="F627">
        <v>3</v>
      </c>
      <c r="G627">
        <v>3.5</v>
      </c>
    </row>
    <row r="628" spans="1:7" x14ac:dyDescent="0.25">
      <c r="A628">
        <v>4403</v>
      </c>
      <c r="B628">
        <v>1</v>
      </c>
      <c r="C628">
        <v>1</v>
      </c>
      <c r="D628">
        <v>1</v>
      </c>
      <c r="E628">
        <v>1</v>
      </c>
      <c r="F628">
        <v>3</v>
      </c>
      <c r="G628">
        <v>1</v>
      </c>
    </row>
    <row r="629" spans="1:7" x14ac:dyDescent="0.25">
      <c r="A629">
        <v>4405</v>
      </c>
      <c r="B629">
        <v>1</v>
      </c>
      <c r="C629">
        <v>2</v>
      </c>
      <c r="D629">
        <v>1</v>
      </c>
      <c r="E629">
        <v>2</v>
      </c>
      <c r="F629">
        <v>3</v>
      </c>
      <c r="G629">
        <v>1.5</v>
      </c>
    </row>
    <row r="630" spans="1:7" x14ac:dyDescent="0.25">
      <c r="A630">
        <v>4406</v>
      </c>
      <c r="B630">
        <v>4</v>
      </c>
      <c r="C630">
        <v>4</v>
      </c>
      <c r="D630">
        <v>2</v>
      </c>
      <c r="E630">
        <v>2</v>
      </c>
      <c r="F630">
        <v>2</v>
      </c>
      <c r="G630">
        <v>3</v>
      </c>
    </row>
    <row r="631" spans="1:7" x14ac:dyDescent="0.25">
      <c r="A631">
        <v>4407</v>
      </c>
      <c r="B631">
        <v>2</v>
      </c>
      <c r="C631">
        <v>2</v>
      </c>
      <c r="D631">
        <v>2</v>
      </c>
      <c r="E631">
        <v>1</v>
      </c>
      <c r="F631">
        <v>2</v>
      </c>
      <c r="G631">
        <v>1.75</v>
      </c>
    </row>
    <row r="632" spans="1:7" x14ac:dyDescent="0.25">
      <c r="A632">
        <v>4408</v>
      </c>
      <c r="B632">
        <v>3</v>
      </c>
      <c r="C632">
        <v>3</v>
      </c>
      <c r="D632">
        <v>1</v>
      </c>
      <c r="E632">
        <v>1</v>
      </c>
      <c r="F632">
        <v>3</v>
      </c>
      <c r="G632">
        <v>2</v>
      </c>
    </row>
    <row r="633" spans="1:7" x14ac:dyDescent="0.25">
      <c r="A633">
        <v>4409</v>
      </c>
      <c r="B633">
        <v>2</v>
      </c>
      <c r="C633">
        <v>1</v>
      </c>
      <c r="D633">
        <v>1</v>
      </c>
      <c r="E633">
        <v>1</v>
      </c>
      <c r="F633">
        <v>3</v>
      </c>
      <c r="G633">
        <v>1.25</v>
      </c>
    </row>
    <row r="634" spans="1:7" x14ac:dyDescent="0.25">
      <c r="A634">
        <v>4410</v>
      </c>
      <c r="B634">
        <v>1</v>
      </c>
      <c r="C634">
        <v>1</v>
      </c>
      <c r="D634">
        <v>0</v>
      </c>
      <c r="E634">
        <v>1</v>
      </c>
      <c r="F634">
        <v>3</v>
      </c>
      <c r="G634">
        <v>0.75</v>
      </c>
    </row>
    <row r="635" spans="1:7" x14ac:dyDescent="0.25">
      <c r="A635">
        <v>4413</v>
      </c>
      <c r="B635">
        <v>2</v>
      </c>
      <c r="C635">
        <v>3</v>
      </c>
      <c r="D635">
        <v>2</v>
      </c>
      <c r="E635">
        <v>2</v>
      </c>
      <c r="F635">
        <v>3</v>
      </c>
      <c r="G635">
        <v>2.25</v>
      </c>
    </row>
    <row r="636" spans="1:7" x14ac:dyDescent="0.25">
      <c r="A636">
        <v>4415</v>
      </c>
      <c r="B636">
        <v>1</v>
      </c>
      <c r="C636">
        <v>1</v>
      </c>
      <c r="D636">
        <v>2</v>
      </c>
      <c r="E636">
        <v>2</v>
      </c>
      <c r="F636">
        <v>3</v>
      </c>
      <c r="G636">
        <v>1.5</v>
      </c>
    </row>
    <row r="637" spans="1:7" x14ac:dyDescent="0.25">
      <c r="A637">
        <v>4416</v>
      </c>
      <c r="B637">
        <v>4</v>
      </c>
      <c r="C637">
        <v>3</v>
      </c>
      <c r="D637">
        <v>3</v>
      </c>
      <c r="E637">
        <v>2</v>
      </c>
      <c r="F637">
        <v>4</v>
      </c>
      <c r="G637">
        <v>3</v>
      </c>
    </row>
    <row r="638" spans="1:7" x14ac:dyDescent="0.25">
      <c r="A638">
        <v>4417</v>
      </c>
      <c r="B638">
        <v>1</v>
      </c>
      <c r="C638">
        <v>1</v>
      </c>
      <c r="D638">
        <v>1</v>
      </c>
      <c r="E638">
        <v>2</v>
      </c>
      <c r="F638">
        <v>2</v>
      </c>
      <c r="G638">
        <v>1.25</v>
      </c>
    </row>
    <row r="639" spans="1:7" x14ac:dyDescent="0.25">
      <c r="A639">
        <v>4418</v>
      </c>
      <c r="B639">
        <v>1</v>
      </c>
      <c r="C639">
        <v>2</v>
      </c>
      <c r="D639">
        <v>1</v>
      </c>
      <c r="E639">
        <v>1</v>
      </c>
      <c r="F639">
        <v>2</v>
      </c>
      <c r="G639">
        <v>1.25</v>
      </c>
    </row>
    <row r="640" spans="1:7" x14ac:dyDescent="0.25">
      <c r="A640">
        <v>4420</v>
      </c>
      <c r="B640">
        <v>3</v>
      </c>
      <c r="C640">
        <v>3</v>
      </c>
      <c r="D640">
        <v>2</v>
      </c>
      <c r="E640">
        <v>2</v>
      </c>
      <c r="F640">
        <v>2</v>
      </c>
      <c r="G640">
        <v>2.5</v>
      </c>
    </row>
    <row r="641" spans="1:7" x14ac:dyDescent="0.25">
      <c r="A641">
        <v>4422</v>
      </c>
      <c r="B641">
        <v>1</v>
      </c>
      <c r="C641">
        <v>1</v>
      </c>
      <c r="D641">
        <v>1</v>
      </c>
      <c r="E641">
        <v>1</v>
      </c>
      <c r="F641">
        <v>3</v>
      </c>
      <c r="G641">
        <v>1</v>
      </c>
    </row>
    <row r="642" spans="1:7" x14ac:dyDescent="0.25">
      <c r="A642">
        <v>4424</v>
      </c>
      <c r="B642">
        <v>3</v>
      </c>
      <c r="C642">
        <v>3</v>
      </c>
      <c r="D642">
        <v>2</v>
      </c>
      <c r="E642">
        <v>2</v>
      </c>
      <c r="F642">
        <v>3</v>
      </c>
      <c r="G642">
        <v>2.5</v>
      </c>
    </row>
    <row r="643" spans="1:7" x14ac:dyDescent="0.25">
      <c r="A643">
        <v>4425</v>
      </c>
      <c r="B643">
        <v>2</v>
      </c>
      <c r="C643">
        <v>3</v>
      </c>
      <c r="D643">
        <v>2</v>
      </c>
      <c r="E643">
        <v>2</v>
      </c>
      <c r="F643">
        <v>3</v>
      </c>
      <c r="G643">
        <v>2.25</v>
      </c>
    </row>
    <row r="644" spans="1:7" x14ac:dyDescent="0.25">
      <c r="A644">
        <v>4426</v>
      </c>
      <c r="B644">
        <v>2</v>
      </c>
      <c r="C644">
        <v>2</v>
      </c>
      <c r="D644">
        <v>3</v>
      </c>
      <c r="E644">
        <v>2</v>
      </c>
      <c r="F644">
        <v>3</v>
      </c>
      <c r="G644">
        <v>2.25</v>
      </c>
    </row>
    <row r="645" spans="1:7" x14ac:dyDescent="0.25">
      <c r="A645">
        <v>4427</v>
      </c>
      <c r="B645">
        <v>1</v>
      </c>
      <c r="C645">
        <v>2</v>
      </c>
      <c r="D645">
        <v>1</v>
      </c>
      <c r="E645">
        <v>2</v>
      </c>
      <c r="F645">
        <v>3</v>
      </c>
      <c r="G645">
        <v>1.5</v>
      </c>
    </row>
    <row r="646" spans="1:7" x14ac:dyDescent="0.25">
      <c r="A646">
        <v>4428</v>
      </c>
      <c r="B646">
        <v>4</v>
      </c>
      <c r="C646">
        <v>4</v>
      </c>
      <c r="D646">
        <v>4</v>
      </c>
      <c r="E646">
        <v>4</v>
      </c>
      <c r="F646">
        <v>3</v>
      </c>
      <c r="G646">
        <v>4</v>
      </c>
    </row>
    <row r="647" spans="1:7" x14ac:dyDescent="0.25">
      <c r="A647">
        <v>4429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</row>
    <row r="648" spans="1:7" x14ac:dyDescent="0.25">
      <c r="A648">
        <v>4432</v>
      </c>
      <c r="B648">
        <v>2</v>
      </c>
      <c r="C648">
        <v>3</v>
      </c>
      <c r="D648">
        <v>2</v>
      </c>
      <c r="E648">
        <v>1</v>
      </c>
      <c r="F648">
        <v>2</v>
      </c>
      <c r="G648">
        <v>2</v>
      </c>
    </row>
    <row r="649" spans="1:7" x14ac:dyDescent="0.25">
      <c r="A649">
        <v>4433</v>
      </c>
      <c r="B649">
        <v>4</v>
      </c>
      <c r="C649">
        <v>4</v>
      </c>
      <c r="D649">
        <v>4</v>
      </c>
      <c r="E649">
        <v>4</v>
      </c>
      <c r="F649">
        <v>3</v>
      </c>
      <c r="G649">
        <v>4</v>
      </c>
    </row>
    <row r="650" spans="1:7" x14ac:dyDescent="0.25">
      <c r="A650">
        <v>4435</v>
      </c>
      <c r="B650">
        <v>4</v>
      </c>
      <c r="C650">
        <v>3</v>
      </c>
      <c r="D650">
        <v>2</v>
      </c>
      <c r="E650">
        <v>2</v>
      </c>
      <c r="F650">
        <v>3</v>
      </c>
      <c r="G650">
        <v>2.75</v>
      </c>
    </row>
    <row r="651" spans="1:7" x14ac:dyDescent="0.25">
      <c r="A651">
        <v>4437</v>
      </c>
      <c r="B651">
        <v>1</v>
      </c>
      <c r="C651">
        <v>2</v>
      </c>
      <c r="D651">
        <v>1</v>
      </c>
      <c r="E651">
        <v>1</v>
      </c>
      <c r="F651">
        <v>3</v>
      </c>
      <c r="G651">
        <v>1.25</v>
      </c>
    </row>
    <row r="652" spans="1:7" x14ac:dyDescent="0.25">
      <c r="A652">
        <v>4438</v>
      </c>
      <c r="B652">
        <v>4</v>
      </c>
      <c r="C652">
        <v>3</v>
      </c>
      <c r="D652">
        <v>3</v>
      </c>
      <c r="E652">
        <v>4</v>
      </c>
      <c r="F652">
        <v>3</v>
      </c>
      <c r="G652">
        <v>3.5</v>
      </c>
    </row>
    <row r="653" spans="1:7" x14ac:dyDescent="0.25">
      <c r="A653">
        <v>4439</v>
      </c>
      <c r="B653">
        <v>1</v>
      </c>
      <c r="C653">
        <v>2</v>
      </c>
      <c r="D653">
        <v>1</v>
      </c>
      <c r="E653">
        <v>1</v>
      </c>
      <c r="F653">
        <v>2</v>
      </c>
      <c r="G653">
        <v>1.25</v>
      </c>
    </row>
    <row r="654" spans="1:7" x14ac:dyDescent="0.25">
      <c r="A654">
        <v>4442</v>
      </c>
      <c r="B654">
        <v>3</v>
      </c>
      <c r="C654">
        <v>3</v>
      </c>
      <c r="D654">
        <v>3</v>
      </c>
      <c r="E654">
        <v>4</v>
      </c>
      <c r="F654">
        <v>2</v>
      </c>
      <c r="G654">
        <v>3.25</v>
      </c>
    </row>
    <row r="655" spans="1:7" x14ac:dyDescent="0.25">
      <c r="A655">
        <v>4443</v>
      </c>
      <c r="B655">
        <v>3</v>
      </c>
      <c r="C655">
        <v>2</v>
      </c>
      <c r="D655">
        <v>1</v>
      </c>
      <c r="E655">
        <v>1</v>
      </c>
      <c r="F655">
        <v>3</v>
      </c>
      <c r="G655">
        <v>1.75</v>
      </c>
    </row>
    <row r="656" spans="1:7" x14ac:dyDescent="0.25">
      <c r="A656">
        <v>4444</v>
      </c>
      <c r="B656">
        <v>1</v>
      </c>
      <c r="C656">
        <v>2</v>
      </c>
      <c r="D656">
        <v>1</v>
      </c>
      <c r="E656">
        <v>1</v>
      </c>
      <c r="F656">
        <v>3</v>
      </c>
      <c r="G656">
        <v>1.25</v>
      </c>
    </row>
    <row r="657" spans="1:7" x14ac:dyDescent="0.25">
      <c r="A657">
        <v>4445</v>
      </c>
      <c r="B657">
        <v>1</v>
      </c>
      <c r="C657">
        <v>3</v>
      </c>
      <c r="D657">
        <v>2</v>
      </c>
      <c r="E657">
        <v>3</v>
      </c>
      <c r="F657">
        <v>3</v>
      </c>
      <c r="G657">
        <v>2.25</v>
      </c>
    </row>
    <row r="658" spans="1:7" x14ac:dyDescent="0.25">
      <c r="A658">
        <v>4446</v>
      </c>
      <c r="B658">
        <v>2</v>
      </c>
      <c r="C658">
        <v>0</v>
      </c>
      <c r="D658">
        <v>2</v>
      </c>
      <c r="E658">
        <v>2</v>
      </c>
      <c r="F658">
        <v>2</v>
      </c>
      <c r="G658">
        <v>1.5</v>
      </c>
    </row>
    <row r="659" spans="1:7" x14ac:dyDescent="0.25">
      <c r="A659">
        <v>4447</v>
      </c>
      <c r="B659">
        <v>2</v>
      </c>
      <c r="C659">
        <v>2</v>
      </c>
      <c r="D659">
        <v>2</v>
      </c>
      <c r="E659">
        <v>1</v>
      </c>
      <c r="F659">
        <v>3</v>
      </c>
      <c r="G659">
        <v>1.75</v>
      </c>
    </row>
    <row r="660" spans="1:7" x14ac:dyDescent="0.25">
      <c r="A660">
        <v>4448</v>
      </c>
      <c r="B660">
        <v>3</v>
      </c>
      <c r="C660">
        <v>1</v>
      </c>
      <c r="D660">
        <v>2</v>
      </c>
      <c r="E660">
        <v>2</v>
      </c>
      <c r="F660">
        <v>3</v>
      </c>
      <c r="G660">
        <v>2</v>
      </c>
    </row>
    <row r="661" spans="1:7" x14ac:dyDescent="0.25">
      <c r="A661">
        <v>4450</v>
      </c>
      <c r="B661">
        <v>2</v>
      </c>
      <c r="C661">
        <v>1</v>
      </c>
      <c r="D661">
        <v>1</v>
      </c>
      <c r="E661">
        <v>1</v>
      </c>
      <c r="F661">
        <v>3</v>
      </c>
      <c r="G661">
        <v>1.25</v>
      </c>
    </row>
    <row r="662" spans="1:7" x14ac:dyDescent="0.25">
      <c r="A662">
        <v>4451</v>
      </c>
      <c r="B662">
        <v>2</v>
      </c>
      <c r="C662">
        <v>2</v>
      </c>
      <c r="D662">
        <v>1</v>
      </c>
      <c r="E662">
        <v>1</v>
      </c>
      <c r="F662">
        <v>3</v>
      </c>
      <c r="G662">
        <v>1.5</v>
      </c>
    </row>
    <row r="663" spans="1:7" x14ac:dyDescent="0.25">
      <c r="A663">
        <v>4452</v>
      </c>
      <c r="B663">
        <v>3</v>
      </c>
      <c r="C663">
        <v>2</v>
      </c>
      <c r="D663">
        <v>2</v>
      </c>
      <c r="E663">
        <v>1</v>
      </c>
      <c r="F663">
        <v>3</v>
      </c>
      <c r="G663">
        <v>2</v>
      </c>
    </row>
    <row r="664" spans="1:7" x14ac:dyDescent="0.25">
      <c r="A664">
        <v>4456</v>
      </c>
      <c r="B664">
        <v>2</v>
      </c>
      <c r="C664">
        <v>2</v>
      </c>
      <c r="D664">
        <v>1</v>
      </c>
      <c r="E664">
        <v>1</v>
      </c>
      <c r="F664">
        <v>3</v>
      </c>
      <c r="G664">
        <v>1.5</v>
      </c>
    </row>
    <row r="665" spans="1:7" x14ac:dyDescent="0.25">
      <c r="A665">
        <v>4458</v>
      </c>
      <c r="B665">
        <v>3</v>
      </c>
      <c r="C665">
        <v>2</v>
      </c>
      <c r="D665">
        <v>2</v>
      </c>
      <c r="E665">
        <v>1</v>
      </c>
      <c r="F665">
        <v>2</v>
      </c>
      <c r="G665">
        <v>2</v>
      </c>
    </row>
    <row r="666" spans="1:7" x14ac:dyDescent="0.25">
      <c r="A666">
        <v>4459</v>
      </c>
      <c r="B666">
        <v>2</v>
      </c>
      <c r="C666">
        <v>2</v>
      </c>
      <c r="D666">
        <v>3</v>
      </c>
      <c r="E666">
        <v>2</v>
      </c>
      <c r="F666">
        <v>2</v>
      </c>
      <c r="G666">
        <v>2.25</v>
      </c>
    </row>
    <row r="667" spans="1:7" x14ac:dyDescent="0.25">
      <c r="A667">
        <v>4463</v>
      </c>
      <c r="B667">
        <v>1</v>
      </c>
      <c r="C667">
        <v>1</v>
      </c>
      <c r="D667">
        <v>1</v>
      </c>
      <c r="E667">
        <v>1</v>
      </c>
      <c r="F667">
        <v>2</v>
      </c>
      <c r="G667">
        <v>1</v>
      </c>
    </row>
    <row r="668" spans="1:7" x14ac:dyDescent="0.25">
      <c r="A668">
        <v>4464</v>
      </c>
      <c r="B668">
        <v>2</v>
      </c>
      <c r="C668">
        <v>3</v>
      </c>
      <c r="D668">
        <v>2</v>
      </c>
      <c r="E668">
        <v>1</v>
      </c>
      <c r="F668">
        <v>3</v>
      </c>
      <c r="G668">
        <v>2</v>
      </c>
    </row>
    <row r="669" spans="1:7" x14ac:dyDescent="0.25">
      <c r="A669">
        <v>4465</v>
      </c>
      <c r="B669">
        <v>1</v>
      </c>
      <c r="C669">
        <v>1</v>
      </c>
      <c r="D669">
        <v>1</v>
      </c>
      <c r="E669">
        <v>1</v>
      </c>
      <c r="F669">
        <v>3</v>
      </c>
      <c r="G669">
        <v>1</v>
      </c>
    </row>
    <row r="670" spans="1:7" x14ac:dyDescent="0.25">
      <c r="A670">
        <v>4467</v>
      </c>
      <c r="B670">
        <v>3</v>
      </c>
      <c r="C670">
        <v>3</v>
      </c>
      <c r="D670">
        <v>2</v>
      </c>
      <c r="E670">
        <v>2</v>
      </c>
      <c r="F670">
        <v>3</v>
      </c>
      <c r="G670">
        <v>2.5</v>
      </c>
    </row>
    <row r="671" spans="1:7" x14ac:dyDescent="0.25">
      <c r="A671">
        <v>4468</v>
      </c>
      <c r="B671">
        <v>3</v>
      </c>
      <c r="C671">
        <v>3</v>
      </c>
      <c r="D671">
        <v>1</v>
      </c>
      <c r="E671">
        <v>1</v>
      </c>
      <c r="F671">
        <v>2</v>
      </c>
      <c r="G671">
        <v>2</v>
      </c>
    </row>
    <row r="672" spans="1:7" x14ac:dyDescent="0.25">
      <c r="A672">
        <v>4469</v>
      </c>
      <c r="B672">
        <v>3</v>
      </c>
      <c r="C672">
        <v>2</v>
      </c>
      <c r="D672">
        <v>1</v>
      </c>
      <c r="E672">
        <v>1</v>
      </c>
      <c r="F672">
        <v>3</v>
      </c>
      <c r="G672">
        <v>1.75</v>
      </c>
    </row>
    <row r="673" spans="1:7" x14ac:dyDescent="0.25">
      <c r="A673">
        <v>4470</v>
      </c>
      <c r="B673">
        <v>2</v>
      </c>
      <c r="C673">
        <v>2</v>
      </c>
      <c r="D673">
        <v>1</v>
      </c>
      <c r="E673">
        <v>1</v>
      </c>
      <c r="F673">
        <v>3</v>
      </c>
      <c r="G673">
        <v>1.5</v>
      </c>
    </row>
    <row r="674" spans="1:7" x14ac:dyDescent="0.25">
      <c r="A674">
        <v>4471</v>
      </c>
      <c r="B674">
        <v>1</v>
      </c>
      <c r="C674">
        <v>2</v>
      </c>
      <c r="D674">
        <v>1</v>
      </c>
      <c r="E674">
        <v>1</v>
      </c>
      <c r="F674">
        <v>3</v>
      </c>
      <c r="G674">
        <v>1.25</v>
      </c>
    </row>
    <row r="675" spans="1:7" x14ac:dyDescent="0.25">
      <c r="A675">
        <v>4472</v>
      </c>
      <c r="B675">
        <v>1</v>
      </c>
      <c r="C675">
        <v>1</v>
      </c>
      <c r="D675">
        <v>1</v>
      </c>
      <c r="E675">
        <v>1</v>
      </c>
      <c r="F675">
        <v>2</v>
      </c>
      <c r="G675">
        <v>1</v>
      </c>
    </row>
    <row r="676" spans="1:7" x14ac:dyDescent="0.25">
      <c r="A676">
        <v>4474</v>
      </c>
      <c r="B676">
        <v>2</v>
      </c>
      <c r="C676">
        <v>1</v>
      </c>
      <c r="D676">
        <v>2</v>
      </c>
      <c r="E676">
        <v>1</v>
      </c>
      <c r="F676">
        <v>4</v>
      </c>
      <c r="G676">
        <v>1.5</v>
      </c>
    </row>
    <row r="677" spans="1:7" x14ac:dyDescent="0.25">
      <c r="A677">
        <v>4477</v>
      </c>
      <c r="B677">
        <v>1</v>
      </c>
      <c r="C677">
        <v>2</v>
      </c>
      <c r="D677">
        <v>2</v>
      </c>
      <c r="E677">
        <v>2</v>
      </c>
      <c r="F677">
        <v>3</v>
      </c>
      <c r="G677">
        <v>1.75</v>
      </c>
    </row>
    <row r="678" spans="1:7" x14ac:dyDescent="0.25">
      <c r="A678">
        <v>4478</v>
      </c>
      <c r="B678">
        <v>0</v>
      </c>
      <c r="C678">
        <v>1</v>
      </c>
      <c r="D678">
        <v>1</v>
      </c>
      <c r="E678">
        <v>1</v>
      </c>
      <c r="F678">
        <v>3</v>
      </c>
      <c r="G678">
        <v>0.75</v>
      </c>
    </row>
    <row r="679" spans="1:7" x14ac:dyDescent="0.25">
      <c r="A679">
        <v>4481</v>
      </c>
      <c r="B679">
        <v>3</v>
      </c>
      <c r="C679">
        <v>3</v>
      </c>
      <c r="D679">
        <v>3</v>
      </c>
      <c r="E679">
        <v>3</v>
      </c>
      <c r="F679">
        <v>3</v>
      </c>
      <c r="G679">
        <v>3</v>
      </c>
    </row>
    <row r="680" spans="1:7" x14ac:dyDescent="0.25">
      <c r="A680">
        <v>4482</v>
      </c>
      <c r="B680">
        <v>2</v>
      </c>
      <c r="C680">
        <v>3</v>
      </c>
      <c r="D680">
        <v>1</v>
      </c>
      <c r="E680">
        <v>1</v>
      </c>
      <c r="F680">
        <v>3</v>
      </c>
      <c r="G680">
        <v>1.75</v>
      </c>
    </row>
    <row r="681" spans="1:7" x14ac:dyDescent="0.25">
      <c r="A681">
        <v>4483</v>
      </c>
      <c r="B681">
        <v>2</v>
      </c>
      <c r="C681">
        <v>3</v>
      </c>
      <c r="D681">
        <v>2</v>
      </c>
      <c r="E681">
        <v>2</v>
      </c>
      <c r="F681">
        <v>3</v>
      </c>
      <c r="G681">
        <v>2.25</v>
      </c>
    </row>
    <row r="682" spans="1:7" x14ac:dyDescent="0.25">
      <c r="A682">
        <v>4484</v>
      </c>
      <c r="B682">
        <v>2</v>
      </c>
      <c r="C682">
        <v>0</v>
      </c>
      <c r="D682">
        <v>1</v>
      </c>
      <c r="E682">
        <v>3</v>
      </c>
      <c r="F682">
        <v>3</v>
      </c>
      <c r="G682">
        <v>1.5</v>
      </c>
    </row>
    <row r="683" spans="1:7" x14ac:dyDescent="0.25">
      <c r="A683">
        <v>4485</v>
      </c>
      <c r="B683">
        <v>3</v>
      </c>
      <c r="C683">
        <v>3</v>
      </c>
      <c r="D683">
        <v>1</v>
      </c>
      <c r="E683">
        <v>1</v>
      </c>
      <c r="F683">
        <v>2</v>
      </c>
      <c r="G683">
        <v>2</v>
      </c>
    </row>
    <row r="684" spans="1:7" x14ac:dyDescent="0.25">
      <c r="A684">
        <v>4488</v>
      </c>
      <c r="B684">
        <v>3</v>
      </c>
      <c r="C684">
        <v>3</v>
      </c>
      <c r="D684">
        <v>1</v>
      </c>
      <c r="E684">
        <v>2</v>
      </c>
      <c r="F684">
        <v>3</v>
      </c>
      <c r="G684">
        <v>2.25</v>
      </c>
    </row>
    <row r="685" spans="1:7" x14ac:dyDescent="0.25">
      <c r="A685">
        <v>4489</v>
      </c>
      <c r="B685">
        <v>2</v>
      </c>
      <c r="C685">
        <v>2</v>
      </c>
      <c r="D685">
        <v>0</v>
      </c>
      <c r="E685">
        <v>1</v>
      </c>
      <c r="F685">
        <v>2</v>
      </c>
      <c r="G685">
        <v>1.25</v>
      </c>
    </row>
    <row r="686" spans="1:7" x14ac:dyDescent="0.25">
      <c r="A686">
        <v>4490</v>
      </c>
      <c r="B686">
        <v>2</v>
      </c>
      <c r="C686">
        <v>1</v>
      </c>
      <c r="D686">
        <v>1</v>
      </c>
      <c r="E686">
        <v>1</v>
      </c>
      <c r="F686">
        <v>3</v>
      </c>
      <c r="G686">
        <v>1.25</v>
      </c>
    </row>
    <row r="687" spans="1:7" x14ac:dyDescent="0.25">
      <c r="A687">
        <v>4491</v>
      </c>
      <c r="B687">
        <v>3</v>
      </c>
      <c r="C687">
        <v>3</v>
      </c>
      <c r="D687">
        <v>2</v>
      </c>
      <c r="E687">
        <v>2</v>
      </c>
      <c r="F687">
        <v>3</v>
      </c>
      <c r="G687">
        <v>2.5</v>
      </c>
    </row>
    <row r="688" spans="1:7" x14ac:dyDescent="0.25">
      <c r="A688">
        <v>4492</v>
      </c>
      <c r="B688">
        <v>1</v>
      </c>
      <c r="C688">
        <v>1</v>
      </c>
      <c r="D688">
        <v>1</v>
      </c>
      <c r="E688">
        <v>0</v>
      </c>
      <c r="F688">
        <v>3</v>
      </c>
      <c r="G688">
        <v>0.75</v>
      </c>
    </row>
    <row r="689" spans="1:7" x14ac:dyDescent="0.25">
      <c r="A689">
        <v>4493</v>
      </c>
      <c r="B689">
        <v>1</v>
      </c>
      <c r="C689">
        <v>1</v>
      </c>
      <c r="D689">
        <v>1</v>
      </c>
      <c r="E689">
        <v>3</v>
      </c>
      <c r="F689">
        <v>3</v>
      </c>
      <c r="G689">
        <v>1.5</v>
      </c>
    </row>
    <row r="690" spans="1:7" x14ac:dyDescent="0.25">
      <c r="A690">
        <v>4498</v>
      </c>
      <c r="B690">
        <v>1</v>
      </c>
      <c r="C690">
        <v>1</v>
      </c>
      <c r="D690">
        <v>1</v>
      </c>
      <c r="E690">
        <v>1</v>
      </c>
      <c r="F690">
        <v>3</v>
      </c>
      <c r="G690">
        <v>1</v>
      </c>
    </row>
    <row r="691" spans="1:7" x14ac:dyDescent="0.25">
      <c r="A691">
        <v>4499</v>
      </c>
      <c r="B691">
        <v>4</v>
      </c>
      <c r="C691">
        <v>4</v>
      </c>
      <c r="D691">
        <v>3</v>
      </c>
      <c r="E691">
        <v>3</v>
      </c>
      <c r="F691">
        <v>3</v>
      </c>
      <c r="G691">
        <v>3.5</v>
      </c>
    </row>
    <row r="692" spans="1:7" x14ac:dyDescent="0.25">
      <c r="A692">
        <v>4500</v>
      </c>
      <c r="B692">
        <v>3</v>
      </c>
      <c r="C692">
        <v>3</v>
      </c>
      <c r="D692">
        <v>2</v>
      </c>
      <c r="E692">
        <v>2</v>
      </c>
      <c r="F692">
        <v>4</v>
      </c>
      <c r="G692">
        <v>2.5</v>
      </c>
    </row>
    <row r="693" spans="1:7" x14ac:dyDescent="0.25">
      <c r="A693">
        <v>4502</v>
      </c>
      <c r="B693">
        <v>3</v>
      </c>
      <c r="C693">
        <v>2</v>
      </c>
      <c r="D693">
        <v>3</v>
      </c>
      <c r="E693">
        <v>3</v>
      </c>
      <c r="F693">
        <v>3</v>
      </c>
      <c r="G693">
        <v>2.75</v>
      </c>
    </row>
    <row r="694" spans="1:7" x14ac:dyDescent="0.25">
      <c r="A694">
        <v>4506</v>
      </c>
      <c r="B694">
        <v>1</v>
      </c>
      <c r="C694">
        <v>1</v>
      </c>
      <c r="D694">
        <v>1</v>
      </c>
      <c r="E694">
        <v>1</v>
      </c>
      <c r="F694">
        <v>3</v>
      </c>
      <c r="G694">
        <v>1</v>
      </c>
    </row>
    <row r="695" spans="1:7" x14ac:dyDescent="0.25">
      <c r="A695">
        <v>4507</v>
      </c>
      <c r="B695">
        <v>1</v>
      </c>
      <c r="C695">
        <v>1</v>
      </c>
      <c r="D695">
        <v>0</v>
      </c>
      <c r="E695">
        <v>1</v>
      </c>
      <c r="F695">
        <v>2</v>
      </c>
      <c r="G695">
        <v>0.75</v>
      </c>
    </row>
    <row r="696" spans="1:7" x14ac:dyDescent="0.25">
      <c r="A696">
        <v>4508</v>
      </c>
      <c r="B696">
        <v>4</v>
      </c>
      <c r="C696">
        <v>4</v>
      </c>
      <c r="D696">
        <v>3</v>
      </c>
      <c r="E696">
        <v>3</v>
      </c>
      <c r="F696">
        <v>2</v>
      </c>
      <c r="G696">
        <v>3.5</v>
      </c>
    </row>
    <row r="697" spans="1:7" x14ac:dyDescent="0.25">
      <c r="A697">
        <v>4509</v>
      </c>
      <c r="B697">
        <v>1</v>
      </c>
      <c r="C697">
        <v>1</v>
      </c>
      <c r="D697">
        <v>1</v>
      </c>
      <c r="E697">
        <v>1</v>
      </c>
      <c r="F697">
        <v>3</v>
      </c>
      <c r="G697">
        <v>1</v>
      </c>
    </row>
    <row r="698" spans="1:7" x14ac:dyDescent="0.25">
      <c r="A698">
        <v>4510</v>
      </c>
      <c r="B698">
        <v>1</v>
      </c>
      <c r="C698">
        <v>1</v>
      </c>
      <c r="D698">
        <v>1</v>
      </c>
      <c r="E698">
        <v>2</v>
      </c>
      <c r="F698">
        <v>2</v>
      </c>
      <c r="G698">
        <v>1.25</v>
      </c>
    </row>
    <row r="699" spans="1:7" x14ac:dyDescent="0.25">
      <c r="A699">
        <v>4512</v>
      </c>
      <c r="B699">
        <v>2</v>
      </c>
      <c r="C699">
        <v>2</v>
      </c>
      <c r="D699">
        <v>2</v>
      </c>
      <c r="E699">
        <v>1</v>
      </c>
      <c r="F699">
        <v>3</v>
      </c>
      <c r="G699">
        <v>1.75</v>
      </c>
    </row>
    <row r="700" spans="1:7" x14ac:dyDescent="0.25">
      <c r="A700">
        <v>4513</v>
      </c>
      <c r="B700">
        <v>3</v>
      </c>
      <c r="C700">
        <v>4</v>
      </c>
      <c r="D700">
        <v>3</v>
      </c>
      <c r="E700">
        <v>2</v>
      </c>
      <c r="F700">
        <v>3</v>
      </c>
      <c r="G700">
        <v>3</v>
      </c>
    </row>
    <row r="701" spans="1:7" x14ac:dyDescent="0.25">
      <c r="A701">
        <v>4514</v>
      </c>
      <c r="B701">
        <v>1</v>
      </c>
      <c r="C701">
        <v>1</v>
      </c>
      <c r="D701">
        <v>1</v>
      </c>
      <c r="E701">
        <v>1</v>
      </c>
      <c r="F701">
        <v>2</v>
      </c>
      <c r="G701">
        <v>1</v>
      </c>
    </row>
    <row r="702" spans="1:7" x14ac:dyDescent="0.25">
      <c r="A702">
        <v>4515</v>
      </c>
      <c r="B702">
        <v>3</v>
      </c>
      <c r="C702">
        <v>3</v>
      </c>
      <c r="D702">
        <v>2</v>
      </c>
      <c r="E702">
        <v>3</v>
      </c>
      <c r="F702">
        <v>3</v>
      </c>
      <c r="G702">
        <v>2.75</v>
      </c>
    </row>
    <row r="703" spans="1:7" x14ac:dyDescent="0.25">
      <c r="A703">
        <v>4516</v>
      </c>
      <c r="B703">
        <v>2</v>
      </c>
      <c r="C703">
        <v>2</v>
      </c>
      <c r="D703">
        <v>1</v>
      </c>
      <c r="E703">
        <v>1</v>
      </c>
      <c r="F703">
        <v>3</v>
      </c>
      <c r="G703">
        <v>1.5</v>
      </c>
    </row>
    <row r="704" spans="1:7" x14ac:dyDescent="0.25">
      <c r="A704">
        <v>4517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1.25</v>
      </c>
    </row>
    <row r="705" spans="1:7" x14ac:dyDescent="0.25">
      <c r="A705">
        <v>4518</v>
      </c>
      <c r="B705">
        <v>1</v>
      </c>
      <c r="C705">
        <v>1</v>
      </c>
      <c r="D705">
        <v>1</v>
      </c>
      <c r="E705">
        <v>1</v>
      </c>
      <c r="F705">
        <v>2</v>
      </c>
      <c r="G705">
        <v>1</v>
      </c>
    </row>
    <row r="706" spans="1:7" x14ac:dyDescent="0.25">
      <c r="A706">
        <v>4520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1.25</v>
      </c>
    </row>
    <row r="707" spans="1:7" x14ac:dyDescent="0.25">
      <c r="A707">
        <v>4523</v>
      </c>
      <c r="B707">
        <v>1</v>
      </c>
      <c r="C707">
        <v>1</v>
      </c>
      <c r="D707">
        <v>0</v>
      </c>
      <c r="E707">
        <v>1</v>
      </c>
      <c r="F707">
        <v>3</v>
      </c>
      <c r="G707">
        <v>0.75</v>
      </c>
    </row>
    <row r="708" spans="1:7" x14ac:dyDescent="0.25">
      <c r="A708">
        <v>4524</v>
      </c>
      <c r="B708">
        <v>1</v>
      </c>
      <c r="C708">
        <v>2</v>
      </c>
      <c r="D708">
        <v>1</v>
      </c>
      <c r="E708">
        <v>1</v>
      </c>
      <c r="F708">
        <v>3</v>
      </c>
      <c r="G708">
        <v>1.25</v>
      </c>
    </row>
    <row r="709" spans="1:7" x14ac:dyDescent="0.25">
      <c r="A709">
        <v>4525</v>
      </c>
      <c r="B709">
        <v>3</v>
      </c>
      <c r="C709">
        <v>2</v>
      </c>
      <c r="D709">
        <v>1</v>
      </c>
      <c r="E709">
        <v>2</v>
      </c>
      <c r="F709">
        <v>2</v>
      </c>
      <c r="G709">
        <v>2</v>
      </c>
    </row>
    <row r="710" spans="1:7" x14ac:dyDescent="0.25">
      <c r="A710">
        <v>4528</v>
      </c>
      <c r="B710">
        <v>3</v>
      </c>
      <c r="C710">
        <v>3</v>
      </c>
      <c r="D710">
        <v>2</v>
      </c>
      <c r="E710">
        <v>3</v>
      </c>
      <c r="F710">
        <v>2</v>
      </c>
      <c r="G710">
        <v>2.75</v>
      </c>
    </row>
    <row r="711" spans="1:7" x14ac:dyDescent="0.25">
      <c r="A711">
        <v>4531</v>
      </c>
      <c r="B711">
        <v>1</v>
      </c>
      <c r="C711">
        <v>2</v>
      </c>
      <c r="D711">
        <v>1</v>
      </c>
      <c r="E711">
        <v>1</v>
      </c>
      <c r="F711">
        <v>2</v>
      </c>
      <c r="G711">
        <v>1.25</v>
      </c>
    </row>
    <row r="712" spans="1:7" x14ac:dyDescent="0.25">
      <c r="A712">
        <v>4532</v>
      </c>
      <c r="B712">
        <v>2</v>
      </c>
      <c r="C712">
        <v>1</v>
      </c>
      <c r="D712">
        <v>2</v>
      </c>
      <c r="E712">
        <v>3</v>
      </c>
      <c r="F712">
        <v>3</v>
      </c>
      <c r="G712">
        <v>2</v>
      </c>
    </row>
    <row r="713" spans="1:7" x14ac:dyDescent="0.25">
      <c r="A713">
        <v>4533</v>
      </c>
      <c r="B713">
        <v>1</v>
      </c>
      <c r="C713">
        <v>1</v>
      </c>
      <c r="D713">
        <v>1</v>
      </c>
      <c r="E713">
        <v>1</v>
      </c>
      <c r="F713">
        <v>2</v>
      </c>
      <c r="G713">
        <v>1</v>
      </c>
    </row>
    <row r="714" spans="1:7" x14ac:dyDescent="0.25">
      <c r="A714">
        <v>4534</v>
      </c>
      <c r="B714">
        <v>1</v>
      </c>
      <c r="C714">
        <v>1</v>
      </c>
      <c r="D714">
        <v>1</v>
      </c>
      <c r="E714">
        <v>1</v>
      </c>
      <c r="F714">
        <v>4</v>
      </c>
      <c r="G714">
        <v>1</v>
      </c>
    </row>
    <row r="715" spans="1:7" x14ac:dyDescent="0.25">
      <c r="A715">
        <v>4535</v>
      </c>
      <c r="B715">
        <v>3</v>
      </c>
      <c r="C715">
        <v>3</v>
      </c>
      <c r="D715">
        <v>2</v>
      </c>
      <c r="E715">
        <v>2</v>
      </c>
      <c r="F715">
        <v>3</v>
      </c>
      <c r="G715">
        <v>2.5</v>
      </c>
    </row>
    <row r="716" spans="1:7" x14ac:dyDescent="0.25">
      <c r="A716">
        <v>4536</v>
      </c>
      <c r="B716">
        <v>3</v>
      </c>
      <c r="C716">
        <v>3</v>
      </c>
      <c r="D716">
        <v>2</v>
      </c>
      <c r="E716">
        <v>2</v>
      </c>
      <c r="F716">
        <v>3</v>
      </c>
      <c r="G716">
        <v>2.5</v>
      </c>
    </row>
    <row r="717" spans="1:7" x14ac:dyDescent="0.25">
      <c r="A717">
        <v>4538</v>
      </c>
      <c r="B717">
        <v>4</v>
      </c>
      <c r="C717">
        <v>4</v>
      </c>
      <c r="D717">
        <v>0</v>
      </c>
      <c r="E717">
        <v>4</v>
      </c>
      <c r="F717">
        <v>3</v>
      </c>
      <c r="G717">
        <v>3</v>
      </c>
    </row>
    <row r="718" spans="1:7" x14ac:dyDescent="0.25">
      <c r="A718">
        <v>4541</v>
      </c>
      <c r="B718">
        <v>2</v>
      </c>
      <c r="C718">
        <v>2</v>
      </c>
      <c r="D718">
        <v>2</v>
      </c>
      <c r="E718">
        <v>2</v>
      </c>
      <c r="F718">
        <v>3</v>
      </c>
      <c r="G718">
        <v>2</v>
      </c>
    </row>
    <row r="719" spans="1:7" x14ac:dyDescent="0.25">
      <c r="A719">
        <v>4542</v>
      </c>
      <c r="B719">
        <v>1</v>
      </c>
      <c r="C719">
        <v>1</v>
      </c>
      <c r="D719">
        <v>2</v>
      </c>
      <c r="E719">
        <v>1</v>
      </c>
      <c r="F719">
        <v>3</v>
      </c>
      <c r="G719">
        <v>1.25</v>
      </c>
    </row>
    <row r="720" spans="1:7" x14ac:dyDescent="0.25">
      <c r="A720">
        <v>4544</v>
      </c>
      <c r="B720">
        <v>2</v>
      </c>
      <c r="C720">
        <v>3</v>
      </c>
      <c r="D720">
        <v>1</v>
      </c>
      <c r="E720">
        <v>1</v>
      </c>
      <c r="F720">
        <v>3</v>
      </c>
      <c r="G720">
        <v>1.75</v>
      </c>
    </row>
    <row r="721" spans="1:7" x14ac:dyDescent="0.25">
      <c r="A721">
        <v>4546</v>
      </c>
      <c r="B721">
        <v>2</v>
      </c>
      <c r="C721">
        <v>3</v>
      </c>
      <c r="D721">
        <v>1</v>
      </c>
      <c r="E721">
        <v>1</v>
      </c>
      <c r="F721">
        <v>3</v>
      </c>
      <c r="G721">
        <v>1.75</v>
      </c>
    </row>
    <row r="722" spans="1:7" x14ac:dyDescent="0.25">
      <c r="A722">
        <v>4547</v>
      </c>
      <c r="B722">
        <v>3</v>
      </c>
      <c r="C722">
        <v>2</v>
      </c>
      <c r="D722">
        <v>2</v>
      </c>
      <c r="E722">
        <v>1</v>
      </c>
      <c r="F722">
        <v>3</v>
      </c>
      <c r="G722">
        <v>2</v>
      </c>
    </row>
    <row r="723" spans="1:7" x14ac:dyDescent="0.25">
      <c r="A723">
        <v>4550</v>
      </c>
      <c r="B723">
        <v>1</v>
      </c>
      <c r="C723">
        <v>1</v>
      </c>
      <c r="D723">
        <v>1</v>
      </c>
      <c r="E723">
        <v>1</v>
      </c>
      <c r="F723">
        <v>2</v>
      </c>
      <c r="G723">
        <v>1</v>
      </c>
    </row>
    <row r="724" spans="1:7" x14ac:dyDescent="0.25">
      <c r="A724">
        <v>4551</v>
      </c>
      <c r="B724">
        <v>2</v>
      </c>
      <c r="C724">
        <v>2</v>
      </c>
      <c r="D724">
        <v>1</v>
      </c>
      <c r="E724">
        <v>1</v>
      </c>
      <c r="F724">
        <v>2</v>
      </c>
      <c r="G724">
        <v>1.5</v>
      </c>
    </row>
    <row r="725" spans="1:7" x14ac:dyDescent="0.25">
      <c r="A725">
        <v>4552</v>
      </c>
      <c r="B725">
        <v>2</v>
      </c>
      <c r="C725">
        <v>2</v>
      </c>
      <c r="D725">
        <v>1</v>
      </c>
      <c r="E725">
        <v>1</v>
      </c>
      <c r="F725">
        <v>2</v>
      </c>
      <c r="G725">
        <v>1.5</v>
      </c>
    </row>
    <row r="726" spans="1:7" x14ac:dyDescent="0.25">
      <c r="A726">
        <v>4553</v>
      </c>
      <c r="B726">
        <v>1</v>
      </c>
      <c r="C726">
        <v>1</v>
      </c>
      <c r="D726">
        <v>1</v>
      </c>
      <c r="E726">
        <v>1</v>
      </c>
      <c r="F726">
        <v>3</v>
      </c>
      <c r="G726">
        <v>1</v>
      </c>
    </row>
    <row r="727" spans="1:7" x14ac:dyDescent="0.25">
      <c r="A727">
        <v>4554</v>
      </c>
      <c r="B727">
        <v>1</v>
      </c>
      <c r="C727">
        <v>1</v>
      </c>
      <c r="D727">
        <v>1</v>
      </c>
      <c r="E727">
        <v>1</v>
      </c>
      <c r="F727">
        <v>2</v>
      </c>
      <c r="G727">
        <v>1</v>
      </c>
    </row>
    <row r="728" spans="1:7" x14ac:dyDescent="0.25">
      <c r="A728">
        <v>4555</v>
      </c>
      <c r="B728">
        <v>2</v>
      </c>
      <c r="C728">
        <v>1</v>
      </c>
      <c r="D728">
        <v>1</v>
      </c>
      <c r="E728">
        <v>1</v>
      </c>
      <c r="F728">
        <v>3</v>
      </c>
      <c r="G728">
        <v>1.25</v>
      </c>
    </row>
    <row r="729" spans="1:7" x14ac:dyDescent="0.25">
      <c r="A729">
        <v>4556</v>
      </c>
      <c r="B729">
        <v>1</v>
      </c>
      <c r="C729">
        <v>1</v>
      </c>
      <c r="D729">
        <v>1</v>
      </c>
      <c r="E729">
        <v>1</v>
      </c>
      <c r="F729">
        <v>3</v>
      </c>
      <c r="G729">
        <v>1</v>
      </c>
    </row>
    <row r="730" spans="1:7" x14ac:dyDescent="0.25">
      <c r="A730">
        <v>4557</v>
      </c>
      <c r="B730">
        <v>3</v>
      </c>
      <c r="C730">
        <v>3</v>
      </c>
      <c r="D730">
        <v>3</v>
      </c>
      <c r="E730">
        <v>2</v>
      </c>
      <c r="F730">
        <v>3</v>
      </c>
      <c r="G730">
        <v>2.75</v>
      </c>
    </row>
    <row r="731" spans="1:7" x14ac:dyDescent="0.25">
      <c r="A731">
        <v>4558</v>
      </c>
      <c r="B731">
        <v>2</v>
      </c>
      <c r="C731">
        <v>2</v>
      </c>
      <c r="D731">
        <v>1</v>
      </c>
      <c r="E731">
        <v>2</v>
      </c>
      <c r="F731">
        <v>3</v>
      </c>
      <c r="G731">
        <v>1.75</v>
      </c>
    </row>
    <row r="732" spans="1:7" x14ac:dyDescent="0.25">
      <c r="A732">
        <v>4559</v>
      </c>
      <c r="B732">
        <v>3</v>
      </c>
      <c r="C732">
        <v>3</v>
      </c>
      <c r="D732">
        <v>2</v>
      </c>
      <c r="E732">
        <v>2</v>
      </c>
      <c r="F732">
        <v>2</v>
      </c>
      <c r="G732">
        <v>2.5</v>
      </c>
    </row>
    <row r="733" spans="1:7" x14ac:dyDescent="0.25">
      <c r="A733">
        <v>4560</v>
      </c>
      <c r="B733">
        <v>3</v>
      </c>
      <c r="C733">
        <v>2</v>
      </c>
      <c r="D733">
        <v>1</v>
      </c>
      <c r="E733">
        <v>1</v>
      </c>
      <c r="F733">
        <v>3</v>
      </c>
      <c r="G733">
        <v>1.75</v>
      </c>
    </row>
    <row r="734" spans="1:7" x14ac:dyDescent="0.25">
      <c r="A734">
        <v>4562</v>
      </c>
      <c r="B734">
        <v>1</v>
      </c>
      <c r="C734">
        <v>1</v>
      </c>
      <c r="D734">
        <v>1</v>
      </c>
      <c r="E734">
        <v>1</v>
      </c>
      <c r="F734">
        <v>2</v>
      </c>
      <c r="G734">
        <v>1</v>
      </c>
    </row>
    <row r="735" spans="1:7" x14ac:dyDescent="0.25">
      <c r="A735">
        <v>4567</v>
      </c>
      <c r="B735">
        <v>1</v>
      </c>
      <c r="C735">
        <v>1</v>
      </c>
      <c r="D735">
        <v>1</v>
      </c>
      <c r="E735">
        <v>1</v>
      </c>
      <c r="F735">
        <v>3</v>
      </c>
      <c r="G735">
        <v>1</v>
      </c>
    </row>
    <row r="736" spans="1:7" x14ac:dyDescent="0.25">
      <c r="A736">
        <v>4570</v>
      </c>
      <c r="B736">
        <v>1</v>
      </c>
      <c r="C736">
        <v>1</v>
      </c>
      <c r="D736">
        <v>2</v>
      </c>
      <c r="E736">
        <v>2</v>
      </c>
      <c r="F736">
        <v>4</v>
      </c>
      <c r="G736">
        <v>1.5</v>
      </c>
    </row>
    <row r="737" spans="1:7" x14ac:dyDescent="0.25">
      <c r="A737">
        <v>4571</v>
      </c>
      <c r="B737">
        <v>2</v>
      </c>
      <c r="C737">
        <v>1</v>
      </c>
      <c r="D737">
        <v>0</v>
      </c>
      <c r="E737">
        <v>1</v>
      </c>
      <c r="F737">
        <v>2</v>
      </c>
      <c r="G737">
        <v>1</v>
      </c>
    </row>
    <row r="738" spans="1:7" x14ac:dyDescent="0.25">
      <c r="A738">
        <v>4572</v>
      </c>
      <c r="B738">
        <v>2</v>
      </c>
      <c r="C738">
        <v>1</v>
      </c>
      <c r="D738">
        <v>2</v>
      </c>
      <c r="E738">
        <v>2</v>
      </c>
      <c r="F738">
        <v>3</v>
      </c>
      <c r="G738">
        <v>1.75</v>
      </c>
    </row>
    <row r="739" spans="1:7" x14ac:dyDescent="0.25">
      <c r="A739">
        <v>4575</v>
      </c>
      <c r="B739">
        <v>2</v>
      </c>
      <c r="C739">
        <v>1</v>
      </c>
      <c r="D739">
        <v>1</v>
      </c>
      <c r="E739">
        <v>2</v>
      </c>
      <c r="F739">
        <v>3</v>
      </c>
      <c r="G739">
        <v>1.5</v>
      </c>
    </row>
    <row r="740" spans="1:7" x14ac:dyDescent="0.25">
      <c r="A740">
        <v>4576</v>
      </c>
      <c r="B740">
        <v>2</v>
      </c>
      <c r="C740">
        <v>3</v>
      </c>
      <c r="D740">
        <v>0</v>
      </c>
      <c r="E740">
        <v>2</v>
      </c>
      <c r="F740">
        <v>3</v>
      </c>
      <c r="G740">
        <v>1.75</v>
      </c>
    </row>
    <row r="741" spans="1:7" x14ac:dyDescent="0.25">
      <c r="A741">
        <v>4577</v>
      </c>
      <c r="B741">
        <v>1</v>
      </c>
      <c r="C741">
        <v>1</v>
      </c>
      <c r="D741">
        <v>1</v>
      </c>
      <c r="E741">
        <v>1</v>
      </c>
      <c r="F741">
        <v>2</v>
      </c>
      <c r="G741">
        <v>1</v>
      </c>
    </row>
    <row r="742" spans="1:7" x14ac:dyDescent="0.25">
      <c r="A742">
        <v>4578</v>
      </c>
      <c r="B742">
        <v>2</v>
      </c>
      <c r="C742">
        <v>1</v>
      </c>
      <c r="D742">
        <v>1</v>
      </c>
      <c r="E742">
        <v>1</v>
      </c>
      <c r="F742">
        <v>3</v>
      </c>
      <c r="G742">
        <v>1.25</v>
      </c>
    </row>
    <row r="743" spans="1:7" x14ac:dyDescent="0.25">
      <c r="A743">
        <v>4579</v>
      </c>
      <c r="B743">
        <v>1</v>
      </c>
      <c r="C743">
        <v>1</v>
      </c>
      <c r="D743">
        <v>1</v>
      </c>
      <c r="E743">
        <v>1</v>
      </c>
      <c r="F743">
        <v>3</v>
      </c>
      <c r="G743">
        <v>1</v>
      </c>
    </row>
    <row r="744" spans="1:7" x14ac:dyDescent="0.25">
      <c r="A744">
        <v>4580</v>
      </c>
      <c r="B744">
        <v>1</v>
      </c>
      <c r="C744">
        <v>2</v>
      </c>
      <c r="D744">
        <v>1</v>
      </c>
      <c r="E744">
        <v>2</v>
      </c>
      <c r="F744">
        <v>3</v>
      </c>
      <c r="G744">
        <v>1.5</v>
      </c>
    </row>
    <row r="745" spans="1:7" x14ac:dyDescent="0.25">
      <c r="A745">
        <v>4581</v>
      </c>
      <c r="B745">
        <v>1</v>
      </c>
      <c r="C745">
        <v>2</v>
      </c>
      <c r="D745">
        <v>1</v>
      </c>
      <c r="E745">
        <v>1</v>
      </c>
      <c r="F745">
        <v>2</v>
      </c>
      <c r="G745">
        <v>1.25</v>
      </c>
    </row>
    <row r="746" spans="1:7" x14ac:dyDescent="0.25">
      <c r="A746">
        <v>4582</v>
      </c>
      <c r="B746">
        <v>2</v>
      </c>
      <c r="C746">
        <v>1</v>
      </c>
      <c r="D746">
        <v>1</v>
      </c>
      <c r="E746">
        <v>1</v>
      </c>
      <c r="F746">
        <v>2</v>
      </c>
      <c r="G746">
        <v>1.25</v>
      </c>
    </row>
    <row r="747" spans="1:7" x14ac:dyDescent="0.25">
      <c r="A747">
        <v>4584</v>
      </c>
      <c r="B747">
        <v>3</v>
      </c>
      <c r="C747">
        <v>3</v>
      </c>
      <c r="D747">
        <v>3</v>
      </c>
      <c r="E747">
        <v>2</v>
      </c>
      <c r="F747">
        <v>3</v>
      </c>
      <c r="G747">
        <v>2.75</v>
      </c>
    </row>
    <row r="748" spans="1:7" x14ac:dyDescent="0.25">
      <c r="A748">
        <v>4585</v>
      </c>
      <c r="B748">
        <v>3</v>
      </c>
      <c r="C748">
        <v>2</v>
      </c>
      <c r="D748">
        <v>1</v>
      </c>
      <c r="E748">
        <v>2</v>
      </c>
      <c r="F748">
        <v>3</v>
      </c>
      <c r="G748">
        <v>2</v>
      </c>
    </row>
    <row r="749" spans="1:7" x14ac:dyDescent="0.25">
      <c r="A749">
        <v>4587</v>
      </c>
      <c r="B749">
        <v>2</v>
      </c>
      <c r="C749">
        <v>2</v>
      </c>
      <c r="D749">
        <v>1</v>
      </c>
      <c r="E749">
        <v>1</v>
      </c>
      <c r="F749">
        <v>3</v>
      </c>
      <c r="G749">
        <v>1.5</v>
      </c>
    </row>
    <row r="750" spans="1:7" x14ac:dyDescent="0.25">
      <c r="A750">
        <v>4590</v>
      </c>
      <c r="B750">
        <v>4</v>
      </c>
      <c r="C750">
        <v>4</v>
      </c>
      <c r="D750">
        <v>3</v>
      </c>
      <c r="E750">
        <v>2</v>
      </c>
      <c r="F750">
        <v>3</v>
      </c>
      <c r="G750">
        <v>3.25</v>
      </c>
    </row>
    <row r="751" spans="1:7" x14ac:dyDescent="0.25">
      <c r="A751">
        <v>4591</v>
      </c>
      <c r="B751">
        <v>1</v>
      </c>
      <c r="C751">
        <v>1</v>
      </c>
      <c r="D751">
        <v>1</v>
      </c>
      <c r="E751">
        <v>1</v>
      </c>
      <c r="F751">
        <v>2</v>
      </c>
      <c r="G751">
        <v>1</v>
      </c>
    </row>
    <row r="752" spans="1:7" x14ac:dyDescent="0.25">
      <c r="A752">
        <v>4592</v>
      </c>
      <c r="B752">
        <v>4</v>
      </c>
      <c r="C752">
        <v>4</v>
      </c>
      <c r="D752">
        <v>2</v>
      </c>
      <c r="E752">
        <v>3</v>
      </c>
      <c r="F752">
        <v>4</v>
      </c>
      <c r="G752">
        <v>3.25</v>
      </c>
    </row>
    <row r="753" spans="1:7" x14ac:dyDescent="0.25">
      <c r="A753">
        <v>4593</v>
      </c>
      <c r="B753">
        <v>2</v>
      </c>
      <c r="C753">
        <v>1</v>
      </c>
      <c r="D753">
        <v>1</v>
      </c>
      <c r="E753">
        <v>2</v>
      </c>
      <c r="F753">
        <v>3</v>
      </c>
      <c r="G753">
        <v>1.5</v>
      </c>
    </row>
    <row r="754" spans="1:7" x14ac:dyDescent="0.25">
      <c r="A754">
        <v>4594</v>
      </c>
      <c r="B754">
        <v>1</v>
      </c>
      <c r="C754">
        <v>1</v>
      </c>
      <c r="D754">
        <v>1</v>
      </c>
      <c r="E754">
        <v>1</v>
      </c>
      <c r="F754">
        <v>2</v>
      </c>
      <c r="G754">
        <v>1</v>
      </c>
    </row>
    <row r="755" spans="1:7" x14ac:dyDescent="0.25">
      <c r="A755">
        <v>4595</v>
      </c>
      <c r="B755">
        <v>1</v>
      </c>
      <c r="C755">
        <v>1</v>
      </c>
      <c r="D755">
        <v>1</v>
      </c>
      <c r="E755">
        <v>1</v>
      </c>
      <c r="F755">
        <v>3</v>
      </c>
      <c r="G755">
        <v>1</v>
      </c>
    </row>
    <row r="756" spans="1:7" x14ac:dyDescent="0.25">
      <c r="A756">
        <v>4596</v>
      </c>
      <c r="B756">
        <v>2</v>
      </c>
      <c r="C756">
        <v>2</v>
      </c>
      <c r="D756">
        <v>2</v>
      </c>
      <c r="E756">
        <v>2</v>
      </c>
      <c r="F756">
        <v>2</v>
      </c>
      <c r="G756">
        <v>2</v>
      </c>
    </row>
    <row r="757" spans="1:7" x14ac:dyDescent="0.25">
      <c r="A757">
        <v>4598</v>
      </c>
      <c r="B757">
        <v>1</v>
      </c>
      <c r="C757">
        <v>2</v>
      </c>
      <c r="D757">
        <v>1</v>
      </c>
      <c r="E757">
        <v>2</v>
      </c>
      <c r="F757">
        <v>3</v>
      </c>
      <c r="G757">
        <v>1.5</v>
      </c>
    </row>
    <row r="758" spans="1:7" x14ac:dyDescent="0.25">
      <c r="A758">
        <v>4600</v>
      </c>
      <c r="B758">
        <v>4</v>
      </c>
      <c r="C758">
        <v>4</v>
      </c>
      <c r="D758">
        <v>3</v>
      </c>
      <c r="E758">
        <v>4</v>
      </c>
      <c r="F758">
        <v>3</v>
      </c>
      <c r="G758">
        <v>3.75</v>
      </c>
    </row>
    <row r="759" spans="1:7" x14ac:dyDescent="0.25">
      <c r="A759">
        <v>4601</v>
      </c>
      <c r="B759">
        <v>1</v>
      </c>
      <c r="C759">
        <v>1</v>
      </c>
      <c r="D759">
        <v>1</v>
      </c>
      <c r="E759">
        <v>1</v>
      </c>
      <c r="F759">
        <v>3</v>
      </c>
      <c r="G759">
        <v>1</v>
      </c>
    </row>
    <row r="760" spans="1:7" x14ac:dyDescent="0.25">
      <c r="A760">
        <v>4602</v>
      </c>
      <c r="B760">
        <v>0</v>
      </c>
      <c r="C760">
        <v>3</v>
      </c>
      <c r="D760">
        <v>1</v>
      </c>
      <c r="E760">
        <v>2</v>
      </c>
      <c r="F760">
        <v>2</v>
      </c>
      <c r="G760">
        <v>1.5</v>
      </c>
    </row>
    <row r="761" spans="1:7" x14ac:dyDescent="0.25">
      <c r="A761">
        <v>4605</v>
      </c>
      <c r="B761">
        <v>3</v>
      </c>
      <c r="C761">
        <v>3</v>
      </c>
      <c r="D761">
        <v>1</v>
      </c>
      <c r="E761">
        <v>2</v>
      </c>
      <c r="F761">
        <v>3</v>
      </c>
      <c r="G761">
        <v>2.25</v>
      </c>
    </row>
    <row r="762" spans="1:7" x14ac:dyDescent="0.25">
      <c r="A762">
        <v>4606</v>
      </c>
      <c r="B762">
        <v>1</v>
      </c>
      <c r="C762">
        <v>1</v>
      </c>
      <c r="D762">
        <v>1</v>
      </c>
      <c r="E762">
        <v>1</v>
      </c>
      <c r="F762">
        <v>2</v>
      </c>
      <c r="G762">
        <v>1</v>
      </c>
    </row>
    <row r="763" spans="1:7" x14ac:dyDescent="0.25">
      <c r="A763">
        <v>4607</v>
      </c>
      <c r="B763">
        <v>2</v>
      </c>
      <c r="C763">
        <v>3</v>
      </c>
      <c r="D763">
        <v>2</v>
      </c>
      <c r="E763">
        <v>2</v>
      </c>
      <c r="F763">
        <v>2</v>
      </c>
      <c r="G763">
        <v>2.25</v>
      </c>
    </row>
    <row r="764" spans="1:7" x14ac:dyDescent="0.25">
      <c r="A764">
        <v>4608</v>
      </c>
      <c r="B764">
        <v>1</v>
      </c>
      <c r="C764">
        <v>1</v>
      </c>
      <c r="D764">
        <v>1</v>
      </c>
      <c r="E764">
        <v>2</v>
      </c>
      <c r="F764">
        <v>3</v>
      </c>
      <c r="G764">
        <v>1.25</v>
      </c>
    </row>
    <row r="765" spans="1:7" x14ac:dyDescent="0.25">
      <c r="A765">
        <v>4609</v>
      </c>
      <c r="B765">
        <v>2</v>
      </c>
      <c r="C765">
        <v>2</v>
      </c>
      <c r="D765">
        <v>2</v>
      </c>
      <c r="E765">
        <v>2</v>
      </c>
      <c r="F765">
        <v>3</v>
      </c>
      <c r="G765">
        <v>2</v>
      </c>
    </row>
    <row r="766" spans="1:7" x14ac:dyDescent="0.25">
      <c r="A766">
        <v>4610</v>
      </c>
      <c r="B766">
        <v>4</v>
      </c>
      <c r="C766">
        <v>0</v>
      </c>
      <c r="D766">
        <v>4</v>
      </c>
      <c r="E766">
        <v>3</v>
      </c>
      <c r="F766">
        <v>3</v>
      </c>
      <c r="G766">
        <v>2.75</v>
      </c>
    </row>
    <row r="767" spans="1:7" x14ac:dyDescent="0.25">
      <c r="A767">
        <v>4612</v>
      </c>
      <c r="B767">
        <v>1</v>
      </c>
      <c r="C767">
        <v>1</v>
      </c>
      <c r="D767">
        <v>1</v>
      </c>
      <c r="E767">
        <v>1</v>
      </c>
      <c r="F767">
        <v>2</v>
      </c>
      <c r="G767">
        <v>1</v>
      </c>
    </row>
    <row r="768" spans="1:7" x14ac:dyDescent="0.25">
      <c r="A768">
        <v>4613</v>
      </c>
      <c r="B768">
        <v>3</v>
      </c>
      <c r="C768">
        <v>2</v>
      </c>
      <c r="D768">
        <v>1</v>
      </c>
      <c r="E768">
        <v>1</v>
      </c>
      <c r="F768">
        <v>2</v>
      </c>
      <c r="G768">
        <v>1.75</v>
      </c>
    </row>
    <row r="769" spans="1:7" x14ac:dyDescent="0.25">
      <c r="A769">
        <v>4614</v>
      </c>
      <c r="B769">
        <v>1</v>
      </c>
      <c r="C769">
        <v>1</v>
      </c>
      <c r="D769">
        <v>1</v>
      </c>
      <c r="E769">
        <v>1</v>
      </c>
      <c r="F769">
        <v>2</v>
      </c>
      <c r="G769">
        <v>1</v>
      </c>
    </row>
    <row r="770" spans="1:7" x14ac:dyDescent="0.25">
      <c r="A770">
        <v>4615</v>
      </c>
      <c r="B770">
        <v>3</v>
      </c>
      <c r="C770">
        <v>2</v>
      </c>
      <c r="D770">
        <v>1</v>
      </c>
      <c r="E770">
        <v>1</v>
      </c>
      <c r="F770">
        <v>3</v>
      </c>
      <c r="G770">
        <v>1.75</v>
      </c>
    </row>
    <row r="771" spans="1:7" x14ac:dyDescent="0.25">
      <c r="A771">
        <v>4616</v>
      </c>
      <c r="B771">
        <v>3</v>
      </c>
      <c r="C771">
        <v>2</v>
      </c>
      <c r="D771">
        <v>1</v>
      </c>
      <c r="E771">
        <v>1</v>
      </c>
      <c r="F771">
        <v>2</v>
      </c>
      <c r="G771">
        <v>1.75</v>
      </c>
    </row>
    <row r="772" spans="1:7" x14ac:dyDescent="0.25">
      <c r="A772">
        <v>4617</v>
      </c>
      <c r="B772">
        <v>2</v>
      </c>
      <c r="C772">
        <v>3</v>
      </c>
      <c r="D772">
        <v>3</v>
      </c>
      <c r="E772">
        <v>3</v>
      </c>
      <c r="F772">
        <v>2</v>
      </c>
      <c r="G772">
        <v>2.75</v>
      </c>
    </row>
    <row r="773" spans="1:7" x14ac:dyDescent="0.25">
      <c r="A773">
        <v>4620</v>
      </c>
      <c r="B773">
        <v>2</v>
      </c>
      <c r="C773">
        <v>2</v>
      </c>
      <c r="D773">
        <v>1</v>
      </c>
      <c r="E773">
        <v>1</v>
      </c>
      <c r="F773">
        <v>2</v>
      </c>
      <c r="G773">
        <v>1.5</v>
      </c>
    </row>
    <row r="774" spans="1:7" x14ac:dyDescent="0.25">
      <c r="A774">
        <v>4622</v>
      </c>
      <c r="B774">
        <v>1</v>
      </c>
      <c r="C774">
        <v>1</v>
      </c>
      <c r="D774">
        <v>1</v>
      </c>
      <c r="E774">
        <v>1</v>
      </c>
      <c r="F774">
        <v>2</v>
      </c>
      <c r="G774">
        <v>1</v>
      </c>
    </row>
    <row r="775" spans="1:7" x14ac:dyDescent="0.25">
      <c r="A775">
        <v>4624</v>
      </c>
      <c r="B775">
        <v>1</v>
      </c>
      <c r="C775">
        <v>1</v>
      </c>
      <c r="D775">
        <v>1</v>
      </c>
      <c r="E775">
        <v>1</v>
      </c>
      <c r="F775">
        <v>3</v>
      </c>
      <c r="G775">
        <v>1</v>
      </c>
    </row>
    <row r="776" spans="1:7" x14ac:dyDescent="0.25">
      <c r="A776">
        <v>4625</v>
      </c>
      <c r="B776">
        <v>1</v>
      </c>
      <c r="C776">
        <v>1</v>
      </c>
      <c r="D776">
        <v>1</v>
      </c>
      <c r="E776">
        <v>1</v>
      </c>
      <c r="F776">
        <v>3</v>
      </c>
      <c r="G776">
        <v>1</v>
      </c>
    </row>
    <row r="777" spans="1:7" x14ac:dyDescent="0.25">
      <c r="A777">
        <v>4626</v>
      </c>
      <c r="B777">
        <v>1</v>
      </c>
      <c r="C777">
        <v>1</v>
      </c>
      <c r="D777">
        <v>1</v>
      </c>
      <c r="E777">
        <v>1</v>
      </c>
      <c r="F777">
        <v>3</v>
      </c>
      <c r="G777">
        <v>1</v>
      </c>
    </row>
    <row r="778" spans="1:7" x14ac:dyDescent="0.25">
      <c r="A778">
        <v>4627</v>
      </c>
      <c r="B778">
        <v>1</v>
      </c>
      <c r="C778">
        <v>1</v>
      </c>
      <c r="D778">
        <v>1</v>
      </c>
      <c r="E778">
        <v>1</v>
      </c>
      <c r="F778">
        <v>2</v>
      </c>
      <c r="G778">
        <v>1</v>
      </c>
    </row>
    <row r="779" spans="1:7" x14ac:dyDescent="0.25">
      <c r="A779">
        <v>4628</v>
      </c>
      <c r="B779">
        <v>1</v>
      </c>
      <c r="C779">
        <v>1</v>
      </c>
      <c r="D779">
        <v>1</v>
      </c>
      <c r="E779">
        <v>1</v>
      </c>
      <c r="F779">
        <v>3</v>
      </c>
      <c r="G779">
        <v>1</v>
      </c>
    </row>
    <row r="780" spans="1:7" x14ac:dyDescent="0.25">
      <c r="A780">
        <v>4630</v>
      </c>
      <c r="B780">
        <v>3</v>
      </c>
      <c r="C780">
        <v>1</v>
      </c>
      <c r="D780">
        <v>2</v>
      </c>
      <c r="E780">
        <v>2</v>
      </c>
      <c r="F780">
        <v>3</v>
      </c>
      <c r="G780">
        <v>2</v>
      </c>
    </row>
    <row r="781" spans="1:7" x14ac:dyDescent="0.25">
      <c r="A781">
        <v>4631</v>
      </c>
      <c r="B781">
        <v>1</v>
      </c>
      <c r="C781">
        <v>1</v>
      </c>
      <c r="D781">
        <v>1</v>
      </c>
      <c r="E781">
        <v>0</v>
      </c>
      <c r="F781">
        <v>3</v>
      </c>
      <c r="G781">
        <v>0.75</v>
      </c>
    </row>
    <row r="782" spans="1:7" x14ac:dyDescent="0.25">
      <c r="A782">
        <v>4634</v>
      </c>
      <c r="B782">
        <v>1</v>
      </c>
      <c r="C782">
        <v>1</v>
      </c>
      <c r="D782">
        <v>1</v>
      </c>
      <c r="E782">
        <v>1</v>
      </c>
      <c r="F782">
        <v>3</v>
      </c>
      <c r="G782">
        <v>1</v>
      </c>
    </row>
    <row r="783" spans="1:7" x14ac:dyDescent="0.25">
      <c r="A783">
        <v>4635</v>
      </c>
      <c r="B783">
        <v>2</v>
      </c>
      <c r="C783">
        <v>1</v>
      </c>
      <c r="D783">
        <v>1</v>
      </c>
      <c r="E783">
        <v>1</v>
      </c>
      <c r="F783">
        <v>3</v>
      </c>
      <c r="G783">
        <v>1.25</v>
      </c>
    </row>
    <row r="784" spans="1:7" x14ac:dyDescent="0.25">
      <c r="A784">
        <v>4636</v>
      </c>
      <c r="B784">
        <v>3</v>
      </c>
      <c r="C784">
        <v>2</v>
      </c>
      <c r="D784">
        <v>1</v>
      </c>
      <c r="E784">
        <v>3</v>
      </c>
      <c r="F784">
        <v>2</v>
      </c>
      <c r="G784">
        <v>2.25</v>
      </c>
    </row>
    <row r="785" spans="1:7" x14ac:dyDescent="0.25">
      <c r="A785">
        <v>4638</v>
      </c>
      <c r="B785">
        <v>1</v>
      </c>
      <c r="C785">
        <v>1</v>
      </c>
      <c r="D785">
        <v>1</v>
      </c>
      <c r="E785">
        <v>1</v>
      </c>
      <c r="F785">
        <v>3</v>
      </c>
      <c r="G785">
        <v>1</v>
      </c>
    </row>
    <row r="786" spans="1:7" x14ac:dyDescent="0.25">
      <c r="A786">
        <v>4639</v>
      </c>
      <c r="B786">
        <v>2</v>
      </c>
      <c r="C786">
        <v>2</v>
      </c>
      <c r="D786">
        <v>1</v>
      </c>
      <c r="E786">
        <v>1</v>
      </c>
      <c r="F786">
        <v>2</v>
      </c>
      <c r="G786">
        <v>1.5</v>
      </c>
    </row>
    <row r="787" spans="1:7" x14ac:dyDescent="0.25">
      <c r="A787">
        <v>4640</v>
      </c>
      <c r="B787">
        <v>1</v>
      </c>
      <c r="C787">
        <v>1</v>
      </c>
      <c r="D787">
        <v>1</v>
      </c>
      <c r="E787">
        <v>1</v>
      </c>
      <c r="F787">
        <v>3</v>
      </c>
      <c r="G787">
        <v>1</v>
      </c>
    </row>
    <row r="788" spans="1:7" x14ac:dyDescent="0.25">
      <c r="A788">
        <v>4642</v>
      </c>
      <c r="B788">
        <v>2</v>
      </c>
      <c r="C788">
        <v>1</v>
      </c>
      <c r="D788">
        <v>2</v>
      </c>
      <c r="E788">
        <v>3</v>
      </c>
      <c r="F788">
        <v>3</v>
      </c>
      <c r="G788">
        <v>2</v>
      </c>
    </row>
    <row r="789" spans="1:7" x14ac:dyDescent="0.25">
      <c r="A789">
        <v>4643</v>
      </c>
      <c r="B789">
        <v>4</v>
      </c>
      <c r="C789">
        <v>3</v>
      </c>
      <c r="D789">
        <v>2</v>
      </c>
      <c r="E789">
        <v>2</v>
      </c>
      <c r="F789">
        <v>2</v>
      </c>
      <c r="G789">
        <v>2.75</v>
      </c>
    </row>
    <row r="790" spans="1:7" x14ac:dyDescent="0.25">
      <c r="A790">
        <v>4644</v>
      </c>
      <c r="B790">
        <v>2</v>
      </c>
      <c r="C790">
        <v>1</v>
      </c>
      <c r="D790">
        <v>1</v>
      </c>
      <c r="E790">
        <v>1</v>
      </c>
      <c r="F790">
        <v>3</v>
      </c>
      <c r="G790">
        <v>1.25</v>
      </c>
    </row>
    <row r="791" spans="1:7" x14ac:dyDescent="0.25">
      <c r="A791">
        <v>4646</v>
      </c>
      <c r="B791">
        <v>2</v>
      </c>
      <c r="C791">
        <v>3</v>
      </c>
      <c r="D791">
        <v>2</v>
      </c>
      <c r="E791">
        <v>2</v>
      </c>
      <c r="F791">
        <v>2</v>
      </c>
      <c r="G791">
        <v>2.25</v>
      </c>
    </row>
    <row r="792" spans="1:7" x14ac:dyDescent="0.25">
      <c r="A792">
        <v>4647</v>
      </c>
      <c r="B792">
        <v>1</v>
      </c>
      <c r="C792">
        <v>1</v>
      </c>
      <c r="D792">
        <v>1</v>
      </c>
      <c r="E792">
        <v>1</v>
      </c>
      <c r="F792">
        <v>3</v>
      </c>
      <c r="G792">
        <v>1</v>
      </c>
    </row>
    <row r="793" spans="1:7" x14ac:dyDescent="0.25">
      <c r="A793">
        <v>4648</v>
      </c>
      <c r="B793">
        <v>2</v>
      </c>
      <c r="C793">
        <v>2</v>
      </c>
      <c r="D793">
        <v>1</v>
      </c>
      <c r="E793">
        <v>1</v>
      </c>
      <c r="F793">
        <v>3</v>
      </c>
      <c r="G793">
        <v>1.5</v>
      </c>
    </row>
    <row r="794" spans="1:7" x14ac:dyDescent="0.25">
      <c r="A794">
        <v>4651</v>
      </c>
      <c r="B794">
        <v>2</v>
      </c>
      <c r="C794">
        <v>2</v>
      </c>
      <c r="D794">
        <v>1</v>
      </c>
      <c r="E794">
        <v>1</v>
      </c>
      <c r="F794">
        <v>3</v>
      </c>
      <c r="G794">
        <v>1.5</v>
      </c>
    </row>
    <row r="795" spans="1:7" x14ac:dyDescent="0.25">
      <c r="A795">
        <v>4652</v>
      </c>
      <c r="B795">
        <v>3</v>
      </c>
      <c r="C795">
        <v>3</v>
      </c>
      <c r="D795">
        <v>1</v>
      </c>
      <c r="E795">
        <v>1</v>
      </c>
      <c r="F795">
        <v>3</v>
      </c>
      <c r="G795">
        <v>2</v>
      </c>
    </row>
    <row r="796" spans="1:7" x14ac:dyDescent="0.25">
      <c r="A796">
        <v>4653</v>
      </c>
      <c r="B796">
        <v>1</v>
      </c>
      <c r="C796">
        <v>1</v>
      </c>
      <c r="D796">
        <v>1</v>
      </c>
      <c r="E796">
        <v>1</v>
      </c>
      <c r="F796">
        <v>3</v>
      </c>
      <c r="G796">
        <v>1</v>
      </c>
    </row>
    <row r="797" spans="1:7" x14ac:dyDescent="0.25">
      <c r="A797">
        <v>4654</v>
      </c>
      <c r="B797">
        <v>1</v>
      </c>
      <c r="C797">
        <v>1</v>
      </c>
      <c r="D797">
        <v>1</v>
      </c>
      <c r="E797">
        <v>1</v>
      </c>
      <c r="F797">
        <v>4</v>
      </c>
      <c r="G797">
        <v>1</v>
      </c>
    </row>
    <row r="798" spans="1:7" x14ac:dyDescent="0.25">
      <c r="A798">
        <v>4655</v>
      </c>
      <c r="B798">
        <v>1</v>
      </c>
      <c r="C798">
        <v>2</v>
      </c>
      <c r="D798">
        <v>1</v>
      </c>
      <c r="E798">
        <v>1</v>
      </c>
      <c r="F798">
        <v>3</v>
      </c>
      <c r="G798">
        <v>1.25</v>
      </c>
    </row>
    <row r="799" spans="1:7" x14ac:dyDescent="0.25">
      <c r="A799">
        <v>4656</v>
      </c>
      <c r="B799">
        <v>1</v>
      </c>
      <c r="C799">
        <v>2</v>
      </c>
      <c r="D799">
        <v>3</v>
      </c>
      <c r="E799">
        <v>3</v>
      </c>
      <c r="F799">
        <v>3</v>
      </c>
      <c r="G799">
        <v>2.25</v>
      </c>
    </row>
    <row r="800" spans="1:7" x14ac:dyDescent="0.25">
      <c r="A800">
        <v>4657</v>
      </c>
      <c r="B800">
        <v>4</v>
      </c>
      <c r="C800">
        <v>4</v>
      </c>
      <c r="D800">
        <v>3</v>
      </c>
      <c r="E800">
        <v>4</v>
      </c>
      <c r="F800">
        <v>2</v>
      </c>
      <c r="G800">
        <v>3.75</v>
      </c>
    </row>
    <row r="801" spans="1:7" x14ac:dyDescent="0.25">
      <c r="A801">
        <v>4658</v>
      </c>
      <c r="B801">
        <v>1</v>
      </c>
      <c r="C801">
        <v>1</v>
      </c>
      <c r="D801">
        <v>1</v>
      </c>
      <c r="E801">
        <v>1</v>
      </c>
      <c r="F801">
        <v>3</v>
      </c>
      <c r="G801">
        <v>1</v>
      </c>
    </row>
    <row r="802" spans="1:7" x14ac:dyDescent="0.25">
      <c r="A802">
        <v>4659</v>
      </c>
      <c r="B802">
        <v>2</v>
      </c>
      <c r="C802">
        <v>2</v>
      </c>
      <c r="D802">
        <v>3</v>
      </c>
      <c r="E802">
        <v>2</v>
      </c>
      <c r="F802">
        <v>4</v>
      </c>
      <c r="G802">
        <v>2.25</v>
      </c>
    </row>
    <row r="803" spans="1:7" x14ac:dyDescent="0.25">
      <c r="A803">
        <v>4660</v>
      </c>
      <c r="B803">
        <v>3</v>
      </c>
      <c r="C803">
        <v>3</v>
      </c>
      <c r="D803">
        <v>2</v>
      </c>
      <c r="E803">
        <v>2</v>
      </c>
      <c r="F803">
        <v>3</v>
      </c>
      <c r="G803">
        <v>2.5</v>
      </c>
    </row>
    <row r="804" spans="1:7" x14ac:dyDescent="0.25">
      <c r="A804">
        <v>4662</v>
      </c>
      <c r="B804">
        <v>1</v>
      </c>
      <c r="C804">
        <v>2</v>
      </c>
      <c r="D804">
        <v>2</v>
      </c>
      <c r="E804">
        <v>1</v>
      </c>
      <c r="F804">
        <v>3</v>
      </c>
      <c r="G804">
        <v>1.5</v>
      </c>
    </row>
    <row r="805" spans="1:7" x14ac:dyDescent="0.25">
      <c r="A805">
        <v>4664</v>
      </c>
      <c r="B805">
        <v>1</v>
      </c>
      <c r="C805">
        <v>1</v>
      </c>
      <c r="D805">
        <v>1</v>
      </c>
      <c r="E805">
        <v>1</v>
      </c>
      <c r="F805">
        <v>3</v>
      </c>
      <c r="G805">
        <v>1</v>
      </c>
    </row>
    <row r="806" spans="1:7" x14ac:dyDescent="0.25">
      <c r="A806">
        <v>4665</v>
      </c>
      <c r="B806">
        <v>1</v>
      </c>
      <c r="C806">
        <v>0</v>
      </c>
      <c r="D806">
        <v>1</v>
      </c>
      <c r="E806">
        <v>1</v>
      </c>
      <c r="F806">
        <v>3</v>
      </c>
      <c r="G806">
        <v>0.75</v>
      </c>
    </row>
    <row r="807" spans="1:7" x14ac:dyDescent="0.25">
      <c r="A807">
        <v>4667</v>
      </c>
      <c r="B807">
        <v>2</v>
      </c>
      <c r="C807">
        <v>2</v>
      </c>
      <c r="D807">
        <v>2</v>
      </c>
      <c r="E807">
        <v>3</v>
      </c>
      <c r="F807">
        <v>3</v>
      </c>
      <c r="G807">
        <v>2.25</v>
      </c>
    </row>
    <row r="808" spans="1:7" x14ac:dyDescent="0.25">
      <c r="A808">
        <v>4670</v>
      </c>
      <c r="B808">
        <v>3</v>
      </c>
      <c r="C808">
        <v>3</v>
      </c>
      <c r="D808">
        <v>2</v>
      </c>
      <c r="E808">
        <v>2</v>
      </c>
      <c r="F808">
        <v>2</v>
      </c>
      <c r="G808">
        <v>2.5</v>
      </c>
    </row>
    <row r="809" spans="1:7" x14ac:dyDescent="0.25">
      <c r="A809">
        <v>4671</v>
      </c>
      <c r="B809">
        <v>1</v>
      </c>
      <c r="C809">
        <v>1</v>
      </c>
      <c r="D809">
        <v>1</v>
      </c>
      <c r="E809">
        <v>1</v>
      </c>
      <c r="F809">
        <v>4</v>
      </c>
      <c r="G809">
        <v>1</v>
      </c>
    </row>
    <row r="810" spans="1:7" x14ac:dyDescent="0.25">
      <c r="A810">
        <v>4672</v>
      </c>
      <c r="B810">
        <v>1</v>
      </c>
      <c r="C810">
        <v>1</v>
      </c>
      <c r="D810">
        <v>1</v>
      </c>
      <c r="E810">
        <v>1</v>
      </c>
      <c r="F810">
        <v>2</v>
      </c>
      <c r="G810">
        <v>1</v>
      </c>
    </row>
    <row r="811" spans="1:7" x14ac:dyDescent="0.25">
      <c r="A811">
        <v>4675</v>
      </c>
      <c r="B811">
        <v>1</v>
      </c>
      <c r="C811">
        <v>1</v>
      </c>
      <c r="D811">
        <v>1</v>
      </c>
      <c r="E811">
        <v>1</v>
      </c>
      <c r="F811">
        <v>4</v>
      </c>
      <c r="G811">
        <v>1</v>
      </c>
    </row>
    <row r="812" spans="1:7" x14ac:dyDescent="0.25">
      <c r="A812">
        <v>4676</v>
      </c>
      <c r="B812">
        <v>1</v>
      </c>
      <c r="C812">
        <v>1</v>
      </c>
      <c r="D812">
        <v>1</v>
      </c>
      <c r="E812">
        <v>2</v>
      </c>
      <c r="F812">
        <v>2</v>
      </c>
      <c r="G812">
        <v>1.25</v>
      </c>
    </row>
    <row r="813" spans="1:7" x14ac:dyDescent="0.25">
      <c r="A813">
        <v>4677</v>
      </c>
      <c r="B813">
        <v>2</v>
      </c>
      <c r="C813">
        <v>1</v>
      </c>
      <c r="D813">
        <v>1</v>
      </c>
      <c r="E813">
        <v>1</v>
      </c>
      <c r="F813">
        <v>3</v>
      </c>
      <c r="G813">
        <v>1.25</v>
      </c>
    </row>
    <row r="814" spans="1:7" x14ac:dyDescent="0.25">
      <c r="A814">
        <v>4678</v>
      </c>
      <c r="B814">
        <v>2</v>
      </c>
      <c r="C814">
        <v>3</v>
      </c>
      <c r="D814">
        <v>2</v>
      </c>
      <c r="E814">
        <v>2</v>
      </c>
      <c r="F814">
        <v>2</v>
      </c>
      <c r="G814">
        <v>2.25</v>
      </c>
    </row>
    <row r="815" spans="1:7" x14ac:dyDescent="0.25">
      <c r="A815">
        <v>4680</v>
      </c>
      <c r="B815">
        <v>1</v>
      </c>
      <c r="C815">
        <v>1</v>
      </c>
      <c r="D815">
        <v>1</v>
      </c>
      <c r="E815">
        <v>1</v>
      </c>
      <c r="F815">
        <v>3</v>
      </c>
      <c r="G815">
        <v>1</v>
      </c>
    </row>
    <row r="816" spans="1:7" x14ac:dyDescent="0.25">
      <c r="A816">
        <v>4681</v>
      </c>
      <c r="B816">
        <v>1</v>
      </c>
      <c r="C816">
        <v>2</v>
      </c>
      <c r="D816">
        <v>1</v>
      </c>
      <c r="E816">
        <v>1</v>
      </c>
      <c r="F816">
        <v>3</v>
      </c>
      <c r="G816">
        <v>1.25</v>
      </c>
    </row>
    <row r="817" spans="1:7" x14ac:dyDescent="0.25">
      <c r="A817">
        <v>4682</v>
      </c>
      <c r="B817">
        <v>1</v>
      </c>
      <c r="C817">
        <v>1</v>
      </c>
      <c r="D817">
        <v>1</v>
      </c>
      <c r="E817">
        <v>1</v>
      </c>
      <c r="F817">
        <v>3</v>
      </c>
      <c r="G817">
        <v>1</v>
      </c>
    </row>
    <row r="818" spans="1:7" x14ac:dyDescent="0.25">
      <c r="A818">
        <v>4683</v>
      </c>
      <c r="B818">
        <v>3</v>
      </c>
      <c r="C818">
        <v>3</v>
      </c>
      <c r="D818">
        <v>3</v>
      </c>
      <c r="E818">
        <v>3</v>
      </c>
      <c r="F818">
        <v>4</v>
      </c>
      <c r="G818">
        <v>3</v>
      </c>
    </row>
    <row r="819" spans="1:7" x14ac:dyDescent="0.25">
      <c r="A819">
        <v>4685</v>
      </c>
      <c r="B819">
        <v>1</v>
      </c>
      <c r="C819">
        <v>1</v>
      </c>
      <c r="D819">
        <v>1</v>
      </c>
      <c r="E819">
        <v>1</v>
      </c>
      <c r="F819">
        <v>3</v>
      </c>
      <c r="G819">
        <v>1</v>
      </c>
    </row>
    <row r="820" spans="1:7" x14ac:dyDescent="0.25">
      <c r="A820">
        <v>4688</v>
      </c>
      <c r="B820">
        <v>2</v>
      </c>
      <c r="C820">
        <v>2</v>
      </c>
      <c r="D820">
        <v>1</v>
      </c>
      <c r="E820">
        <v>1</v>
      </c>
      <c r="F820">
        <v>2</v>
      </c>
      <c r="G820">
        <v>1.5</v>
      </c>
    </row>
    <row r="821" spans="1:7" x14ac:dyDescent="0.25">
      <c r="A821">
        <v>4690</v>
      </c>
      <c r="B821">
        <v>0</v>
      </c>
      <c r="C821">
        <v>1</v>
      </c>
      <c r="D821">
        <v>1</v>
      </c>
      <c r="E821">
        <v>1</v>
      </c>
      <c r="F821">
        <v>3</v>
      </c>
      <c r="G821">
        <v>0.75</v>
      </c>
    </row>
    <row r="822" spans="1:7" x14ac:dyDescent="0.25">
      <c r="A822">
        <v>4691</v>
      </c>
      <c r="B822">
        <v>1</v>
      </c>
      <c r="C822">
        <v>1</v>
      </c>
      <c r="D822">
        <v>2</v>
      </c>
      <c r="E822">
        <v>1</v>
      </c>
      <c r="F822">
        <v>3</v>
      </c>
      <c r="G822">
        <v>1.25</v>
      </c>
    </row>
    <row r="823" spans="1:7" x14ac:dyDescent="0.25">
      <c r="A823">
        <v>4692</v>
      </c>
      <c r="B823">
        <v>2</v>
      </c>
      <c r="C823">
        <v>1</v>
      </c>
      <c r="D823">
        <v>3</v>
      </c>
      <c r="E823">
        <v>0</v>
      </c>
      <c r="F823">
        <v>3</v>
      </c>
      <c r="G823">
        <v>1.5</v>
      </c>
    </row>
    <row r="824" spans="1:7" x14ac:dyDescent="0.25">
      <c r="A824">
        <v>4695</v>
      </c>
      <c r="B824">
        <v>1</v>
      </c>
      <c r="C824">
        <v>0</v>
      </c>
      <c r="D824">
        <v>1</v>
      </c>
      <c r="E824">
        <v>1</v>
      </c>
      <c r="F824">
        <v>2</v>
      </c>
      <c r="G824">
        <v>0.75</v>
      </c>
    </row>
    <row r="825" spans="1:7" x14ac:dyDescent="0.25">
      <c r="A825">
        <v>4696</v>
      </c>
      <c r="B825">
        <v>3</v>
      </c>
      <c r="C825">
        <v>2</v>
      </c>
      <c r="D825">
        <v>3</v>
      </c>
      <c r="E825">
        <v>2</v>
      </c>
      <c r="F825">
        <v>3</v>
      </c>
      <c r="G825">
        <v>2.5</v>
      </c>
    </row>
    <row r="826" spans="1:7" x14ac:dyDescent="0.25">
      <c r="A826">
        <v>4697</v>
      </c>
      <c r="B826">
        <v>2</v>
      </c>
      <c r="C826">
        <v>1</v>
      </c>
      <c r="D826">
        <v>1</v>
      </c>
      <c r="E826">
        <v>1</v>
      </c>
      <c r="F826">
        <v>2</v>
      </c>
      <c r="G826">
        <v>1.25</v>
      </c>
    </row>
    <row r="827" spans="1:7" x14ac:dyDescent="0.25">
      <c r="A827">
        <v>4698</v>
      </c>
      <c r="B827">
        <v>2</v>
      </c>
      <c r="C827">
        <v>2</v>
      </c>
      <c r="D827">
        <v>1</v>
      </c>
      <c r="E827">
        <v>1</v>
      </c>
      <c r="F827">
        <v>4</v>
      </c>
      <c r="G827">
        <v>1.5</v>
      </c>
    </row>
    <row r="828" spans="1:7" x14ac:dyDescent="0.25">
      <c r="A828">
        <v>4700</v>
      </c>
      <c r="B828">
        <v>2</v>
      </c>
      <c r="C828">
        <v>2</v>
      </c>
      <c r="D828">
        <v>3</v>
      </c>
      <c r="E828">
        <v>3</v>
      </c>
      <c r="F828">
        <v>2</v>
      </c>
      <c r="G828">
        <v>2.5</v>
      </c>
    </row>
    <row r="829" spans="1:7" x14ac:dyDescent="0.25">
      <c r="A829">
        <v>4702</v>
      </c>
      <c r="B829">
        <v>1</v>
      </c>
      <c r="C829">
        <v>1</v>
      </c>
      <c r="D829">
        <v>1</v>
      </c>
      <c r="E829">
        <v>1</v>
      </c>
      <c r="F829">
        <v>4</v>
      </c>
      <c r="G829">
        <v>1</v>
      </c>
    </row>
    <row r="830" spans="1:7" x14ac:dyDescent="0.25">
      <c r="A830">
        <v>4703</v>
      </c>
      <c r="B830">
        <v>2</v>
      </c>
      <c r="C830">
        <v>3</v>
      </c>
      <c r="D830">
        <v>1</v>
      </c>
      <c r="E830">
        <v>1</v>
      </c>
      <c r="F830">
        <v>3</v>
      </c>
      <c r="G830">
        <v>1.75</v>
      </c>
    </row>
    <row r="831" spans="1:7" x14ac:dyDescent="0.25">
      <c r="A831">
        <v>4704</v>
      </c>
      <c r="B831">
        <v>2</v>
      </c>
      <c r="C831">
        <v>2</v>
      </c>
      <c r="D831">
        <v>2</v>
      </c>
      <c r="E831">
        <v>2</v>
      </c>
      <c r="F831">
        <v>3</v>
      </c>
      <c r="G831">
        <v>2</v>
      </c>
    </row>
    <row r="832" spans="1:7" x14ac:dyDescent="0.25">
      <c r="A832">
        <v>4706</v>
      </c>
      <c r="B832">
        <v>2</v>
      </c>
      <c r="C832">
        <v>1</v>
      </c>
      <c r="D832">
        <v>1</v>
      </c>
      <c r="E832">
        <v>1</v>
      </c>
      <c r="F832">
        <v>3</v>
      </c>
      <c r="G832">
        <v>1.25</v>
      </c>
    </row>
    <row r="833" spans="1:7" x14ac:dyDescent="0.25">
      <c r="A833">
        <v>4707</v>
      </c>
      <c r="B833">
        <v>1</v>
      </c>
      <c r="C833">
        <v>1</v>
      </c>
      <c r="D833">
        <v>1</v>
      </c>
      <c r="E833">
        <v>1</v>
      </c>
      <c r="F833">
        <v>3</v>
      </c>
      <c r="G833">
        <v>1</v>
      </c>
    </row>
    <row r="834" spans="1:7" x14ac:dyDescent="0.25">
      <c r="A834">
        <v>4710</v>
      </c>
      <c r="B834">
        <v>1</v>
      </c>
      <c r="C834">
        <v>1</v>
      </c>
      <c r="D834">
        <v>1</v>
      </c>
      <c r="E834">
        <v>1</v>
      </c>
      <c r="F834">
        <v>3</v>
      </c>
      <c r="G834">
        <v>1</v>
      </c>
    </row>
    <row r="835" spans="1:7" x14ac:dyDescent="0.25">
      <c r="A835">
        <v>4711</v>
      </c>
      <c r="B835">
        <v>1</v>
      </c>
      <c r="C835">
        <v>1</v>
      </c>
      <c r="D835">
        <v>1</v>
      </c>
      <c r="E835">
        <v>1</v>
      </c>
      <c r="F835">
        <v>2</v>
      </c>
      <c r="G835">
        <v>1</v>
      </c>
    </row>
    <row r="836" spans="1:7" x14ac:dyDescent="0.25">
      <c r="A836">
        <v>4713</v>
      </c>
      <c r="B836">
        <v>3</v>
      </c>
      <c r="C836">
        <v>2</v>
      </c>
      <c r="D836">
        <v>1</v>
      </c>
      <c r="E836">
        <v>2</v>
      </c>
      <c r="F836">
        <v>2</v>
      </c>
      <c r="G836">
        <v>2</v>
      </c>
    </row>
    <row r="837" spans="1:7" x14ac:dyDescent="0.25">
      <c r="A837">
        <v>4714</v>
      </c>
      <c r="B837">
        <v>1</v>
      </c>
      <c r="C837">
        <v>1</v>
      </c>
      <c r="D837">
        <v>2</v>
      </c>
      <c r="E837">
        <v>1</v>
      </c>
      <c r="F837">
        <v>2</v>
      </c>
      <c r="G837">
        <v>1.25</v>
      </c>
    </row>
    <row r="838" spans="1:7" x14ac:dyDescent="0.25">
      <c r="A838">
        <v>4716</v>
      </c>
      <c r="B838">
        <v>1</v>
      </c>
      <c r="C838">
        <v>2</v>
      </c>
      <c r="D838">
        <v>1</v>
      </c>
      <c r="E838">
        <v>1</v>
      </c>
      <c r="F838">
        <v>3</v>
      </c>
      <c r="G838">
        <v>1.25</v>
      </c>
    </row>
    <row r="839" spans="1:7" x14ac:dyDescent="0.25">
      <c r="A839">
        <v>4718</v>
      </c>
      <c r="B839">
        <v>2</v>
      </c>
      <c r="C839">
        <v>2</v>
      </c>
      <c r="D839">
        <v>1</v>
      </c>
      <c r="E839">
        <v>1</v>
      </c>
      <c r="F839">
        <v>3</v>
      </c>
      <c r="G839">
        <v>1.5</v>
      </c>
    </row>
    <row r="840" spans="1:7" x14ac:dyDescent="0.25">
      <c r="A840">
        <v>4720</v>
      </c>
      <c r="B840">
        <v>1</v>
      </c>
      <c r="C840">
        <v>1</v>
      </c>
      <c r="D840">
        <v>1</v>
      </c>
      <c r="E840">
        <v>1</v>
      </c>
      <c r="F840">
        <v>3</v>
      </c>
      <c r="G840">
        <v>1</v>
      </c>
    </row>
    <row r="841" spans="1:7" x14ac:dyDescent="0.25">
      <c r="A841">
        <v>4722</v>
      </c>
      <c r="B841">
        <v>0</v>
      </c>
      <c r="C841">
        <v>0</v>
      </c>
      <c r="D841">
        <v>1</v>
      </c>
      <c r="E841">
        <v>1</v>
      </c>
      <c r="F841">
        <v>3</v>
      </c>
      <c r="G841">
        <v>0.5</v>
      </c>
    </row>
    <row r="842" spans="1:7" x14ac:dyDescent="0.25">
      <c r="A842">
        <v>4723</v>
      </c>
      <c r="B842">
        <v>3</v>
      </c>
      <c r="C842">
        <v>2</v>
      </c>
      <c r="D842">
        <v>3</v>
      </c>
      <c r="E842">
        <v>3</v>
      </c>
      <c r="F842">
        <v>3</v>
      </c>
      <c r="G842">
        <v>2.75</v>
      </c>
    </row>
    <row r="843" spans="1:7" x14ac:dyDescent="0.25">
      <c r="A843">
        <v>4724</v>
      </c>
      <c r="B843">
        <v>3</v>
      </c>
      <c r="C843">
        <v>2</v>
      </c>
      <c r="D843">
        <v>2</v>
      </c>
      <c r="E843">
        <v>2</v>
      </c>
      <c r="F843">
        <v>3</v>
      </c>
      <c r="G843">
        <v>2.25</v>
      </c>
    </row>
    <row r="844" spans="1:7" x14ac:dyDescent="0.25">
      <c r="A844">
        <v>4725</v>
      </c>
      <c r="B844">
        <v>3</v>
      </c>
      <c r="C844">
        <v>2</v>
      </c>
      <c r="D844">
        <v>2</v>
      </c>
      <c r="E844">
        <v>2</v>
      </c>
      <c r="F844">
        <v>2</v>
      </c>
      <c r="G844">
        <v>2.25</v>
      </c>
    </row>
    <row r="845" spans="1:7" x14ac:dyDescent="0.25">
      <c r="A845">
        <v>4728</v>
      </c>
      <c r="B845">
        <v>2</v>
      </c>
      <c r="C845">
        <v>2</v>
      </c>
      <c r="D845">
        <v>2</v>
      </c>
      <c r="E845">
        <v>2</v>
      </c>
      <c r="F845">
        <v>3</v>
      </c>
      <c r="G845">
        <v>2</v>
      </c>
    </row>
    <row r="846" spans="1:7" x14ac:dyDescent="0.25">
      <c r="A846">
        <v>4730</v>
      </c>
      <c r="B846">
        <v>2</v>
      </c>
      <c r="C846">
        <v>2</v>
      </c>
      <c r="D846">
        <v>1</v>
      </c>
      <c r="E846">
        <v>1</v>
      </c>
      <c r="F846">
        <v>3</v>
      </c>
      <c r="G846">
        <v>1.5</v>
      </c>
    </row>
    <row r="847" spans="1:7" x14ac:dyDescent="0.25">
      <c r="A847">
        <v>4732</v>
      </c>
      <c r="B847">
        <v>1</v>
      </c>
      <c r="C847">
        <v>2</v>
      </c>
      <c r="D847">
        <v>1</v>
      </c>
      <c r="E847">
        <v>1</v>
      </c>
      <c r="F847">
        <v>3</v>
      </c>
      <c r="G847">
        <v>1.25</v>
      </c>
    </row>
    <row r="848" spans="1:7" x14ac:dyDescent="0.25">
      <c r="A848">
        <v>4733</v>
      </c>
      <c r="B848">
        <v>2</v>
      </c>
      <c r="C848">
        <v>2</v>
      </c>
      <c r="D848">
        <v>3</v>
      </c>
      <c r="E848">
        <v>2</v>
      </c>
      <c r="F848">
        <v>3</v>
      </c>
      <c r="G848">
        <v>2.25</v>
      </c>
    </row>
    <row r="849" spans="1:7" x14ac:dyDescent="0.25">
      <c r="A849">
        <v>4736</v>
      </c>
      <c r="B849">
        <v>1</v>
      </c>
      <c r="C849">
        <v>1</v>
      </c>
      <c r="D849">
        <v>3</v>
      </c>
      <c r="E849">
        <v>3</v>
      </c>
      <c r="F849">
        <v>3</v>
      </c>
      <c r="G849">
        <v>2</v>
      </c>
    </row>
    <row r="850" spans="1:7" x14ac:dyDescent="0.25">
      <c r="A850">
        <v>4737</v>
      </c>
      <c r="B850">
        <v>2</v>
      </c>
      <c r="C850">
        <v>2</v>
      </c>
      <c r="D850">
        <v>1</v>
      </c>
      <c r="E850">
        <v>1</v>
      </c>
      <c r="F850">
        <v>3</v>
      </c>
      <c r="G850">
        <v>1.5</v>
      </c>
    </row>
    <row r="851" spans="1:7" x14ac:dyDescent="0.25">
      <c r="A851">
        <v>4738</v>
      </c>
      <c r="B851">
        <v>1</v>
      </c>
      <c r="C851">
        <v>0</v>
      </c>
      <c r="D851">
        <v>1</v>
      </c>
      <c r="E851">
        <v>1</v>
      </c>
      <c r="F851">
        <v>2</v>
      </c>
      <c r="G851">
        <v>0.75</v>
      </c>
    </row>
    <row r="852" spans="1:7" x14ac:dyDescent="0.25">
      <c r="A852">
        <v>4739</v>
      </c>
      <c r="B852">
        <v>1</v>
      </c>
      <c r="C852">
        <v>1</v>
      </c>
      <c r="D852">
        <v>2</v>
      </c>
      <c r="E852">
        <v>2</v>
      </c>
      <c r="F852">
        <v>3</v>
      </c>
      <c r="G852">
        <v>1.5</v>
      </c>
    </row>
    <row r="853" spans="1:7" x14ac:dyDescent="0.25">
      <c r="A853">
        <v>4740</v>
      </c>
      <c r="B853">
        <v>2</v>
      </c>
      <c r="C853">
        <v>1</v>
      </c>
      <c r="D853">
        <v>1</v>
      </c>
      <c r="E853">
        <v>2</v>
      </c>
      <c r="F853">
        <v>2</v>
      </c>
      <c r="G853">
        <v>1.5</v>
      </c>
    </row>
    <row r="854" spans="1:7" x14ac:dyDescent="0.25">
      <c r="A854">
        <v>4741</v>
      </c>
      <c r="B854">
        <v>1</v>
      </c>
      <c r="C854">
        <v>1</v>
      </c>
      <c r="D854">
        <v>1</v>
      </c>
      <c r="E854">
        <v>1</v>
      </c>
      <c r="F854">
        <v>3</v>
      </c>
      <c r="G854">
        <v>1</v>
      </c>
    </row>
    <row r="855" spans="1:7" x14ac:dyDescent="0.25">
      <c r="A855">
        <v>4742</v>
      </c>
      <c r="B855">
        <v>1</v>
      </c>
      <c r="C855">
        <v>1</v>
      </c>
      <c r="D855">
        <v>1</v>
      </c>
      <c r="E855">
        <v>1</v>
      </c>
      <c r="F855">
        <v>3</v>
      </c>
      <c r="G855">
        <v>1</v>
      </c>
    </row>
    <row r="856" spans="1:7" x14ac:dyDescent="0.25">
      <c r="A856">
        <v>4743</v>
      </c>
      <c r="B856">
        <v>3</v>
      </c>
      <c r="C856">
        <v>2</v>
      </c>
      <c r="D856">
        <v>1</v>
      </c>
      <c r="E856">
        <v>1</v>
      </c>
      <c r="F856">
        <v>3</v>
      </c>
      <c r="G856">
        <v>1.75</v>
      </c>
    </row>
    <row r="857" spans="1:7" x14ac:dyDescent="0.25">
      <c r="A857">
        <v>4744</v>
      </c>
      <c r="B857">
        <v>2</v>
      </c>
      <c r="C857">
        <v>2</v>
      </c>
      <c r="D857">
        <v>2</v>
      </c>
      <c r="E857">
        <v>3</v>
      </c>
      <c r="F857">
        <v>3</v>
      </c>
      <c r="G857">
        <v>2.25</v>
      </c>
    </row>
    <row r="858" spans="1:7" x14ac:dyDescent="0.25">
      <c r="A858">
        <v>4746</v>
      </c>
      <c r="B858">
        <v>1</v>
      </c>
      <c r="C858">
        <v>1</v>
      </c>
      <c r="D858">
        <v>1</v>
      </c>
      <c r="E858">
        <v>1</v>
      </c>
      <c r="F858">
        <v>3</v>
      </c>
      <c r="G858">
        <v>1</v>
      </c>
    </row>
    <row r="859" spans="1:7" x14ac:dyDescent="0.25">
      <c r="A859">
        <v>4747</v>
      </c>
      <c r="B859">
        <v>1</v>
      </c>
      <c r="C859">
        <v>2</v>
      </c>
      <c r="D859">
        <v>1</v>
      </c>
      <c r="E859">
        <v>1</v>
      </c>
      <c r="F859">
        <v>2</v>
      </c>
      <c r="G859">
        <v>1.25</v>
      </c>
    </row>
    <row r="860" spans="1:7" x14ac:dyDescent="0.25">
      <c r="A860">
        <v>4748</v>
      </c>
      <c r="B860">
        <v>4</v>
      </c>
      <c r="C860">
        <v>3</v>
      </c>
      <c r="D860">
        <v>3</v>
      </c>
      <c r="E860">
        <v>2</v>
      </c>
      <c r="F860">
        <v>3</v>
      </c>
      <c r="G860">
        <v>3</v>
      </c>
    </row>
    <row r="861" spans="1:7" x14ac:dyDescent="0.25">
      <c r="A861">
        <v>4749</v>
      </c>
      <c r="B861">
        <v>1</v>
      </c>
      <c r="C861">
        <v>1</v>
      </c>
      <c r="D861">
        <v>1</v>
      </c>
      <c r="E861">
        <v>1</v>
      </c>
      <c r="F861">
        <v>2</v>
      </c>
      <c r="G861">
        <v>1</v>
      </c>
    </row>
    <row r="862" spans="1:7" x14ac:dyDescent="0.25">
      <c r="A862">
        <v>4751</v>
      </c>
      <c r="B862">
        <v>2</v>
      </c>
      <c r="C862">
        <v>1</v>
      </c>
      <c r="D862">
        <v>1</v>
      </c>
      <c r="E862">
        <v>1</v>
      </c>
      <c r="F862">
        <v>3</v>
      </c>
      <c r="G862">
        <v>1.25</v>
      </c>
    </row>
    <row r="863" spans="1:7" x14ac:dyDescent="0.25">
      <c r="A863">
        <v>4752</v>
      </c>
      <c r="B863">
        <v>3</v>
      </c>
      <c r="C863">
        <v>3</v>
      </c>
      <c r="D863">
        <v>2</v>
      </c>
      <c r="E863">
        <v>3</v>
      </c>
      <c r="F863">
        <v>2</v>
      </c>
      <c r="G863">
        <v>2.75</v>
      </c>
    </row>
    <row r="864" spans="1:7" x14ac:dyDescent="0.25">
      <c r="A864">
        <v>4753</v>
      </c>
      <c r="B864">
        <v>1</v>
      </c>
      <c r="C864">
        <v>1</v>
      </c>
      <c r="D864">
        <v>2</v>
      </c>
      <c r="E864">
        <v>2</v>
      </c>
      <c r="F864">
        <v>3</v>
      </c>
      <c r="G864">
        <v>1.5</v>
      </c>
    </row>
    <row r="865" spans="1:7" x14ac:dyDescent="0.25">
      <c r="A865">
        <v>4756</v>
      </c>
      <c r="B865">
        <v>1</v>
      </c>
      <c r="C865">
        <v>1</v>
      </c>
      <c r="D865">
        <v>1</v>
      </c>
      <c r="E865">
        <v>1</v>
      </c>
      <c r="F865">
        <v>3</v>
      </c>
      <c r="G865">
        <v>1</v>
      </c>
    </row>
    <row r="866" spans="1:7" x14ac:dyDescent="0.25">
      <c r="A866">
        <v>4757</v>
      </c>
      <c r="B866">
        <v>1</v>
      </c>
      <c r="C866">
        <v>2</v>
      </c>
      <c r="D866">
        <v>1</v>
      </c>
      <c r="E866">
        <v>1</v>
      </c>
      <c r="F866">
        <v>3</v>
      </c>
      <c r="G866">
        <v>1.25</v>
      </c>
    </row>
    <row r="867" spans="1:7" x14ac:dyDescent="0.25">
      <c r="A867">
        <v>4758</v>
      </c>
      <c r="B867">
        <v>1</v>
      </c>
      <c r="C867">
        <v>1</v>
      </c>
      <c r="D867">
        <v>0</v>
      </c>
      <c r="E867">
        <v>2</v>
      </c>
      <c r="F867">
        <v>3</v>
      </c>
      <c r="G867">
        <v>1</v>
      </c>
    </row>
    <row r="868" spans="1:7" x14ac:dyDescent="0.25">
      <c r="A868">
        <v>4759</v>
      </c>
      <c r="B868">
        <v>1</v>
      </c>
      <c r="C868">
        <v>2</v>
      </c>
      <c r="D868">
        <v>2</v>
      </c>
      <c r="E868">
        <v>2</v>
      </c>
      <c r="F868">
        <v>3</v>
      </c>
      <c r="G868">
        <v>1.75</v>
      </c>
    </row>
    <row r="869" spans="1:7" x14ac:dyDescent="0.25">
      <c r="A869">
        <v>4760</v>
      </c>
      <c r="B869">
        <v>2</v>
      </c>
      <c r="C869">
        <v>2</v>
      </c>
      <c r="D869">
        <v>1</v>
      </c>
      <c r="E869">
        <v>1</v>
      </c>
      <c r="F869">
        <v>3</v>
      </c>
      <c r="G869">
        <v>1.5</v>
      </c>
    </row>
    <row r="870" spans="1:7" x14ac:dyDescent="0.25">
      <c r="A870">
        <v>4761</v>
      </c>
      <c r="B870">
        <v>2</v>
      </c>
      <c r="C870">
        <v>1</v>
      </c>
      <c r="D870">
        <v>2</v>
      </c>
      <c r="E870">
        <v>2</v>
      </c>
      <c r="F870">
        <v>3</v>
      </c>
      <c r="G870">
        <v>1.75</v>
      </c>
    </row>
    <row r="871" spans="1:7" x14ac:dyDescent="0.25">
      <c r="A871">
        <v>4762</v>
      </c>
      <c r="B871">
        <v>1</v>
      </c>
      <c r="C871">
        <v>3</v>
      </c>
      <c r="D871">
        <v>1</v>
      </c>
      <c r="E871">
        <v>1</v>
      </c>
      <c r="F871">
        <v>4</v>
      </c>
      <c r="G871">
        <v>1.5</v>
      </c>
    </row>
    <row r="872" spans="1:7" x14ac:dyDescent="0.25">
      <c r="A872">
        <v>4765</v>
      </c>
      <c r="B872">
        <v>2</v>
      </c>
      <c r="C872">
        <v>2</v>
      </c>
      <c r="D872">
        <v>3</v>
      </c>
      <c r="E872">
        <v>2</v>
      </c>
      <c r="F872">
        <v>2</v>
      </c>
      <c r="G872">
        <v>2.25</v>
      </c>
    </row>
    <row r="873" spans="1:7" x14ac:dyDescent="0.25">
      <c r="A873">
        <v>4766</v>
      </c>
      <c r="B873">
        <v>1</v>
      </c>
      <c r="C873">
        <v>1</v>
      </c>
      <c r="D873">
        <v>1</v>
      </c>
      <c r="E873">
        <v>1</v>
      </c>
      <c r="F873">
        <v>3</v>
      </c>
      <c r="G873">
        <v>1</v>
      </c>
    </row>
    <row r="874" spans="1:7" x14ac:dyDescent="0.25">
      <c r="A874">
        <v>4769</v>
      </c>
      <c r="B874">
        <v>1</v>
      </c>
      <c r="C874">
        <v>1</v>
      </c>
      <c r="D874">
        <v>1</v>
      </c>
      <c r="E874">
        <v>1</v>
      </c>
      <c r="F874">
        <v>2</v>
      </c>
      <c r="G874">
        <v>1</v>
      </c>
    </row>
    <row r="875" spans="1:7" x14ac:dyDescent="0.25">
      <c r="A875">
        <v>4771</v>
      </c>
      <c r="B875">
        <v>4</v>
      </c>
      <c r="C875">
        <v>4</v>
      </c>
      <c r="D875">
        <v>3</v>
      </c>
      <c r="E875">
        <v>4</v>
      </c>
      <c r="F875">
        <v>3</v>
      </c>
      <c r="G875">
        <v>3.75</v>
      </c>
    </row>
    <row r="876" spans="1:7" x14ac:dyDescent="0.25">
      <c r="A876">
        <v>4772</v>
      </c>
      <c r="B876">
        <v>3</v>
      </c>
      <c r="C876">
        <v>3</v>
      </c>
      <c r="D876">
        <v>2</v>
      </c>
      <c r="E876">
        <v>3</v>
      </c>
      <c r="F876">
        <v>2</v>
      </c>
      <c r="G876">
        <v>2.75</v>
      </c>
    </row>
    <row r="877" spans="1:7" x14ac:dyDescent="0.25">
      <c r="A877">
        <v>4773</v>
      </c>
      <c r="B877">
        <v>2</v>
      </c>
      <c r="C877">
        <v>2</v>
      </c>
      <c r="D877">
        <v>2</v>
      </c>
      <c r="E877">
        <v>2</v>
      </c>
      <c r="F877">
        <v>2</v>
      </c>
      <c r="G877">
        <v>2</v>
      </c>
    </row>
    <row r="878" spans="1:7" x14ac:dyDescent="0.25">
      <c r="A878">
        <v>4774</v>
      </c>
      <c r="B878">
        <v>2</v>
      </c>
      <c r="C878">
        <v>1</v>
      </c>
      <c r="D878">
        <v>1</v>
      </c>
      <c r="E878">
        <v>1</v>
      </c>
      <c r="F878">
        <v>3</v>
      </c>
      <c r="G878">
        <v>1.25</v>
      </c>
    </row>
    <row r="879" spans="1:7" x14ac:dyDescent="0.25">
      <c r="A879">
        <v>4775</v>
      </c>
      <c r="B879">
        <v>3</v>
      </c>
      <c r="C879">
        <v>3</v>
      </c>
      <c r="D879">
        <v>2</v>
      </c>
      <c r="E879">
        <v>2</v>
      </c>
      <c r="F879">
        <v>3</v>
      </c>
      <c r="G879">
        <v>2.5</v>
      </c>
    </row>
    <row r="880" spans="1:7" x14ac:dyDescent="0.25">
      <c r="A880">
        <v>4776</v>
      </c>
      <c r="B880">
        <v>2</v>
      </c>
      <c r="C880">
        <v>2</v>
      </c>
      <c r="D880">
        <v>1</v>
      </c>
      <c r="E880">
        <v>1</v>
      </c>
      <c r="F880">
        <v>3</v>
      </c>
      <c r="G880">
        <v>1.5</v>
      </c>
    </row>
    <row r="881" spans="1:7" x14ac:dyDescent="0.25">
      <c r="A881">
        <v>4777</v>
      </c>
      <c r="B881">
        <v>2</v>
      </c>
      <c r="C881">
        <v>1</v>
      </c>
      <c r="D881">
        <v>2</v>
      </c>
      <c r="E881">
        <v>2</v>
      </c>
      <c r="F881">
        <v>2</v>
      </c>
      <c r="G881">
        <v>1.75</v>
      </c>
    </row>
    <row r="882" spans="1:7" x14ac:dyDescent="0.25">
      <c r="A882">
        <v>4778</v>
      </c>
      <c r="B882">
        <v>1</v>
      </c>
      <c r="C882">
        <v>1</v>
      </c>
      <c r="D882">
        <v>1</v>
      </c>
      <c r="E882">
        <v>3</v>
      </c>
      <c r="F882">
        <v>2</v>
      </c>
      <c r="G882">
        <v>1.5</v>
      </c>
    </row>
    <row r="883" spans="1:7" x14ac:dyDescent="0.25">
      <c r="A883">
        <v>4779</v>
      </c>
      <c r="B883">
        <v>1</v>
      </c>
      <c r="C883">
        <v>1</v>
      </c>
      <c r="D883">
        <v>1</v>
      </c>
      <c r="E883">
        <v>1</v>
      </c>
      <c r="F883">
        <v>3</v>
      </c>
      <c r="G883">
        <v>1</v>
      </c>
    </row>
    <row r="884" spans="1:7" x14ac:dyDescent="0.25">
      <c r="A884">
        <v>4782</v>
      </c>
      <c r="B884">
        <v>1</v>
      </c>
      <c r="C884">
        <v>1</v>
      </c>
      <c r="D884">
        <v>1</v>
      </c>
      <c r="E884">
        <v>1</v>
      </c>
      <c r="F884">
        <v>3</v>
      </c>
      <c r="G884">
        <v>1</v>
      </c>
    </row>
    <row r="885" spans="1:7" x14ac:dyDescent="0.25">
      <c r="A885">
        <v>4783</v>
      </c>
      <c r="B885">
        <v>2</v>
      </c>
      <c r="C885">
        <v>1</v>
      </c>
      <c r="D885">
        <v>1</v>
      </c>
      <c r="E885">
        <v>1</v>
      </c>
      <c r="F885">
        <v>3</v>
      </c>
      <c r="G885">
        <v>1.25</v>
      </c>
    </row>
    <row r="886" spans="1:7" x14ac:dyDescent="0.25">
      <c r="A886">
        <v>4787</v>
      </c>
      <c r="B886">
        <v>2</v>
      </c>
      <c r="C886">
        <v>2</v>
      </c>
      <c r="D886">
        <v>1</v>
      </c>
      <c r="E886">
        <v>1</v>
      </c>
      <c r="F886">
        <v>3</v>
      </c>
      <c r="G886">
        <v>1.5</v>
      </c>
    </row>
    <row r="887" spans="1:7" x14ac:dyDescent="0.25">
      <c r="A887">
        <v>4788</v>
      </c>
      <c r="B887">
        <v>1</v>
      </c>
      <c r="C887">
        <v>1</v>
      </c>
      <c r="D887">
        <v>1</v>
      </c>
      <c r="E887">
        <v>1</v>
      </c>
      <c r="F887">
        <v>3</v>
      </c>
      <c r="G887">
        <v>1</v>
      </c>
    </row>
    <row r="888" spans="1:7" x14ac:dyDescent="0.25">
      <c r="A888">
        <v>4790</v>
      </c>
      <c r="B888">
        <v>2</v>
      </c>
      <c r="C888">
        <v>2</v>
      </c>
      <c r="D888">
        <v>2</v>
      </c>
      <c r="E888">
        <v>2</v>
      </c>
      <c r="F888">
        <v>3</v>
      </c>
      <c r="G888">
        <v>2</v>
      </c>
    </row>
    <row r="889" spans="1:7" x14ac:dyDescent="0.25">
      <c r="A889">
        <v>4792</v>
      </c>
      <c r="B889">
        <v>2</v>
      </c>
      <c r="C889">
        <v>1</v>
      </c>
      <c r="D889">
        <v>1</v>
      </c>
      <c r="E889">
        <v>2</v>
      </c>
      <c r="F889">
        <v>3</v>
      </c>
      <c r="G889">
        <v>1.5</v>
      </c>
    </row>
    <row r="890" spans="1:7" x14ac:dyDescent="0.25">
      <c r="A890">
        <v>4794</v>
      </c>
      <c r="B890">
        <v>1</v>
      </c>
      <c r="C890">
        <v>1</v>
      </c>
      <c r="D890">
        <v>1</v>
      </c>
      <c r="E890">
        <v>1</v>
      </c>
      <c r="F890">
        <v>3</v>
      </c>
      <c r="G890">
        <v>1</v>
      </c>
    </row>
    <row r="891" spans="1:7" x14ac:dyDescent="0.25">
      <c r="A891">
        <v>4796</v>
      </c>
      <c r="B891">
        <v>1</v>
      </c>
      <c r="C891">
        <v>1</v>
      </c>
      <c r="D891">
        <v>1</v>
      </c>
      <c r="E891">
        <v>1</v>
      </c>
      <c r="F891">
        <v>3</v>
      </c>
      <c r="G891">
        <v>1</v>
      </c>
    </row>
    <row r="892" spans="1:7" x14ac:dyDescent="0.25">
      <c r="A892">
        <v>4797</v>
      </c>
      <c r="B892">
        <v>2</v>
      </c>
      <c r="C892">
        <v>1</v>
      </c>
      <c r="D892">
        <v>1</v>
      </c>
      <c r="E892">
        <v>1</v>
      </c>
      <c r="F892">
        <v>3</v>
      </c>
      <c r="G892">
        <v>1.25</v>
      </c>
    </row>
    <row r="893" spans="1:7" x14ac:dyDescent="0.25">
      <c r="A893">
        <v>4799</v>
      </c>
      <c r="B893">
        <v>2</v>
      </c>
      <c r="C893">
        <v>2</v>
      </c>
      <c r="D893">
        <v>1</v>
      </c>
      <c r="E893">
        <v>2</v>
      </c>
      <c r="F893">
        <v>3</v>
      </c>
      <c r="G893">
        <v>1.75</v>
      </c>
    </row>
    <row r="894" spans="1:7" x14ac:dyDescent="0.25">
      <c r="A894">
        <v>4800</v>
      </c>
      <c r="B894">
        <v>3</v>
      </c>
      <c r="C894">
        <v>3</v>
      </c>
      <c r="D894">
        <v>2</v>
      </c>
      <c r="E894">
        <v>2</v>
      </c>
      <c r="F894">
        <v>2</v>
      </c>
      <c r="G894">
        <v>2.5</v>
      </c>
    </row>
    <row r="895" spans="1:7" x14ac:dyDescent="0.25">
      <c r="A895">
        <v>4801</v>
      </c>
      <c r="B895">
        <v>2</v>
      </c>
      <c r="C895">
        <v>2</v>
      </c>
      <c r="D895">
        <v>1</v>
      </c>
      <c r="E895">
        <v>1</v>
      </c>
      <c r="F895">
        <v>2</v>
      </c>
      <c r="G895">
        <v>1.5</v>
      </c>
    </row>
    <row r="896" spans="1:7" x14ac:dyDescent="0.25">
      <c r="A896">
        <v>4802</v>
      </c>
      <c r="B896">
        <v>2</v>
      </c>
      <c r="C896">
        <v>1</v>
      </c>
      <c r="D896">
        <v>1</v>
      </c>
      <c r="E896">
        <v>2</v>
      </c>
      <c r="F896">
        <v>2</v>
      </c>
      <c r="G896">
        <v>1.5</v>
      </c>
    </row>
    <row r="897" spans="1:7" x14ac:dyDescent="0.25">
      <c r="A897">
        <v>4804</v>
      </c>
      <c r="B897">
        <v>2</v>
      </c>
      <c r="C897">
        <v>2</v>
      </c>
      <c r="D897">
        <v>1</v>
      </c>
      <c r="E897">
        <v>1</v>
      </c>
      <c r="F897">
        <v>3</v>
      </c>
      <c r="G897">
        <v>1.5</v>
      </c>
    </row>
    <row r="898" spans="1:7" x14ac:dyDescent="0.25">
      <c r="A898">
        <v>4807</v>
      </c>
      <c r="B898">
        <v>2</v>
      </c>
      <c r="C898">
        <v>2</v>
      </c>
      <c r="D898">
        <v>1</v>
      </c>
      <c r="E898">
        <v>1</v>
      </c>
      <c r="F898">
        <v>3</v>
      </c>
      <c r="G898">
        <v>1.5</v>
      </c>
    </row>
    <row r="899" spans="1:7" x14ac:dyDescent="0.25">
      <c r="A899">
        <v>4810</v>
      </c>
      <c r="B899">
        <v>0</v>
      </c>
      <c r="C899">
        <v>1</v>
      </c>
      <c r="D899">
        <v>1</v>
      </c>
      <c r="E899">
        <v>1</v>
      </c>
      <c r="F899">
        <v>2</v>
      </c>
      <c r="G899">
        <v>0.75</v>
      </c>
    </row>
    <row r="900" spans="1:7" x14ac:dyDescent="0.25">
      <c r="A900">
        <v>4811</v>
      </c>
      <c r="B900">
        <v>2</v>
      </c>
      <c r="C900">
        <v>1</v>
      </c>
      <c r="D900">
        <v>1</v>
      </c>
      <c r="E900">
        <v>1</v>
      </c>
      <c r="F900">
        <v>2</v>
      </c>
      <c r="G900">
        <v>1.25</v>
      </c>
    </row>
    <row r="901" spans="1:7" x14ac:dyDescent="0.25">
      <c r="A901">
        <v>4812</v>
      </c>
      <c r="B901">
        <v>2</v>
      </c>
      <c r="C901">
        <v>2</v>
      </c>
      <c r="D901">
        <v>3</v>
      </c>
      <c r="E901">
        <v>3</v>
      </c>
      <c r="F901">
        <v>3</v>
      </c>
      <c r="G901">
        <v>2.5</v>
      </c>
    </row>
    <row r="902" spans="1:7" x14ac:dyDescent="0.25">
      <c r="A902">
        <v>4813</v>
      </c>
      <c r="B902">
        <v>2</v>
      </c>
      <c r="C902">
        <v>1</v>
      </c>
      <c r="D902">
        <v>1</v>
      </c>
      <c r="E902">
        <v>2</v>
      </c>
      <c r="F902">
        <v>3</v>
      </c>
      <c r="G902">
        <v>1.5</v>
      </c>
    </row>
    <row r="903" spans="1:7" x14ac:dyDescent="0.25">
      <c r="A903">
        <v>4815</v>
      </c>
      <c r="B903">
        <v>3</v>
      </c>
      <c r="C903">
        <v>3</v>
      </c>
      <c r="D903">
        <v>2</v>
      </c>
      <c r="E903">
        <v>3</v>
      </c>
      <c r="F903">
        <v>3</v>
      </c>
      <c r="G903">
        <v>2.75</v>
      </c>
    </row>
    <row r="904" spans="1:7" x14ac:dyDescent="0.25">
      <c r="A904">
        <v>4817</v>
      </c>
      <c r="B904">
        <v>0</v>
      </c>
      <c r="C904">
        <v>2</v>
      </c>
      <c r="D904">
        <v>1</v>
      </c>
      <c r="E904">
        <v>1</v>
      </c>
      <c r="F904">
        <v>3</v>
      </c>
      <c r="G904">
        <v>1</v>
      </c>
    </row>
    <row r="905" spans="1:7" x14ac:dyDescent="0.25">
      <c r="A905">
        <v>4818</v>
      </c>
      <c r="B905">
        <v>3</v>
      </c>
      <c r="C905">
        <v>3</v>
      </c>
      <c r="D905">
        <v>2</v>
      </c>
      <c r="E905">
        <v>0</v>
      </c>
      <c r="F905">
        <v>4</v>
      </c>
      <c r="G905">
        <v>2</v>
      </c>
    </row>
    <row r="906" spans="1:7" x14ac:dyDescent="0.25">
      <c r="A906">
        <v>4819</v>
      </c>
      <c r="B906">
        <v>1</v>
      </c>
      <c r="C906">
        <v>1</v>
      </c>
      <c r="D906">
        <v>1</v>
      </c>
      <c r="E906">
        <v>1</v>
      </c>
      <c r="F906">
        <v>3</v>
      </c>
      <c r="G906">
        <v>1</v>
      </c>
    </row>
    <row r="907" spans="1:7" x14ac:dyDescent="0.25">
      <c r="A907">
        <v>4821</v>
      </c>
      <c r="B907">
        <v>0</v>
      </c>
      <c r="C907">
        <v>3</v>
      </c>
      <c r="D907">
        <v>2</v>
      </c>
      <c r="E907">
        <v>2</v>
      </c>
      <c r="F907">
        <v>3</v>
      </c>
      <c r="G907">
        <v>1.75</v>
      </c>
    </row>
    <row r="908" spans="1:7" x14ac:dyDescent="0.25">
      <c r="A908">
        <v>4822</v>
      </c>
      <c r="B908">
        <v>2</v>
      </c>
      <c r="C908">
        <v>1</v>
      </c>
      <c r="D908">
        <v>1</v>
      </c>
      <c r="E908">
        <v>1</v>
      </c>
      <c r="F908">
        <v>2</v>
      </c>
      <c r="G908">
        <v>1.25</v>
      </c>
    </row>
    <row r="909" spans="1:7" x14ac:dyDescent="0.25">
      <c r="A909">
        <v>4823</v>
      </c>
      <c r="B909">
        <v>1</v>
      </c>
      <c r="C909">
        <v>2</v>
      </c>
      <c r="D909">
        <v>1</v>
      </c>
      <c r="E909">
        <v>1</v>
      </c>
      <c r="F909">
        <v>3</v>
      </c>
      <c r="G909">
        <v>1.25</v>
      </c>
    </row>
    <row r="910" spans="1:7" x14ac:dyDescent="0.25">
      <c r="A910">
        <v>4825</v>
      </c>
      <c r="B910">
        <v>1</v>
      </c>
      <c r="C910">
        <v>1</v>
      </c>
      <c r="D910">
        <v>2</v>
      </c>
      <c r="E910">
        <v>3</v>
      </c>
      <c r="F910">
        <v>3</v>
      </c>
      <c r="G910">
        <v>1.75</v>
      </c>
    </row>
    <row r="911" spans="1:7" x14ac:dyDescent="0.25">
      <c r="A911">
        <v>4826</v>
      </c>
      <c r="B911">
        <v>2</v>
      </c>
      <c r="C911">
        <v>3</v>
      </c>
      <c r="D911">
        <v>2</v>
      </c>
      <c r="E911">
        <v>3</v>
      </c>
      <c r="F911">
        <v>3</v>
      </c>
      <c r="G911">
        <v>2.5</v>
      </c>
    </row>
    <row r="912" spans="1:7" x14ac:dyDescent="0.25">
      <c r="A912">
        <v>4827</v>
      </c>
      <c r="B912">
        <v>1</v>
      </c>
      <c r="C912">
        <v>1</v>
      </c>
      <c r="D912">
        <v>1</v>
      </c>
      <c r="E912">
        <v>1</v>
      </c>
      <c r="F912">
        <v>2</v>
      </c>
      <c r="G912">
        <v>1</v>
      </c>
    </row>
    <row r="913" spans="1:7" x14ac:dyDescent="0.25">
      <c r="A913">
        <v>4828</v>
      </c>
      <c r="B913">
        <v>1</v>
      </c>
      <c r="C913">
        <v>1</v>
      </c>
      <c r="D913">
        <v>1</v>
      </c>
      <c r="E913">
        <v>1</v>
      </c>
      <c r="F913">
        <v>2</v>
      </c>
      <c r="G913">
        <v>1</v>
      </c>
    </row>
    <row r="914" spans="1:7" x14ac:dyDescent="0.25">
      <c r="A914">
        <v>4830</v>
      </c>
      <c r="B914">
        <v>3</v>
      </c>
      <c r="C914">
        <v>2</v>
      </c>
      <c r="D914">
        <v>1</v>
      </c>
      <c r="E914">
        <v>1</v>
      </c>
      <c r="F914">
        <v>3</v>
      </c>
      <c r="G914">
        <v>1.75</v>
      </c>
    </row>
    <row r="915" spans="1:7" x14ac:dyDescent="0.25">
      <c r="A915">
        <v>4831</v>
      </c>
      <c r="B915">
        <v>2</v>
      </c>
      <c r="C915">
        <v>2</v>
      </c>
      <c r="D915">
        <v>1</v>
      </c>
      <c r="E915">
        <v>1</v>
      </c>
      <c r="F915">
        <v>3</v>
      </c>
      <c r="G915">
        <v>1.5</v>
      </c>
    </row>
    <row r="916" spans="1:7" x14ac:dyDescent="0.25">
      <c r="A916">
        <v>4832</v>
      </c>
      <c r="B916">
        <v>2</v>
      </c>
      <c r="C916">
        <v>1</v>
      </c>
      <c r="D916">
        <v>1</v>
      </c>
      <c r="E916">
        <v>1</v>
      </c>
      <c r="F916">
        <v>2</v>
      </c>
      <c r="G916">
        <v>1.25</v>
      </c>
    </row>
    <row r="917" spans="1:7" x14ac:dyDescent="0.25">
      <c r="A917">
        <v>4834</v>
      </c>
      <c r="B917">
        <v>2</v>
      </c>
      <c r="C917">
        <v>2</v>
      </c>
      <c r="D917">
        <v>1</v>
      </c>
      <c r="E917">
        <v>1</v>
      </c>
      <c r="F917">
        <v>3</v>
      </c>
      <c r="G917">
        <v>1.5</v>
      </c>
    </row>
    <row r="918" spans="1:7" x14ac:dyDescent="0.25">
      <c r="A918">
        <v>4836</v>
      </c>
      <c r="B918">
        <v>4</v>
      </c>
      <c r="C918">
        <v>4</v>
      </c>
      <c r="D918">
        <v>3</v>
      </c>
      <c r="E918">
        <v>3</v>
      </c>
      <c r="F918">
        <v>2</v>
      </c>
      <c r="G918">
        <v>3.5</v>
      </c>
    </row>
    <row r="919" spans="1:7" x14ac:dyDescent="0.25">
      <c r="A919">
        <v>4837</v>
      </c>
      <c r="B919">
        <v>1</v>
      </c>
      <c r="C919">
        <v>1</v>
      </c>
      <c r="D919">
        <v>1</v>
      </c>
      <c r="E919">
        <v>1</v>
      </c>
      <c r="F919">
        <v>3</v>
      </c>
      <c r="G919">
        <v>1</v>
      </c>
    </row>
    <row r="920" spans="1:7" x14ac:dyDescent="0.25">
      <c r="A920">
        <v>4839</v>
      </c>
      <c r="B920">
        <v>1</v>
      </c>
      <c r="C920">
        <v>1</v>
      </c>
      <c r="D920">
        <v>1</v>
      </c>
      <c r="E920">
        <v>1</v>
      </c>
      <c r="F920">
        <v>3</v>
      </c>
      <c r="G920">
        <v>1</v>
      </c>
    </row>
    <row r="921" spans="1:7" x14ac:dyDescent="0.25">
      <c r="A921">
        <v>4841</v>
      </c>
      <c r="B921">
        <v>2</v>
      </c>
      <c r="C921">
        <v>2</v>
      </c>
      <c r="D921">
        <v>2</v>
      </c>
      <c r="E921">
        <v>1</v>
      </c>
      <c r="F921">
        <v>3</v>
      </c>
      <c r="G921">
        <v>1.75</v>
      </c>
    </row>
    <row r="922" spans="1:7" x14ac:dyDescent="0.25">
      <c r="A922">
        <v>4842</v>
      </c>
      <c r="B922">
        <v>3</v>
      </c>
      <c r="C922">
        <v>1</v>
      </c>
      <c r="D922">
        <v>1</v>
      </c>
      <c r="E922">
        <v>2</v>
      </c>
      <c r="F922">
        <v>2</v>
      </c>
      <c r="G922">
        <v>1.75</v>
      </c>
    </row>
    <row r="923" spans="1:7" x14ac:dyDescent="0.25">
      <c r="A923">
        <v>4846</v>
      </c>
      <c r="B923">
        <v>4</v>
      </c>
      <c r="C923">
        <v>4</v>
      </c>
      <c r="D923">
        <v>3</v>
      </c>
      <c r="E923">
        <v>4</v>
      </c>
      <c r="F923">
        <v>2</v>
      </c>
      <c r="G923">
        <v>3.75</v>
      </c>
    </row>
    <row r="924" spans="1:7" x14ac:dyDescent="0.25">
      <c r="A924">
        <v>4847</v>
      </c>
      <c r="B924">
        <v>2</v>
      </c>
      <c r="C924">
        <v>2</v>
      </c>
      <c r="D924">
        <v>2</v>
      </c>
      <c r="E924">
        <v>0</v>
      </c>
      <c r="F924">
        <v>3</v>
      </c>
      <c r="G924">
        <v>1.5</v>
      </c>
    </row>
    <row r="925" spans="1:7" x14ac:dyDescent="0.25">
      <c r="A925">
        <v>4848</v>
      </c>
      <c r="B925">
        <v>1</v>
      </c>
      <c r="C925">
        <v>1</v>
      </c>
      <c r="D925">
        <v>1</v>
      </c>
      <c r="E925">
        <v>1</v>
      </c>
      <c r="F925">
        <v>3</v>
      </c>
      <c r="G925">
        <v>1</v>
      </c>
    </row>
    <row r="926" spans="1:7" x14ac:dyDescent="0.25">
      <c r="A926">
        <v>4849</v>
      </c>
      <c r="B926">
        <v>1</v>
      </c>
      <c r="C926">
        <v>2</v>
      </c>
      <c r="D926">
        <v>1</v>
      </c>
      <c r="E926">
        <v>1</v>
      </c>
      <c r="F926">
        <v>3</v>
      </c>
      <c r="G926">
        <v>1.25</v>
      </c>
    </row>
    <row r="927" spans="1:7" x14ac:dyDescent="0.25">
      <c r="A927">
        <v>4850</v>
      </c>
      <c r="B927">
        <v>1</v>
      </c>
      <c r="C927">
        <v>1</v>
      </c>
      <c r="D927">
        <v>1</v>
      </c>
      <c r="E927">
        <v>1</v>
      </c>
      <c r="F927">
        <v>2</v>
      </c>
      <c r="G927">
        <v>1</v>
      </c>
    </row>
    <row r="928" spans="1:7" x14ac:dyDescent="0.25">
      <c r="A928">
        <v>4851</v>
      </c>
      <c r="B928">
        <v>1</v>
      </c>
      <c r="C928">
        <v>2</v>
      </c>
      <c r="D928">
        <v>1</v>
      </c>
      <c r="E928">
        <v>2</v>
      </c>
      <c r="F928">
        <v>2</v>
      </c>
      <c r="G928">
        <v>1.5</v>
      </c>
    </row>
    <row r="929" spans="1:7" x14ac:dyDescent="0.25">
      <c r="A929">
        <v>4852</v>
      </c>
      <c r="B929">
        <v>1</v>
      </c>
      <c r="C929">
        <v>2</v>
      </c>
      <c r="D929">
        <v>2</v>
      </c>
      <c r="E929">
        <v>2</v>
      </c>
      <c r="F929">
        <v>2</v>
      </c>
      <c r="G929">
        <v>1.75</v>
      </c>
    </row>
    <row r="930" spans="1:7" x14ac:dyDescent="0.25">
      <c r="A930">
        <v>4855</v>
      </c>
      <c r="B930">
        <v>1</v>
      </c>
      <c r="C930">
        <v>2</v>
      </c>
      <c r="D930">
        <v>1</v>
      </c>
      <c r="E930">
        <v>2</v>
      </c>
      <c r="F930">
        <v>3</v>
      </c>
      <c r="G930">
        <v>1.5</v>
      </c>
    </row>
    <row r="931" spans="1:7" x14ac:dyDescent="0.25">
      <c r="A931">
        <v>4856</v>
      </c>
      <c r="B931">
        <v>3</v>
      </c>
      <c r="C931">
        <v>1</v>
      </c>
      <c r="D931">
        <v>1</v>
      </c>
      <c r="E931">
        <v>1</v>
      </c>
      <c r="F931">
        <v>3</v>
      </c>
      <c r="G931">
        <v>1.5</v>
      </c>
    </row>
    <row r="932" spans="1:7" x14ac:dyDescent="0.25">
      <c r="A932">
        <v>4857</v>
      </c>
      <c r="B932">
        <v>1</v>
      </c>
      <c r="C932">
        <v>3</v>
      </c>
      <c r="D932">
        <v>2</v>
      </c>
      <c r="E932">
        <v>1</v>
      </c>
      <c r="F932">
        <v>3</v>
      </c>
      <c r="G932">
        <v>1.75</v>
      </c>
    </row>
    <row r="933" spans="1:7" x14ac:dyDescent="0.25">
      <c r="A933">
        <v>4860</v>
      </c>
      <c r="B933">
        <v>3</v>
      </c>
      <c r="C933">
        <v>3</v>
      </c>
      <c r="D933">
        <v>2</v>
      </c>
      <c r="E933">
        <v>2</v>
      </c>
      <c r="F933">
        <v>3</v>
      </c>
      <c r="G933">
        <v>2.5</v>
      </c>
    </row>
    <row r="934" spans="1:7" x14ac:dyDescent="0.25">
      <c r="A934">
        <v>4861</v>
      </c>
      <c r="B934">
        <v>2</v>
      </c>
      <c r="C934">
        <v>2</v>
      </c>
      <c r="D934">
        <v>1</v>
      </c>
      <c r="E934">
        <v>2</v>
      </c>
      <c r="F934">
        <v>3</v>
      </c>
      <c r="G934">
        <v>1.75</v>
      </c>
    </row>
    <row r="935" spans="1:7" x14ac:dyDescent="0.25">
      <c r="A935">
        <v>4862</v>
      </c>
      <c r="B935">
        <v>1</v>
      </c>
      <c r="C935">
        <v>1</v>
      </c>
      <c r="D935">
        <v>2</v>
      </c>
      <c r="E935">
        <v>1</v>
      </c>
      <c r="F935">
        <v>3</v>
      </c>
      <c r="G935">
        <v>1.25</v>
      </c>
    </row>
    <row r="936" spans="1:7" x14ac:dyDescent="0.25">
      <c r="A936">
        <v>4863</v>
      </c>
      <c r="B936">
        <v>2</v>
      </c>
      <c r="C936">
        <v>1</v>
      </c>
      <c r="D936">
        <v>1</v>
      </c>
      <c r="E936">
        <v>1</v>
      </c>
      <c r="F936">
        <v>2</v>
      </c>
      <c r="G936">
        <v>1.25</v>
      </c>
    </row>
    <row r="937" spans="1:7" x14ac:dyDescent="0.25">
      <c r="A937">
        <v>4865</v>
      </c>
      <c r="B937">
        <v>2</v>
      </c>
      <c r="C937">
        <v>1</v>
      </c>
      <c r="D937">
        <v>1</v>
      </c>
      <c r="E937">
        <v>1</v>
      </c>
      <c r="F937">
        <v>3</v>
      </c>
      <c r="G937">
        <v>1.25</v>
      </c>
    </row>
    <row r="938" spans="1:7" x14ac:dyDescent="0.25">
      <c r="A938">
        <v>4867</v>
      </c>
      <c r="B938">
        <v>1</v>
      </c>
      <c r="C938">
        <v>1</v>
      </c>
      <c r="D938">
        <v>1</v>
      </c>
      <c r="E938">
        <v>1</v>
      </c>
      <c r="F938">
        <v>3</v>
      </c>
      <c r="G938">
        <v>1</v>
      </c>
    </row>
    <row r="939" spans="1:7" x14ac:dyDescent="0.25">
      <c r="A939">
        <v>4868</v>
      </c>
      <c r="B939">
        <v>2</v>
      </c>
      <c r="C939">
        <v>1</v>
      </c>
      <c r="D939">
        <v>1</v>
      </c>
      <c r="E939">
        <v>1</v>
      </c>
      <c r="F939">
        <v>3</v>
      </c>
      <c r="G939">
        <v>1.25</v>
      </c>
    </row>
    <row r="940" spans="1:7" x14ac:dyDescent="0.25">
      <c r="A940">
        <v>4869</v>
      </c>
      <c r="B940">
        <v>2</v>
      </c>
      <c r="C940">
        <v>2</v>
      </c>
      <c r="D940">
        <v>1</v>
      </c>
      <c r="E940">
        <v>1</v>
      </c>
      <c r="F940">
        <v>3</v>
      </c>
      <c r="G940">
        <v>1.5</v>
      </c>
    </row>
    <row r="941" spans="1:7" x14ac:dyDescent="0.25">
      <c r="A941">
        <v>4870</v>
      </c>
      <c r="B941">
        <v>1</v>
      </c>
      <c r="C941">
        <v>1</v>
      </c>
      <c r="D941">
        <v>1</v>
      </c>
      <c r="E941">
        <v>1</v>
      </c>
      <c r="F941">
        <v>2</v>
      </c>
      <c r="G941">
        <v>1</v>
      </c>
    </row>
    <row r="942" spans="1:7" x14ac:dyDescent="0.25">
      <c r="A942">
        <v>4871</v>
      </c>
      <c r="B942">
        <v>3</v>
      </c>
      <c r="C942">
        <v>2</v>
      </c>
      <c r="D942">
        <v>2</v>
      </c>
      <c r="E942">
        <v>2</v>
      </c>
      <c r="F942">
        <v>3</v>
      </c>
      <c r="G942">
        <v>2.25</v>
      </c>
    </row>
    <row r="943" spans="1:7" x14ac:dyDescent="0.25">
      <c r="A943">
        <v>4872</v>
      </c>
      <c r="B943">
        <v>2</v>
      </c>
      <c r="C943">
        <v>1</v>
      </c>
      <c r="D943">
        <v>1</v>
      </c>
      <c r="E943">
        <v>1</v>
      </c>
      <c r="F943">
        <v>3</v>
      </c>
      <c r="G943">
        <v>1.25</v>
      </c>
    </row>
    <row r="944" spans="1:7" x14ac:dyDescent="0.25">
      <c r="A944">
        <v>4873</v>
      </c>
      <c r="B944">
        <v>3</v>
      </c>
      <c r="C944">
        <v>3</v>
      </c>
      <c r="D944">
        <v>2</v>
      </c>
      <c r="E944">
        <v>2</v>
      </c>
      <c r="F944">
        <v>3</v>
      </c>
      <c r="G944">
        <v>2.5</v>
      </c>
    </row>
    <row r="945" spans="1:7" x14ac:dyDescent="0.25">
      <c r="A945">
        <v>4874</v>
      </c>
      <c r="B945">
        <v>2</v>
      </c>
      <c r="C945">
        <v>1</v>
      </c>
      <c r="D945">
        <v>2</v>
      </c>
      <c r="E945">
        <v>1</v>
      </c>
      <c r="F945">
        <v>3</v>
      </c>
      <c r="G945">
        <v>1.5</v>
      </c>
    </row>
    <row r="946" spans="1:7" x14ac:dyDescent="0.25">
      <c r="A946">
        <v>4875</v>
      </c>
      <c r="B946">
        <v>1</v>
      </c>
      <c r="C946">
        <v>1</v>
      </c>
      <c r="D946">
        <v>1</v>
      </c>
      <c r="E946">
        <v>1</v>
      </c>
      <c r="F946">
        <v>4</v>
      </c>
      <c r="G946">
        <v>1</v>
      </c>
    </row>
    <row r="947" spans="1:7" x14ac:dyDescent="0.25">
      <c r="A947">
        <v>4876</v>
      </c>
      <c r="B947">
        <v>1</v>
      </c>
      <c r="C947">
        <v>1</v>
      </c>
      <c r="D947">
        <v>1</v>
      </c>
      <c r="E947">
        <v>1</v>
      </c>
      <c r="F947">
        <v>2</v>
      </c>
      <c r="G947">
        <v>1</v>
      </c>
    </row>
    <row r="948" spans="1:7" x14ac:dyDescent="0.25">
      <c r="A948">
        <v>4877</v>
      </c>
      <c r="B948">
        <v>1</v>
      </c>
      <c r="C948">
        <v>1</v>
      </c>
      <c r="D948">
        <v>1</v>
      </c>
      <c r="E948">
        <v>1</v>
      </c>
      <c r="F948">
        <v>3</v>
      </c>
      <c r="G948">
        <v>1</v>
      </c>
    </row>
    <row r="949" spans="1:7" x14ac:dyDescent="0.25">
      <c r="A949">
        <v>4878</v>
      </c>
      <c r="B949">
        <v>1</v>
      </c>
      <c r="C949">
        <v>2</v>
      </c>
      <c r="D949">
        <v>2</v>
      </c>
      <c r="E949">
        <v>1</v>
      </c>
      <c r="F949">
        <v>3</v>
      </c>
      <c r="G949">
        <v>1.5</v>
      </c>
    </row>
    <row r="950" spans="1:7" x14ac:dyDescent="0.25">
      <c r="A950">
        <v>4879</v>
      </c>
      <c r="B950">
        <v>1</v>
      </c>
      <c r="C950">
        <v>3</v>
      </c>
      <c r="D950">
        <v>1</v>
      </c>
      <c r="E950">
        <v>1</v>
      </c>
      <c r="F950">
        <v>2</v>
      </c>
      <c r="G950">
        <v>1.5</v>
      </c>
    </row>
    <row r="951" spans="1:7" x14ac:dyDescent="0.25">
      <c r="A951">
        <v>4880</v>
      </c>
      <c r="B951">
        <v>3</v>
      </c>
      <c r="C951">
        <v>2</v>
      </c>
      <c r="D951">
        <v>3</v>
      </c>
      <c r="E951">
        <v>2</v>
      </c>
      <c r="F951">
        <v>2</v>
      </c>
      <c r="G951">
        <v>2.5</v>
      </c>
    </row>
    <row r="952" spans="1:7" x14ac:dyDescent="0.25">
      <c r="A952">
        <v>4881</v>
      </c>
      <c r="B952">
        <v>2</v>
      </c>
      <c r="C952">
        <v>1</v>
      </c>
      <c r="D952">
        <v>1</v>
      </c>
      <c r="E952">
        <v>2</v>
      </c>
      <c r="F952">
        <v>3</v>
      </c>
      <c r="G952">
        <v>1.5</v>
      </c>
    </row>
    <row r="953" spans="1:7" x14ac:dyDescent="0.25">
      <c r="A953">
        <v>4882</v>
      </c>
      <c r="B953">
        <v>1</v>
      </c>
      <c r="C953">
        <v>1</v>
      </c>
      <c r="D953">
        <v>1</v>
      </c>
      <c r="E953">
        <v>1</v>
      </c>
      <c r="F953">
        <v>3</v>
      </c>
      <c r="G953">
        <v>1</v>
      </c>
    </row>
    <row r="954" spans="1:7" x14ac:dyDescent="0.25">
      <c r="A954">
        <v>4884</v>
      </c>
      <c r="B954">
        <v>2</v>
      </c>
      <c r="C954">
        <v>3</v>
      </c>
      <c r="D954">
        <v>3</v>
      </c>
      <c r="E954">
        <v>2</v>
      </c>
      <c r="F954">
        <v>3</v>
      </c>
      <c r="G954">
        <v>2.5</v>
      </c>
    </row>
    <row r="955" spans="1:7" x14ac:dyDescent="0.25">
      <c r="A955">
        <v>4886</v>
      </c>
      <c r="B955">
        <v>2</v>
      </c>
      <c r="C955">
        <v>3</v>
      </c>
      <c r="D955">
        <v>2</v>
      </c>
      <c r="E955">
        <v>2</v>
      </c>
      <c r="F955">
        <v>3</v>
      </c>
      <c r="G955">
        <v>2.25</v>
      </c>
    </row>
    <row r="956" spans="1:7" x14ac:dyDescent="0.25">
      <c r="A956">
        <v>4888</v>
      </c>
      <c r="B956">
        <v>1</v>
      </c>
      <c r="C956">
        <v>1</v>
      </c>
      <c r="D956">
        <v>1</v>
      </c>
      <c r="E956">
        <v>2</v>
      </c>
      <c r="F956">
        <v>3</v>
      </c>
      <c r="G956">
        <v>1.25</v>
      </c>
    </row>
    <row r="957" spans="1:7" x14ac:dyDescent="0.25">
      <c r="A957">
        <v>4889</v>
      </c>
      <c r="B957">
        <v>2</v>
      </c>
      <c r="C957">
        <v>1</v>
      </c>
      <c r="D957">
        <v>1</v>
      </c>
      <c r="E957">
        <v>1</v>
      </c>
      <c r="F957">
        <v>3</v>
      </c>
      <c r="G957">
        <v>1.25</v>
      </c>
    </row>
    <row r="958" spans="1:7" x14ac:dyDescent="0.25">
      <c r="A958">
        <v>4890</v>
      </c>
      <c r="B958">
        <v>1</v>
      </c>
      <c r="C958">
        <v>1</v>
      </c>
      <c r="D958">
        <v>1</v>
      </c>
      <c r="E958">
        <v>1</v>
      </c>
      <c r="F958">
        <v>2</v>
      </c>
      <c r="G958">
        <v>1</v>
      </c>
    </row>
    <row r="959" spans="1:7" x14ac:dyDescent="0.25">
      <c r="A959">
        <v>4891</v>
      </c>
      <c r="B959">
        <v>2</v>
      </c>
      <c r="C959">
        <v>1</v>
      </c>
      <c r="D959">
        <v>1</v>
      </c>
      <c r="E959">
        <v>2</v>
      </c>
      <c r="F959">
        <v>3</v>
      </c>
      <c r="G959">
        <v>1.5</v>
      </c>
    </row>
    <row r="960" spans="1:7" x14ac:dyDescent="0.25">
      <c r="A960">
        <v>4895</v>
      </c>
      <c r="B960">
        <v>2</v>
      </c>
      <c r="C960">
        <v>3</v>
      </c>
      <c r="D960">
        <v>2</v>
      </c>
      <c r="E960">
        <v>1</v>
      </c>
      <c r="F960">
        <v>3</v>
      </c>
      <c r="G960">
        <v>2</v>
      </c>
    </row>
    <row r="961" spans="1:7" x14ac:dyDescent="0.25">
      <c r="A961">
        <v>4897</v>
      </c>
      <c r="B961">
        <v>3</v>
      </c>
      <c r="C961">
        <v>2</v>
      </c>
      <c r="D961">
        <v>1</v>
      </c>
      <c r="E961">
        <v>2</v>
      </c>
      <c r="F961">
        <v>3</v>
      </c>
      <c r="G961">
        <v>2</v>
      </c>
    </row>
    <row r="962" spans="1:7" x14ac:dyDescent="0.25">
      <c r="A962">
        <v>4898</v>
      </c>
      <c r="B962">
        <v>3</v>
      </c>
      <c r="C962">
        <v>1</v>
      </c>
      <c r="D962">
        <v>1</v>
      </c>
      <c r="E962">
        <v>3</v>
      </c>
      <c r="F962">
        <v>3</v>
      </c>
      <c r="G962">
        <v>2</v>
      </c>
    </row>
    <row r="963" spans="1:7" x14ac:dyDescent="0.25">
      <c r="A963">
        <v>4899</v>
      </c>
      <c r="B963">
        <v>1</v>
      </c>
      <c r="C963">
        <v>1</v>
      </c>
      <c r="D963">
        <v>1</v>
      </c>
      <c r="E963">
        <v>1</v>
      </c>
      <c r="F963">
        <v>3</v>
      </c>
      <c r="G963">
        <v>1</v>
      </c>
    </row>
    <row r="964" spans="1:7" x14ac:dyDescent="0.25">
      <c r="A964">
        <v>4900</v>
      </c>
      <c r="B964">
        <v>1</v>
      </c>
      <c r="C964">
        <v>1</v>
      </c>
      <c r="D964">
        <v>1</v>
      </c>
      <c r="E964">
        <v>1</v>
      </c>
      <c r="F964">
        <v>2</v>
      </c>
      <c r="G964">
        <v>1</v>
      </c>
    </row>
    <row r="965" spans="1:7" x14ac:dyDescent="0.25">
      <c r="A965">
        <v>4901</v>
      </c>
      <c r="B965">
        <v>3</v>
      </c>
      <c r="C965">
        <v>3</v>
      </c>
      <c r="D965">
        <v>2</v>
      </c>
      <c r="E965">
        <v>2</v>
      </c>
      <c r="F965">
        <v>2</v>
      </c>
      <c r="G965">
        <v>2.5</v>
      </c>
    </row>
    <row r="966" spans="1:7" x14ac:dyDescent="0.25">
      <c r="A966">
        <v>4903</v>
      </c>
      <c r="B966">
        <v>1</v>
      </c>
      <c r="C966">
        <v>1</v>
      </c>
      <c r="D966">
        <v>1</v>
      </c>
      <c r="E966">
        <v>1</v>
      </c>
      <c r="F966">
        <v>2</v>
      </c>
      <c r="G966">
        <v>1</v>
      </c>
    </row>
    <row r="967" spans="1:7" x14ac:dyDescent="0.25">
      <c r="A967">
        <v>4905</v>
      </c>
      <c r="B967">
        <v>2</v>
      </c>
      <c r="C967">
        <v>2</v>
      </c>
      <c r="D967">
        <v>1</v>
      </c>
      <c r="E967">
        <v>2</v>
      </c>
      <c r="F967">
        <v>2</v>
      </c>
      <c r="G967">
        <v>1.75</v>
      </c>
    </row>
    <row r="968" spans="1:7" x14ac:dyDescent="0.25">
      <c r="A968">
        <v>4906</v>
      </c>
      <c r="B968">
        <v>1</v>
      </c>
      <c r="C968">
        <v>1</v>
      </c>
      <c r="D968">
        <v>1</v>
      </c>
      <c r="E968">
        <v>1</v>
      </c>
      <c r="F968">
        <v>3</v>
      </c>
      <c r="G968">
        <v>1</v>
      </c>
    </row>
    <row r="969" spans="1:7" x14ac:dyDescent="0.25">
      <c r="A969">
        <v>4908</v>
      </c>
      <c r="B969">
        <v>3</v>
      </c>
      <c r="C969">
        <v>3</v>
      </c>
      <c r="D969">
        <v>3</v>
      </c>
      <c r="E969">
        <v>2</v>
      </c>
      <c r="F969">
        <v>3</v>
      </c>
      <c r="G969">
        <v>2.75</v>
      </c>
    </row>
    <row r="970" spans="1:7" x14ac:dyDescent="0.25">
      <c r="A970">
        <v>4909</v>
      </c>
      <c r="B970">
        <v>1</v>
      </c>
      <c r="C970">
        <v>3</v>
      </c>
      <c r="D970">
        <v>1</v>
      </c>
      <c r="E970">
        <v>1</v>
      </c>
      <c r="F970">
        <v>3</v>
      </c>
      <c r="G970">
        <v>1.5</v>
      </c>
    </row>
    <row r="971" spans="1:7" x14ac:dyDescent="0.25">
      <c r="A971">
        <v>4913</v>
      </c>
      <c r="B971">
        <v>2</v>
      </c>
      <c r="C971">
        <v>0</v>
      </c>
      <c r="D971">
        <v>1</v>
      </c>
      <c r="E971">
        <v>2</v>
      </c>
      <c r="F971">
        <v>3</v>
      </c>
      <c r="G971">
        <v>1.25</v>
      </c>
    </row>
    <row r="972" spans="1:7" x14ac:dyDescent="0.25">
      <c r="A972">
        <v>4915</v>
      </c>
      <c r="B972">
        <v>2</v>
      </c>
      <c r="C972">
        <v>1</v>
      </c>
      <c r="D972">
        <v>1</v>
      </c>
      <c r="E972">
        <v>1</v>
      </c>
      <c r="F972">
        <v>3</v>
      </c>
      <c r="G972">
        <v>1.25</v>
      </c>
    </row>
    <row r="973" spans="1:7" x14ac:dyDescent="0.25">
      <c r="A973">
        <v>4916</v>
      </c>
      <c r="B973">
        <v>1</v>
      </c>
      <c r="C973">
        <v>1</v>
      </c>
      <c r="D973">
        <v>1</v>
      </c>
      <c r="E973">
        <v>1</v>
      </c>
      <c r="F973">
        <v>3</v>
      </c>
      <c r="G973">
        <v>1</v>
      </c>
    </row>
    <row r="974" spans="1:7" x14ac:dyDescent="0.25">
      <c r="A974">
        <v>4917</v>
      </c>
      <c r="B974">
        <v>2</v>
      </c>
      <c r="C974">
        <v>3</v>
      </c>
      <c r="D974">
        <v>1</v>
      </c>
      <c r="E974">
        <v>1</v>
      </c>
      <c r="F974">
        <v>3</v>
      </c>
      <c r="G974">
        <v>1.75</v>
      </c>
    </row>
    <row r="975" spans="1:7" x14ac:dyDescent="0.25">
      <c r="A975">
        <v>4919</v>
      </c>
      <c r="B975">
        <v>2</v>
      </c>
      <c r="C975">
        <v>2</v>
      </c>
      <c r="D975">
        <v>3</v>
      </c>
      <c r="E975">
        <v>3</v>
      </c>
      <c r="F975">
        <v>2</v>
      </c>
      <c r="G975">
        <v>2.5</v>
      </c>
    </row>
    <row r="976" spans="1:7" x14ac:dyDescent="0.25">
      <c r="A976">
        <v>4920</v>
      </c>
      <c r="B976">
        <v>1</v>
      </c>
      <c r="C976">
        <v>1</v>
      </c>
      <c r="D976">
        <v>1</v>
      </c>
      <c r="E976">
        <v>1</v>
      </c>
      <c r="F976">
        <v>2</v>
      </c>
      <c r="G976">
        <v>1</v>
      </c>
    </row>
    <row r="977" spans="1:7" x14ac:dyDescent="0.25">
      <c r="A977">
        <v>4921</v>
      </c>
      <c r="B977">
        <v>1</v>
      </c>
      <c r="C977">
        <v>1</v>
      </c>
      <c r="D977">
        <v>1</v>
      </c>
      <c r="E977">
        <v>1</v>
      </c>
      <c r="F977">
        <v>3</v>
      </c>
      <c r="G977">
        <v>1</v>
      </c>
    </row>
    <row r="978" spans="1:7" x14ac:dyDescent="0.25">
      <c r="A978">
        <v>4922</v>
      </c>
      <c r="B978">
        <v>1</v>
      </c>
      <c r="C978">
        <v>1</v>
      </c>
      <c r="D978">
        <v>1</v>
      </c>
      <c r="E978">
        <v>1</v>
      </c>
      <c r="F978">
        <v>4</v>
      </c>
      <c r="G978">
        <v>1</v>
      </c>
    </row>
    <row r="979" spans="1:7" x14ac:dyDescent="0.25">
      <c r="A979">
        <v>4923</v>
      </c>
      <c r="B979">
        <v>1</v>
      </c>
      <c r="C979">
        <v>1</v>
      </c>
      <c r="D979">
        <v>1</v>
      </c>
      <c r="E979">
        <v>1</v>
      </c>
      <c r="F979">
        <v>3</v>
      </c>
      <c r="G979">
        <v>1</v>
      </c>
    </row>
    <row r="980" spans="1:7" x14ac:dyDescent="0.25">
      <c r="A980">
        <v>4925</v>
      </c>
      <c r="B980">
        <v>0</v>
      </c>
      <c r="C980">
        <v>2</v>
      </c>
      <c r="D980">
        <v>2</v>
      </c>
      <c r="E980">
        <v>1</v>
      </c>
      <c r="F980">
        <v>2</v>
      </c>
      <c r="G980">
        <v>1.25</v>
      </c>
    </row>
    <row r="981" spans="1:7" x14ac:dyDescent="0.25">
      <c r="A981">
        <v>4927</v>
      </c>
      <c r="B981">
        <v>3</v>
      </c>
      <c r="C981">
        <v>0</v>
      </c>
      <c r="D981">
        <v>3</v>
      </c>
      <c r="E981">
        <v>1</v>
      </c>
      <c r="F981">
        <v>3</v>
      </c>
      <c r="G981">
        <v>1.75</v>
      </c>
    </row>
    <row r="982" spans="1:7" x14ac:dyDescent="0.25">
      <c r="A982">
        <v>4929</v>
      </c>
      <c r="B982">
        <v>1</v>
      </c>
      <c r="C982">
        <v>1</v>
      </c>
      <c r="D982">
        <v>1</v>
      </c>
      <c r="E982">
        <v>1</v>
      </c>
      <c r="F982">
        <v>2</v>
      </c>
      <c r="G982">
        <v>1</v>
      </c>
    </row>
    <row r="983" spans="1:7" x14ac:dyDescent="0.25">
      <c r="A983">
        <v>4932</v>
      </c>
      <c r="B983">
        <v>3</v>
      </c>
      <c r="C983">
        <v>3</v>
      </c>
      <c r="D983">
        <v>1</v>
      </c>
      <c r="E983">
        <v>1</v>
      </c>
      <c r="F983">
        <v>3</v>
      </c>
      <c r="G983">
        <v>2</v>
      </c>
    </row>
    <row r="984" spans="1:7" x14ac:dyDescent="0.25">
      <c r="A984">
        <v>4933</v>
      </c>
      <c r="B984">
        <v>1</v>
      </c>
      <c r="C984">
        <v>2</v>
      </c>
      <c r="D984">
        <v>1</v>
      </c>
      <c r="E984">
        <v>1</v>
      </c>
      <c r="F984">
        <v>2</v>
      </c>
      <c r="G984">
        <v>1.25</v>
      </c>
    </row>
    <row r="985" spans="1:7" x14ac:dyDescent="0.25">
      <c r="A985">
        <v>4934</v>
      </c>
      <c r="B985">
        <v>2</v>
      </c>
      <c r="C985">
        <v>2</v>
      </c>
      <c r="D985">
        <v>1</v>
      </c>
      <c r="E985">
        <v>1</v>
      </c>
      <c r="F985">
        <v>2</v>
      </c>
      <c r="G985">
        <v>1.5</v>
      </c>
    </row>
    <row r="986" spans="1:7" x14ac:dyDescent="0.25">
      <c r="A986">
        <v>4941</v>
      </c>
      <c r="B986">
        <v>1</v>
      </c>
      <c r="C986">
        <v>1</v>
      </c>
      <c r="D986">
        <v>3</v>
      </c>
      <c r="E986">
        <v>1</v>
      </c>
      <c r="F986">
        <v>2</v>
      </c>
      <c r="G986">
        <v>1.5</v>
      </c>
    </row>
    <row r="987" spans="1:7" x14ac:dyDescent="0.25">
      <c r="A987">
        <v>4942</v>
      </c>
      <c r="B987">
        <v>1</v>
      </c>
      <c r="C987">
        <v>0</v>
      </c>
      <c r="D987">
        <v>1</v>
      </c>
      <c r="E987">
        <v>1</v>
      </c>
      <c r="F987">
        <v>4</v>
      </c>
      <c r="G987">
        <v>0.75</v>
      </c>
    </row>
    <row r="988" spans="1:7" x14ac:dyDescent="0.25">
      <c r="A988">
        <v>4945</v>
      </c>
      <c r="B988">
        <v>1</v>
      </c>
      <c r="C988">
        <v>1</v>
      </c>
      <c r="D988">
        <v>1</v>
      </c>
      <c r="E988">
        <v>1</v>
      </c>
      <c r="F988">
        <v>3</v>
      </c>
      <c r="G988">
        <v>1</v>
      </c>
    </row>
    <row r="989" spans="1:7" x14ac:dyDescent="0.25">
      <c r="A989">
        <v>4947</v>
      </c>
      <c r="B989">
        <v>1</v>
      </c>
      <c r="C989">
        <v>1</v>
      </c>
      <c r="D989">
        <v>0</v>
      </c>
      <c r="E989">
        <v>1</v>
      </c>
      <c r="F989">
        <v>3</v>
      </c>
      <c r="G989">
        <v>0.75</v>
      </c>
    </row>
    <row r="990" spans="1:7" x14ac:dyDescent="0.25">
      <c r="A990">
        <v>4948</v>
      </c>
      <c r="B990">
        <v>3</v>
      </c>
      <c r="C990">
        <v>2</v>
      </c>
      <c r="D990">
        <v>2</v>
      </c>
      <c r="E990">
        <v>2</v>
      </c>
      <c r="F990">
        <v>3</v>
      </c>
      <c r="G990">
        <v>2.25</v>
      </c>
    </row>
    <row r="991" spans="1:7" x14ac:dyDescent="0.25">
      <c r="A991">
        <v>4949</v>
      </c>
      <c r="B991">
        <v>2</v>
      </c>
      <c r="C991">
        <v>2</v>
      </c>
      <c r="D991">
        <v>2</v>
      </c>
      <c r="E991">
        <v>3</v>
      </c>
      <c r="F991">
        <v>3</v>
      </c>
      <c r="G991">
        <v>2.25</v>
      </c>
    </row>
    <row r="992" spans="1:7" x14ac:dyDescent="0.25">
      <c r="A992">
        <v>4950</v>
      </c>
      <c r="B992">
        <v>1</v>
      </c>
      <c r="C992">
        <v>1</v>
      </c>
      <c r="D992">
        <v>1</v>
      </c>
      <c r="E992">
        <v>1</v>
      </c>
      <c r="F992">
        <v>3</v>
      </c>
      <c r="G992">
        <v>1</v>
      </c>
    </row>
    <row r="993" spans="1:7" x14ac:dyDescent="0.25">
      <c r="A993">
        <v>4951</v>
      </c>
      <c r="B993">
        <v>1</v>
      </c>
      <c r="C993">
        <v>1</v>
      </c>
      <c r="D993">
        <v>1</v>
      </c>
      <c r="E993">
        <v>1</v>
      </c>
      <c r="F993">
        <v>3</v>
      </c>
      <c r="G993">
        <v>1</v>
      </c>
    </row>
    <row r="994" spans="1:7" x14ac:dyDescent="0.25">
      <c r="A994">
        <v>4952</v>
      </c>
      <c r="B994">
        <v>1</v>
      </c>
      <c r="C994">
        <v>1</v>
      </c>
      <c r="D994">
        <v>1</v>
      </c>
      <c r="E994">
        <v>1</v>
      </c>
      <c r="F994">
        <v>2</v>
      </c>
      <c r="G994">
        <v>1</v>
      </c>
    </row>
    <row r="995" spans="1:7" x14ac:dyDescent="0.25">
      <c r="A995">
        <v>4953</v>
      </c>
      <c r="B995">
        <v>4</v>
      </c>
      <c r="C995">
        <v>4</v>
      </c>
      <c r="D995">
        <v>3</v>
      </c>
      <c r="E995">
        <v>3</v>
      </c>
      <c r="F995">
        <v>3</v>
      </c>
      <c r="G995">
        <v>3.5</v>
      </c>
    </row>
    <row r="996" spans="1:7" x14ac:dyDescent="0.25">
      <c r="A996">
        <v>4954</v>
      </c>
      <c r="B996">
        <v>1</v>
      </c>
      <c r="C996">
        <v>1</v>
      </c>
      <c r="D996">
        <v>1</v>
      </c>
      <c r="E996">
        <v>1</v>
      </c>
      <c r="F996">
        <v>3</v>
      </c>
      <c r="G996">
        <v>1</v>
      </c>
    </row>
    <row r="997" spans="1:7" x14ac:dyDescent="0.25">
      <c r="A997">
        <v>4957</v>
      </c>
      <c r="B997">
        <v>1</v>
      </c>
      <c r="C997">
        <v>1</v>
      </c>
      <c r="D997">
        <v>1</v>
      </c>
      <c r="E997">
        <v>1</v>
      </c>
      <c r="F997">
        <v>3</v>
      </c>
      <c r="G997">
        <v>1</v>
      </c>
    </row>
    <row r="998" spans="1:7" x14ac:dyDescent="0.25">
      <c r="A998">
        <v>4961</v>
      </c>
      <c r="B998">
        <v>1</v>
      </c>
      <c r="C998">
        <v>1</v>
      </c>
      <c r="D998">
        <v>1</v>
      </c>
      <c r="E998">
        <v>1</v>
      </c>
      <c r="F998">
        <v>3</v>
      </c>
      <c r="G998">
        <v>1</v>
      </c>
    </row>
    <row r="999" spans="1:7" x14ac:dyDescent="0.25">
      <c r="A999">
        <v>4962</v>
      </c>
      <c r="B999">
        <v>1</v>
      </c>
      <c r="C999">
        <v>2</v>
      </c>
      <c r="D999">
        <v>1</v>
      </c>
      <c r="E999">
        <v>2</v>
      </c>
      <c r="F999">
        <v>3</v>
      </c>
      <c r="G999">
        <v>1.5</v>
      </c>
    </row>
    <row r="1000" spans="1:7" x14ac:dyDescent="0.25">
      <c r="A1000">
        <v>4965</v>
      </c>
      <c r="B1000">
        <v>2</v>
      </c>
      <c r="C1000">
        <v>1</v>
      </c>
      <c r="D1000">
        <v>1</v>
      </c>
      <c r="E1000">
        <v>1</v>
      </c>
      <c r="F1000">
        <v>2</v>
      </c>
      <c r="G1000">
        <v>1.25</v>
      </c>
    </row>
    <row r="1001" spans="1:7" x14ac:dyDescent="0.25">
      <c r="A1001">
        <v>4967</v>
      </c>
      <c r="B1001">
        <v>1</v>
      </c>
      <c r="C1001">
        <v>1</v>
      </c>
      <c r="D1001">
        <v>1</v>
      </c>
      <c r="E1001">
        <v>2</v>
      </c>
      <c r="F1001">
        <v>2</v>
      </c>
      <c r="G1001">
        <v>1.25</v>
      </c>
    </row>
    <row r="1002" spans="1:7" x14ac:dyDescent="0.25">
      <c r="A1002">
        <v>4969</v>
      </c>
      <c r="B1002">
        <v>1</v>
      </c>
      <c r="C1002">
        <v>1</v>
      </c>
      <c r="D1002">
        <v>1</v>
      </c>
      <c r="E1002">
        <v>1</v>
      </c>
      <c r="F1002">
        <v>2</v>
      </c>
      <c r="G1002">
        <v>1</v>
      </c>
    </row>
    <row r="1003" spans="1:7" x14ac:dyDescent="0.25">
      <c r="A1003">
        <v>4970</v>
      </c>
      <c r="B1003">
        <v>2</v>
      </c>
      <c r="C1003">
        <v>2</v>
      </c>
      <c r="D1003">
        <v>1</v>
      </c>
      <c r="E1003">
        <v>2</v>
      </c>
      <c r="F1003">
        <v>3</v>
      </c>
      <c r="G1003">
        <v>1.75</v>
      </c>
    </row>
    <row r="1004" spans="1:7" x14ac:dyDescent="0.25">
      <c r="A1004">
        <v>4971</v>
      </c>
      <c r="B1004">
        <v>3</v>
      </c>
      <c r="C1004">
        <v>2</v>
      </c>
      <c r="D1004">
        <v>2</v>
      </c>
      <c r="E1004">
        <v>3</v>
      </c>
      <c r="F1004">
        <v>3</v>
      </c>
      <c r="G1004">
        <v>2.5</v>
      </c>
    </row>
    <row r="1005" spans="1:7" x14ac:dyDescent="0.25">
      <c r="A1005">
        <v>4973</v>
      </c>
      <c r="B1005">
        <v>1</v>
      </c>
      <c r="C1005">
        <v>1</v>
      </c>
      <c r="D1005">
        <v>1</v>
      </c>
      <c r="E1005">
        <v>1</v>
      </c>
      <c r="F1005">
        <v>3</v>
      </c>
      <c r="G1005">
        <v>1</v>
      </c>
    </row>
    <row r="1006" spans="1:7" x14ac:dyDescent="0.25">
      <c r="A1006">
        <v>4976</v>
      </c>
      <c r="B1006">
        <v>1</v>
      </c>
      <c r="C1006">
        <v>1</v>
      </c>
      <c r="D1006">
        <v>1</v>
      </c>
      <c r="E1006">
        <v>1</v>
      </c>
      <c r="F1006">
        <v>3</v>
      </c>
      <c r="G1006">
        <v>1</v>
      </c>
    </row>
    <row r="1007" spans="1:7" x14ac:dyDescent="0.25">
      <c r="A1007">
        <v>4977</v>
      </c>
      <c r="B1007">
        <v>1</v>
      </c>
      <c r="C1007">
        <v>0</v>
      </c>
      <c r="D1007">
        <v>1</v>
      </c>
      <c r="E1007">
        <v>1</v>
      </c>
      <c r="F1007">
        <v>3</v>
      </c>
      <c r="G1007">
        <v>0.75</v>
      </c>
    </row>
    <row r="1008" spans="1:7" x14ac:dyDescent="0.25">
      <c r="A1008">
        <v>4978</v>
      </c>
      <c r="B1008">
        <v>1</v>
      </c>
      <c r="C1008">
        <v>2</v>
      </c>
      <c r="D1008">
        <v>2</v>
      </c>
      <c r="E1008">
        <v>3</v>
      </c>
      <c r="F1008">
        <v>3</v>
      </c>
      <c r="G1008">
        <v>2</v>
      </c>
    </row>
    <row r="1009" spans="1:7" x14ac:dyDescent="0.25">
      <c r="A1009">
        <v>4980</v>
      </c>
      <c r="B1009">
        <v>1</v>
      </c>
      <c r="C1009">
        <v>1</v>
      </c>
      <c r="D1009">
        <v>1</v>
      </c>
      <c r="E1009">
        <v>1</v>
      </c>
      <c r="F1009">
        <v>3</v>
      </c>
      <c r="G1009">
        <v>1</v>
      </c>
    </row>
    <row r="1010" spans="1:7" x14ac:dyDescent="0.25">
      <c r="A1010">
        <v>4981</v>
      </c>
      <c r="B1010">
        <v>1</v>
      </c>
      <c r="C1010">
        <v>1</v>
      </c>
      <c r="D1010">
        <v>1</v>
      </c>
      <c r="E1010">
        <v>0</v>
      </c>
      <c r="F1010">
        <v>3</v>
      </c>
      <c r="G1010">
        <v>0.75</v>
      </c>
    </row>
    <row r="1011" spans="1:7" x14ac:dyDescent="0.25">
      <c r="A1011">
        <v>4984</v>
      </c>
      <c r="B1011">
        <v>3</v>
      </c>
      <c r="C1011">
        <v>2</v>
      </c>
      <c r="D1011">
        <v>1</v>
      </c>
      <c r="E1011">
        <v>2</v>
      </c>
      <c r="F1011">
        <v>2</v>
      </c>
      <c r="G1011">
        <v>2</v>
      </c>
    </row>
    <row r="1012" spans="1:7" x14ac:dyDescent="0.25">
      <c r="A1012">
        <v>4986</v>
      </c>
      <c r="B1012">
        <v>1</v>
      </c>
      <c r="C1012">
        <v>1</v>
      </c>
      <c r="D1012">
        <v>1</v>
      </c>
      <c r="E1012">
        <v>1</v>
      </c>
      <c r="F1012">
        <v>2</v>
      </c>
      <c r="G1012">
        <v>1</v>
      </c>
    </row>
    <row r="1013" spans="1:7" x14ac:dyDescent="0.25">
      <c r="A1013">
        <v>4988</v>
      </c>
      <c r="B1013">
        <v>2</v>
      </c>
      <c r="C1013">
        <v>2</v>
      </c>
      <c r="D1013">
        <v>1</v>
      </c>
      <c r="E1013">
        <v>1</v>
      </c>
      <c r="F1013">
        <v>4</v>
      </c>
      <c r="G1013">
        <v>1.5</v>
      </c>
    </row>
    <row r="1014" spans="1:7" x14ac:dyDescent="0.25">
      <c r="A1014">
        <v>4989</v>
      </c>
      <c r="B1014">
        <v>1</v>
      </c>
      <c r="C1014">
        <v>2</v>
      </c>
      <c r="D1014">
        <v>2</v>
      </c>
      <c r="E1014">
        <v>1</v>
      </c>
      <c r="F1014">
        <v>3</v>
      </c>
      <c r="G1014">
        <v>1.5</v>
      </c>
    </row>
    <row r="1015" spans="1:7" x14ac:dyDescent="0.25">
      <c r="A1015">
        <v>4990</v>
      </c>
      <c r="B1015">
        <v>3</v>
      </c>
      <c r="C1015">
        <v>3</v>
      </c>
      <c r="D1015">
        <v>2</v>
      </c>
      <c r="E1015">
        <v>2</v>
      </c>
      <c r="F1015">
        <v>3</v>
      </c>
      <c r="G1015">
        <v>2.5</v>
      </c>
    </row>
    <row r="1016" spans="1:7" x14ac:dyDescent="0.25">
      <c r="A1016">
        <v>4992</v>
      </c>
      <c r="B1016">
        <v>2</v>
      </c>
      <c r="C1016">
        <v>2</v>
      </c>
      <c r="D1016">
        <v>2</v>
      </c>
      <c r="E1016">
        <v>1</v>
      </c>
      <c r="F1016">
        <v>3</v>
      </c>
      <c r="G1016">
        <v>1.75</v>
      </c>
    </row>
    <row r="1017" spans="1:7" x14ac:dyDescent="0.25">
      <c r="A1017">
        <v>4993</v>
      </c>
      <c r="B1017">
        <v>1</v>
      </c>
      <c r="C1017">
        <v>1</v>
      </c>
      <c r="D1017">
        <v>1</v>
      </c>
      <c r="E1017">
        <v>1</v>
      </c>
      <c r="F1017">
        <v>3</v>
      </c>
      <c r="G1017">
        <v>1</v>
      </c>
    </row>
    <row r="1018" spans="1:7" x14ac:dyDescent="0.25">
      <c r="A1018">
        <v>4995</v>
      </c>
      <c r="B1018">
        <v>2</v>
      </c>
      <c r="C1018">
        <v>1</v>
      </c>
      <c r="D1018">
        <v>1</v>
      </c>
      <c r="E1018">
        <v>1</v>
      </c>
      <c r="F1018">
        <v>3</v>
      </c>
      <c r="G1018">
        <v>1.25</v>
      </c>
    </row>
    <row r="1019" spans="1:7" x14ac:dyDescent="0.25">
      <c r="A1019">
        <v>4998</v>
      </c>
      <c r="B1019">
        <v>1</v>
      </c>
      <c r="C1019">
        <v>1</v>
      </c>
      <c r="D1019">
        <v>1</v>
      </c>
      <c r="E1019">
        <v>1</v>
      </c>
      <c r="F1019">
        <v>3</v>
      </c>
      <c r="G1019">
        <v>1</v>
      </c>
    </row>
    <row r="1020" spans="1:7" x14ac:dyDescent="0.25">
      <c r="A1020">
        <v>4999</v>
      </c>
      <c r="B1020">
        <v>1</v>
      </c>
      <c r="C1020">
        <v>1</v>
      </c>
      <c r="D1020">
        <v>2</v>
      </c>
      <c r="E1020">
        <v>2</v>
      </c>
      <c r="F1020">
        <v>2</v>
      </c>
      <c r="G1020">
        <v>1.5</v>
      </c>
    </row>
    <row r="1021" spans="1:7" x14ac:dyDescent="0.25">
      <c r="A1021">
        <v>5000</v>
      </c>
      <c r="B1021">
        <v>1</v>
      </c>
      <c r="C1021">
        <v>1</v>
      </c>
      <c r="D1021">
        <v>1</v>
      </c>
      <c r="E1021">
        <v>1</v>
      </c>
      <c r="F1021">
        <v>3</v>
      </c>
      <c r="G1021">
        <v>1</v>
      </c>
    </row>
    <row r="1022" spans="1:7" x14ac:dyDescent="0.25">
      <c r="A1022">
        <v>5001</v>
      </c>
      <c r="B1022">
        <v>1</v>
      </c>
      <c r="C1022">
        <v>2</v>
      </c>
      <c r="D1022">
        <v>2</v>
      </c>
      <c r="E1022">
        <v>1</v>
      </c>
      <c r="F1022">
        <v>3</v>
      </c>
      <c r="G1022">
        <v>1.5</v>
      </c>
    </row>
    <row r="1023" spans="1:7" x14ac:dyDescent="0.25">
      <c r="A1023">
        <v>5002</v>
      </c>
      <c r="B1023">
        <v>1</v>
      </c>
      <c r="C1023">
        <v>2</v>
      </c>
      <c r="D1023">
        <v>1</v>
      </c>
      <c r="E1023">
        <v>1</v>
      </c>
      <c r="F1023">
        <v>2</v>
      </c>
      <c r="G1023">
        <v>1.25</v>
      </c>
    </row>
    <row r="1024" spans="1:7" x14ac:dyDescent="0.25">
      <c r="A1024">
        <v>5003</v>
      </c>
      <c r="B1024">
        <v>1</v>
      </c>
      <c r="C1024">
        <v>1</v>
      </c>
      <c r="D1024">
        <v>1</v>
      </c>
      <c r="E1024">
        <v>2</v>
      </c>
      <c r="F1024">
        <v>3</v>
      </c>
      <c r="G1024">
        <v>1.25</v>
      </c>
    </row>
    <row r="1025" spans="1:7" x14ac:dyDescent="0.25">
      <c r="A1025">
        <v>5004</v>
      </c>
      <c r="B1025">
        <v>3</v>
      </c>
      <c r="C1025">
        <v>3</v>
      </c>
      <c r="D1025">
        <v>2</v>
      </c>
      <c r="E1025">
        <v>2</v>
      </c>
      <c r="F1025">
        <v>2</v>
      </c>
      <c r="G1025">
        <v>2.5</v>
      </c>
    </row>
    <row r="1026" spans="1:7" x14ac:dyDescent="0.25">
      <c r="A1026">
        <v>5005</v>
      </c>
      <c r="B1026">
        <v>2</v>
      </c>
      <c r="C1026">
        <v>2</v>
      </c>
      <c r="D1026">
        <v>2</v>
      </c>
      <c r="E1026">
        <v>1</v>
      </c>
      <c r="F1026">
        <v>3</v>
      </c>
      <c r="G1026">
        <v>1.75</v>
      </c>
    </row>
    <row r="1027" spans="1:7" x14ac:dyDescent="0.25">
      <c r="A1027">
        <v>5006</v>
      </c>
      <c r="B1027">
        <v>2</v>
      </c>
      <c r="C1027">
        <v>2</v>
      </c>
      <c r="D1027">
        <v>1</v>
      </c>
      <c r="E1027">
        <v>2</v>
      </c>
      <c r="F1027">
        <v>2</v>
      </c>
      <c r="G1027">
        <v>1.75</v>
      </c>
    </row>
    <row r="1028" spans="1:7" x14ac:dyDescent="0.25">
      <c r="A1028">
        <v>5007</v>
      </c>
      <c r="B1028">
        <v>1</v>
      </c>
      <c r="C1028">
        <v>1</v>
      </c>
      <c r="D1028">
        <v>1</v>
      </c>
      <c r="E1028">
        <v>1</v>
      </c>
      <c r="F1028">
        <v>3</v>
      </c>
      <c r="G1028">
        <v>1</v>
      </c>
    </row>
    <row r="1029" spans="1:7" x14ac:dyDescent="0.25">
      <c r="A1029">
        <v>5008</v>
      </c>
      <c r="B1029">
        <v>1</v>
      </c>
      <c r="C1029">
        <v>1</v>
      </c>
      <c r="D1029">
        <v>1</v>
      </c>
      <c r="E1029">
        <v>1</v>
      </c>
      <c r="F1029">
        <v>3</v>
      </c>
      <c r="G1029">
        <v>1</v>
      </c>
    </row>
    <row r="1030" spans="1:7" x14ac:dyDescent="0.25">
      <c r="A1030">
        <v>5009</v>
      </c>
      <c r="B1030">
        <v>1</v>
      </c>
      <c r="C1030">
        <v>1</v>
      </c>
      <c r="D1030">
        <v>1</v>
      </c>
      <c r="E1030">
        <v>1</v>
      </c>
      <c r="F1030">
        <v>2</v>
      </c>
      <c r="G1030">
        <v>1</v>
      </c>
    </row>
    <row r="1031" spans="1:7" x14ac:dyDescent="0.25">
      <c r="A1031">
        <v>5014</v>
      </c>
      <c r="B1031">
        <v>1</v>
      </c>
      <c r="C1031">
        <v>1</v>
      </c>
      <c r="D1031">
        <v>1</v>
      </c>
      <c r="E1031">
        <v>1</v>
      </c>
      <c r="F1031">
        <v>3</v>
      </c>
      <c r="G1031">
        <v>1</v>
      </c>
    </row>
    <row r="1032" spans="1:7" x14ac:dyDescent="0.25">
      <c r="A1032">
        <v>5015</v>
      </c>
      <c r="B1032">
        <v>1</v>
      </c>
      <c r="C1032">
        <v>3</v>
      </c>
      <c r="D1032">
        <v>1</v>
      </c>
      <c r="E1032">
        <v>1</v>
      </c>
      <c r="F1032">
        <v>3</v>
      </c>
      <c r="G1032">
        <v>1.5</v>
      </c>
    </row>
    <row r="1033" spans="1:7" x14ac:dyDescent="0.25">
      <c r="A1033">
        <v>5018</v>
      </c>
      <c r="B1033">
        <v>1</v>
      </c>
      <c r="C1033">
        <v>1</v>
      </c>
      <c r="D1033">
        <v>1</v>
      </c>
      <c r="E1033">
        <v>0</v>
      </c>
      <c r="F1033">
        <v>3</v>
      </c>
      <c r="G1033">
        <v>0.75</v>
      </c>
    </row>
    <row r="1034" spans="1:7" x14ac:dyDescent="0.25">
      <c r="A1034">
        <v>5019</v>
      </c>
      <c r="B1034">
        <v>1</v>
      </c>
      <c r="C1034">
        <v>1</v>
      </c>
      <c r="D1034">
        <v>1</v>
      </c>
      <c r="E1034">
        <v>1</v>
      </c>
      <c r="F1034">
        <v>3</v>
      </c>
      <c r="G1034">
        <v>1</v>
      </c>
    </row>
    <row r="1035" spans="1:7" x14ac:dyDescent="0.25">
      <c r="A1035">
        <v>5020</v>
      </c>
      <c r="B1035">
        <v>1</v>
      </c>
      <c r="C1035">
        <v>1</v>
      </c>
      <c r="D1035">
        <v>1</v>
      </c>
      <c r="E1035">
        <v>1</v>
      </c>
      <c r="F1035">
        <v>2</v>
      </c>
      <c r="G1035">
        <v>1</v>
      </c>
    </row>
    <row r="1036" spans="1:7" x14ac:dyDescent="0.25">
      <c r="A1036">
        <v>5021</v>
      </c>
      <c r="B1036">
        <v>1</v>
      </c>
      <c r="C1036">
        <v>1</v>
      </c>
      <c r="D1036">
        <v>2</v>
      </c>
      <c r="E1036">
        <v>3</v>
      </c>
      <c r="F1036">
        <v>3</v>
      </c>
      <c r="G1036">
        <v>1.75</v>
      </c>
    </row>
    <row r="1037" spans="1:7" x14ac:dyDescent="0.25">
      <c r="A1037">
        <v>5023</v>
      </c>
      <c r="B1037">
        <v>1</v>
      </c>
      <c r="C1037">
        <v>1</v>
      </c>
      <c r="D1037">
        <v>1</v>
      </c>
      <c r="E1037">
        <v>1</v>
      </c>
      <c r="F1037">
        <v>2</v>
      </c>
      <c r="G1037">
        <v>1</v>
      </c>
    </row>
    <row r="1038" spans="1:7" x14ac:dyDescent="0.25">
      <c r="A1038">
        <v>5024</v>
      </c>
      <c r="B1038">
        <v>2</v>
      </c>
      <c r="C1038">
        <v>2</v>
      </c>
      <c r="D1038">
        <v>3</v>
      </c>
      <c r="E1038">
        <v>2</v>
      </c>
      <c r="F1038">
        <v>3</v>
      </c>
      <c r="G1038">
        <v>2.25</v>
      </c>
    </row>
    <row r="1039" spans="1:7" x14ac:dyDescent="0.25">
      <c r="A1039">
        <v>5026</v>
      </c>
      <c r="B1039">
        <v>1</v>
      </c>
      <c r="C1039">
        <v>1</v>
      </c>
      <c r="D1039">
        <v>1</v>
      </c>
      <c r="E1039">
        <v>1</v>
      </c>
      <c r="F1039">
        <v>3</v>
      </c>
      <c r="G1039">
        <v>1</v>
      </c>
    </row>
    <row r="1040" spans="1:7" x14ac:dyDescent="0.25">
      <c r="A1040">
        <v>5031</v>
      </c>
      <c r="B1040">
        <v>1</v>
      </c>
      <c r="C1040">
        <v>1</v>
      </c>
      <c r="D1040">
        <v>0</v>
      </c>
      <c r="E1040">
        <v>1</v>
      </c>
      <c r="F1040">
        <v>2</v>
      </c>
      <c r="G1040">
        <v>0.75</v>
      </c>
    </row>
    <row r="1041" spans="1:7" x14ac:dyDescent="0.25">
      <c r="A1041">
        <v>5032</v>
      </c>
      <c r="B1041">
        <v>2</v>
      </c>
      <c r="C1041">
        <v>2</v>
      </c>
      <c r="D1041">
        <v>1</v>
      </c>
      <c r="E1041">
        <v>2</v>
      </c>
      <c r="F1041">
        <v>3</v>
      </c>
      <c r="G1041">
        <v>1.75</v>
      </c>
    </row>
    <row r="1042" spans="1:7" x14ac:dyDescent="0.25">
      <c r="A1042">
        <v>5033</v>
      </c>
      <c r="B1042">
        <v>1</v>
      </c>
      <c r="C1042">
        <v>1</v>
      </c>
      <c r="D1042">
        <v>1</v>
      </c>
      <c r="E1042">
        <v>1</v>
      </c>
      <c r="F1042">
        <v>2</v>
      </c>
      <c r="G1042">
        <v>1</v>
      </c>
    </row>
    <row r="1043" spans="1:7" x14ac:dyDescent="0.25">
      <c r="A1043">
        <v>5034</v>
      </c>
      <c r="B1043">
        <v>1</v>
      </c>
      <c r="C1043">
        <v>1</v>
      </c>
      <c r="D1043">
        <v>1</v>
      </c>
      <c r="E1043">
        <v>1</v>
      </c>
      <c r="F1043">
        <v>3</v>
      </c>
      <c r="G1043">
        <v>1</v>
      </c>
    </row>
    <row r="1044" spans="1:7" x14ac:dyDescent="0.25">
      <c r="A1044">
        <v>5036</v>
      </c>
      <c r="B1044">
        <v>1</v>
      </c>
      <c r="C1044">
        <v>1</v>
      </c>
      <c r="D1044">
        <v>1</v>
      </c>
      <c r="E1044">
        <v>1</v>
      </c>
      <c r="F1044">
        <v>3</v>
      </c>
      <c r="G1044">
        <v>1</v>
      </c>
    </row>
    <row r="1045" spans="1:7" x14ac:dyDescent="0.25">
      <c r="A1045">
        <v>5037</v>
      </c>
      <c r="B1045">
        <v>0</v>
      </c>
      <c r="C1045">
        <v>0</v>
      </c>
      <c r="D1045">
        <v>3</v>
      </c>
      <c r="E1045">
        <v>3</v>
      </c>
      <c r="F1045">
        <v>3</v>
      </c>
      <c r="G1045">
        <v>1.5</v>
      </c>
    </row>
    <row r="1046" spans="1:7" x14ac:dyDescent="0.25">
      <c r="A1046">
        <v>5038</v>
      </c>
      <c r="B1046">
        <v>1</v>
      </c>
      <c r="C1046">
        <v>1</v>
      </c>
      <c r="D1046">
        <v>2</v>
      </c>
      <c r="E1046">
        <v>1</v>
      </c>
      <c r="F1046">
        <v>3</v>
      </c>
      <c r="G1046">
        <v>1.25</v>
      </c>
    </row>
    <row r="1047" spans="1:7" x14ac:dyDescent="0.25">
      <c r="A1047">
        <v>5042</v>
      </c>
      <c r="B1047">
        <v>1</v>
      </c>
      <c r="C1047">
        <v>1</v>
      </c>
      <c r="D1047">
        <v>1</v>
      </c>
      <c r="E1047">
        <v>1</v>
      </c>
      <c r="F1047">
        <v>3</v>
      </c>
      <c r="G1047">
        <v>1</v>
      </c>
    </row>
    <row r="1048" spans="1:7" x14ac:dyDescent="0.25">
      <c r="A1048">
        <v>5043</v>
      </c>
      <c r="B1048">
        <v>1</v>
      </c>
      <c r="C1048">
        <v>1</v>
      </c>
      <c r="D1048">
        <v>1</v>
      </c>
      <c r="E1048">
        <v>1</v>
      </c>
      <c r="F1048">
        <v>2</v>
      </c>
      <c r="G1048">
        <v>1</v>
      </c>
    </row>
    <row r="1049" spans="1:7" x14ac:dyDescent="0.25">
      <c r="A1049">
        <v>5045</v>
      </c>
      <c r="B1049">
        <v>2</v>
      </c>
      <c r="C1049">
        <v>2</v>
      </c>
      <c r="D1049">
        <v>2</v>
      </c>
      <c r="E1049">
        <v>2</v>
      </c>
      <c r="F1049">
        <v>3</v>
      </c>
      <c r="G1049">
        <v>2</v>
      </c>
    </row>
    <row r="1050" spans="1:7" x14ac:dyDescent="0.25">
      <c r="A1050">
        <v>5046</v>
      </c>
      <c r="B1050">
        <v>1</v>
      </c>
      <c r="C1050">
        <v>1</v>
      </c>
      <c r="D1050">
        <v>1</v>
      </c>
      <c r="E1050">
        <v>1</v>
      </c>
      <c r="F1050">
        <v>2</v>
      </c>
      <c r="G1050">
        <v>1</v>
      </c>
    </row>
    <row r="1051" spans="1:7" x14ac:dyDescent="0.25">
      <c r="A1051">
        <v>5048</v>
      </c>
      <c r="B1051">
        <v>1</v>
      </c>
      <c r="C1051">
        <v>1</v>
      </c>
      <c r="D1051">
        <v>1</v>
      </c>
      <c r="E1051">
        <v>1</v>
      </c>
      <c r="F1051">
        <v>2</v>
      </c>
      <c r="G1051">
        <v>1</v>
      </c>
    </row>
    <row r="1052" spans="1:7" x14ac:dyDescent="0.25">
      <c r="A1052">
        <v>5049</v>
      </c>
      <c r="B1052">
        <v>1</v>
      </c>
      <c r="C1052">
        <v>1</v>
      </c>
      <c r="D1052">
        <v>1</v>
      </c>
      <c r="E1052">
        <v>1</v>
      </c>
      <c r="F1052">
        <v>3</v>
      </c>
      <c r="G1052">
        <v>1</v>
      </c>
    </row>
    <row r="1053" spans="1:7" x14ac:dyDescent="0.25">
      <c r="A1053">
        <v>5050</v>
      </c>
      <c r="B1053">
        <v>2</v>
      </c>
      <c r="C1053">
        <v>3</v>
      </c>
      <c r="D1053">
        <v>3</v>
      </c>
      <c r="E1053">
        <v>3</v>
      </c>
      <c r="F1053">
        <v>2</v>
      </c>
      <c r="G1053">
        <v>2.75</v>
      </c>
    </row>
    <row r="1054" spans="1:7" x14ac:dyDescent="0.25">
      <c r="A1054">
        <v>5051</v>
      </c>
      <c r="B1054">
        <v>1</v>
      </c>
      <c r="C1054">
        <v>1</v>
      </c>
      <c r="D1054">
        <v>1</v>
      </c>
      <c r="E1054">
        <v>1</v>
      </c>
      <c r="F1054">
        <v>3</v>
      </c>
      <c r="G1054">
        <v>1</v>
      </c>
    </row>
    <row r="1055" spans="1:7" x14ac:dyDescent="0.25">
      <c r="A1055">
        <v>5052</v>
      </c>
      <c r="B1055">
        <v>0</v>
      </c>
      <c r="C1055">
        <v>2</v>
      </c>
      <c r="D1055">
        <v>1</v>
      </c>
      <c r="E1055">
        <v>0</v>
      </c>
      <c r="F1055">
        <v>4</v>
      </c>
      <c r="G1055">
        <v>0.75</v>
      </c>
    </row>
    <row r="1056" spans="1:7" x14ac:dyDescent="0.25">
      <c r="A1056">
        <v>5055</v>
      </c>
      <c r="B1056">
        <v>2</v>
      </c>
      <c r="C1056">
        <v>2</v>
      </c>
      <c r="D1056">
        <v>2</v>
      </c>
      <c r="E1056">
        <v>3</v>
      </c>
      <c r="F1056">
        <v>3</v>
      </c>
      <c r="G1056">
        <v>2.25</v>
      </c>
    </row>
    <row r="1057" spans="1:7" x14ac:dyDescent="0.25">
      <c r="A1057">
        <v>5056</v>
      </c>
      <c r="B1057">
        <v>1</v>
      </c>
      <c r="C1057">
        <v>1</v>
      </c>
      <c r="D1057">
        <v>1</v>
      </c>
      <c r="E1057">
        <v>1</v>
      </c>
      <c r="F1057">
        <v>2</v>
      </c>
      <c r="G1057">
        <v>1</v>
      </c>
    </row>
    <row r="1058" spans="1:7" x14ac:dyDescent="0.25">
      <c r="A1058">
        <v>5057</v>
      </c>
      <c r="B1058">
        <v>0</v>
      </c>
      <c r="C1058">
        <v>0</v>
      </c>
      <c r="D1058">
        <v>1</v>
      </c>
      <c r="E1058">
        <v>1</v>
      </c>
      <c r="F1058">
        <v>3</v>
      </c>
      <c r="G1058">
        <v>0.5</v>
      </c>
    </row>
    <row r="1059" spans="1:7" x14ac:dyDescent="0.25">
      <c r="A1059">
        <v>5058</v>
      </c>
      <c r="B1059">
        <v>1</v>
      </c>
      <c r="C1059">
        <v>2</v>
      </c>
      <c r="D1059">
        <v>1</v>
      </c>
      <c r="E1059">
        <v>1</v>
      </c>
      <c r="F1059">
        <v>3</v>
      </c>
      <c r="G1059">
        <v>1.25</v>
      </c>
    </row>
    <row r="1060" spans="1:7" x14ac:dyDescent="0.25">
      <c r="A1060">
        <v>5059</v>
      </c>
      <c r="B1060">
        <v>1</v>
      </c>
      <c r="C1060">
        <v>1</v>
      </c>
      <c r="D1060">
        <v>1</v>
      </c>
      <c r="E1060">
        <v>1</v>
      </c>
      <c r="F1060">
        <v>3</v>
      </c>
      <c r="G1060">
        <v>1</v>
      </c>
    </row>
    <row r="1061" spans="1:7" x14ac:dyDescent="0.25">
      <c r="A1061">
        <v>5063</v>
      </c>
      <c r="B1061">
        <v>1</v>
      </c>
      <c r="C1061">
        <v>1</v>
      </c>
      <c r="D1061">
        <v>1</v>
      </c>
      <c r="E1061">
        <v>2</v>
      </c>
      <c r="F1061">
        <v>2</v>
      </c>
      <c r="G1061">
        <v>1.25</v>
      </c>
    </row>
    <row r="1062" spans="1:7" x14ac:dyDescent="0.25">
      <c r="A1062">
        <v>5064</v>
      </c>
      <c r="B1062">
        <v>1</v>
      </c>
      <c r="C1062">
        <v>2</v>
      </c>
      <c r="D1062">
        <v>1</v>
      </c>
      <c r="E1062">
        <v>1</v>
      </c>
      <c r="F1062">
        <v>3</v>
      </c>
      <c r="G1062">
        <v>1.25</v>
      </c>
    </row>
    <row r="1063" spans="1:7" x14ac:dyDescent="0.25">
      <c r="A1063">
        <v>5065</v>
      </c>
      <c r="B1063">
        <v>1</v>
      </c>
      <c r="C1063">
        <v>2</v>
      </c>
      <c r="D1063">
        <v>1</v>
      </c>
      <c r="E1063">
        <v>1</v>
      </c>
      <c r="F1063">
        <v>3</v>
      </c>
      <c r="G1063">
        <v>1.25</v>
      </c>
    </row>
    <row r="1064" spans="1:7" x14ac:dyDescent="0.25">
      <c r="A1064">
        <v>5067</v>
      </c>
      <c r="B1064">
        <v>2</v>
      </c>
      <c r="C1064">
        <v>1</v>
      </c>
      <c r="D1064">
        <v>1</v>
      </c>
      <c r="E1064">
        <v>1</v>
      </c>
      <c r="F1064">
        <v>3</v>
      </c>
      <c r="G1064">
        <v>1.25</v>
      </c>
    </row>
    <row r="1065" spans="1:7" x14ac:dyDescent="0.25">
      <c r="A1065">
        <v>5068</v>
      </c>
      <c r="B1065">
        <v>2</v>
      </c>
      <c r="C1065">
        <v>2</v>
      </c>
      <c r="D1065">
        <v>1</v>
      </c>
      <c r="E1065">
        <v>2</v>
      </c>
      <c r="F1065">
        <v>3</v>
      </c>
      <c r="G1065">
        <v>1.75</v>
      </c>
    </row>
    <row r="1066" spans="1:7" x14ac:dyDescent="0.25">
      <c r="A1066">
        <v>5069</v>
      </c>
      <c r="B1066">
        <v>1</v>
      </c>
      <c r="C1066">
        <v>1</v>
      </c>
      <c r="D1066">
        <v>1</v>
      </c>
      <c r="E1066">
        <v>1</v>
      </c>
      <c r="F1066">
        <v>3</v>
      </c>
      <c r="G1066">
        <v>1</v>
      </c>
    </row>
    <row r="1067" spans="1:7" x14ac:dyDescent="0.25">
      <c r="A1067">
        <v>5070</v>
      </c>
      <c r="B1067">
        <v>2</v>
      </c>
      <c r="C1067">
        <v>1</v>
      </c>
      <c r="D1067">
        <v>1</v>
      </c>
      <c r="E1067">
        <v>1</v>
      </c>
      <c r="F1067">
        <v>3</v>
      </c>
      <c r="G1067">
        <v>1.25</v>
      </c>
    </row>
    <row r="1068" spans="1:7" x14ac:dyDescent="0.25">
      <c r="A1068">
        <v>5071</v>
      </c>
      <c r="B1068">
        <v>2</v>
      </c>
      <c r="C1068">
        <v>2</v>
      </c>
      <c r="D1068">
        <v>2</v>
      </c>
      <c r="E1068">
        <v>2</v>
      </c>
      <c r="F1068">
        <v>4</v>
      </c>
      <c r="G1068">
        <v>2</v>
      </c>
    </row>
    <row r="1069" spans="1:7" x14ac:dyDescent="0.25">
      <c r="A1069">
        <v>5072</v>
      </c>
      <c r="B1069">
        <v>1</v>
      </c>
      <c r="C1069">
        <v>1</v>
      </c>
      <c r="D1069">
        <v>1</v>
      </c>
      <c r="E1069">
        <v>1</v>
      </c>
      <c r="F1069">
        <v>2</v>
      </c>
      <c r="G1069">
        <v>1</v>
      </c>
    </row>
    <row r="1070" spans="1:7" x14ac:dyDescent="0.25">
      <c r="A1070">
        <v>5074</v>
      </c>
      <c r="B1070">
        <v>2</v>
      </c>
      <c r="C1070">
        <v>1</v>
      </c>
      <c r="D1070">
        <v>1</v>
      </c>
      <c r="E1070">
        <v>1</v>
      </c>
      <c r="F1070">
        <v>2</v>
      </c>
      <c r="G1070">
        <v>1.25</v>
      </c>
    </row>
    <row r="1071" spans="1:7" x14ac:dyDescent="0.25">
      <c r="A1071">
        <v>5075</v>
      </c>
      <c r="B1071">
        <v>2</v>
      </c>
      <c r="C1071">
        <v>1</v>
      </c>
      <c r="D1071">
        <v>1</v>
      </c>
      <c r="E1071">
        <v>1</v>
      </c>
      <c r="F1071">
        <v>2</v>
      </c>
      <c r="G1071">
        <v>1.25</v>
      </c>
    </row>
    <row r="1072" spans="1:7" x14ac:dyDescent="0.25">
      <c r="A1072">
        <v>5076</v>
      </c>
      <c r="B1072">
        <v>1</v>
      </c>
      <c r="C1072">
        <v>1</v>
      </c>
      <c r="D1072">
        <v>1</v>
      </c>
      <c r="E1072">
        <v>1</v>
      </c>
      <c r="F1072">
        <v>3</v>
      </c>
      <c r="G1072">
        <v>1</v>
      </c>
    </row>
    <row r="1073" spans="1:7" x14ac:dyDescent="0.25">
      <c r="A1073">
        <v>5078</v>
      </c>
      <c r="B1073">
        <v>1</v>
      </c>
      <c r="C1073">
        <v>1</v>
      </c>
      <c r="D1073">
        <v>1</v>
      </c>
      <c r="E1073">
        <v>1</v>
      </c>
      <c r="F1073">
        <v>3</v>
      </c>
      <c r="G1073">
        <v>1</v>
      </c>
    </row>
    <row r="1074" spans="1:7" x14ac:dyDescent="0.25">
      <c r="A1074">
        <v>5081</v>
      </c>
      <c r="B1074">
        <v>1</v>
      </c>
      <c r="C1074">
        <v>1</v>
      </c>
      <c r="D1074">
        <v>1</v>
      </c>
      <c r="E1074">
        <v>1</v>
      </c>
      <c r="F1074">
        <v>3</v>
      </c>
      <c r="G1074">
        <v>1</v>
      </c>
    </row>
    <row r="1075" spans="1:7" x14ac:dyDescent="0.25">
      <c r="A1075">
        <v>5082</v>
      </c>
      <c r="B1075">
        <v>0</v>
      </c>
      <c r="C1075">
        <v>1</v>
      </c>
      <c r="D1075">
        <v>1</v>
      </c>
      <c r="E1075">
        <v>1</v>
      </c>
      <c r="F1075">
        <v>3</v>
      </c>
      <c r="G1075">
        <v>0.75</v>
      </c>
    </row>
    <row r="1076" spans="1:7" x14ac:dyDescent="0.25">
      <c r="A1076">
        <v>5083</v>
      </c>
      <c r="B1076">
        <v>3</v>
      </c>
      <c r="C1076">
        <v>3</v>
      </c>
      <c r="D1076">
        <v>2</v>
      </c>
      <c r="E1076">
        <v>1</v>
      </c>
      <c r="F1076">
        <v>3</v>
      </c>
      <c r="G1076">
        <v>2.25</v>
      </c>
    </row>
    <row r="1077" spans="1:7" x14ac:dyDescent="0.25">
      <c r="A1077">
        <v>5088</v>
      </c>
      <c r="B1077">
        <v>1</v>
      </c>
      <c r="C1077">
        <v>1</v>
      </c>
      <c r="D1077">
        <v>1</v>
      </c>
      <c r="E1077">
        <v>1</v>
      </c>
      <c r="F1077">
        <v>2</v>
      </c>
      <c r="G1077">
        <v>1</v>
      </c>
    </row>
    <row r="1078" spans="1:7" x14ac:dyDescent="0.25">
      <c r="A1078">
        <v>5089</v>
      </c>
      <c r="B1078">
        <v>1</v>
      </c>
      <c r="C1078">
        <v>1</v>
      </c>
      <c r="D1078">
        <v>1</v>
      </c>
      <c r="E1078">
        <v>1</v>
      </c>
      <c r="F1078">
        <v>4</v>
      </c>
      <c r="G1078">
        <v>1</v>
      </c>
    </row>
    <row r="1079" spans="1:7" x14ac:dyDescent="0.25">
      <c r="A1079">
        <v>5090</v>
      </c>
      <c r="B1079">
        <v>4</v>
      </c>
      <c r="C1079">
        <v>3</v>
      </c>
      <c r="D1079">
        <v>1</v>
      </c>
      <c r="E1079">
        <v>2</v>
      </c>
      <c r="F1079">
        <v>2</v>
      </c>
      <c r="G1079">
        <v>2.5</v>
      </c>
    </row>
    <row r="1080" spans="1:7" x14ac:dyDescent="0.25">
      <c r="A1080">
        <v>5092</v>
      </c>
      <c r="B1080">
        <v>3</v>
      </c>
      <c r="C1080">
        <v>1</v>
      </c>
      <c r="D1080">
        <v>1</v>
      </c>
      <c r="E1080">
        <v>1</v>
      </c>
      <c r="F1080">
        <v>3</v>
      </c>
      <c r="G1080">
        <v>1.5</v>
      </c>
    </row>
    <row r="1081" spans="1:7" x14ac:dyDescent="0.25">
      <c r="A1081">
        <v>5093</v>
      </c>
      <c r="B1081">
        <v>1</v>
      </c>
      <c r="C1081">
        <v>1</v>
      </c>
      <c r="D1081">
        <v>1</v>
      </c>
      <c r="E1081">
        <v>1</v>
      </c>
      <c r="F1081">
        <v>3</v>
      </c>
      <c r="G1081">
        <v>1</v>
      </c>
    </row>
    <row r="1082" spans="1:7" x14ac:dyDescent="0.25">
      <c r="A1082">
        <v>5095</v>
      </c>
      <c r="B1082">
        <v>1</v>
      </c>
      <c r="C1082">
        <v>1</v>
      </c>
      <c r="D1082">
        <v>1</v>
      </c>
      <c r="E1082">
        <v>1</v>
      </c>
      <c r="F1082">
        <v>3</v>
      </c>
      <c r="G1082">
        <v>1</v>
      </c>
    </row>
    <row r="1083" spans="1:7" x14ac:dyDescent="0.25">
      <c r="A1083">
        <v>5096</v>
      </c>
      <c r="B1083">
        <v>2</v>
      </c>
      <c r="C1083">
        <v>2</v>
      </c>
      <c r="D1083">
        <v>1</v>
      </c>
      <c r="E1083">
        <v>1</v>
      </c>
      <c r="F1083">
        <v>3</v>
      </c>
      <c r="G1083">
        <v>1.5</v>
      </c>
    </row>
    <row r="1084" spans="1:7" x14ac:dyDescent="0.25">
      <c r="A1084">
        <v>5098</v>
      </c>
      <c r="B1084">
        <v>1</v>
      </c>
      <c r="C1084">
        <v>1</v>
      </c>
      <c r="D1084">
        <v>2</v>
      </c>
      <c r="E1084">
        <v>1</v>
      </c>
      <c r="F1084">
        <v>3</v>
      </c>
      <c r="G1084">
        <v>1.25</v>
      </c>
    </row>
    <row r="1085" spans="1:7" x14ac:dyDescent="0.25">
      <c r="A1085">
        <v>5099</v>
      </c>
      <c r="B1085">
        <v>1</v>
      </c>
      <c r="C1085">
        <v>1</v>
      </c>
      <c r="D1085">
        <v>1</v>
      </c>
      <c r="E1085">
        <v>1</v>
      </c>
      <c r="F1085">
        <v>2</v>
      </c>
      <c r="G1085">
        <v>1</v>
      </c>
    </row>
    <row r="1086" spans="1:7" x14ac:dyDescent="0.25">
      <c r="A1086">
        <v>5102</v>
      </c>
      <c r="B1086">
        <v>2</v>
      </c>
      <c r="C1086">
        <v>3</v>
      </c>
      <c r="D1086">
        <v>3</v>
      </c>
      <c r="E1086">
        <v>3</v>
      </c>
      <c r="F1086">
        <v>4</v>
      </c>
      <c r="G1086">
        <v>2.75</v>
      </c>
    </row>
    <row r="1087" spans="1:7" x14ac:dyDescent="0.25">
      <c r="A1087">
        <v>5103</v>
      </c>
      <c r="B1087">
        <v>1</v>
      </c>
      <c r="C1087">
        <v>1</v>
      </c>
      <c r="D1087">
        <v>1</v>
      </c>
      <c r="E1087">
        <v>1</v>
      </c>
      <c r="F1087">
        <v>3</v>
      </c>
      <c r="G1087">
        <v>1</v>
      </c>
    </row>
    <row r="1088" spans="1:7" x14ac:dyDescent="0.25">
      <c r="A1088">
        <v>5106</v>
      </c>
      <c r="B1088">
        <v>2</v>
      </c>
      <c r="C1088">
        <v>2</v>
      </c>
      <c r="D1088">
        <v>3</v>
      </c>
      <c r="E1088">
        <v>2</v>
      </c>
      <c r="F1088">
        <v>3</v>
      </c>
      <c r="G1088">
        <v>2.25</v>
      </c>
    </row>
    <row r="1089" spans="1:7" x14ac:dyDescent="0.25">
      <c r="A1089">
        <v>5107</v>
      </c>
      <c r="B1089">
        <v>1</v>
      </c>
      <c r="C1089">
        <v>1</v>
      </c>
      <c r="D1089">
        <v>1</v>
      </c>
      <c r="E1089">
        <v>1</v>
      </c>
      <c r="F1089">
        <v>2</v>
      </c>
      <c r="G1089">
        <v>1</v>
      </c>
    </row>
    <row r="1090" spans="1:7" x14ac:dyDescent="0.25">
      <c r="A1090">
        <v>5109</v>
      </c>
      <c r="B1090">
        <v>1</v>
      </c>
      <c r="C1090">
        <v>1</v>
      </c>
      <c r="D1090">
        <v>1</v>
      </c>
      <c r="E1090">
        <v>1</v>
      </c>
      <c r="F1090">
        <v>3</v>
      </c>
      <c r="G1090">
        <v>1</v>
      </c>
    </row>
    <row r="1091" spans="1:7" x14ac:dyDescent="0.25">
      <c r="A1091">
        <v>5111</v>
      </c>
      <c r="B1091">
        <v>1</v>
      </c>
      <c r="C1091">
        <v>1</v>
      </c>
      <c r="D1091">
        <v>1</v>
      </c>
      <c r="E1091">
        <v>2</v>
      </c>
      <c r="F1091">
        <v>3</v>
      </c>
      <c r="G1091">
        <v>1.25</v>
      </c>
    </row>
    <row r="1092" spans="1:7" x14ac:dyDescent="0.25">
      <c r="A1092">
        <v>5112</v>
      </c>
      <c r="B1092">
        <v>1</v>
      </c>
      <c r="C1092">
        <v>1</v>
      </c>
      <c r="D1092">
        <v>1</v>
      </c>
      <c r="E1092">
        <v>1</v>
      </c>
      <c r="F1092">
        <v>4</v>
      </c>
      <c r="G1092">
        <v>1</v>
      </c>
    </row>
    <row r="1093" spans="1:7" x14ac:dyDescent="0.25">
      <c r="A1093">
        <v>5113</v>
      </c>
      <c r="B1093">
        <v>1</v>
      </c>
      <c r="C1093">
        <v>1</v>
      </c>
      <c r="D1093">
        <v>1</v>
      </c>
      <c r="E1093">
        <v>1</v>
      </c>
      <c r="F1093">
        <v>3</v>
      </c>
      <c r="G1093">
        <v>1</v>
      </c>
    </row>
    <row r="1094" spans="1:7" x14ac:dyDescent="0.25">
      <c r="A1094">
        <v>5114</v>
      </c>
      <c r="B1094">
        <v>1</v>
      </c>
      <c r="C1094">
        <v>1</v>
      </c>
      <c r="D1094">
        <v>1</v>
      </c>
      <c r="E1094">
        <v>2</v>
      </c>
      <c r="F1094">
        <v>2</v>
      </c>
      <c r="G1094">
        <v>1.25</v>
      </c>
    </row>
    <row r="1095" spans="1:7" x14ac:dyDescent="0.25">
      <c r="A1095">
        <v>5115</v>
      </c>
      <c r="B1095">
        <v>1</v>
      </c>
      <c r="C1095">
        <v>1</v>
      </c>
      <c r="D1095">
        <v>1</v>
      </c>
      <c r="E1095">
        <v>1</v>
      </c>
      <c r="F1095">
        <v>3</v>
      </c>
      <c r="G1095">
        <v>1</v>
      </c>
    </row>
    <row r="1096" spans="1:7" x14ac:dyDescent="0.25">
      <c r="A1096">
        <v>5116</v>
      </c>
      <c r="B1096">
        <v>3</v>
      </c>
      <c r="C1096">
        <v>3</v>
      </c>
      <c r="D1096">
        <v>1</v>
      </c>
      <c r="E1096">
        <v>2</v>
      </c>
      <c r="F1096">
        <v>3</v>
      </c>
      <c r="G1096">
        <v>2.25</v>
      </c>
    </row>
    <row r="1097" spans="1:7" x14ac:dyDescent="0.25">
      <c r="A1097">
        <v>5118</v>
      </c>
      <c r="B1097">
        <v>1</v>
      </c>
      <c r="C1097">
        <v>1</v>
      </c>
      <c r="D1097">
        <v>1</v>
      </c>
      <c r="E1097">
        <v>1</v>
      </c>
      <c r="F1097">
        <v>3</v>
      </c>
      <c r="G1097">
        <v>1</v>
      </c>
    </row>
    <row r="1098" spans="1:7" x14ac:dyDescent="0.25">
      <c r="A1098">
        <v>5119</v>
      </c>
      <c r="B1098">
        <v>1</v>
      </c>
      <c r="C1098">
        <v>1</v>
      </c>
      <c r="D1098">
        <v>1</v>
      </c>
      <c r="E1098">
        <v>1</v>
      </c>
      <c r="F1098">
        <v>3</v>
      </c>
      <c r="G1098">
        <v>1</v>
      </c>
    </row>
    <row r="1099" spans="1:7" x14ac:dyDescent="0.25">
      <c r="A1099">
        <v>5121</v>
      </c>
      <c r="B1099">
        <v>3</v>
      </c>
      <c r="C1099">
        <v>2</v>
      </c>
      <c r="D1099">
        <v>1</v>
      </c>
      <c r="E1099">
        <v>2</v>
      </c>
      <c r="F1099">
        <v>4</v>
      </c>
      <c r="G1099">
        <v>2</v>
      </c>
    </row>
    <row r="1100" spans="1:7" x14ac:dyDescent="0.25">
      <c r="A1100">
        <v>5122</v>
      </c>
      <c r="B1100">
        <v>2</v>
      </c>
      <c r="C1100">
        <v>1</v>
      </c>
      <c r="D1100">
        <v>1</v>
      </c>
      <c r="E1100">
        <v>1</v>
      </c>
      <c r="F1100">
        <v>3</v>
      </c>
      <c r="G1100">
        <v>1.25</v>
      </c>
    </row>
    <row r="1101" spans="1:7" x14ac:dyDescent="0.25">
      <c r="A1101">
        <v>5123</v>
      </c>
      <c r="B1101">
        <v>0</v>
      </c>
      <c r="C1101">
        <v>1</v>
      </c>
      <c r="D1101">
        <v>1</v>
      </c>
      <c r="E1101">
        <v>1</v>
      </c>
      <c r="F1101">
        <v>3</v>
      </c>
      <c r="G1101">
        <v>0.75</v>
      </c>
    </row>
    <row r="1102" spans="1:7" x14ac:dyDescent="0.25">
      <c r="A1102">
        <v>5124</v>
      </c>
      <c r="B1102">
        <v>2</v>
      </c>
      <c r="C1102">
        <v>1</v>
      </c>
      <c r="D1102">
        <v>1</v>
      </c>
      <c r="E1102">
        <v>1</v>
      </c>
      <c r="F1102">
        <v>3</v>
      </c>
      <c r="G1102">
        <v>1.25</v>
      </c>
    </row>
    <row r="1103" spans="1:7" x14ac:dyDescent="0.25">
      <c r="A1103">
        <v>5125</v>
      </c>
      <c r="B1103">
        <v>1</v>
      </c>
      <c r="C1103">
        <v>1</v>
      </c>
      <c r="D1103">
        <v>2</v>
      </c>
      <c r="E1103">
        <v>1</v>
      </c>
      <c r="F1103">
        <v>3</v>
      </c>
      <c r="G1103">
        <v>1.25</v>
      </c>
    </row>
    <row r="1104" spans="1:7" x14ac:dyDescent="0.25">
      <c r="A1104">
        <v>5127</v>
      </c>
      <c r="B1104">
        <v>1</v>
      </c>
      <c r="C1104">
        <v>1</v>
      </c>
      <c r="D1104">
        <v>1</v>
      </c>
      <c r="E1104">
        <v>1</v>
      </c>
      <c r="F1104">
        <v>3</v>
      </c>
      <c r="G1104">
        <v>1</v>
      </c>
    </row>
    <row r="1105" spans="1:7" x14ac:dyDescent="0.25">
      <c r="A1105">
        <v>5128</v>
      </c>
      <c r="B1105">
        <v>2</v>
      </c>
      <c r="C1105">
        <v>2</v>
      </c>
      <c r="D1105">
        <v>1</v>
      </c>
      <c r="E1105">
        <v>1</v>
      </c>
      <c r="F1105">
        <v>3</v>
      </c>
      <c r="G1105">
        <v>1.5</v>
      </c>
    </row>
    <row r="1106" spans="1:7" x14ac:dyDescent="0.25">
      <c r="A1106">
        <v>5130</v>
      </c>
      <c r="B1106">
        <v>1</v>
      </c>
      <c r="C1106">
        <v>1</v>
      </c>
      <c r="D1106">
        <v>1</v>
      </c>
      <c r="E1106">
        <v>1</v>
      </c>
      <c r="F1106">
        <v>2</v>
      </c>
      <c r="G1106">
        <v>1</v>
      </c>
    </row>
    <row r="1107" spans="1:7" x14ac:dyDescent="0.25">
      <c r="A1107">
        <v>5131</v>
      </c>
      <c r="B1107">
        <v>0</v>
      </c>
      <c r="C1107">
        <v>2</v>
      </c>
      <c r="D1107">
        <v>2</v>
      </c>
      <c r="E1107">
        <v>1</v>
      </c>
      <c r="F1107">
        <v>3</v>
      </c>
      <c r="G1107">
        <v>1.25</v>
      </c>
    </row>
    <row r="1108" spans="1:7" x14ac:dyDescent="0.25">
      <c r="A1108">
        <v>5132</v>
      </c>
      <c r="B1108">
        <v>1</v>
      </c>
      <c r="C1108">
        <v>1</v>
      </c>
      <c r="D1108">
        <v>1</v>
      </c>
      <c r="E1108">
        <v>1</v>
      </c>
      <c r="F1108">
        <v>2</v>
      </c>
      <c r="G1108">
        <v>1</v>
      </c>
    </row>
    <row r="1109" spans="1:7" x14ac:dyDescent="0.25">
      <c r="A1109">
        <v>5133</v>
      </c>
      <c r="B1109">
        <v>1</v>
      </c>
      <c r="C1109">
        <v>2</v>
      </c>
      <c r="D1109">
        <v>2</v>
      </c>
      <c r="E1109">
        <v>2</v>
      </c>
      <c r="F1109">
        <v>3</v>
      </c>
      <c r="G1109">
        <v>1.75</v>
      </c>
    </row>
    <row r="1110" spans="1:7" x14ac:dyDescent="0.25">
      <c r="A1110">
        <v>5135</v>
      </c>
      <c r="B1110">
        <v>1</v>
      </c>
      <c r="C1110">
        <v>1</v>
      </c>
      <c r="D1110">
        <v>2</v>
      </c>
      <c r="E1110">
        <v>1</v>
      </c>
      <c r="F1110">
        <v>2</v>
      </c>
      <c r="G1110">
        <v>1.25</v>
      </c>
    </row>
    <row r="1111" spans="1:7" x14ac:dyDescent="0.25">
      <c r="A1111">
        <v>5136</v>
      </c>
      <c r="B1111">
        <v>1</v>
      </c>
      <c r="C1111">
        <v>1</v>
      </c>
      <c r="D1111">
        <v>1</v>
      </c>
      <c r="E1111">
        <v>1</v>
      </c>
      <c r="F1111">
        <v>4</v>
      </c>
      <c r="G1111">
        <v>1</v>
      </c>
    </row>
    <row r="1112" spans="1:7" x14ac:dyDescent="0.25">
      <c r="A1112">
        <v>5139</v>
      </c>
      <c r="B1112">
        <v>3</v>
      </c>
      <c r="C1112">
        <v>2</v>
      </c>
      <c r="D1112">
        <v>2</v>
      </c>
      <c r="E1112">
        <v>2</v>
      </c>
      <c r="F1112">
        <v>3</v>
      </c>
      <c r="G1112">
        <v>2.25</v>
      </c>
    </row>
    <row r="1113" spans="1:7" x14ac:dyDescent="0.25">
      <c r="A1113">
        <v>5140</v>
      </c>
      <c r="B1113">
        <v>1</v>
      </c>
      <c r="C1113">
        <v>1</v>
      </c>
      <c r="D1113">
        <v>1</v>
      </c>
      <c r="E1113">
        <v>1</v>
      </c>
      <c r="F1113">
        <v>2</v>
      </c>
      <c r="G1113">
        <v>1</v>
      </c>
    </row>
    <row r="1114" spans="1:7" x14ac:dyDescent="0.25">
      <c r="A1114">
        <v>5141</v>
      </c>
      <c r="B1114">
        <v>1</v>
      </c>
      <c r="C1114">
        <v>2</v>
      </c>
      <c r="D1114">
        <v>1</v>
      </c>
      <c r="E1114">
        <v>1</v>
      </c>
      <c r="F1114">
        <v>3</v>
      </c>
      <c r="G1114">
        <v>1.25</v>
      </c>
    </row>
    <row r="1115" spans="1:7" x14ac:dyDescent="0.25">
      <c r="A1115">
        <v>5142</v>
      </c>
      <c r="B1115">
        <v>1</v>
      </c>
      <c r="C1115">
        <v>1</v>
      </c>
      <c r="D1115">
        <v>1</v>
      </c>
      <c r="E1115">
        <v>1</v>
      </c>
      <c r="F1115">
        <v>2</v>
      </c>
      <c r="G1115">
        <v>1</v>
      </c>
    </row>
    <row r="1116" spans="1:7" x14ac:dyDescent="0.25">
      <c r="A1116">
        <v>5143</v>
      </c>
      <c r="B1116">
        <v>1</v>
      </c>
      <c r="C1116">
        <v>1</v>
      </c>
      <c r="D1116">
        <v>1</v>
      </c>
      <c r="E1116">
        <v>1</v>
      </c>
      <c r="F1116">
        <v>3</v>
      </c>
      <c r="G1116">
        <v>1</v>
      </c>
    </row>
    <row r="1117" spans="1:7" x14ac:dyDescent="0.25">
      <c r="A1117">
        <v>5144</v>
      </c>
      <c r="B1117">
        <v>3</v>
      </c>
      <c r="C1117">
        <v>3</v>
      </c>
      <c r="D1117">
        <v>1</v>
      </c>
      <c r="E1117">
        <v>2</v>
      </c>
      <c r="F1117">
        <v>2</v>
      </c>
      <c r="G1117">
        <v>2.25</v>
      </c>
    </row>
    <row r="1118" spans="1:7" x14ac:dyDescent="0.25">
      <c r="A1118">
        <v>5145</v>
      </c>
      <c r="B1118">
        <v>1</v>
      </c>
      <c r="C1118">
        <v>1</v>
      </c>
      <c r="D1118">
        <v>1</v>
      </c>
      <c r="E1118">
        <v>1</v>
      </c>
      <c r="F1118">
        <v>2</v>
      </c>
      <c r="G1118">
        <v>1</v>
      </c>
    </row>
    <row r="1119" spans="1:7" x14ac:dyDescent="0.25">
      <c r="A1119">
        <v>5146</v>
      </c>
      <c r="B1119">
        <v>1</v>
      </c>
      <c r="C1119">
        <v>1</v>
      </c>
      <c r="D1119">
        <v>1</v>
      </c>
      <c r="E1119">
        <v>1</v>
      </c>
      <c r="F1119">
        <v>4</v>
      </c>
      <c r="G1119">
        <v>1</v>
      </c>
    </row>
    <row r="1120" spans="1:7" x14ac:dyDescent="0.25">
      <c r="A1120">
        <v>5147</v>
      </c>
      <c r="B1120">
        <v>2</v>
      </c>
      <c r="C1120">
        <v>3</v>
      </c>
      <c r="D1120">
        <v>2</v>
      </c>
      <c r="E1120">
        <v>2</v>
      </c>
      <c r="F1120">
        <v>2</v>
      </c>
      <c r="G1120">
        <v>2.25</v>
      </c>
    </row>
    <row r="1121" spans="1:7" x14ac:dyDescent="0.25">
      <c r="A1121">
        <v>5149</v>
      </c>
      <c r="B1121">
        <v>2</v>
      </c>
      <c r="C1121">
        <v>1</v>
      </c>
      <c r="D1121">
        <v>1</v>
      </c>
      <c r="E1121">
        <v>2</v>
      </c>
      <c r="F1121">
        <v>2</v>
      </c>
      <c r="G1121">
        <v>1.5</v>
      </c>
    </row>
    <row r="1122" spans="1:7" x14ac:dyDescent="0.25">
      <c r="A1122">
        <v>5150</v>
      </c>
      <c r="B1122">
        <v>1</v>
      </c>
      <c r="C1122">
        <v>1</v>
      </c>
      <c r="D1122">
        <v>1</v>
      </c>
      <c r="E1122">
        <v>1</v>
      </c>
      <c r="F1122">
        <v>2</v>
      </c>
      <c r="G1122">
        <v>1</v>
      </c>
    </row>
    <row r="1123" spans="1:7" x14ac:dyDescent="0.25">
      <c r="A1123">
        <v>5151</v>
      </c>
      <c r="B1123">
        <v>2</v>
      </c>
      <c r="C1123">
        <v>2</v>
      </c>
      <c r="D1123">
        <v>2</v>
      </c>
      <c r="E1123">
        <v>3</v>
      </c>
      <c r="F1123">
        <v>2</v>
      </c>
      <c r="G1123">
        <v>2.25</v>
      </c>
    </row>
    <row r="1124" spans="1:7" x14ac:dyDescent="0.25">
      <c r="A1124">
        <v>5152</v>
      </c>
      <c r="B1124">
        <v>2</v>
      </c>
      <c r="C1124">
        <v>3</v>
      </c>
      <c r="D1124">
        <v>1</v>
      </c>
      <c r="E1124">
        <v>1</v>
      </c>
      <c r="F1124">
        <v>3</v>
      </c>
      <c r="G1124">
        <v>1.75</v>
      </c>
    </row>
    <row r="1125" spans="1:7" x14ac:dyDescent="0.25">
      <c r="A1125">
        <v>5153</v>
      </c>
      <c r="B1125">
        <v>1</v>
      </c>
      <c r="C1125">
        <v>1</v>
      </c>
      <c r="D1125">
        <v>1</v>
      </c>
      <c r="E1125">
        <v>1</v>
      </c>
      <c r="F1125">
        <v>3</v>
      </c>
      <c r="G1125">
        <v>1</v>
      </c>
    </row>
    <row r="1126" spans="1:7" x14ac:dyDescent="0.25">
      <c r="A1126">
        <v>5155</v>
      </c>
      <c r="B1126">
        <v>1</v>
      </c>
      <c r="C1126">
        <v>1</v>
      </c>
      <c r="D1126">
        <v>1</v>
      </c>
      <c r="E1126">
        <v>1</v>
      </c>
      <c r="F1126">
        <v>3</v>
      </c>
      <c r="G1126">
        <v>1</v>
      </c>
    </row>
    <row r="1127" spans="1:7" x14ac:dyDescent="0.25">
      <c r="A1127">
        <v>5156</v>
      </c>
      <c r="B1127">
        <v>1</v>
      </c>
      <c r="C1127">
        <v>2</v>
      </c>
      <c r="D1127">
        <v>1</v>
      </c>
      <c r="E1127">
        <v>1</v>
      </c>
      <c r="F1127">
        <v>3</v>
      </c>
      <c r="G1127">
        <v>1.25</v>
      </c>
    </row>
    <row r="1128" spans="1:7" x14ac:dyDescent="0.25">
      <c r="A1128">
        <v>5157</v>
      </c>
      <c r="B1128">
        <v>3</v>
      </c>
      <c r="C1128">
        <v>3</v>
      </c>
      <c r="D1128">
        <v>2</v>
      </c>
      <c r="E1128">
        <v>3</v>
      </c>
      <c r="F1128">
        <v>3</v>
      </c>
      <c r="G1128">
        <v>2.75</v>
      </c>
    </row>
    <row r="1129" spans="1:7" x14ac:dyDescent="0.25">
      <c r="A1129">
        <v>5158</v>
      </c>
      <c r="B1129">
        <v>2</v>
      </c>
      <c r="C1129">
        <v>1</v>
      </c>
      <c r="D1129">
        <v>1</v>
      </c>
      <c r="E1129">
        <v>1</v>
      </c>
      <c r="F1129">
        <v>3</v>
      </c>
      <c r="G1129">
        <v>1.25</v>
      </c>
    </row>
    <row r="1130" spans="1:7" x14ac:dyDescent="0.25">
      <c r="A1130">
        <v>5159</v>
      </c>
      <c r="B1130">
        <v>1</v>
      </c>
      <c r="C1130">
        <v>1</v>
      </c>
      <c r="D1130">
        <v>1</v>
      </c>
      <c r="E1130">
        <v>1</v>
      </c>
      <c r="F1130">
        <v>3</v>
      </c>
      <c r="G1130">
        <v>1</v>
      </c>
    </row>
    <row r="1131" spans="1:7" x14ac:dyDescent="0.25">
      <c r="A1131">
        <v>5160</v>
      </c>
      <c r="B1131">
        <v>2</v>
      </c>
      <c r="C1131">
        <v>2</v>
      </c>
      <c r="D1131">
        <v>1</v>
      </c>
      <c r="E1131">
        <v>1</v>
      </c>
      <c r="F1131">
        <v>3</v>
      </c>
      <c r="G1131">
        <v>1.5</v>
      </c>
    </row>
    <row r="1132" spans="1:7" x14ac:dyDescent="0.25">
      <c r="A1132">
        <v>5161</v>
      </c>
      <c r="B1132">
        <v>2</v>
      </c>
      <c r="C1132">
        <v>1</v>
      </c>
      <c r="D1132">
        <v>2</v>
      </c>
      <c r="E1132">
        <v>2</v>
      </c>
      <c r="F1132">
        <v>2</v>
      </c>
      <c r="G1132">
        <v>1.75</v>
      </c>
    </row>
    <row r="1133" spans="1:7" x14ac:dyDescent="0.25">
      <c r="A1133">
        <v>5162</v>
      </c>
      <c r="B1133">
        <v>1</v>
      </c>
      <c r="C1133">
        <v>1</v>
      </c>
      <c r="D1133">
        <v>1</v>
      </c>
      <c r="E1133">
        <v>1</v>
      </c>
      <c r="F1133">
        <v>3</v>
      </c>
      <c r="G1133">
        <v>1</v>
      </c>
    </row>
    <row r="1134" spans="1:7" x14ac:dyDescent="0.25">
      <c r="A1134">
        <v>5163</v>
      </c>
      <c r="B1134">
        <v>1</v>
      </c>
      <c r="C1134">
        <v>1</v>
      </c>
      <c r="D1134">
        <v>1</v>
      </c>
      <c r="E1134">
        <v>1</v>
      </c>
      <c r="F1134">
        <v>4</v>
      </c>
      <c r="G1134">
        <v>1</v>
      </c>
    </row>
    <row r="1135" spans="1:7" x14ac:dyDescent="0.25">
      <c r="A1135">
        <v>5166</v>
      </c>
      <c r="B1135">
        <v>1</v>
      </c>
      <c r="C1135">
        <v>1</v>
      </c>
      <c r="D1135">
        <v>1</v>
      </c>
      <c r="E1135">
        <v>1</v>
      </c>
      <c r="F1135">
        <v>3</v>
      </c>
      <c r="G1135">
        <v>1</v>
      </c>
    </row>
    <row r="1136" spans="1:7" x14ac:dyDescent="0.25">
      <c r="A1136">
        <v>5168</v>
      </c>
      <c r="B1136">
        <v>1</v>
      </c>
      <c r="C1136">
        <v>1</v>
      </c>
      <c r="D1136">
        <v>1</v>
      </c>
      <c r="E1136">
        <v>2</v>
      </c>
      <c r="F1136">
        <v>2</v>
      </c>
      <c r="G1136">
        <v>1.25</v>
      </c>
    </row>
    <row r="1137" spans="1:7" x14ac:dyDescent="0.25">
      <c r="A1137">
        <v>5170</v>
      </c>
      <c r="B1137">
        <v>1</v>
      </c>
      <c r="C1137">
        <v>1</v>
      </c>
      <c r="D1137">
        <v>1</v>
      </c>
      <c r="E1137">
        <v>1</v>
      </c>
      <c r="F1137">
        <v>2</v>
      </c>
      <c r="G1137">
        <v>1</v>
      </c>
    </row>
    <row r="1138" spans="1:7" x14ac:dyDescent="0.25">
      <c r="A1138">
        <v>5171</v>
      </c>
      <c r="B1138">
        <v>1</v>
      </c>
      <c r="C1138">
        <v>1</v>
      </c>
      <c r="D1138">
        <v>1</v>
      </c>
      <c r="E1138">
        <v>1</v>
      </c>
      <c r="F1138">
        <v>2</v>
      </c>
      <c r="G1138">
        <v>1</v>
      </c>
    </row>
    <row r="1139" spans="1:7" x14ac:dyDescent="0.25">
      <c r="A1139">
        <v>5172</v>
      </c>
      <c r="B1139">
        <v>1</v>
      </c>
      <c r="C1139">
        <v>1</v>
      </c>
      <c r="D1139">
        <v>1</v>
      </c>
      <c r="E1139">
        <v>1</v>
      </c>
      <c r="F1139">
        <v>3</v>
      </c>
      <c r="G1139">
        <v>1</v>
      </c>
    </row>
    <row r="1140" spans="1:7" x14ac:dyDescent="0.25">
      <c r="A1140">
        <v>5173</v>
      </c>
      <c r="B1140">
        <v>1</v>
      </c>
      <c r="C1140">
        <v>1</v>
      </c>
      <c r="D1140">
        <v>1</v>
      </c>
      <c r="E1140">
        <v>1</v>
      </c>
      <c r="F1140">
        <v>2</v>
      </c>
      <c r="G1140">
        <v>1</v>
      </c>
    </row>
    <row r="1141" spans="1:7" x14ac:dyDescent="0.25">
      <c r="A1141">
        <v>5174</v>
      </c>
      <c r="B1141">
        <v>4</v>
      </c>
      <c r="C1141">
        <v>3</v>
      </c>
      <c r="D1141">
        <v>3</v>
      </c>
      <c r="E1141">
        <v>2</v>
      </c>
      <c r="F1141">
        <v>3</v>
      </c>
      <c r="G1141">
        <v>3</v>
      </c>
    </row>
    <row r="1142" spans="1:7" x14ac:dyDescent="0.25">
      <c r="A1142">
        <v>5175</v>
      </c>
      <c r="B1142">
        <v>2</v>
      </c>
      <c r="C1142">
        <v>1</v>
      </c>
      <c r="D1142">
        <v>1</v>
      </c>
      <c r="E1142">
        <v>1</v>
      </c>
      <c r="F1142">
        <v>3</v>
      </c>
      <c r="G1142">
        <v>1.25</v>
      </c>
    </row>
    <row r="1143" spans="1:7" x14ac:dyDescent="0.25">
      <c r="A1143">
        <v>5176</v>
      </c>
      <c r="B1143">
        <v>2</v>
      </c>
      <c r="C1143">
        <v>3</v>
      </c>
      <c r="D1143">
        <v>3</v>
      </c>
      <c r="E1143">
        <v>2</v>
      </c>
      <c r="F1143">
        <v>2</v>
      </c>
      <c r="G1143">
        <v>2.5</v>
      </c>
    </row>
    <row r="1144" spans="1:7" x14ac:dyDescent="0.25">
      <c r="A1144">
        <v>5177</v>
      </c>
      <c r="B1144">
        <v>1</v>
      </c>
      <c r="C1144">
        <v>2</v>
      </c>
      <c r="D1144">
        <v>1</v>
      </c>
      <c r="E1144">
        <v>1</v>
      </c>
      <c r="F1144">
        <v>2</v>
      </c>
      <c r="G1144">
        <v>1.25</v>
      </c>
    </row>
    <row r="1145" spans="1:7" x14ac:dyDescent="0.25">
      <c r="A1145">
        <v>5179</v>
      </c>
      <c r="B1145">
        <v>1</v>
      </c>
      <c r="C1145">
        <v>1</v>
      </c>
      <c r="D1145">
        <v>1</v>
      </c>
      <c r="E1145">
        <v>1</v>
      </c>
      <c r="F1145">
        <v>2</v>
      </c>
      <c r="G1145">
        <v>1</v>
      </c>
    </row>
    <row r="1146" spans="1:7" x14ac:dyDescent="0.25">
      <c r="A1146">
        <v>5180</v>
      </c>
      <c r="B1146">
        <v>2</v>
      </c>
      <c r="C1146">
        <v>0</v>
      </c>
      <c r="D1146">
        <v>2</v>
      </c>
      <c r="E1146">
        <v>2</v>
      </c>
      <c r="F1146">
        <v>3</v>
      </c>
      <c r="G1146">
        <v>1.5</v>
      </c>
    </row>
    <row r="1147" spans="1:7" x14ac:dyDescent="0.25">
      <c r="A1147">
        <v>5181</v>
      </c>
      <c r="B1147">
        <v>1</v>
      </c>
      <c r="C1147">
        <v>1</v>
      </c>
      <c r="D1147">
        <v>1</v>
      </c>
      <c r="E1147">
        <v>1</v>
      </c>
      <c r="F1147">
        <v>4</v>
      </c>
      <c r="G1147">
        <v>1</v>
      </c>
    </row>
    <row r="1148" spans="1:7" x14ac:dyDescent="0.25">
      <c r="A1148">
        <v>5183</v>
      </c>
      <c r="B1148">
        <v>2</v>
      </c>
      <c r="C1148">
        <v>1</v>
      </c>
      <c r="D1148">
        <v>2</v>
      </c>
      <c r="E1148">
        <v>2</v>
      </c>
      <c r="F1148">
        <v>3</v>
      </c>
      <c r="G1148">
        <v>1.75</v>
      </c>
    </row>
    <row r="1149" spans="1:7" x14ac:dyDescent="0.25">
      <c r="A1149">
        <v>5184</v>
      </c>
      <c r="B1149">
        <v>2</v>
      </c>
      <c r="C1149">
        <v>2</v>
      </c>
      <c r="D1149">
        <v>2</v>
      </c>
      <c r="E1149">
        <v>2</v>
      </c>
      <c r="F1149">
        <v>3</v>
      </c>
      <c r="G1149">
        <v>2</v>
      </c>
    </row>
    <row r="1150" spans="1:7" x14ac:dyDescent="0.25">
      <c r="A1150">
        <v>5185</v>
      </c>
      <c r="B1150">
        <v>1</v>
      </c>
      <c r="C1150">
        <v>1</v>
      </c>
      <c r="D1150">
        <v>1</v>
      </c>
      <c r="E1150">
        <v>1</v>
      </c>
      <c r="F1150">
        <v>3</v>
      </c>
      <c r="G1150">
        <v>1</v>
      </c>
    </row>
    <row r="1151" spans="1:7" x14ac:dyDescent="0.25">
      <c r="A1151">
        <v>5186</v>
      </c>
      <c r="B1151">
        <v>2</v>
      </c>
      <c r="C1151">
        <v>1</v>
      </c>
      <c r="D1151">
        <v>1</v>
      </c>
      <c r="E1151">
        <v>1</v>
      </c>
      <c r="F1151">
        <v>3</v>
      </c>
      <c r="G1151">
        <v>1.25</v>
      </c>
    </row>
    <row r="1152" spans="1:7" x14ac:dyDescent="0.25">
      <c r="A1152">
        <v>5187</v>
      </c>
      <c r="B1152">
        <v>3</v>
      </c>
      <c r="C1152">
        <v>4</v>
      </c>
      <c r="D1152">
        <v>3</v>
      </c>
      <c r="E1152">
        <v>2</v>
      </c>
      <c r="F1152">
        <v>3</v>
      </c>
      <c r="G1152">
        <v>3</v>
      </c>
    </row>
    <row r="1153" spans="1:7" x14ac:dyDescent="0.25">
      <c r="A1153">
        <v>5189</v>
      </c>
      <c r="B1153">
        <v>1</v>
      </c>
      <c r="C1153">
        <v>1</v>
      </c>
      <c r="D1153">
        <v>1</v>
      </c>
      <c r="E1153">
        <v>1</v>
      </c>
      <c r="F1153">
        <v>3</v>
      </c>
      <c r="G1153">
        <v>1</v>
      </c>
    </row>
    <row r="1154" spans="1:7" x14ac:dyDescent="0.25">
      <c r="A1154">
        <v>5191</v>
      </c>
      <c r="B1154">
        <v>2</v>
      </c>
      <c r="C1154">
        <v>1</v>
      </c>
      <c r="D1154">
        <v>1</v>
      </c>
      <c r="E1154">
        <v>1</v>
      </c>
      <c r="F1154">
        <v>3</v>
      </c>
      <c r="G1154">
        <v>1.25</v>
      </c>
    </row>
    <row r="1155" spans="1:7" x14ac:dyDescent="0.25">
      <c r="A1155">
        <v>5192</v>
      </c>
      <c r="B1155">
        <v>1</v>
      </c>
      <c r="C1155">
        <v>1</v>
      </c>
      <c r="D1155">
        <v>1</v>
      </c>
      <c r="E1155">
        <v>1</v>
      </c>
      <c r="F1155">
        <v>2</v>
      </c>
      <c r="G1155">
        <v>1</v>
      </c>
    </row>
    <row r="1156" spans="1:7" x14ac:dyDescent="0.25">
      <c r="A1156">
        <v>5194</v>
      </c>
      <c r="B1156">
        <v>0</v>
      </c>
      <c r="C1156">
        <v>1</v>
      </c>
      <c r="D1156">
        <v>1</v>
      </c>
      <c r="E1156">
        <v>2</v>
      </c>
      <c r="F1156">
        <v>3</v>
      </c>
      <c r="G1156">
        <v>1</v>
      </c>
    </row>
    <row r="1157" spans="1:7" x14ac:dyDescent="0.25">
      <c r="A1157">
        <v>5195</v>
      </c>
      <c r="B1157">
        <v>2</v>
      </c>
      <c r="C1157">
        <v>1</v>
      </c>
      <c r="D1157">
        <v>1</v>
      </c>
      <c r="E1157">
        <v>1</v>
      </c>
      <c r="F1157">
        <v>3</v>
      </c>
      <c r="G1157">
        <v>1.25</v>
      </c>
    </row>
    <row r="1158" spans="1:7" x14ac:dyDescent="0.25">
      <c r="A1158">
        <v>5196</v>
      </c>
      <c r="B1158">
        <v>1</v>
      </c>
      <c r="C1158">
        <v>1</v>
      </c>
      <c r="D1158">
        <v>1</v>
      </c>
      <c r="E1158">
        <v>1</v>
      </c>
      <c r="F1158">
        <v>3</v>
      </c>
      <c r="G1158">
        <v>1</v>
      </c>
    </row>
    <row r="1159" spans="1:7" x14ac:dyDescent="0.25">
      <c r="A1159">
        <v>5197</v>
      </c>
      <c r="B1159">
        <v>1</v>
      </c>
      <c r="C1159">
        <v>1</v>
      </c>
      <c r="D1159">
        <v>1</v>
      </c>
      <c r="E1159">
        <v>1</v>
      </c>
      <c r="F1159">
        <v>2</v>
      </c>
      <c r="G1159">
        <v>1</v>
      </c>
    </row>
    <row r="1160" spans="1:7" x14ac:dyDescent="0.25">
      <c r="A1160">
        <v>5199</v>
      </c>
      <c r="B1160">
        <v>1</v>
      </c>
      <c r="C1160">
        <v>1</v>
      </c>
      <c r="D1160">
        <v>1</v>
      </c>
      <c r="E1160">
        <v>2</v>
      </c>
      <c r="F1160">
        <v>3</v>
      </c>
      <c r="G1160">
        <v>1.25</v>
      </c>
    </row>
    <row r="1161" spans="1:7" x14ac:dyDescent="0.25">
      <c r="A1161">
        <v>5200</v>
      </c>
      <c r="B1161">
        <v>1</v>
      </c>
      <c r="C1161">
        <v>1</v>
      </c>
      <c r="D1161">
        <v>1</v>
      </c>
      <c r="E1161">
        <v>1</v>
      </c>
      <c r="F1161">
        <v>2</v>
      </c>
      <c r="G1161">
        <v>1</v>
      </c>
    </row>
    <row r="1162" spans="1:7" x14ac:dyDescent="0.25">
      <c r="A1162">
        <v>5202</v>
      </c>
      <c r="B1162">
        <v>2</v>
      </c>
      <c r="C1162">
        <v>1</v>
      </c>
      <c r="D1162">
        <v>1</v>
      </c>
      <c r="E1162">
        <v>2</v>
      </c>
      <c r="F1162">
        <v>3</v>
      </c>
      <c r="G1162">
        <v>1.5</v>
      </c>
    </row>
    <row r="1163" spans="1:7" x14ac:dyDescent="0.25">
      <c r="A1163">
        <v>5203</v>
      </c>
      <c r="B1163">
        <v>1</v>
      </c>
      <c r="C1163">
        <v>2</v>
      </c>
      <c r="D1163">
        <v>2</v>
      </c>
      <c r="E1163">
        <v>1</v>
      </c>
      <c r="F1163">
        <v>2</v>
      </c>
      <c r="G1163">
        <v>1.5</v>
      </c>
    </row>
    <row r="1164" spans="1:7" x14ac:dyDescent="0.25">
      <c r="A1164">
        <v>5205</v>
      </c>
      <c r="B1164">
        <v>1</v>
      </c>
      <c r="C1164">
        <v>1</v>
      </c>
      <c r="D1164">
        <v>1</v>
      </c>
      <c r="E1164">
        <v>1</v>
      </c>
      <c r="F1164">
        <v>3</v>
      </c>
      <c r="G1164">
        <v>1</v>
      </c>
    </row>
    <row r="1165" spans="1:7" x14ac:dyDescent="0.25">
      <c r="A1165">
        <v>5206</v>
      </c>
      <c r="B1165">
        <v>1</v>
      </c>
      <c r="C1165">
        <v>1</v>
      </c>
      <c r="D1165">
        <v>1</v>
      </c>
      <c r="E1165">
        <v>1</v>
      </c>
      <c r="F1165">
        <v>3</v>
      </c>
      <c r="G1165">
        <v>1</v>
      </c>
    </row>
    <row r="1166" spans="1:7" x14ac:dyDescent="0.25">
      <c r="A1166">
        <v>5207</v>
      </c>
      <c r="B1166">
        <v>1</v>
      </c>
      <c r="C1166">
        <v>1</v>
      </c>
      <c r="D1166">
        <v>1</v>
      </c>
      <c r="E1166">
        <v>1</v>
      </c>
      <c r="F1166">
        <v>2</v>
      </c>
      <c r="G1166">
        <v>1</v>
      </c>
    </row>
    <row r="1167" spans="1:7" x14ac:dyDescent="0.25">
      <c r="A1167">
        <v>5209</v>
      </c>
      <c r="B1167">
        <v>2</v>
      </c>
      <c r="C1167">
        <v>0</v>
      </c>
      <c r="D1167">
        <v>1</v>
      </c>
      <c r="E1167">
        <v>1</v>
      </c>
      <c r="F1167">
        <v>2</v>
      </c>
      <c r="G1167">
        <v>1</v>
      </c>
    </row>
    <row r="1168" spans="1:7" x14ac:dyDescent="0.25">
      <c r="A1168">
        <v>5210</v>
      </c>
      <c r="B1168">
        <v>2</v>
      </c>
      <c r="C1168">
        <v>2</v>
      </c>
      <c r="D1168">
        <v>1</v>
      </c>
      <c r="E1168">
        <v>1</v>
      </c>
      <c r="F1168">
        <v>3</v>
      </c>
      <c r="G1168">
        <v>1.5</v>
      </c>
    </row>
    <row r="1169" spans="1:7" x14ac:dyDescent="0.25">
      <c r="A1169">
        <v>5211</v>
      </c>
      <c r="B1169">
        <v>1</v>
      </c>
      <c r="C1169">
        <v>1</v>
      </c>
      <c r="D1169">
        <v>1</v>
      </c>
      <c r="E1169">
        <v>1</v>
      </c>
      <c r="F1169">
        <v>3</v>
      </c>
      <c r="G1169">
        <v>1</v>
      </c>
    </row>
    <row r="1170" spans="1:7" x14ac:dyDescent="0.25">
      <c r="A1170">
        <v>5212</v>
      </c>
      <c r="B1170">
        <v>2</v>
      </c>
      <c r="C1170">
        <v>1</v>
      </c>
      <c r="D1170">
        <v>2</v>
      </c>
      <c r="E1170">
        <v>1</v>
      </c>
      <c r="F1170">
        <v>2</v>
      </c>
      <c r="G1170">
        <v>1.5</v>
      </c>
    </row>
    <row r="1171" spans="1:7" x14ac:dyDescent="0.25">
      <c r="A1171">
        <v>5213</v>
      </c>
      <c r="B1171">
        <v>1</v>
      </c>
      <c r="C1171">
        <v>1</v>
      </c>
      <c r="D1171">
        <v>1</v>
      </c>
      <c r="E1171">
        <v>1</v>
      </c>
      <c r="F1171">
        <v>3</v>
      </c>
      <c r="G1171">
        <v>1</v>
      </c>
    </row>
    <row r="1172" spans="1:7" x14ac:dyDescent="0.25">
      <c r="A1172">
        <v>5214</v>
      </c>
      <c r="B1172">
        <v>2</v>
      </c>
      <c r="C1172">
        <v>1</v>
      </c>
      <c r="D1172">
        <v>1</v>
      </c>
      <c r="E1172">
        <v>1</v>
      </c>
      <c r="F1172">
        <v>3</v>
      </c>
      <c r="G1172">
        <v>1.25</v>
      </c>
    </row>
    <row r="1173" spans="1:7" x14ac:dyDescent="0.25">
      <c r="A1173">
        <v>5215</v>
      </c>
      <c r="B1173">
        <v>2</v>
      </c>
      <c r="C1173">
        <v>3</v>
      </c>
      <c r="D1173">
        <v>3</v>
      </c>
      <c r="E1173">
        <v>2</v>
      </c>
      <c r="F1173">
        <v>2</v>
      </c>
      <c r="G1173">
        <v>2.5</v>
      </c>
    </row>
    <row r="1174" spans="1:7" x14ac:dyDescent="0.25">
      <c r="A1174">
        <v>5216</v>
      </c>
      <c r="B1174">
        <v>1</v>
      </c>
      <c r="C1174">
        <v>1</v>
      </c>
      <c r="D1174">
        <v>1</v>
      </c>
      <c r="E1174">
        <v>1</v>
      </c>
      <c r="F1174">
        <v>2</v>
      </c>
      <c r="G1174">
        <v>1</v>
      </c>
    </row>
    <row r="1175" spans="1:7" x14ac:dyDescent="0.25">
      <c r="A1175">
        <v>5217</v>
      </c>
      <c r="B1175">
        <v>3</v>
      </c>
      <c r="C1175">
        <v>3</v>
      </c>
      <c r="D1175">
        <v>2</v>
      </c>
      <c r="E1175">
        <v>2</v>
      </c>
      <c r="F1175">
        <v>3</v>
      </c>
      <c r="G1175">
        <v>2.5</v>
      </c>
    </row>
    <row r="1176" spans="1:7" x14ac:dyDescent="0.25">
      <c r="A1176">
        <v>5218</v>
      </c>
      <c r="B1176">
        <v>3</v>
      </c>
      <c r="C1176">
        <v>2</v>
      </c>
      <c r="D1176">
        <v>1</v>
      </c>
      <c r="E1176">
        <v>2</v>
      </c>
      <c r="F1176">
        <v>3</v>
      </c>
      <c r="G1176">
        <v>2</v>
      </c>
    </row>
    <row r="1177" spans="1:7" x14ac:dyDescent="0.25">
      <c r="A1177">
        <v>5219</v>
      </c>
      <c r="B1177">
        <v>1</v>
      </c>
      <c r="C1177">
        <v>1</v>
      </c>
      <c r="D1177">
        <v>1</v>
      </c>
      <c r="E1177">
        <v>2</v>
      </c>
      <c r="F1177">
        <v>3</v>
      </c>
      <c r="G1177">
        <v>1.25</v>
      </c>
    </row>
    <row r="1178" spans="1:7" x14ac:dyDescent="0.25">
      <c r="A1178">
        <v>5220</v>
      </c>
      <c r="B1178">
        <v>0</v>
      </c>
      <c r="C1178">
        <v>3</v>
      </c>
      <c r="D1178">
        <v>2</v>
      </c>
      <c r="E1178">
        <v>2</v>
      </c>
      <c r="F1178">
        <v>3</v>
      </c>
      <c r="G1178">
        <v>1.75</v>
      </c>
    </row>
    <row r="1179" spans="1:7" x14ac:dyDescent="0.25">
      <c r="A1179">
        <v>5221</v>
      </c>
      <c r="B1179">
        <v>2</v>
      </c>
      <c r="C1179">
        <v>2</v>
      </c>
      <c r="D1179">
        <v>0</v>
      </c>
      <c r="E1179">
        <v>1</v>
      </c>
      <c r="F1179">
        <v>3</v>
      </c>
      <c r="G1179">
        <v>1.25</v>
      </c>
    </row>
    <row r="1180" spans="1:7" x14ac:dyDescent="0.25">
      <c r="A1180">
        <v>5222</v>
      </c>
      <c r="B1180">
        <v>1</v>
      </c>
      <c r="C1180">
        <v>1</v>
      </c>
      <c r="D1180">
        <v>1</v>
      </c>
      <c r="E1180">
        <v>1</v>
      </c>
      <c r="F1180">
        <v>3</v>
      </c>
      <c r="G1180">
        <v>1</v>
      </c>
    </row>
    <row r="1181" spans="1:7" x14ac:dyDescent="0.25">
      <c r="A1181">
        <v>5223</v>
      </c>
      <c r="B1181">
        <v>1</v>
      </c>
      <c r="C1181">
        <v>1</v>
      </c>
      <c r="D1181">
        <v>1</v>
      </c>
      <c r="E1181">
        <v>1</v>
      </c>
      <c r="F1181">
        <v>3</v>
      </c>
      <c r="G1181">
        <v>1</v>
      </c>
    </row>
    <row r="1182" spans="1:7" x14ac:dyDescent="0.25">
      <c r="A1182">
        <v>5224</v>
      </c>
      <c r="B1182">
        <v>3</v>
      </c>
      <c r="C1182">
        <v>0</v>
      </c>
      <c r="D1182">
        <v>1</v>
      </c>
      <c r="E1182">
        <v>1</v>
      </c>
      <c r="F1182">
        <v>3</v>
      </c>
      <c r="G1182">
        <v>1.25</v>
      </c>
    </row>
    <row r="1183" spans="1:7" x14ac:dyDescent="0.25">
      <c r="A1183">
        <v>5225</v>
      </c>
      <c r="B1183">
        <v>1</v>
      </c>
      <c r="C1183">
        <v>1</v>
      </c>
      <c r="D1183">
        <v>1</v>
      </c>
      <c r="E1183">
        <v>1</v>
      </c>
      <c r="F1183">
        <v>3</v>
      </c>
      <c r="G1183">
        <v>1</v>
      </c>
    </row>
    <row r="1184" spans="1:7" x14ac:dyDescent="0.25">
      <c r="A1184">
        <v>5226</v>
      </c>
      <c r="B1184">
        <v>1</v>
      </c>
      <c r="C1184">
        <v>1</v>
      </c>
      <c r="D1184">
        <v>1</v>
      </c>
      <c r="E1184">
        <v>1</v>
      </c>
      <c r="F1184">
        <v>2</v>
      </c>
      <c r="G1184">
        <v>1</v>
      </c>
    </row>
    <row r="1185" spans="1:7" x14ac:dyDescent="0.25">
      <c r="A1185">
        <v>5227</v>
      </c>
      <c r="B1185">
        <v>2</v>
      </c>
      <c r="C1185">
        <v>2</v>
      </c>
      <c r="D1185">
        <v>2</v>
      </c>
      <c r="E1185">
        <v>2</v>
      </c>
      <c r="F1185">
        <v>3</v>
      </c>
      <c r="G1185">
        <v>2</v>
      </c>
    </row>
    <row r="1186" spans="1:7" x14ac:dyDescent="0.25">
      <c r="A1186">
        <v>5228</v>
      </c>
      <c r="B1186">
        <v>1</v>
      </c>
      <c r="C1186">
        <v>2</v>
      </c>
      <c r="D1186">
        <v>1</v>
      </c>
      <c r="E1186">
        <v>3</v>
      </c>
      <c r="F1186">
        <v>2</v>
      </c>
      <c r="G1186">
        <v>1.75</v>
      </c>
    </row>
    <row r="1187" spans="1:7" x14ac:dyDescent="0.25">
      <c r="A1187">
        <v>5229</v>
      </c>
      <c r="B1187">
        <v>1</v>
      </c>
      <c r="C1187">
        <v>3</v>
      </c>
      <c r="D1187">
        <v>1</v>
      </c>
      <c r="E1187">
        <v>1</v>
      </c>
      <c r="F1187">
        <v>3</v>
      </c>
      <c r="G1187">
        <v>1.5</v>
      </c>
    </row>
    <row r="1188" spans="1:7" x14ac:dyDescent="0.25">
      <c r="A1188">
        <v>5230</v>
      </c>
      <c r="B1188">
        <v>1</v>
      </c>
      <c r="C1188">
        <v>1</v>
      </c>
      <c r="D1188">
        <v>1</v>
      </c>
      <c r="E1188">
        <v>3</v>
      </c>
      <c r="F1188">
        <v>4</v>
      </c>
      <c r="G1188">
        <v>1.5</v>
      </c>
    </row>
    <row r="1189" spans="1:7" x14ac:dyDescent="0.25">
      <c r="A1189">
        <v>5231</v>
      </c>
      <c r="B1189">
        <v>0</v>
      </c>
      <c r="C1189">
        <v>1</v>
      </c>
      <c r="D1189">
        <v>1</v>
      </c>
      <c r="E1189">
        <v>1</v>
      </c>
      <c r="F1189">
        <v>3</v>
      </c>
      <c r="G1189">
        <v>0.75</v>
      </c>
    </row>
    <row r="1190" spans="1:7" x14ac:dyDescent="0.25">
      <c r="A1190">
        <v>5232</v>
      </c>
      <c r="B1190">
        <v>3</v>
      </c>
      <c r="C1190">
        <v>4</v>
      </c>
      <c r="D1190">
        <v>3</v>
      </c>
      <c r="E1190">
        <v>2</v>
      </c>
      <c r="F1190">
        <v>3</v>
      </c>
      <c r="G1190">
        <v>3</v>
      </c>
    </row>
    <row r="1191" spans="1:7" x14ac:dyDescent="0.25">
      <c r="A1191">
        <v>5233</v>
      </c>
      <c r="B1191">
        <v>1</v>
      </c>
      <c r="C1191">
        <v>1</v>
      </c>
      <c r="D1191">
        <v>2</v>
      </c>
      <c r="E1191">
        <v>2</v>
      </c>
      <c r="F1191">
        <v>3</v>
      </c>
      <c r="G1191">
        <v>1.5</v>
      </c>
    </row>
    <row r="1192" spans="1:7" x14ac:dyDescent="0.25">
      <c r="A1192">
        <v>5235</v>
      </c>
      <c r="B1192">
        <v>2</v>
      </c>
      <c r="C1192">
        <v>1</v>
      </c>
      <c r="D1192">
        <v>1</v>
      </c>
      <c r="E1192">
        <v>1</v>
      </c>
      <c r="F1192">
        <v>2</v>
      </c>
      <c r="G1192">
        <v>1.25</v>
      </c>
    </row>
    <row r="1193" spans="1:7" x14ac:dyDescent="0.25">
      <c r="A1193">
        <v>5236</v>
      </c>
      <c r="B1193">
        <v>1</v>
      </c>
      <c r="C1193">
        <v>1</v>
      </c>
      <c r="D1193">
        <v>1</v>
      </c>
      <c r="E1193">
        <v>1</v>
      </c>
      <c r="F1193">
        <v>2</v>
      </c>
      <c r="G1193">
        <v>1</v>
      </c>
    </row>
    <row r="1194" spans="1:7" x14ac:dyDescent="0.25">
      <c r="A1194">
        <v>5238</v>
      </c>
      <c r="B1194">
        <v>2</v>
      </c>
      <c r="C1194">
        <v>1</v>
      </c>
      <c r="D1194">
        <v>1</v>
      </c>
      <c r="E1194">
        <v>1</v>
      </c>
      <c r="F1194">
        <v>3</v>
      </c>
      <c r="G1194">
        <v>1.25</v>
      </c>
    </row>
    <row r="1195" spans="1:7" x14ac:dyDescent="0.25">
      <c r="A1195">
        <v>5239</v>
      </c>
      <c r="B1195">
        <v>3</v>
      </c>
      <c r="C1195">
        <v>3</v>
      </c>
      <c r="D1195">
        <v>1</v>
      </c>
      <c r="E1195">
        <v>1</v>
      </c>
      <c r="F1195">
        <v>3</v>
      </c>
      <c r="G1195">
        <v>2</v>
      </c>
    </row>
    <row r="1196" spans="1:7" x14ac:dyDescent="0.25">
      <c r="A1196">
        <v>5240</v>
      </c>
      <c r="B1196">
        <v>1</v>
      </c>
      <c r="C1196">
        <v>1</v>
      </c>
      <c r="D1196">
        <v>1</v>
      </c>
      <c r="E1196">
        <v>1</v>
      </c>
      <c r="F1196">
        <v>3</v>
      </c>
      <c r="G1196">
        <v>1</v>
      </c>
    </row>
    <row r="1197" spans="1:7" x14ac:dyDescent="0.25">
      <c r="A1197">
        <v>5241</v>
      </c>
      <c r="B1197">
        <v>2</v>
      </c>
      <c r="C1197">
        <v>1</v>
      </c>
      <c r="D1197">
        <v>1</v>
      </c>
      <c r="E1197">
        <v>1</v>
      </c>
      <c r="F1197">
        <v>4</v>
      </c>
      <c r="G1197">
        <v>1.25</v>
      </c>
    </row>
    <row r="1198" spans="1:7" x14ac:dyDescent="0.25">
      <c r="A1198">
        <v>5242</v>
      </c>
      <c r="B1198">
        <v>1</v>
      </c>
      <c r="C1198">
        <v>2</v>
      </c>
      <c r="D1198">
        <v>0</v>
      </c>
      <c r="E1198">
        <v>1</v>
      </c>
      <c r="F1198">
        <v>3</v>
      </c>
      <c r="G1198">
        <v>1</v>
      </c>
    </row>
    <row r="1199" spans="1:7" x14ac:dyDescent="0.25">
      <c r="A1199">
        <v>5243</v>
      </c>
      <c r="B1199">
        <v>1</v>
      </c>
      <c r="C1199">
        <v>1</v>
      </c>
      <c r="D1199">
        <v>1</v>
      </c>
      <c r="E1199">
        <v>1</v>
      </c>
      <c r="F1199">
        <v>3</v>
      </c>
      <c r="G1199">
        <v>1</v>
      </c>
    </row>
    <row r="1200" spans="1:7" x14ac:dyDescent="0.25">
      <c r="A1200">
        <v>5244</v>
      </c>
      <c r="B1200">
        <v>2</v>
      </c>
      <c r="C1200">
        <v>1</v>
      </c>
      <c r="D1200">
        <v>1</v>
      </c>
      <c r="E1200">
        <v>1</v>
      </c>
      <c r="F1200">
        <v>2</v>
      </c>
      <c r="G1200">
        <v>1.25</v>
      </c>
    </row>
    <row r="1201" spans="1:7" x14ac:dyDescent="0.25">
      <c r="A1201">
        <v>5245</v>
      </c>
      <c r="B1201">
        <v>1</v>
      </c>
      <c r="C1201">
        <v>1</v>
      </c>
      <c r="D1201">
        <v>1</v>
      </c>
      <c r="E1201">
        <v>1</v>
      </c>
      <c r="F1201">
        <v>2</v>
      </c>
      <c r="G1201">
        <v>1</v>
      </c>
    </row>
    <row r="1202" spans="1:7" x14ac:dyDescent="0.25">
      <c r="A1202">
        <v>5246</v>
      </c>
      <c r="B1202">
        <v>2</v>
      </c>
      <c r="C1202">
        <v>2</v>
      </c>
      <c r="D1202">
        <v>2</v>
      </c>
      <c r="E1202">
        <v>2</v>
      </c>
      <c r="F1202">
        <v>4</v>
      </c>
      <c r="G1202">
        <v>2</v>
      </c>
    </row>
    <row r="1203" spans="1:7" x14ac:dyDescent="0.25">
      <c r="A1203">
        <v>5248</v>
      </c>
      <c r="B1203">
        <v>2</v>
      </c>
      <c r="C1203">
        <v>2</v>
      </c>
      <c r="D1203">
        <v>2</v>
      </c>
      <c r="E1203">
        <v>1</v>
      </c>
      <c r="F1203">
        <v>1</v>
      </c>
      <c r="G1203">
        <v>1.75</v>
      </c>
    </row>
    <row r="1204" spans="1:7" x14ac:dyDescent="0.25">
      <c r="A1204">
        <v>5249</v>
      </c>
      <c r="B1204">
        <v>1</v>
      </c>
      <c r="C1204">
        <v>1</v>
      </c>
      <c r="D1204">
        <v>1</v>
      </c>
      <c r="E1204">
        <v>1</v>
      </c>
      <c r="F1204">
        <v>3</v>
      </c>
      <c r="G1204">
        <v>1</v>
      </c>
    </row>
    <row r="1205" spans="1:7" x14ac:dyDescent="0.25">
      <c r="A1205">
        <v>5250</v>
      </c>
      <c r="B1205">
        <v>3</v>
      </c>
      <c r="C1205">
        <v>1</v>
      </c>
      <c r="D1205">
        <v>1</v>
      </c>
      <c r="E1205">
        <v>1</v>
      </c>
      <c r="F1205">
        <v>3</v>
      </c>
      <c r="G1205">
        <v>1.5</v>
      </c>
    </row>
    <row r="1206" spans="1:7" x14ac:dyDescent="0.25">
      <c r="A1206">
        <v>5251</v>
      </c>
      <c r="B1206">
        <v>2</v>
      </c>
      <c r="C1206">
        <v>2</v>
      </c>
      <c r="D1206">
        <v>1</v>
      </c>
      <c r="E1206">
        <v>1</v>
      </c>
      <c r="F1206">
        <v>3</v>
      </c>
      <c r="G1206">
        <v>1.5</v>
      </c>
    </row>
    <row r="1207" spans="1:7" x14ac:dyDescent="0.25">
      <c r="A1207">
        <v>5252</v>
      </c>
      <c r="B1207">
        <v>1</v>
      </c>
      <c r="C1207">
        <v>1</v>
      </c>
      <c r="D1207">
        <v>1</v>
      </c>
      <c r="E1207">
        <v>1</v>
      </c>
      <c r="F1207">
        <v>3</v>
      </c>
      <c r="G1207">
        <v>1</v>
      </c>
    </row>
    <row r="1208" spans="1:7" x14ac:dyDescent="0.25">
      <c r="A1208">
        <v>5253</v>
      </c>
      <c r="B1208">
        <v>2</v>
      </c>
      <c r="C1208">
        <v>2</v>
      </c>
      <c r="D1208">
        <v>3</v>
      </c>
      <c r="E1208">
        <v>3</v>
      </c>
      <c r="F1208">
        <v>3</v>
      </c>
      <c r="G1208">
        <v>2.5</v>
      </c>
    </row>
    <row r="1209" spans="1:7" x14ac:dyDescent="0.25">
      <c r="A1209">
        <v>5255</v>
      </c>
      <c r="B1209">
        <v>1</v>
      </c>
      <c r="C1209">
        <v>2</v>
      </c>
      <c r="D1209">
        <v>2</v>
      </c>
      <c r="E1209">
        <v>1</v>
      </c>
      <c r="F1209">
        <v>3</v>
      </c>
      <c r="G1209">
        <v>1.5</v>
      </c>
    </row>
    <row r="1210" spans="1:7" x14ac:dyDescent="0.25">
      <c r="A1210">
        <v>5256</v>
      </c>
      <c r="B1210">
        <v>2</v>
      </c>
      <c r="C1210">
        <v>1</v>
      </c>
      <c r="D1210">
        <v>1</v>
      </c>
      <c r="E1210">
        <v>1</v>
      </c>
      <c r="F1210">
        <v>3</v>
      </c>
      <c r="G1210">
        <v>1.25</v>
      </c>
    </row>
    <row r="1211" spans="1:7" x14ac:dyDescent="0.25">
      <c r="A1211">
        <v>5259</v>
      </c>
      <c r="B1211">
        <v>3</v>
      </c>
      <c r="C1211">
        <v>2</v>
      </c>
      <c r="D1211">
        <v>1</v>
      </c>
      <c r="E1211">
        <v>1</v>
      </c>
      <c r="F1211">
        <v>3</v>
      </c>
      <c r="G1211">
        <v>1.75</v>
      </c>
    </row>
    <row r="1212" spans="1:7" x14ac:dyDescent="0.25">
      <c r="A1212">
        <v>5260</v>
      </c>
      <c r="B1212">
        <v>3</v>
      </c>
      <c r="C1212">
        <v>4</v>
      </c>
      <c r="D1212">
        <v>3</v>
      </c>
      <c r="E1212">
        <v>3</v>
      </c>
      <c r="F1212">
        <v>3</v>
      </c>
      <c r="G1212">
        <v>3.25</v>
      </c>
    </row>
    <row r="1213" spans="1:7" x14ac:dyDescent="0.25">
      <c r="A1213">
        <v>5261</v>
      </c>
      <c r="B1213">
        <v>1</v>
      </c>
      <c r="C1213">
        <v>1</v>
      </c>
      <c r="D1213">
        <v>1</v>
      </c>
      <c r="E1213">
        <v>1</v>
      </c>
      <c r="F1213">
        <v>3</v>
      </c>
      <c r="G1213">
        <v>1</v>
      </c>
    </row>
    <row r="1214" spans="1:7" x14ac:dyDescent="0.25">
      <c r="A1214">
        <v>5262</v>
      </c>
      <c r="B1214">
        <v>1</v>
      </c>
      <c r="C1214">
        <v>1</v>
      </c>
      <c r="D1214">
        <v>1</v>
      </c>
      <c r="E1214">
        <v>2</v>
      </c>
      <c r="F1214">
        <v>3</v>
      </c>
      <c r="G1214">
        <v>1.25</v>
      </c>
    </row>
    <row r="1215" spans="1:7" x14ac:dyDescent="0.25">
      <c r="A1215">
        <v>5263</v>
      </c>
      <c r="B1215">
        <v>1</v>
      </c>
      <c r="C1215">
        <v>1</v>
      </c>
      <c r="D1215">
        <v>1</v>
      </c>
      <c r="E1215">
        <v>1</v>
      </c>
      <c r="F1215">
        <v>3</v>
      </c>
      <c r="G1215">
        <v>1</v>
      </c>
    </row>
    <row r="1216" spans="1:7" x14ac:dyDescent="0.25">
      <c r="A1216">
        <v>5264</v>
      </c>
      <c r="B1216">
        <v>3</v>
      </c>
      <c r="C1216">
        <v>3</v>
      </c>
      <c r="D1216">
        <v>3</v>
      </c>
      <c r="E1216">
        <v>2</v>
      </c>
      <c r="F1216">
        <v>3</v>
      </c>
      <c r="G1216">
        <v>2.75</v>
      </c>
    </row>
    <row r="1217" spans="1:7" x14ac:dyDescent="0.25">
      <c r="A1217">
        <v>5266</v>
      </c>
      <c r="B1217">
        <v>1</v>
      </c>
      <c r="C1217">
        <v>1</v>
      </c>
      <c r="D1217">
        <v>1</v>
      </c>
      <c r="E1217">
        <v>1</v>
      </c>
      <c r="F1217">
        <v>2</v>
      </c>
      <c r="G1217">
        <v>1</v>
      </c>
    </row>
    <row r="1218" spans="1:7" x14ac:dyDescent="0.25">
      <c r="A1218">
        <v>5267</v>
      </c>
      <c r="B1218">
        <v>2</v>
      </c>
      <c r="C1218">
        <v>1</v>
      </c>
      <c r="D1218">
        <v>2</v>
      </c>
      <c r="E1218">
        <v>1</v>
      </c>
      <c r="F1218">
        <v>4</v>
      </c>
      <c r="G1218">
        <v>1.5</v>
      </c>
    </row>
    <row r="1219" spans="1:7" x14ac:dyDescent="0.25">
      <c r="A1219">
        <v>5268</v>
      </c>
      <c r="B1219">
        <v>2</v>
      </c>
      <c r="C1219">
        <v>3</v>
      </c>
      <c r="D1219">
        <v>3</v>
      </c>
      <c r="E1219">
        <v>2</v>
      </c>
      <c r="F1219">
        <v>3</v>
      </c>
      <c r="G1219">
        <v>2.5</v>
      </c>
    </row>
    <row r="1220" spans="1:7" x14ac:dyDescent="0.25">
      <c r="A1220">
        <v>5270</v>
      </c>
      <c r="B1220">
        <v>2</v>
      </c>
      <c r="C1220">
        <v>1</v>
      </c>
      <c r="D1220">
        <v>1</v>
      </c>
      <c r="E1220">
        <v>1</v>
      </c>
      <c r="F1220">
        <v>2</v>
      </c>
      <c r="G1220">
        <v>1.25</v>
      </c>
    </row>
    <row r="1221" spans="1:7" x14ac:dyDescent="0.25">
      <c r="A1221">
        <v>5272</v>
      </c>
      <c r="B1221">
        <v>3</v>
      </c>
      <c r="C1221">
        <v>3</v>
      </c>
      <c r="D1221">
        <v>2</v>
      </c>
      <c r="E1221">
        <v>3</v>
      </c>
      <c r="F1221">
        <v>3</v>
      </c>
      <c r="G1221">
        <v>2.75</v>
      </c>
    </row>
    <row r="1222" spans="1:7" x14ac:dyDescent="0.25">
      <c r="A1222">
        <v>5273</v>
      </c>
      <c r="B1222">
        <v>1</v>
      </c>
      <c r="C1222">
        <v>2</v>
      </c>
      <c r="D1222">
        <v>1</v>
      </c>
      <c r="E1222">
        <v>1</v>
      </c>
      <c r="F1222">
        <v>2</v>
      </c>
      <c r="G1222">
        <v>1.25</v>
      </c>
    </row>
    <row r="1223" spans="1:7" x14ac:dyDescent="0.25">
      <c r="A1223">
        <v>5274</v>
      </c>
      <c r="B1223">
        <v>2</v>
      </c>
      <c r="C1223">
        <v>2</v>
      </c>
      <c r="D1223">
        <v>1</v>
      </c>
      <c r="E1223">
        <v>1</v>
      </c>
      <c r="F1223">
        <v>3</v>
      </c>
      <c r="G1223">
        <v>1.5</v>
      </c>
    </row>
    <row r="1224" spans="1:7" x14ac:dyDescent="0.25">
      <c r="A1224">
        <v>5275</v>
      </c>
      <c r="B1224">
        <v>1</v>
      </c>
      <c r="C1224">
        <v>1</v>
      </c>
      <c r="D1224">
        <v>1</v>
      </c>
      <c r="E1224">
        <v>1</v>
      </c>
      <c r="F1224">
        <v>3</v>
      </c>
      <c r="G1224">
        <v>1</v>
      </c>
    </row>
    <row r="1225" spans="1:7" x14ac:dyDescent="0.25">
      <c r="A1225">
        <v>5276</v>
      </c>
      <c r="B1225">
        <v>2</v>
      </c>
      <c r="C1225">
        <v>1</v>
      </c>
      <c r="D1225">
        <v>1</v>
      </c>
      <c r="E1225">
        <v>1</v>
      </c>
      <c r="F1225">
        <v>3</v>
      </c>
      <c r="G1225">
        <v>1.25</v>
      </c>
    </row>
    <row r="1226" spans="1:7" x14ac:dyDescent="0.25">
      <c r="A1226">
        <v>5277</v>
      </c>
      <c r="B1226">
        <v>2</v>
      </c>
      <c r="C1226">
        <v>1</v>
      </c>
      <c r="D1226">
        <v>1</v>
      </c>
      <c r="E1226">
        <v>2</v>
      </c>
      <c r="F1226">
        <v>2</v>
      </c>
      <c r="G1226">
        <v>1.5</v>
      </c>
    </row>
    <row r="1227" spans="1:7" x14ac:dyDescent="0.25">
      <c r="A1227">
        <v>5278</v>
      </c>
      <c r="B1227">
        <v>1</v>
      </c>
      <c r="C1227">
        <v>2</v>
      </c>
      <c r="D1227">
        <v>1</v>
      </c>
      <c r="E1227">
        <v>1</v>
      </c>
      <c r="F1227">
        <v>3</v>
      </c>
      <c r="G1227">
        <v>1.25</v>
      </c>
    </row>
    <row r="1228" spans="1:7" x14ac:dyDescent="0.25">
      <c r="A1228">
        <v>5279</v>
      </c>
      <c r="B1228">
        <v>3</v>
      </c>
      <c r="C1228">
        <v>2</v>
      </c>
      <c r="D1228">
        <v>2</v>
      </c>
      <c r="E1228">
        <v>3</v>
      </c>
      <c r="F1228">
        <v>2</v>
      </c>
      <c r="G1228">
        <v>2.5</v>
      </c>
    </row>
    <row r="1229" spans="1:7" x14ac:dyDescent="0.25">
      <c r="A1229">
        <v>5280</v>
      </c>
      <c r="B1229">
        <v>2</v>
      </c>
      <c r="C1229">
        <v>2</v>
      </c>
      <c r="D1229">
        <v>1</v>
      </c>
      <c r="E1229">
        <v>1</v>
      </c>
      <c r="F1229">
        <v>3</v>
      </c>
      <c r="G1229">
        <v>1.5</v>
      </c>
    </row>
    <row r="1230" spans="1:7" x14ac:dyDescent="0.25">
      <c r="A1230">
        <v>5282</v>
      </c>
      <c r="B1230">
        <v>2</v>
      </c>
      <c r="C1230">
        <v>2</v>
      </c>
      <c r="D1230">
        <v>1</v>
      </c>
      <c r="E1230">
        <v>1</v>
      </c>
      <c r="F1230">
        <v>3</v>
      </c>
      <c r="G1230">
        <v>1.5</v>
      </c>
    </row>
    <row r="1231" spans="1:7" x14ac:dyDescent="0.25">
      <c r="A1231">
        <v>5283</v>
      </c>
      <c r="B1231">
        <v>1</v>
      </c>
      <c r="C1231">
        <v>1</v>
      </c>
      <c r="D1231">
        <v>1</v>
      </c>
      <c r="E1231">
        <v>1</v>
      </c>
      <c r="F1231">
        <v>3</v>
      </c>
      <c r="G1231">
        <v>1</v>
      </c>
    </row>
    <row r="1232" spans="1:7" x14ac:dyDescent="0.25">
      <c r="A1232">
        <v>5284</v>
      </c>
      <c r="B1232">
        <v>1</v>
      </c>
      <c r="C1232">
        <v>1</v>
      </c>
      <c r="D1232">
        <v>1</v>
      </c>
      <c r="E1232">
        <v>1</v>
      </c>
      <c r="F1232">
        <v>2</v>
      </c>
      <c r="G1232">
        <v>1</v>
      </c>
    </row>
    <row r="1233" spans="1:7" x14ac:dyDescent="0.25">
      <c r="A1233">
        <v>5285</v>
      </c>
      <c r="B1233">
        <v>1</v>
      </c>
      <c r="C1233">
        <v>1</v>
      </c>
      <c r="D1233">
        <v>1</v>
      </c>
      <c r="E1233">
        <v>1</v>
      </c>
      <c r="F1233">
        <v>2</v>
      </c>
      <c r="G1233">
        <v>1</v>
      </c>
    </row>
    <row r="1234" spans="1:7" x14ac:dyDescent="0.25">
      <c r="A1234">
        <v>5286</v>
      </c>
      <c r="B1234">
        <v>1</v>
      </c>
      <c r="C1234">
        <v>1</v>
      </c>
      <c r="D1234">
        <v>1</v>
      </c>
      <c r="E1234">
        <v>1</v>
      </c>
      <c r="F1234">
        <v>3</v>
      </c>
      <c r="G1234">
        <v>1</v>
      </c>
    </row>
    <row r="1235" spans="1:7" x14ac:dyDescent="0.25">
      <c r="A1235">
        <v>5287</v>
      </c>
      <c r="B1235">
        <v>1</v>
      </c>
      <c r="C1235">
        <v>2</v>
      </c>
      <c r="D1235">
        <v>1</v>
      </c>
      <c r="E1235">
        <v>1</v>
      </c>
      <c r="F1235">
        <v>2</v>
      </c>
      <c r="G1235">
        <v>1.25</v>
      </c>
    </row>
    <row r="1236" spans="1:7" x14ac:dyDescent="0.25">
      <c r="A1236">
        <v>5289</v>
      </c>
      <c r="B1236">
        <v>1</v>
      </c>
      <c r="C1236">
        <v>2</v>
      </c>
      <c r="D1236">
        <v>2</v>
      </c>
      <c r="E1236">
        <v>1</v>
      </c>
      <c r="F1236">
        <v>2</v>
      </c>
      <c r="G1236">
        <v>1.5</v>
      </c>
    </row>
    <row r="1237" spans="1:7" x14ac:dyDescent="0.25">
      <c r="A1237">
        <v>5290</v>
      </c>
      <c r="B1237">
        <v>1</v>
      </c>
      <c r="C1237">
        <v>1</v>
      </c>
      <c r="D1237">
        <v>1</v>
      </c>
      <c r="E1237">
        <v>1</v>
      </c>
      <c r="F1237">
        <v>3</v>
      </c>
      <c r="G1237">
        <v>1</v>
      </c>
    </row>
    <row r="1238" spans="1:7" x14ac:dyDescent="0.25">
      <c r="A1238">
        <v>5291</v>
      </c>
      <c r="B1238">
        <v>1</v>
      </c>
      <c r="C1238">
        <v>1</v>
      </c>
      <c r="D1238">
        <v>2</v>
      </c>
      <c r="E1238">
        <v>1</v>
      </c>
      <c r="F1238">
        <v>3</v>
      </c>
      <c r="G1238">
        <v>1.25</v>
      </c>
    </row>
    <row r="1239" spans="1:7" x14ac:dyDescent="0.25">
      <c r="A1239">
        <v>5292</v>
      </c>
      <c r="B1239">
        <v>1</v>
      </c>
      <c r="C1239">
        <v>1</v>
      </c>
      <c r="D1239">
        <v>1</v>
      </c>
      <c r="E1239">
        <v>1</v>
      </c>
      <c r="F1239">
        <v>2</v>
      </c>
      <c r="G1239">
        <v>1</v>
      </c>
    </row>
    <row r="1240" spans="1:7" x14ac:dyDescent="0.25">
      <c r="A1240">
        <v>5293</v>
      </c>
      <c r="B1240">
        <v>2</v>
      </c>
      <c r="C1240">
        <v>2</v>
      </c>
      <c r="D1240">
        <v>2</v>
      </c>
      <c r="E1240">
        <v>2</v>
      </c>
      <c r="F1240">
        <v>3</v>
      </c>
      <c r="G1240">
        <v>2</v>
      </c>
    </row>
    <row r="1241" spans="1:7" x14ac:dyDescent="0.25">
      <c r="A1241">
        <v>5295</v>
      </c>
      <c r="B1241">
        <v>2</v>
      </c>
      <c r="C1241">
        <v>3</v>
      </c>
      <c r="D1241">
        <v>2</v>
      </c>
      <c r="E1241">
        <v>2</v>
      </c>
      <c r="F1241">
        <v>4</v>
      </c>
      <c r="G1241">
        <v>2.25</v>
      </c>
    </row>
    <row r="1242" spans="1:7" x14ac:dyDescent="0.25">
      <c r="A1242">
        <v>5298</v>
      </c>
      <c r="B1242">
        <v>2</v>
      </c>
      <c r="C1242">
        <v>2</v>
      </c>
      <c r="D1242">
        <v>3</v>
      </c>
      <c r="E1242">
        <v>2</v>
      </c>
      <c r="F1242">
        <v>3</v>
      </c>
      <c r="G1242">
        <v>2.25</v>
      </c>
    </row>
    <row r="1243" spans="1:7" x14ac:dyDescent="0.25">
      <c r="A1243">
        <v>5299</v>
      </c>
      <c r="B1243">
        <v>2</v>
      </c>
      <c r="C1243">
        <v>2</v>
      </c>
      <c r="D1243">
        <v>1</v>
      </c>
      <c r="E1243">
        <v>1</v>
      </c>
      <c r="F1243">
        <v>4</v>
      </c>
      <c r="G1243">
        <v>1.5</v>
      </c>
    </row>
    <row r="1244" spans="1:7" x14ac:dyDescent="0.25">
      <c r="A1244">
        <v>5301</v>
      </c>
      <c r="B1244">
        <v>1</v>
      </c>
      <c r="C1244">
        <v>1</v>
      </c>
      <c r="D1244">
        <v>1</v>
      </c>
      <c r="E1244">
        <v>1</v>
      </c>
      <c r="F1244">
        <v>2</v>
      </c>
      <c r="G1244">
        <v>1</v>
      </c>
    </row>
    <row r="1245" spans="1:7" x14ac:dyDescent="0.25">
      <c r="A1245">
        <v>5302</v>
      </c>
      <c r="B1245">
        <v>1</v>
      </c>
      <c r="C1245">
        <v>1</v>
      </c>
      <c r="D1245">
        <v>1</v>
      </c>
      <c r="E1245">
        <v>1</v>
      </c>
      <c r="F1245">
        <v>2</v>
      </c>
      <c r="G1245">
        <v>1</v>
      </c>
    </row>
    <row r="1246" spans="1:7" x14ac:dyDescent="0.25">
      <c r="A1246">
        <v>5303</v>
      </c>
      <c r="B1246">
        <v>2</v>
      </c>
      <c r="C1246">
        <v>1</v>
      </c>
      <c r="D1246">
        <v>1</v>
      </c>
      <c r="E1246">
        <v>1</v>
      </c>
      <c r="F1246">
        <v>3</v>
      </c>
      <c r="G1246">
        <v>1.25</v>
      </c>
    </row>
    <row r="1247" spans="1:7" x14ac:dyDescent="0.25">
      <c r="A1247">
        <v>5304</v>
      </c>
      <c r="B1247">
        <v>1</v>
      </c>
      <c r="C1247">
        <v>1</v>
      </c>
      <c r="D1247">
        <v>1</v>
      </c>
      <c r="E1247">
        <v>3</v>
      </c>
      <c r="F1247">
        <v>4</v>
      </c>
      <c r="G1247">
        <v>1.5</v>
      </c>
    </row>
    <row r="1248" spans="1:7" x14ac:dyDescent="0.25">
      <c r="A1248">
        <v>5305</v>
      </c>
      <c r="B1248">
        <v>2</v>
      </c>
      <c r="C1248">
        <v>2</v>
      </c>
      <c r="D1248">
        <v>1</v>
      </c>
      <c r="E1248">
        <v>2</v>
      </c>
      <c r="F1248">
        <v>4</v>
      </c>
      <c r="G1248">
        <v>1.75</v>
      </c>
    </row>
    <row r="1249" spans="1:7" x14ac:dyDescent="0.25">
      <c r="A1249">
        <v>5306</v>
      </c>
      <c r="B1249">
        <v>3</v>
      </c>
      <c r="C1249">
        <v>2</v>
      </c>
      <c r="D1249">
        <v>2</v>
      </c>
      <c r="E1249">
        <v>2</v>
      </c>
      <c r="F1249">
        <v>2</v>
      </c>
      <c r="G1249">
        <v>2.25</v>
      </c>
    </row>
    <row r="1250" spans="1:7" x14ac:dyDescent="0.25">
      <c r="A1250">
        <v>5307</v>
      </c>
      <c r="B1250">
        <v>1</v>
      </c>
      <c r="C1250">
        <v>1</v>
      </c>
      <c r="D1250">
        <v>1</v>
      </c>
      <c r="E1250">
        <v>1</v>
      </c>
      <c r="F1250">
        <v>3</v>
      </c>
      <c r="G1250">
        <v>1</v>
      </c>
    </row>
    <row r="1251" spans="1:7" x14ac:dyDescent="0.25">
      <c r="A1251">
        <v>5308</v>
      </c>
      <c r="B1251">
        <v>3</v>
      </c>
      <c r="C1251">
        <v>1</v>
      </c>
      <c r="D1251">
        <v>2</v>
      </c>
      <c r="E1251">
        <v>2</v>
      </c>
      <c r="F1251">
        <v>3</v>
      </c>
      <c r="G1251">
        <v>2</v>
      </c>
    </row>
    <row r="1252" spans="1:7" x14ac:dyDescent="0.25">
      <c r="A1252">
        <v>5309</v>
      </c>
      <c r="B1252">
        <v>1</v>
      </c>
      <c r="C1252">
        <v>1</v>
      </c>
      <c r="D1252">
        <v>1</v>
      </c>
      <c r="E1252">
        <v>3</v>
      </c>
      <c r="F1252">
        <v>2</v>
      </c>
      <c r="G1252">
        <v>1.5</v>
      </c>
    </row>
    <row r="1253" spans="1:7" x14ac:dyDescent="0.25">
      <c r="A1253">
        <v>5310</v>
      </c>
      <c r="B1253">
        <v>1</v>
      </c>
      <c r="C1253">
        <v>1</v>
      </c>
      <c r="D1253">
        <v>1</v>
      </c>
      <c r="E1253">
        <v>1</v>
      </c>
      <c r="F1253">
        <v>3</v>
      </c>
      <c r="G1253">
        <v>1</v>
      </c>
    </row>
    <row r="1254" spans="1:7" x14ac:dyDescent="0.25">
      <c r="A1254">
        <v>5311</v>
      </c>
      <c r="B1254">
        <v>1</v>
      </c>
      <c r="C1254">
        <v>1</v>
      </c>
      <c r="D1254">
        <v>1</v>
      </c>
      <c r="E1254">
        <v>1</v>
      </c>
      <c r="F1254">
        <v>3</v>
      </c>
      <c r="G1254">
        <v>1</v>
      </c>
    </row>
    <row r="1255" spans="1:7" x14ac:dyDescent="0.25">
      <c r="A1255">
        <v>5312</v>
      </c>
      <c r="B1255">
        <v>2</v>
      </c>
      <c r="C1255">
        <v>1</v>
      </c>
      <c r="D1255">
        <v>1</v>
      </c>
      <c r="E1255">
        <v>1</v>
      </c>
      <c r="F1255">
        <v>3</v>
      </c>
      <c r="G1255">
        <v>1.25</v>
      </c>
    </row>
    <row r="1256" spans="1:7" x14ac:dyDescent="0.25">
      <c r="A1256">
        <v>5313</v>
      </c>
      <c r="B1256">
        <v>1</v>
      </c>
      <c r="C1256">
        <v>1</v>
      </c>
      <c r="D1256">
        <v>2</v>
      </c>
      <c r="E1256">
        <v>1</v>
      </c>
      <c r="F1256">
        <v>3</v>
      </c>
      <c r="G1256">
        <v>1.25</v>
      </c>
    </row>
    <row r="1257" spans="1:7" x14ac:dyDescent="0.25">
      <c r="A1257">
        <v>5314</v>
      </c>
      <c r="B1257">
        <v>2</v>
      </c>
      <c r="C1257">
        <v>2</v>
      </c>
      <c r="D1257">
        <v>2</v>
      </c>
      <c r="E1257">
        <v>1</v>
      </c>
      <c r="F1257">
        <v>3</v>
      </c>
      <c r="G1257">
        <v>1.75</v>
      </c>
    </row>
    <row r="1258" spans="1:7" x14ac:dyDescent="0.25">
      <c r="A1258">
        <v>5315</v>
      </c>
      <c r="B1258">
        <v>1</v>
      </c>
      <c r="C1258">
        <v>1</v>
      </c>
      <c r="D1258">
        <v>1</v>
      </c>
      <c r="E1258">
        <v>1</v>
      </c>
      <c r="F1258">
        <v>3</v>
      </c>
      <c r="G1258">
        <v>1</v>
      </c>
    </row>
    <row r="1259" spans="1:7" x14ac:dyDescent="0.25">
      <c r="A1259">
        <v>5316</v>
      </c>
      <c r="B1259">
        <v>2</v>
      </c>
      <c r="C1259">
        <v>1</v>
      </c>
      <c r="D1259">
        <v>1</v>
      </c>
      <c r="E1259">
        <v>1</v>
      </c>
      <c r="F1259">
        <v>3</v>
      </c>
      <c r="G1259">
        <v>1.25</v>
      </c>
    </row>
    <row r="1260" spans="1:7" x14ac:dyDescent="0.25">
      <c r="A1260">
        <v>5317</v>
      </c>
      <c r="B1260">
        <v>1</v>
      </c>
      <c r="C1260">
        <v>1</v>
      </c>
      <c r="D1260">
        <v>1</v>
      </c>
      <c r="E1260">
        <v>1</v>
      </c>
      <c r="F1260">
        <v>3</v>
      </c>
      <c r="G1260">
        <v>1</v>
      </c>
    </row>
    <row r="1261" spans="1:7" x14ac:dyDescent="0.25">
      <c r="A1261">
        <v>5318</v>
      </c>
      <c r="B1261">
        <v>1</v>
      </c>
      <c r="C1261">
        <v>1</v>
      </c>
      <c r="D1261">
        <v>1</v>
      </c>
      <c r="E1261">
        <v>1</v>
      </c>
      <c r="F1261">
        <v>3</v>
      </c>
      <c r="G1261">
        <v>1</v>
      </c>
    </row>
    <row r="1262" spans="1:7" x14ac:dyDescent="0.25">
      <c r="A1262">
        <v>5319</v>
      </c>
      <c r="B1262">
        <v>4</v>
      </c>
      <c r="C1262">
        <v>4</v>
      </c>
      <c r="D1262">
        <v>4</v>
      </c>
      <c r="E1262">
        <v>3</v>
      </c>
      <c r="F1262">
        <v>3</v>
      </c>
      <c r="G1262">
        <v>3.75</v>
      </c>
    </row>
    <row r="1263" spans="1:7" x14ac:dyDescent="0.25">
      <c r="A1263">
        <v>5320</v>
      </c>
      <c r="B1263">
        <v>1</v>
      </c>
      <c r="C1263">
        <v>1</v>
      </c>
      <c r="D1263">
        <v>1</v>
      </c>
      <c r="E1263">
        <v>1</v>
      </c>
      <c r="F1263">
        <v>3</v>
      </c>
      <c r="G1263">
        <v>1</v>
      </c>
    </row>
    <row r="1264" spans="1:7" x14ac:dyDescent="0.25">
      <c r="A1264">
        <v>5321</v>
      </c>
      <c r="B1264">
        <v>3</v>
      </c>
      <c r="C1264">
        <v>3</v>
      </c>
      <c r="D1264">
        <v>3</v>
      </c>
      <c r="E1264">
        <v>3</v>
      </c>
      <c r="F1264">
        <v>3</v>
      </c>
      <c r="G1264">
        <v>3</v>
      </c>
    </row>
    <row r="1265" spans="1:7" x14ac:dyDescent="0.25">
      <c r="A1265">
        <v>5323</v>
      </c>
      <c r="B1265">
        <v>1</v>
      </c>
      <c r="C1265">
        <v>2</v>
      </c>
      <c r="D1265">
        <v>1</v>
      </c>
      <c r="E1265">
        <v>1</v>
      </c>
      <c r="F1265">
        <v>3</v>
      </c>
      <c r="G1265">
        <v>1.25</v>
      </c>
    </row>
    <row r="1266" spans="1:7" x14ac:dyDescent="0.25">
      <c r="A1266">
        <v>5324</v>
      </c>
      <c r="B1266">
        <v>3</v>
      </c>
      <c r="C1266">
        <v>3</v>
      </c>
      <c r="D1266">
        <v>1</v>
      </c>
      <c r="E1266">
        <v>2</v>
      </c>
      <c r="F1266">
        <v>3</v>
      </c>
      <c r="G1266">
        <v>2.25</v>
      </c>
    </row>
    <row r="1267" spans="1:7" x14ac:dyDescent="0.25">
      <c r="A1267">
        <v>5326</v>
      </c>
      <c r="B1267">
        <v>1</v>
      </c>
      <c r="C1267">
        <v>1</v>
      </c>
      <c r="D1267">
        <v>1</v>
      </c>
      <c r="E1267">
        <v>1</v>
      </c>
      <c r="F1267">
        <v>2</v>
      </c>
      <c r="G1267">
        <v>1</v>
      </c>
    </row>
    <row r="1268" spans="1:7" x14ac:dyDescent="0.25">
      <c r="A1268">
        <v>5327</v>
      </c>
      <c r="B1268">
        <v>2</v>
      </c>
      <c r="C1268">
        <v>1</v>
      </c>
      <c r="D1268">
        <v>1</v>
      </c>
      <c r="E1268">
        <v>1</v>
      </c>
      <c r="F1268">
        <v>3</v>
      </c>
      <c r="G1268">
        <v>1.25</v>
      </c>
    </row>
    <row r="1269" spans="1:7" x14ac:dyDescent="0.25">
      <c r="A1269">
        <v>5328</v>
      </c>
      <c r="B1269">
        <v>1</v>
      </c>
      <c r="C1269">
        <v>3</v>
      </c>
      <c r="D1269">
        <v>2</v>
      </c>
      <c r="E1269">
        <v>1</v>
      </c>
      <c r="F1269">
        <v>3</v>
      </c>
      <c r="G1269">
        <v>1.75</v>
      </c>
    </row>
    <row r="1270" spans="1:7" x14ac:dyDescent="0.25">
      <c r="A1270">
        <v>5329</v>
      </c>
      <c r="B1270">
        <v>2</v>
      </c>
      <c r="C1270">
        <v>2</v>
      </c>
      <c r="D1270">
        <v>1</v>
      </c>
      <c r="E1270">
        <v>1</v>
      </c>
      <c r="F1270">
        <v>2</v>
      </c>
      <c r="G1270">
        <v>1.5</v>
      </c>
    </row>
    <row r="1271" spans="1:7" x14ac:dyDescent="0.25">
      <c r="A1271">
        <v>5330</v>
      </c>
      <c r="B1271">
        <v>2</v>
      </c>
      <c r="C1271">
        <v>2</v>
      </c>
      <c r="D1271">
        <v>3</v>
      </c>
      <c r="E1271">
        <v>3</v>
      </c>
      <c r="F1271">
        <v>3</v>
      </c>
      <c r="G1271">
        <v>2.5</v>
      </c>
    </row>
    <row r="1272" spans="1:7" x14ac:dyDescent="0.25">
      <c r="A1272">
        <v>5332</v>
      </c>
      <c r="B1272">
        <v>2</v>
      </c>
      <c r="C1272">
        <v>1</v>
      </c>
      <c r="D1272">
        <v>1</v>
      </c>
      <c r="E1272">
        <v>1</v>
      </c>
      <c r="F1272">
        <v>3</v>
      </c>
      <c r="G1272">
        <v>1.25</v>
      </c>
    </row>
    <row r="1273" spans="1:7" x14ac:dyDescent="0.25">
      <c r="A1273">
        <v>5333</v>
      </c>
      <c r="B1273">
        <v>2</v>
      </c>
      <c r="C1273">
        <v>2</v>
      </c>
      <c r="D1273">
        <v>2</v>
      </c>
      <c r="E1273">
        <v>2</v>
      </c>
      <c r="F1273">
        <v>2</v>
      </c>
      <c r="G1273">
        <v>2</v>
      </c>
    </row>
    <row r="1274" spans="1:7" x14ac:dyDescent="0.25">
      <c r="A1274">
        <v>5334</v>
      </c>
      <c r="B1274">
        <v>3</v>
      </c>
      <c r="C1274">
        <v>2</v>
      </c>
      <c r="D1274">
        <v>2</v>
      </c>
      <c r="E1274">
        <v>1</v>
      </c>
      <c r="F1274">
        <v>3</v>
      </c>
      <c r="G1274">
        <v>2</v>
      </c>
    </row>
    <row r="1275" spans="1:7" x14ac:dyDescent="0.25">
      <c r="A1275">
        <v>5335</v>
      </c>
      <c r="B1275">
        <v>3</v>
      </c>
      <c r="C1275">
        <v>3</v>
      </c>
      <c r="D1275">
        <v>2</v>
      </c>
      <c r="E1275">
        <v>3</v>
      </c>
      <c r="F1275">
        <v>3</v>
      </c>
      <c r="G1275">
        <v>2.75</v>
      </c>
    </row>
    <row r="1276" spans="1:7" x14ac:dyDescent="0.25">
      <c r="A1276">
        <v>5337</v>
      </c>
      <c r="B1276">
        <v>1</v>
      </c>
      <c r="C1276">
        <v>1</v>
      </c>
      <c r="D1276">
        <v>1</v>
      </c>
      <c r="E1276">
        <v>1</v>
      </c>
      <c r="F1276">
        <v>3</v>
      </c>
      <c r="G1276">
        <v>1</v>
      </c>
    </row>
    <row r="1277" spans="1:7" x14ac:dyDescent="0.25">
      <c r="A1277">
        <v>5338</v>
      </c>
      <c r="B1277">
        <v>2</v>
      </c>
      <c r="C1277">
        <v>2</v>
      </c>
      <c r="D1277">
        <v>2</v>
      </c>
      <c r="E1277">
        <v>2</v>
      </c>
      <c r="F1277">
        <v>3</v>
      </c>
      <c r="G1277">
        <v>2</v>
      </c>
    </row>
    <row r="1278" spans="1:7" x14ac:dyDescent="0.25">
      <c r="A1278">
        <v>5340</v>
      </c>
      <c r="B1278">
        <v>2</v>
      </c>
      <c r="C1278">
        <v>2</v>
      </c>
      <c r="D1278">
        <v>2</v>
      </c>
      <c r="E1278">
        <v>2</v>
      </c>
      <c r="F1278">
        <v>2</v>
      </c>
      <c r="G1278">
        <v>2</v>
      </c>
    </row>
    <row r="1279" spans="1:7" x14ac:dyDescent="0.25">
      <c r="A1279">
        <v>5342</v>
      </c>
      <c r="B1279">
        <v>1</v>
      </c>
      <c r="C1279">
        <v>1</v>
      </c>
      <c r="D1279">
        <v>1</v>
      </c>
      <c r="E1279">
        <v>1</v>
      </c>
      <c r="F1279">
        <v>3</v>
      </c>
      <c r="G1279">
        <v>1</v>
      </c>
    </row>
    <row r="1280" spans="1:7" x14ac:dyDescent="0.25">
      <c r="A1280">
        <v>5343</v>
      </c>
      <c r="B1280">
        <v>1</v>
      </c>
      <c r="C1280">
        <v>1</v>
      </c>
      <c r="D1280">
        <v>1</v>
      </c>
      <c r="E1280">
        <v>2</v>
      </c>
      <c r="F1280">
        <v>4</v>
      </c>
      <c r="G1280">
        <v>1.25</v>
      </c>
    </row>
    <row r="1281" spans="1:7" x14ac:dyDescent="0.25">
      <c r="A1281">
        <v>5344</v>
      </c>
      <c r="B1281">
        <v>1</v>
      </c>
      <c r="C1281">
        <v>1</v>
      </c>
      <c r="D1281">
        <v>1</v>
      </c>
      <c r="E1281">
        <v>1</v>
      </c>
      <c r="F1281">
        <v>2</v>
      </c>
      <c r="G1281">
        <v>1</v>
      </c>
    </row>
    <row r="1282" spans="1:7" x14ac:dyDescent="0.25">
      <c r="A1282">
        <v>5346</v>
      </c>
      <c r="B1282">
        <v>1</v>
      </c>
      <c r="C1282">
        <v>1</v>
      </c>
      <c r="D1282">
        <v>1</v>
      </c>
      <c r="E1282">
        <v>1</v>
      </c>
      <c r="F1282">
        <v>3</v>
      </c>
      <c r="G1282">
        <v>1</v>
      </c>
    </row>
    <row r="1283" spans="1:7" x14ac:dyDescent="0.25">
      <c r="A1283">
        <v>5347</v>
      </c>
      <c r="B1283">
        <v>4</v>
      </c>
      <c r="C1283">
        <v>4</v>
      </c>
      <c r="D1283">
        <v>3</v>
      </c>
      <c r="E1283">
        <v>3</v>
      </c>
      <c r="F1283">
        <v>2</v>
      </c>
      <c r="G1283">
        <v>3.5</v>
      </c>
    </row>
    <row r="1284" spans="1:7" x14ac:dyDescent="0.25">
      <c r="A1284">
        <v>5350</v>
      </c>
      <c r="B1284">
        <v>1</v>
      </c>
      <c r="C1284">
        <v>1</v>
      </c>
      <c r="D1284">
        <v>2</v>
      </c>
      <c r="E1284">
        <v>1</v>
      </c>
      <c r="F1284">
        <v>3</v>
      </c>
      <c r="G1284">
        <v>1.25</v>
      </c>
    </row>
    <row r="1285" spans="1:7" x14ac:dyDescent="0.25">
      <c r="A1285">
        <v>5352</v>
      </c>
      <c r="B1285">
        <v>2</v>
      </c>
      <c r="C1285">
        <v>2</v>
      </c>
      <c r="D1285">
        <v>1</v>
      </c>
      <c r="E1285">
        <v>1</v>
      </c>
      <c r="F1285">
        <v>3</v>
      </c>
      <c r="G1285">
        <v>1.5</v>
      </c>
    </row>
    <row r="1286" spans="1:7" x14ac:dyDescent="0.25">
      <c r="A1286">
        <v>5353</v>
      </c>
      <c r="B1286">
        <v>2</v>
      </c>
      <c r="C1286">
        <v>2</v>
      </c>
      <c r="D1286">
        <v>1</v>
      </c>
      <c r="E1286">
        <v>1</v>
      </c>
      <c r="F1286">
        <v>4</v>
      </c>
      <c r="G1286">
        <v>1.5</v>
      </c>
    </row>
    <row r="1287" spans="1:7" x14ac:dyDescent="0.25">
      <c r="A1287">
        <v>5354</v>
      </c>
      <c r="B1287">
        <v>1</v>
      </c>
      <c r="C1287">
        <v>1</v>
      </c>
      <c r="D1287">
        <v>2</v>
      </c>
      <c r="E1287">
        <v>2</v>
      </c>
      <c r="F1287">
        <v>4</v>
      </c>
      <c r="G1287">
        <v>1.5</v>
      </c>
    </row>
    <row r="1288" spans="1:7" x14ac:dyDescent="0.25">
      <c r="A1288">
        <v>5355</v>
      </c>
      <c r="B1288">
        <v>1</v>
      </c>
      <c r="C1288">
        <v>2</v>
      </c>
      <c r="D1288">
        <v>2</v>
      </c>
      <c r="E1288">
        <v>2</v>
      </c>
      <c r="F1288">
        <v>3</v>
      </c>
      <c r="G1288">
        <v>1.75</v>
      </c>
    </row>
    <row r="1289" spans="1:7" x14ac:dyDescent="0.25">
      <c r="A1289">
        <v>5356</v>
      </c>
      <c r="B1289">
        <v>2</v>
      </c>
      <c r="C1289">
        <v>1</v>
      </c>
      <c r="D1289">
        <v>2</v>
      </c>
      <c r="E1289">
        <v>1</v>
      </c>
      <c r="F1289">
        <v>2</v>
      </c>
      <c r="G1289">
        <v>1.5</v>
      </c>
    </row>
    <row r="1290" spans="1:7" x14ac:dyDescent="0.25">
      <c r="A1290">
        <v>5359</v>
      </c>
      <c r="B1290">
        <v>2</v>
      </c>
      <c r="C1290">
        <v>2</v>
      </c>
      <c r="D1290">
        <v>1</v>
      </c>
      <c r="E1290">
        <v>2</v>
      </c>
      <c r="F1290">
        <v>3</v>
      </c>
      <c r="G1290">
        <v>1.75</v>
      </c>
    </row>
    <row r="1291" spans="1:7" x14ac:dyDescent="0.25">
      <c r="A1291">
        <v>5360</v>
      </c>
      <c r="B1291">
        <v>2</v>
      </c>
      <c r="C1291">
        <v>2</v>
      </c>
      <c r="D1291">
        <v>1</v>
      </c>
      <c r="E1291">
        <v>2</v>
      </c>
      <c r="F1291">
        <v>3</v>
      </c>
      <c r="G1291">
        <v>1.75</v>
      </c>
    </row>
    <row r="1292" spans="1:7" x14ac:dyDescent="0.25">
      <c r="A1292">
        <v>5361</v>
      </c>
      <c r="B1292">
        <v>3</v>
      </c>
      <c r="C1292">
        <v>2</v>
      </c>
      <c r="D1292">
        <v>2</v>
      </c>
      <c r="E1292">
        <v>0</v>
      </c>
      <c r="F1292">
        <v>3</v>
      </c>
      <c r="G1292">
        <v>1.75</v>
      </c>
    </row>
    <row r="1293" spans="1:7" x14ac:dyDescent="0.25">
      <c r="A1293">
        <v>5362</v>
      </c>
      <c r="B1293">
        <v>2</v>
      </c>
      <c r="C1293">
        <v>2</v>
      </c>
      <c r="D1293">
        <v>1</v>
      </c>
      <c r="E1293">
        <v>1</v>
      </c>
      <c r="F1293">
        <v>3</v>
      </c>
      <c r="G1293">
        <v>1.5</v>
      </c>
    </row>
    <row r="1294" spans="1:7" x14ac:dyDescent="0.25">
      <c r="A1294">
        <v>5365</v>
      </c>
      <c r="B1294">
        <v>2</v>
      </c>
      <c r="C1294">
        <v>2</v>
      </c>
      <c r="D1294">
        <v>2</v>
      </c>
      <c r="E1294">
        <v>2</v>
      </c>
      <c r="F1294">
        <v>3</v>
      </c>
      <c r="G1294">
        <v>2</v>
      </c>
    </row>
    <row r="1295" spans="1:7" x14ac:dyDescent="0.25">
      <c r="A1295">
        <v>5366</v>
      </c>
      <c r="B1295">
        <v>1</v>
      </c>
      <c r="C1295">
        <v>1</v>
      </c>
      <c r="D1295">
        <v>1</v>
      </c>
      <c r="E1295">
        <v>1</v>
      </c>
      <c r="F1295">
        <v>3</v>
      </c>
      <c r="G1295">
        <v>1</v>
      </c>
    </row>
    <row r="1296" spans="1:7" x14ac:dyDescent="0.25">
      <c r="A1296">
        <v>5367</v>
      </c>
      <c r="B1296">
        <v>2</v>
      </c>
      <c r="C1296">
        <v>2</v>
      </c>
      <c r="D1296">
        <v>2</v>
      </c>
      <c r="E1296">
        <v>2</v>
      </c>
      <c r="F1296">
        <v>3</v>
      </c>
      <c r="G1296">
        <v>2</v>
      </c>
    </row>
    <row r="1297" spans="1:7" x14ac:dyDescent="0.25">
      <c r="A1297">
        <v>5368</v>
      </c>
      <c r="B1297">
        <v>1</v>
      </c>
      <c r="C1297">
        <v>1</v>
      </c>
      <c r="D1297">
        <v>1</v>
      </c>
      <c r="E1297">
        <v>1</v>
      </c>
      <c r="F1297">
        <v>2</v>
      </c>
      <c r="G1297">
        <v>1</v>
      </c>
    </row>
    <row r="1298" spans="1:7" x14ac:dyDescent="0.25">
      <c r="A1298">
        <v>5369</v>
      </c>
      <c r="B1298">
        <v>3</v>
      </c>
      <c r="C1298">
        <v>3</v>
      </c>
      <c r="D1298">
        <v>2</v>
      </c>
      <c r="E1298">
        <v>2</v>
      </c>
      <c r="F1298">
        <v>2</v>
      </c>
      <c r="G1298">
        <v>2.5</v>
      </c>
    </row>
    <row r="1299" spans="1:7" x14ac:dyDescent="0.25">
      <c r="A1299">
        <v>5370</v>
      </c>
      <c r="B1299">
        <v>2</v>
      </c>
      <c r="C1299">
        <v>1</v>
      </c>
      <c r="D1299">
        <v>2</v>
      </c>
      <c r="E1299">
        <v>1</v>
      </c>
      <c r="F1299">
        <v>4</v>
      </c>
      <c r="G1299">
        <v>1.5</v>
      </c>
    </row>
    <row r="1300" spans="1:7" x14ac:dyDescent="0.25">
      <c r="A1300">
        <v>5372</v>
      </c>
      <c r="B1300">
        <v>1</v>
      </c>
      <c r="C1300">
        <v>1</v>
      </c>
      <c r="D1300">
        <v>1</v>
      </c>
      <c r="E1300">
        <v>1</v>
      </c>
      <c r="F1300">
        <v>2</v>
      </c>
      <c r="G1300">
        <v>1</v>
      </c>
    </row>
    <row r="1301" spans="1:7" x14ac:dyDescent="0.25">
      <c r="A1301">
        <v>5374</v>
      </c>
      <c r="B1301">
        <v>2</v>
      </c>
      <c r="C1301">
        <v>1</v>
      </c>
      <c r="D1301">
        <v>1</v>
      </c>
      <c r="E1301">
        <v>1</v>
      </c>
      <c r="F1301">
        <v>3</v>
      </c>
      <c r="G1301">
        <v>1.25</v>
      </c>
    </row>
    <row r="1302" spans="1:7" x14ac:dyDescent="0.25">
      <c r="A1302">
        <v>5377</v>
      </c>
      <c r="B1302">
        <v>1</v>
      </c>
      <c r="C1302">
        <v>1</v>
      </c>
      <c r="D1302">
        <v>1</v>
      </c>
      <c r="E1302">
        <v>1</v>
      </c>
      <c r="F1302">
        <v>2</v>
      </c>
      <c r="G1302">
        <v>1</v>
      </c>
    </row>
    <row r="1303" spans="1:7" x14ac:dyDescent="0.25">
      <c r="A1303">
        <v>5378</v>
      </c>
      <c r="B1303">
        <v>1</v>
      </c>
      <c r="C1303">
        <v>1</v>
      </c>
      <c r="D1303">
        <v>1</v>
      </c>
      <c r="E1303">
        <v>1</v>
      </c>
      <c r="F1303">
        <v>3</v>
      </c>
      <c r="G1303">
        <v>1</v>
      </c>
    </row>
    <row r="1304" spans="1:7" x14ac:dyDescent="0.25">
      <c r="A1304">
        <v>5381</v>
      </c>
      <c r="B1304">
        <v>2</v>
      </c>
      <c r="C1304">
        <v>2</v>
      </c>
      <c r="D1304">
        <v>1</v>
      </c>
      <c r="E1304">
        <v>1</v>
      </c>
      <c r="F1304">
        <v>2</v>
      </c>
      <c r="G1304">
        <v>1.5</v>
      </c>
    </row>
    <row r="1305" spans="1:7" x14ac:dyDescent="0.25">
      <c r="A1305">
        <v>5382</v>
      </c>
      <c r="B1305">
        <v>2</v>
      </c>
      <c r="C1305">
        <v>2</v>
      </c>
      <c r="D1305">
        <v>1</v>
      </c>
      <c r="E1305">
        <v>1</v>
      </c>
      <c r="F1305">
        <v>4</v>
      </c>
      <c r="G1305">
        <v>1.5</v>
      </c>
    </row>
    <row r="1306" spans="1:7" x14ac:dyDescent="0.25">
      <c r="A1306">
        <v>5383</v>
      </c>
      <c r="B1306">
        <v>1</v>
      </c>
      <c r="C1306">
        <v>1</v>
      </c>
      <c r="D1306">
        <v>1</v>
      </c>
      <c r="E1306">
        <v>2</v>
      </c>
      <c r="F1306">
        <v>4</v>
      </c>
      <c r="G1306">
        <v>1.25</v>
      </c>
    </row>
    <row r="1307" spans="1:7" x14ac:dyDescent="0.25">
      <c r="A1307">
        <v>5384</v>
      </c>
      <c r="B1307">
        <v>1</v>
      </c>
      <c r="C1307">
        <v>1</v>
      </c>
      <c r="D1307">
        <v>1</v>
      </c>
      <c r="E1307">
        <v>1</v>
      </c>
      <c r="F1307">
        <v>3</v>
      </c>
      <c r="G1307">
        <v>1</v>
      </c>
    </row>
    <row r="1308" spans="1:7" x14ac:dyDescent="0.25">
      <c r="A1308">
        <v>5385</v>
      </c>
      <c r="B1308">
        <v>1</v>
      </c>
      <c r="C1308">
        <v>1</v>
      </c>
      <c r="D1308">
        <v>1</v>
      </c>
      <c r="E1308">
        <v>1</v>
      </c>
      <c r="F1308">
        <v>3</v>
      </c>
      <c r="G1308">
        <v>1</v>
      </c>
    </row>
    <row r="1309" spans="1:7" x14ac:dyDescent="0.25">
      <c r="A1309">
        <v>5386</v>
      </c>
      <c r="B1309">
        <v>1</v>
      </c>
      <c r="C1309">
        <v>1</v>
      </c>
      <c r="D1309">
        <v>2</v>
      </c>
      <c r="E1309">
        <v>1</v>
      </c>
      <c r="F1309">
        <v>3</v>
      </c>
      <c r="G1309">
        <v>1.25</v>
      </c>
    </row>
    <row r="1310" spans="1:7" x14ac:dyDescent="0.25">
      <c r="A1310">
        <v>5387</v>
      </c>
      <c r="B1310">
        <v>2</v>
      </c>
      <c r="C1310">
        <v>2</v>
      </c>
      <c r="D1310">
        <v>1</v>
      </c>
      <c r="E1310">
        <v>1</v>
      </c>
      <c r="F1310">
        <v>3</v>
      </c>
      <c r="G1310">
        <v>1.5</v>
      </c>
    </row>
    <row r="1311" spans="1:7" x14ac:dyDescent="0.25">
      <c r="A1311">
        <v>5388</v>
      </c>
      <c r="B1311">
        <v>1</v>
      </c>
      <c r="C1311">
        <v>1</v>
      </c>
      <c r="D1311">
        <v>2</v>
      </c>
      <c r="E1311">
        <v>1</v>
      </c>
      <c r="F1311">
        <v>3</v>
      </c>
      <c r="G1311">
        <v>1.25</v>
      </c>
    </row>
    <row r="1312" spans="1:7" x14ac:dyDescent="0.25">
      <c r="A1312">
        <v>5389</v>
      </c>
      <c r="B1312">
        <v>2</v>
      </c>
      <c r="C1312">
        <v>3</v>
      </c>
      <c r="D1312">
        <v>4</v>
      </c>
      <c r="E1312">
        <v>4</v>
      </c>
      <c r="F1312">
        <v>4</v>
      </c>
      <c r="G1312">
        <v>3.25</v>
      </c>
    </row>
    <row r="1313" spans="1:7" x14ac:dyDescent="0.25">
      <c r="A1313">
        <v>5392</v>
      </c>
      <c r="B1313">
        <v>1</v>
      </c>
      <c r="C1313">
        <v>2</v>
      </c>
      <c r="D1313">
        <v>2</v>
      </c>
      <c r="E1313">
        <v>2</v>
      </c>
      <c r="F1313">
        <v>4</v>
      </c>
      <c r="G1313">
        <v>1.75</v>
      </c>
    </row>
    <row r="1314" spans="1:7" x14ac:dyDescent="0.25">
      <c r="A1314">
        <v>5393</v>
      </c>
      <c r="B1314">
        <v>3</v>
      </c>
      <c r="C1314">
        <v>3</v>
      </c>
      <c r="D1314">
        <v>2</v>
      </c>
      <c r="E1314">
        <v>2</v>
      </c>
      <c r="F1314">
        <v>3</v>
      </c>
      <c r="G1314">
        <v>2.5</v>
      </c>
    </row>
    <row r="1315" spans="1:7" x14ac:dyDescent="0.25">
      <c r="A1315">
        <v>5394</v>
      </c>
      <c r="B1315">
        <v>2</v>
      </c>
      <c r="C1315">
        <v>2</v>
      </c>
      <c r="D1315">
        <v>2</v>
      </c>
      <c r="E1315">
        <v>2</v>
      </c>
      <c r="F1315">
        <v>2</v>
      </c>
      <c r="G1315">
        <v>2</v>
      </c>
    </row>
    <row r="1316" spans="1:7" x14ac:dyDescent="0.25">
      <c r="A1316">
        <v>5395</v>
      </c>
      <c r="B1316">
        <v>1</v>
      </c>
      <c r="C1316">
        <v>1</v>
      </c>
      <c r="D1316">
        <v>1</v>
      </c>
      <c r="E1316">
        <v>1</v>
      </c>
      <c r="F1316">
        <v>3</v>
      </c>
      <c r="G1316">
        <v>1</v>
      </c>
    </row>
    <row r="1317" spans="1:7" x14ac:dyDescent="0.25">
      <c r="A1317">
        <v>5396</v>
      </c>
      <c r="B1317">
        <v>1</v>
      </c>
      <c r="C1317">
        <v>2</v>
      </c>
      <c r="D1317">
        <v>1</v>
      </c>
      <c r="E1317">
        <v>1</v>
      </c>
      <c r="F1317">
        <v>4</v>
      </c>
      <c r="G1317">
        <v>1.25</v>
      </c>
    </row>
    <row r="1318" spans="1:7" x14ac:dyDescent="0.25">
      <c r="A1318">
        <v>5397</v>
      </c>
      <c r="B1318">
        <v>2</v>
      </c>
      <c r="C1318">
        <v>2</v>
      </c>
      <c r="D1318">
        <v>1</v>
      </c>
      <c r="E1318">
        <v>1</v>
      </c>
      <c r="F1318">
        <v>3</v>
      </c>
      <c r="G1318">
        <v>1.5</v>
      </c>
    </row>
    <row r="1319" spans="1:7" x14ac:dyDescent="0.25">
      <c r="A1319">
        <v>5398</v>
      </c>
      <c r="B1319">
        <v>2</v>
      </c>
      <c r="C1319">
        <v>2</v>
      </c>
      <c r="D1319">
        <v>1</v>
      </c>
      <c r="E1319">
        <v>2</v>
      </c>
      <c r="F1319">
        <v>3</v>
      </c>
      <c r="G1319">
        <v>1.75</v>
      </c>
    </row>
    <row r="1320" spans="1:7" x14ac:dyDescent="0.25">
      <c r="A1320">
        <v>5399</v>
      </c>
      <c r="B1320">
        <v>1</v>
      </c>
      <c r="C1320">
        <v>2</v>
      </c>
      <c r="D1320">
        <v>2</v>
      </c>
      <c r="E1320">
        <v>1</v>
      </c>
      <c r="F1320">
        <v>4</v>
      </c>
      <c r="G1320">
        <v>1.5</v>
      </c>
    </row>
    <row r="1321" spans="1:7" x14ac:dyDescent="0.25">
      <c r="A1321">
        <v>5400</v>
      </c>
      <c r="B1321">
        <v>3</v>
      </c>
      <c r="C1321">
        <v>3</v>
      </c>
      <c r="D1321">
        <v>2</v>
      </c>
      <c r="E1321">
        <v>3</v>
      </c>
      <c r="F1321">
        <v>4</v>
      </c>
      <c r="G1321">
        <v>2.75</v>
      </c>
    </row>
    <row r="1322" spans="1:7" x14ac:dyDescent="0.25">
      <c r="A1322">
        <v>5401</v>
      </c>
      <c r="B1322">
        <v>1</v>
      </c>
      <c r="C1322">
        <v>1</v>
      </c>
      <c r="D1322">
        <v>1</v>
      </c>
      <c r="E1322">
        <v>1</v>
      </c>
      <c r="F1322">
        <v>3</v>
      </c>
      <c r="G1322">
        <v>1</v>
      </c>
    </row>
    <row r="1323" spans="1:7" x14ac:dyDescent="0.25">
      <c r="A1323">
        <v>5403</v>
      </c>
      <c r="B1323">
        <v>2</v>
      </c>
      <c r="C1323">
        <v>2</v>
      </c>
      <c r="D1323">
        <v>2</v>
      </c>
      <c r="E1323">
        <v>1</v>
      </c>
      <c r="F1323">
        <v>2</v>
      </c>
      <c r="G1323">
        <v>1.75</v>
      </c>
    </row>
    <row r="1324" spans="1:7" x14ac:dyDescent="0.25">
      <c r="A1324">
        <v>5404</v>
      </c>
      <c r="B1324">
        <v>1</v>
      </c>
      <c r="C1324">
        <v>3</v>
      </c>
      <c r="D1324">
        <v>1</v>
      </c>
      <c r="E1324">
        <v>1</v>
      </c>
      <c r="F1324">
        <v>3</v>
      </c>
      <c r="G1324">
        <v>1.5</v>
      </c>
    </row>
    <row r="1325" spans="1:7" x14ac:dyDescent="0.25">
      <c r="A1325">
        <v>5406</v>
      </c>
      <c r="B1325">
        <v>2</v>
      </c>
      <c r="C1325">
        <v>1</v>
      </c>
      <c r="D1325">
        <v>1</v>
      </c>
      <c r="E1325">
        <v>1</v>
      </c>
      <c r="F1325">
        <v>3</v>
      </c>
      <c r="G1325">
        <v>1.25</v>
      </c>
    </row>
    <row r="1326" spans="1:7" x14ac:dyDescent="0.25">
      <c r="A1326">
        <v>5407</v>
      </c>
      <c r="B1326">
        <v>2</v>
      </c>
      <c r="C1326">
        <v>3</v>
      </c>
      <c r="D1326">
        <v>2</v>
      </c>
      <c r="E1326">
        <v>2</v>
      </c>
      <c r="F1326">
        <v>3</v>
      </c>
      <c r="G1326">
        <v>2.25</v>
      </c>
    </row>
    <row r="1327" spans="1:7" x14ac:dyDescent="0.25">
      <c r="A1327">
        <v>5408</v>
      </c>
      <c r="B1327">
        <v>3</v>
      </c>
      <c r="C1327">
        <v>3</v>
      </c>
      <c r="D1327">
        <v>2</v>
      </c>
      <c r="E1327">
        <v>2</v>
      </c>
      <c r="F1327">
        <v>3</v>
      </c>
      <c r="G1327">
        <v>2.5</v>
      </c>
    </row>
    <row r="1328" spans="1:7" x14ac:dyDescent="0.25">
      <c r="A1328">
        <v>5409</v>
      </c>
      <c r="B1328">
        <v>3</v>
      </c>
      <c r="C1328">
        <v>3</v>
      </c>
      <c r="D1328">
        <v>2</v>
      </c>
      <c r="E1328">
        <v>3</v>
      </c>
      <c r="F1328">
        <v>3</v>
      </c>
      <c r="G1328">
        <v>2.75</v>
      </c>
    </row>
    <row r="1329" spans="1:7" x14ac:dyDescent="0.25">
      <c r="A1329">
        <v>5410</v>
      </c>
      <c r="B1329">
        <v>2</v>
      </c>
      <c r="C1329">
        <v>2</v>
      </c>
      <c r="D1329">
        <v>1</v>
      </c>
      <c r="E1329">
        <v>2</v>
      </c>
      <c r="F1329">
        <v>4</v>
      </c>
      <c r="G1329">
        <v>1.75</v>
      </c>
    </row>
    <row r="1330" spans="1:7" x14ac:dyDescent="0.25">
      <c r="A1330">
        <v>5411</v>
      </c>
      <c r="B1330">
        <v>2</v>
      </c>
      <c r="C1330">
        <v>2</v>
      </c>
      <c r="D1330">
        <v>1</v>
      </c>
      <c r="E1330">
        <v>1</v>
      </c>
      <c r="F1330">
        <v>3</v>
      </c>
      <c r="G1330">
        <v>1.5</v>
      </c>
    </row>
    <row r="1331" spans="1:7" x14ac:dyDescent="0.25">
      <c r="A1331">
        <v>5412</v>
      </c>
      <c r="B1331">
        <v>3</v>
      </c>
      <c r="C1331">
        <v>3</v>
      </c>
      <c r="D1331">
        <v>2</v>
      </c>
      <c r="E1331">
        <v>3</v>
      </c>
      <c r="F1331">
        <v>3</v>
      </c>
      <c r="G1331">
        <v>2.75</v>
      </c>
    </row>
    <row r="1332" spans="1:7" x14ac:dyDescent="0.25">
      <c r="A1332">
        <v>5413</v>
      </c>
      <c r="B1332">
        <v>1</v>
      </c>
      <c r="C1332">
        <v>1</v>
      </c>
      <c r="D1332">
        <v>2</v>
      </c>
      <c r="E1332">
        <v>1</v>
      </c>
      <c r="F1332">
        <v>3</v>
      </c>
      <c r="G1332">
        <v>1.25</v>
      </c>
    </row>
    <row r="1333" spans="1:7" x14ac:dyDescent="0.25">
      <c r="A1333">
        <v>5414</v>
      </c>
      <c r="B1333">
        <v>2</v>
      </c>
      <c r="C1333">
        <v>2</v>
      </c>
      <c r="D1333">
        <v>1</v>
      </c>
      <c r="E1333">
        <v>1</v>
      </c>
      <c r="F1333">
        <v>3</v>
      </c>
      <c r="G1333">
        <v>1.5</v>
      </c>
    </row>
    <row r="1334" spans="1:7" x14ac:dyDescent="0.25">
      <c r="A1334">
        <v>5416</v>
      </c>
      <c r="B1334">
        <v>1</v>
      </c>
      <c r="C1334">
        <v>1</v>
      </c>
      <c r="D1334">
        <v>1</v>
      </c>
      <c r="E1334">
        <v>1</v>
      </c>
      <c r="F1334">
        <v>3</v>
      </c>
      <c r="G1334">
        <v>1</v>
      </c>
    </row>
    <row r="1335" spans="1:7" x14ac:dyDescent="0.25">
      <c r="A1335">
        <v>5417</v>
      </c>
      <c r="B1335">
        <v>3</v>
      </c>
      <c r="C1335">
        <v>2</v>
      </c>
      <c r="D1335">
        <v>1</v>
      </c>
      <c r="E1335">
        <v>1</v>
      </c>
      <c r="F1335">
        <v>3</v>
      </c>
      <c r="G1335">
        <v>1.75</v>
      </c>
    </row>
    <row r="1336" spans="1:7" x14ac:dyDescent="0.25">
      <c r="A1336">
        <v>5418</v>
      </c>
      <c r="B1336">
        <v>1</v>
      </c>
      <c r="C1336">
        <v>1</v>
      </c>
      <c r="D1336">
        <v>1</v>
      </c>
      <c r="E1336">
        <v>1</v>
      </c>
      <c r="F1336">
        <v>4</v>
      </c>
      <c r="G1336">
        <v>1</v>
      </c>
    </row>
    <row r="1337" spans="1:7" x14ac:dyDescent="0.25">
      <c r="A1337">
        <v>5419</v>
      </c>
      <c r="B1337">
        <v>2</v>
      </c>
      <c r="C1337">
        <v>2</v>
      </c>
      <c r="D1337">
        <v>2</v>
      </c>
      <c r="E1337">
        <v>1</v>
      </c>
      <c r="F1337">
        <v>2</v>
      </c>
      <c r="G1337">
        <v>1.75</v>
      </c>
    </row>
    <row r="1338" spans="1:7" x14ac:dyDescent="0.25">
      <c r="A1338">
        <v>5420</v>
      </c>
      <c r="B1338">
        <v>2</v>
      </c>
      <c r="C1338">
        <v>2</v>
      </c>
      <c r="D1338">
        <v>1</v>
      </c>
      <c r="E1338">
        <v>2</v>
      </c>
      <c r="F1338">
        <v>3</v>
      </c>
      <c r="G1338">
        <v>1.75</v>
      </c>
    </row>
    <row r="1339" spans="1:7" x14ac:dyDescent="0.25">
      <c r="A1339">
        <v>5421</v>
      </c>
      <c r="B1339">
        <v>1</v>
      </c>
      <c r="C1339">
        <v>1</v>
      </c>
      <c r="D1339">
        <v>1</v>
      </c>
      <c r="E1339">
        <v>1</v>
      </c>
      <c r="F1339">
        <v>3</v>
      </c>
      <c r="G1339">
        <v>1</v>
      </c>
    </row>
    <row r="1340" spans="1:7" x14ac:dyDescent="0.25">
      <c r="A1340">
        <v>5422</v>
      </c>
      <c r="B1340">
        <v>3</v>
      </c>
      <c r="C1340">
        <v>2</v>
      </c>
      <c r="D1340">
        <v>1</v>
      </c>
      <c r="E1340">
        <v>1</v>
      </c>
      <c r="F1340">
        <v>3</v>
      </c>
      <c r="G1340">
        <v>1.75</v>
      </c>
    </row>
    <row r="1341" spans="1:7" x14ac:dyDescent="0.25">
      <c r="A1341">
        <v>5423</v>
      </c>
      <c r="B1341">
        <v>2</v>
      </c>
      <c r="C1341">
        <v>2</v>
      </c>
      <c r="D1341">
        <v>1</v>
      </c>
      <c r="E1341">
        <v>1</v>
      </c>
      <c r="F1341">
        <v>3</v>
      </c>
      <c r="G1341">
        <v>1.5</v>
      </c>
    </row>
    <row r="1342" spans="1:7" x14ac:dyDescent="0.25">
      <c r="A1342">
        <v>5424</v>
      </c>
      <c r="B1342">
        <v>2</v>
      </c>
      <c r="C1342">
        <v>1</v>
      </c>
      <c r="D1342">
        <v>2</v>
      </c>
      <c r="E1342">
        <v>1</v>
      </c>
      <c r="F1342">
        <v>2</v>
      </c>
      <c r="G1342">
        <v>1.5</v>
      </c>
    </row>
    <row r="1343" spans="1:7" x14ac:dyDescent="0.25">
      <c r="A1343">
        <v>5426</v>
      </c>
      <c r="B1343">
        <v>2</v>
      </c>
      <c r="C1343">
        <v>2</v>
      </c>
      <c r="D1343">
        <v>2</v>
      </c>
      <c r="E1343">
        <v>3</v>
      </c>
      <c r="F1343">
        <v>4</v>
      </c>
      <c r="G1343">
        <v>2.25</v>
      </c>
    </row>
    <row r="1344" spans="1:7" x14ac:dyDescent="0.25">
      <c r="A1344">
        <v>5427</v>
      </c>
      <c r="B1344">
        <v>2</v>
      </c>
      <c r="C1344">
        <v>1</v>
      </c>
      <c r="D1344">
        <v>1</v>
      </c>
      <c r="E1344">
        <v>0</v>
      </c>
      <c r="F1344">
        <v>3</v>
      </c>
      <c r="G1344">
        <v>1</v>
      </c>
    </row>
    <row r="1345" spans="1:7" x14ac:dyDescent="0.25">
      <c r="A1345">
        <v>5428</v>
      </c>
      <c r="B1345">
        <v>2</v>
      </c>
      <c r="C1345">
        <v>2</v>
      </c>
      <c r="D1345">
        <v>2</v>
      </c>
      <c r="E1345">
        <v>1</v>
      </c>
      <c r="F1345">
        <v>4</v>
      </c>
      <c r="G1345">
        <v>1.75</v>
      </c>
    </row>
    <row r="1346" spans="1:7" x14ac:dyDescent="0.25">
      <c r="A1346">
        <v>5429</v>
      </c>
      <c r="B1346">
        <v>1</v>
      </c>
      <c r="C1346">
        <v>1</v>
      </c>
      <c r="D1346">
        <v>1</v>
      </c>
      <c r="E1346">
        <v>1</v>
      </c>
      <c r="F1346">
        <v>3</v>
      </c>
      <c r="G1346">
        <v>1</v>
      </c>
    </row>
    <row r="1347" spans="1:7" x14ac:dyDescent="0.25">
      <c r="A1347">
        <v>5430</v>
      </c>
      <c r="B1347">
        <v>2</v>
      </c>
      <c r="C1347">
        <v>2</v>
      </c>
      <c r="D1347">
        <v>1</v>
      </c>
      <c r="E1347">
        <v>2</v>
      </c>
      <c r="F1347">
        <v>2</v>
      </c>
      <c r="G1347">
        <v>1.75</v>
      </c>
    </row>
    <row r="1348" spans="1:7" x14ac:dyDescent="0.25">
      <c r="A1348">
        <v>5432</v>
      </c>
      <c r="B1348">
        <v>2</v>
      </c>
      <c r="C1348">
        <v>2</v>
      </c>
      <c r="D1348">
        <v>1</v>
      </c>
      <c r="E1348">
        <v>1</v>
      </c>
      <c r="F1348">
        <v>4</v>
      </c>
      <c r="G1348">
        <v>1.5</v>
      </c>
    </row>
    <row r="1349" spans="1:7" x14ac:dyDescent="0.25">
      <c r="A1349">
        <v>5433</v>
      </c>
      <c r="B1349">
        <v>2</v>
      </c>
      <c r="C1349">
        <v>2</v>
      </c>
      <c r="D1349">
        <v>1</v>
      </c>
      <c r="E1349">
        <v>2</v>
      </c>
      <c r="F1349">
        <v>4</v>
      </c>
      <c r="G1349">
        <v>1.75</v>
      </c>
    </row>
    <row r="1350" spans="1:7" x14ac:dyDescent="0.25">
      <c r="A1350">
        <v>5434</v>
      </c>
      <c r="B1350">
        <v>2</v>
      </c>
      <c r="C1350">
        <v>2</v>
      </c>
      <c r="D1350">
        <v>2</v>
      </c>
      <c r="E1350">
        <v>2</v>
      </c>
      <c r="F1350">
        <v>4</v>
      </c>
      <c r="G1350">
        <v>2</v>
      </c>
    </row>
    <row r="1351" spans="1:7" x14ac:dyDescent="0.25">
      <c r="A1351">
        <v>5435</v>
      </c>
      <c r="B1351">
        <v>1</v>
      </c>
      <c r="C1351">
        <v>2</v>
      </c>
      <c r="D1351">
        <v>2</v>
      </c>
      <c r="E1351">
        <v>2</v>
      </c>
      <c r="F1351">
        <v>4</v>
      </c>
      <c r="G1351">
        <v>1.75</v>
      </c>
    </row>
    <row r="1352" spans="1:7" x14ac:dyDescent="0.25">
      <c r="A1352">
        <v>5437</v>
      </c>
      <c r="B1352">
        <v>1</v>
      </c>
      <c r="C1352">
        <v>1</v>
      </c>
      <c r="D1352">
        <v>1</v>
      </c>
      <c r="E1352">
        <v>2</v>
      </c>
      <c r="F1352">
        <v>3</v>
      </c>
      <c r="G1352">
        <v>1.25</v>
      </c>
    </row>
    <row r="1353" spans="1:7" x14ac:dyDescent="0.25">
      <c r="A1353">
        <v>5438</v>
      </c>
      <c r="B1353">
        <v>2</v>
      </c>
      <c r="C1353">
        <v>2</v>
      </c>
      <c r="D1353">
        <v>1</v>
      </c>
      <c r="E1353">
        <v>2</v>
      </c>
      <c r="F1353">
        <v>2</v>
      </c>
      <c r="G1353">
        <v>1.75</v>
      </c>
    </row>
    <row r="1354" spans="1:7" x14ac:dyDescent="0.25">
      <c r="A1354">
        <v>5440</v>
      </c>
      <c r="B1354">
        <v>2</v>
      </c>
      <c r="C1354">
        <v>2</v>
      </c>
      <c r="D1354">
        <v>1</v>
      </c>
      <c r="E1354">
        <v>1</v>
      </c>
      <c r="F1354">
        <v>2</v>
      </c>
      <c r="G1354">
        <v>1.5</v>
      </c>
    </row>
    <row r="1355" spans="1:7" x14ac:dyDescent="0.25">
      <c r="A1355">
        <v>5442</v>
      </c>
      <c r="B1355">
        <v>2</v>
      </c>
      <c r="C1355">
        <v>2</v>
      </c>
      <c r="D1355">
        <v>2</v>
      </c>
      <c r="E1355">
        <v>1</v>
      </c>
      <c r="F1355">
        <v>3</v>
      </c>
      <c r="G1355">
        <v>1.75</v>
      </c>
    </row>
    <row r="1356" spans="1:7" x14ac:dyDescent="0.25">
      <c r="A1356">
        <v>5443</v>
      </c>
      <c r="B1356">
        <v>1</v>
      </c>
      <c r="C1356">
        <v>1</v>
      </c>
      <c r="D1356">
        <v>1</v>
      </c>
      <c r="E1356">
        <v>1</v>
      </c>
      <c r="F1356">
        <v>3</v>
      </c>
      <c r="G1356">
        <v>1</v>
      </c>
    </row>
    <row r="1357" spans="1:7" x14ac:dyDescent="0.25">
      <c r="A1357">
        <v>5444</v>
      </c>
      <c r="B1357">
        <v>2</v>
      </c>
      <c r="C1357">
        <v>1</v>
      </c>
      <c r="D1357">
        <v>1</v>
      </c>
      <c r="E1357">
        <v>2</v>
      </c>
      <c r="F1357">
        <v>3</v>
      </c>
      <c r="G1357">
        <v>1.5</v>
      </c>
    </row>
    <row r="1358" spans="1:7" x14ac:dyDescent="0.25">
      <c r="A1358">
        <v>5445</v>
      </c>
      <c r="B1358">
        <v>1</v>
      </c>
      <c r="C1358">
        <v>1</v>
      </c>
      <c r="D1358">
        <v>1</v>
      </c>
      <c r="E1358">
        <v>1</v>
      </c>
      <c r="F1358">
        <v>2</v>
      </c>
      <c r="G1358">
        <v>1</v>
      </c>
    </row>
    <row r="1359" spans="1:7" x14ac:dyDescent="0.25">
      <c r="A1359">
        <v>5447</v>
      </c>
      <c r="B1359">
        <v>3</v>
      </c>
      <c r="C1359">
        <v>3</v>
      </c>
      <c r="D1359">
        <v>1</v>
      </c>
      <c r="E1359">
        <v>3</v>
      </c>
      <c r="F1359">
        <v>4</v>
      </c>
      <c r="G1359">
        <v>2.5</v>
      </c>
    </row>
    <row r="1360" spans="1:7" x14ac:dyDescent="0.25">
      <c r="A1360">
        <v>5448</v>
      </c>
      <c r="B1360">
        <v>2</v>
      </c>
      <c r="C1360">
        <v>1</v>
      </c>
      <c r="D1360">
        <v>1</v>
      </c>
      <c r="E1360">
        <v>1</v>
      </c>
      <c r="F1360">
        <v>3</v>
      </c>
      <c r="G1360">
        <v>1.25</v>
      </c>
    </row>
    <row r="1361" spans="1:7" x14ac:dyDescent="0.25">
      <c r="A1361">
        <v>5449</v>
      </c>
      <c r="B1361">
        <v>2</v>
      </c>
      <c r="C1361">
        <v>2</v>
      </c>
      <c r="D1361">
        <v>1</v>
      </c>
      <c r="E1361">
        <v>1</v>
      </c>
      <c r="F1361">
        <v>4</v>
      </c>
      <c r="G1361">
        <v>1.5</v>
      </c>
    </row>
    <row r="1362" spans="1:7" x14ac:dyDescent="0.25">
      <c r="A1362">
        <v>5450</v>
      </c>
      <c r="B1362">
        <v>3</v>
      </c>
      <c r="C1362">
        <v>1</v>
      </c>
      <c r="D1362">
        <v>1</v>
      </c>
      <c r="E1362">
        <v>1</v>
      </c>
      <c r="F1362">
        <v>3</v>
      </c>
      <c r="G1362">
        <v>1.5</v>
      </c>
    </row>
    <row r="1363" spans="1:7" x14ac:dyDescent="0.25">
      <c r="A1363">
        <v>5451</v>
      </c>
      <c r="B1363">
        <v>2</v>
      </c>
      <c r="C1363">
        <v>2</v>
      </c>
      <c r="D1363">
        <v>1</v>
      </c>
      <c r="E1363">
        <v>1</v>
      </c>
      <c r="F1363">
        <v>2</v>
      </c>
      <c r="G1363">
        <v>1.5</v>
      </c>
    </row>
    <row r="1364" spans="1:7" x14ac:dyDescent="0.25">
      <c r="A1364">
        <v>5452</v>
      </c>
      <c r="B1364">
        <v>1</v>
      </c>
      <c r="C1364">
        <v>1</v>
      </c>
      <c r="D1364">
        <v>1</v>
      </c>
      <c r="E1364">
        <v>1</v>
      </c>
      <c r="F1364">
        <v>2</v>
      </c>
      <c r="G1364">
        <v>1</v>
      </c>
    </row>
    <row r="1365" spans="1:7" x14ac:dyDescent="0.25">
      <c r="A1365">
        <v>5453</v>
      </c>
      <c r="B1365">
        <v>1</v>
      </c>
      <c r="C1365">
        <v>1</v>
      </c>
      <c r="D1365">
        <v>2</v>
      </c>
      <c r="E1365">
        <v>2</v>
      </c>
      <c r="F1365">
        <v>3</v>
      </c>
      <c r="G1365">
        <v>1.5</v>
      </c>
    </row>
    <row r="1366" spans="1:7" x14ac:dyDescent="0.25">
      <c r="A1366">
        <v>5455</v>
      </c>
      <c r="B1366">
        <v>2</v>
      </c>
      <c r="C1366">
        <v>2</v>
      </c>
      <c r="D1366">
        <v>1</v>
      </c>
      <c r="E1366">
        <v>2</v>
      </c>
      <c r="F1366">
        <v>2</v>
      </c>
      <c r="G1366">
        <v>1.75</v>
      </c>
    </row>
    <row r="1367" spans="1:7" x14ac:dyDescent="0.25">
      <c r="A1367">
        <v>5457</v>
      </c>
      <c r="B1367">
        <v>2</v>
      </c>
      <c r="C1367">
        <v>3</v>
      </c>
      <c r="D1367">
        <v>1</v>
      </c>
      <c r="E1367">
        <v>2</v>
      </c>
      <c r="F1367">
        <v>4</v>
      </c>
      <c r="G1367">
        <v>2</v>
      </c>
    </row>
    <row r="1368" spans="1:7" x14ac:dyDescent="0.25">
      <c r="A1368">
        <v>5459</v>
      </c>
      <c r="B1368">
        <v>2</v>
      </c>
      <c r="C1368">
        <v>2</v>
      </c>
      <c r="D1368">
        <v>2</v>
      </c>
      <c r="E1368">
        <v>1</v>
      </c>
      <c r="F1368">
        <v>2</v>
      </c>
      <c r="G1368">
        <v>1.75</v>
      </c>
    </row>
    <row r="1369" spans="1:7" x14ac:dyDescent="0.25">
      <c r="A1369">
        <v>5461</v>
      </c>
      <c r="B1369">
        <v>2</v>
      </c>
      <c r="C1369">
        <v>2</v>
      </c>
      <c r="D1369">
        <v>1</v>
      </c>
      <c r="E1369">
        <v>1</v>
      </c>
      <c r="F1369">
        <v>3</v>
      </c>
      <c r="G1369">
        <v>1.5</v>
      </c>
    </row>
    <row r="1370" spans="1:7" x14ac:dyDescent="0.25">
      <c r="A1370">
        <v>5462</v>
      </c>
      <c r="B1370">
        <v>2</v>
      </c>
      <c r="C1370">
        <v>1</v>
      </c>
      <c r="D1370">
        <v>2</v>
      </c>
      <c r="E1370">
        <v>3</v>
      </c>
      <c r="F1370">
        <v>2</v>
      </c>
      <c r="G1370">
        <v>2</v>
      </c>
    </row>
    <row r="1371" spans="1:7" x14ac:dyDescent="0.25">
      <c r="A1371">
        <v>5466</v>
      </c>
      <c r="B1371">
        <v>2</v>
      </c>
      <c r="C1371">
        <v>2</v>
      </c>
      <c r="D1371">
        <v>1</v>
      </c>
      <c r="E1371">
        <v>1</v>
      </c>
      <c r="F1371">
        <v>3</v>
      </c>
      <c r="G1371">
        <v>1.5</v>
      </c>
    </row>
    <row r="1372" spans="1:7" x14ac:dyDescent="0.25">
      <c r="A1372">
        <v>5467</v>
      </c>
      <c r="B1372">
        <v>3</v>
      </c>
      <c r="C1372">
        <v>2</v>
      </c>
      <c r="D1372">
        <v>2</v>
      </c>
      <c r="E1372">
        <v>2</v>
      </c>
      <c r="F1372">
        <v>3</v>
      </c>
      <c r="G1372">
        <v>2.25</v>
      </c>
    </row>
    <row r="1373" spans="1:7" x14ac:dyDescent="0.25">
      <c r="A1373">
        <v>5468</v>
      </c>
      <c r="B1373">
        <v>2</v>
      </c>
      <c r="C1373">
        <v>2</v>
      </c>
      <c r="D1373">
        <v>1</v>
      </c>
      <c r="E1373">
        <v>1</v>
      </c>
      <c r="F1373">
        <v>4</v>
      </c>
      <c r="G1373">
        <v>1.5</v>
      </c>
    </row>
    <row r="1374" spans="1:7" x14ac:dyDescent="0.25">
      <c r="A1374">
        <v>5469</v>
      </c>
      <c r="B1374">
        <v>2</v>
      </c>
      <c r="C1374">
        <v>1</v>
      </c>
      <c r="D1374">
        <v>1</v>
      </c>
      <c r="E1374">
        <v>2</v>
      </c>
      <c r="F1374">
        <v>2</v>
      </c>
      <c r="G1374">
        <v>1.5</v>
      </c>
    </row>
    <row r="1375" spans="1:7" x14ac:dyDescent="0.25">
      <c r="A1375">
        <v>5471</v>
      </c>
      <c r="B1375">
        <v>2</v>
      </c>
      <c r="C1375">
        <v>2</v>
      </c>
      <c r="D1375">
        <v>1</v>
      </c>
      <c r="E1375">
        <v>2</v>
      </c>
      <c r="F1375">
        <v>3</v>
      </c>
      <c r="G1375">
        <v>1.75</v>
      </c>
    </row>
    <row r="1376" spans="1:7" x14ac:dyDescent="0.25">
      <c r="A1376">
        <v>5472</v>
      </c>
      <c r="B1376">
        <v>2</v>
      </c>
      <c r="C1376">
        <v>2</v>
      </c>
      <c r="D1376">
        <v>2</v>
      </c>
      <c r="E1376">
        <v>2</v>
      </c>
      <c r="F1376">
        <v>2</v>
      </c>
      <c r="G1376">
        <v>2</v>
      </c>
    </row>
    <row r="1377" spans="1:7" x14ac:dyDescent="0.25">
      <c r="A1377">
        <v>5473</v>
      </c>
      <c r="B1377">
        <v>1</v>
      </c>
      <c r="C1377">
        <v>2</v>
      </c>
      <c r="D1377">
        <v>1</v>
      </c>
      <c r="E1377">
        <v>1</v>
      </c>
      <c r="F1377">
        <v>2</v>
      </c>
      <c r="G1377">
        <v>1.25</v>
      </c>
    </row>
    <row r="1378" spans="1:7" x14ac:dyDescent="0.25">
      <c r="A1378">
        <v>5474</v>
      </c>
      <c r="B1378">
        <v>1</v>
      </c>
      <c r="C1378">
        <v>2</v>
      </c>
      <c r="D1378">
        <v>2</v>
      </c>
      <c r="E1378">
        <v>1</v>
      </c>
      <c r="F1378">
        <v>4</v>
      </c>
      <c r="G1378">
        <v>1.5</v>
      </c>
    </row>
    <row r="1379" spans="1:7" x14ac:dyDescent="0.25">
      <c r="A1379">
        <v>5475</v>
      </c>
      <c r="B1379">
        <v>1</v>
      </c>
      <c r="C1379">
        <v>2</v>
      </c>
      <c r="D1379">
        <v>2</v>
      </c>
      <c r="E1379">
        <v>2</v>
      </c>
      <c r="F1379">
        <v>3</v>
      </c>
      <c r="G1379">
        <v>1.75</v>
      </c>
    </row>
    <row r="1380" spans="1:7" x14ac:dyDescent="0.25">
      <c r="A1380">
        <v>5476</v>
      </c>
      <c r="B1380">
        <v>3</v>
      </c>
      <c r="C1380">
        <v>3</v>
      </c>
      <c r="D1380">
        <v>3</v>
      </c>
      <c r="E1380">
        <v>3</v>
      </c>
      <c r="F1380">
        <v>3</v>
      </c>
      <c r="G1380">
        <v>3</v>
      </c>
    </row>
    <row r="1381" spans="1:7" x14ac:dyDescent="0.25">
      <c r="A1381">
        <v>5477</v>
      </c>
      <c r="B1381">
        <v>2</v>
      </c>
      <c r="C1381">
        <v>1</v>
      </c>
      <c r="D1381">
        <v>1</v>
      </c>
      <c r="E1381">
        <v>1</v>
      </c>
      <c r="F1381">
        <v>2</v>
      </c>
      <c r="G1381">
        <v>1.25</v>
      </c>
    </row>
    <row r="1382" spans="1:7" x14ac:dyDescent="0.25">
      <c r="A1382">
        <v>5478</v>
      </c>
      <c r="B1382">
        <v>2</v>
      </c>
      <c r="C1382">
        <v>2</v>
      </c>
      <c r="D1382">
        <v>1</v>
      </c>
      <c r="E1382">
        <v>1</v>
      </c>
      <c r="F1382">
        <v>2</v>
      </c>
      <c r="G1382">
        <v>1.5</v>
      </c>
    </row>
    <row r="1383" spans="1:7" x14ac:dyDescent="0.25">
      <c r="A1383">
        <v>5479</v>
      </c>
      <c r="B1383">
        <v>2</v>
      </c>
      <c r="C1383">
        <v>2</v>
      </c>
      <c r="D1383">
        <v>1</v>
      </c>
      <c r="E1383">
        <v>1</v>
      </c>
      <c r="F1383">
        <v>2</v>
      </c>
      <c r="G1383">
        <v>1.5</v>
      </c>
    </row>
    <row r="1384" spans="1:7" x14ac:dyDescent="0.25">
      <c r="A1384">
        <v>5481</v>
      </c>
      <c r="B1384">
        <v>1</v>
      </c>
      <c r="C1384">
        <v>2</v>
      </c>
      <c r="D1384">
        <v>2</v>
      </c>
      <c r="E1384">
        <v>1</v>
      </c>
      <c r="F1384">
        <v>2</v>
      </c>
      <c r="G1384">
        <v>1.5</v>
      </c>
    </row>
    <row r="1385" spans="1:7" x14ac:dyDescent="0.25">
      <c r="A1385">
        <v>5482</v>
      </c>
      <c r="B1385">
        <v>2</v>
      </c>
      <c r="C1385">
        <v>2</v>
      </c>
      <c r="D1385">
        <v>1</v>
      </c>
      <c r="E1385">
        <v>1</v>
      </c>
      <c r="F1385">
        <v>3</v>
      </c>
      <c r="G1385">
        <v>1.5</v>
      </c>
    </row>
    <row r="1386" spans="1:7" x14ac:dyDescent="0.25">
      <c r="A1386">
        <v>5483</v>
      </c>
      <c r="B1386">
        <v>2</v>
      </c>
      <c r="C1386">
        <v>1</v>
      </c>
      <c r="D1386">
        <v>2</v>
      </c>
      <c r="E1386">
        <v>2</v>
      </c>
      <c r="F1386">
        <v>2</v>
      </c>
      <c r="G1386">
        <v>1.75</v>
      </c>
    </row>
    <row r="1387" spans="1:7" x14ac:dyDescent="0.25">
      <c r="A1387">
        <v>5485</v>
      </c>
      <c r="B1387">
        <v>2</v>
      </c>
      <c r="C1387">
        <v>3</v>
      </c>
      <c r="D1387">
        <v>3</v>
      </c>
      <c r="E1387">
        <v>2</v>
      </c>
      <c r="F1387">
        <v>3</v>
      </c>
      <c r="G1387">
        <v>2.5</v>
      </c>
    </row>
    <row r="1388" spans="1:7" x14ac:dyDescent="0.25">
      <c r="A1388">
        <v>5489</v>
      </c>
      <c r="B1388">
        <v>1</v>
      </c>
      <c r="C1388">
        <v>1</v>
      </c>
      <c r="D1388">
        <v>1</v>
      </c>
      <c r="E1388">
        <v>1</v>
      </c>
      <c r="F1388">
        <v>3</v>
      </c>
      <c r="G1388">
        <v>1</v>
      </c>
    </row>
    <row r="1389" spans="1:7" x14ac:dyDescent="0.25">
      <c r="A1389">
        <v>5490</v>
      </c>
      <c r="B1389">
        <v>2</v>
      </c>
      <c r="C1389">
        <v>3</v>
      </c>
      <c r="D1389">
        <v>2</v>
      </c>
      <c r="E1389">
        <v>3</v>
      </c>
      <c r="F1389">
        <v>3</v>
      </c>
      <c r="G1389">
        <v>2.5</v>
      </c>
    </row>
    <row r="1390" spans="1:7" x14ac:dyDescent="0.25">
      <c r="A1390">
        <v>5491</v>
      </c>
      <c r="B1390">
        <v>2</v>
      </c>
      <c r="C1390">
        <v>1</v>
      </c>
      <c r="D1390">
        <v>1</v>
      </c>
      <c r="E1390">
        <v>1</v>
      </c>
      <c r="F1390">
        <v>3</v>
      </c>
      <c r="G1390">
        <v>1.25</v>
      </c>
    </row>
    <row r="1391" spans="1:7" x14ac:dyDescent="0.25">
      <c r="A1391">
        <v>5492</v>
      </c>
      <c r="B1391">
        <v>1</v>
      </c>
      <c r="C1391">
        <v>1</v>
      </c>
      <c r="D1391">
        <v>0</v>
      </c>
      <c r="E1391">
        <v>1</v>
      </c>
      <c r="F1391">
        <v>3</v>
      </c>
      <c r="G1391">
        <v>0.75</v>
      </c>
    </row>
    <row r="1392" spans="1:7" x14ac:dyDescent="0.25">
      <c r="A1392">
        <v>5493</v>
      </c>
      <c r="B1392">
        <v>1</v>
      </c>
      <c r="C1392">
        <v>2</v>
      </c>
      <c r="D1392">
        <v>1</v>
      </c>
      <c r="E1392">
        <v>1</v>
      </c>
      <c r="F1392">
        <v>2</v>
      </c>
      <c r="G1392">
        <v>1.25</v>
      </c>
    </row>
    <row r="1393" spans="1:7" x14ac:dyDescent="0.25">
      <c r="A1393">
        <v>5494</v>
      </c>
      <c r="B1393">
        <v>1</v>
      </c>
      <c r="C1393">
        <v>2</v>
      </c>
      <c r="D1393">
        <v>3</v>
      </c>
      <c r="E1393">
        <v>1</v>
      </c>
      <c r="F1393">
        <v>3</v>
      </c>
      <c r="G1393">
        <v>1.75</v>
      </c>
    </row>
    <row r="1394" spans="1:7" x14ac:dyDescent="0.25">
      <c r="A1394">
        <v>5496</v>
      </c>
      <c r="B1394">
        <v>2</v>
      </c>
      <c r="C1394">
        <v>2</v>
      </c>
      <c r="D1394">
        <v>2</v>
      </c>
      <c r="E1394">
        <v>3</v>
      </c>
      <c r="F1394">
        <v>4</v>
      </c>
      <c r="G1394">
        <v>2.25</v>
      </c>
    </row>
    <row r="1395" spans="1:7" x14ac:dyDescent="0.25">
      <c r="A1395">
        <v>5499</v>
      </c>
      <c r="B1395">
        <v>3</v>
      </c>
      <c r="C1395">
        <v>3</v>
      </c>
      <c r="D1395">
        <v>2</v>
      </c>
      <c r="E1395">
        <v>2</v>
      </c>
      <c r="F1395">
        <v>4</v>
      </c>
      <c r="G1395">
        <v>2.5</v>
      </c>
    </row>
    <row r="1396" spans="1:7" x14ac:dyDescent="0.25">
      <c r="A1396">
        <v>5500</v>
      </c>
      <c r="B1396">
        <v>2</v>
      </c>
      <c r="C1396">
        <v>2</v>
      </c>
      <c r="D1396">
        <v>2</v>
      </c>
      <c r="E1396">
        <v>2</v>
      </c>
      <c r="F1396">
        <v>2</v>
      </c>
      <c r="G1396">
        <v>2</v>
      </c>
    </row>
    <row r="1397" spans="1:7" x14ac:dyDescent="0.25">
      <c r="A1397">
        <v>5501</v>
      </c>
      <c r="B1397">
        <v>2</v>
      </c>
      <c r="C1397">
        <v>2</v>
      </c>
      <c r="D1397">
        <v>2</v>
      </c>
      <c r="E1397">
        <v>2</v>
      </c>
      <c r="F1397">
        <v>3</v>
      </c>
      <c r="G1397">
        <v>2</v>
      </c>
    </row>
    <row r="1398" spans="1:7" x14ac:dyDescent="0.25">
      <c r="A1398">
        <v>5503</v>
      </c>
      <c r="B1398">
        <v>2</v>
      </c>
      <c r="C1398">
        <v>1</v>
      </c>
      <c r="D1398">
        <v>1</v>
      </c>
      <c r="E1398">
        <v>1</v>
      </c>
      <c r="F1398">
        <v>3</v>
      </c>
      <c r="G1398">
        <v>1.25</v>
      </c>
    </row>
    <row r="1399" spans="1:7" x14ac:dyDescent="0.25">
      <c r="A1399">
        <v>5504</v>
      </c>
      <c r="B1399">
        <v>1</v>
      </c>
      <c r="C1399">
        <v>2</v>
      </c>
      <c r="D1399">
        <v>2</v>
      </c>
      <c r="E1399">
        <v>2</v>
      </c>
      <c r="F1399">
        <v>4</v>
      </c>
      <c r="G1399">
        <v>1.75</v>
      </c>
    </row>
    <row r="1400" spans="1:7" x14ac:dyDescent="0.25">
      <c r="A1400">
        <v>5505</v>
      </c>
      <c r="B1400">
        <v>2</v>
      </c>
      <c r="C1400">
        <v>1</v>
      </c>
      <c r="D1400">
        <v>1</v>
      </c>
      <c r="E1400">
        <v>1</v>
      </c>
      <c r="F1400">
        <v>2</v>
      </c>
      <c r="G1400">
        <v>1.25</v>
      </c>
    </row>
    <row r="1401" spans="1:7" x14ac:dyDescent="0.25">
      <c r="A1401">
        <v>5506</v>
      </c>
      <c r="B1401">
        <v>2</v>
      </c>
      <c r="C1401">
        <v>2</v>
      </c>
      <c r="D1401">
        <v>2</v>
      </c>
      <c r="E1401">
        <v>3</v>
      </c>
      <c r="F1401">
        <v>4</v>
      </c>
      <c r="G1401">
        <v>2.25</v>
      </c>
    </row>
    <row r="1402" spans="1:7" x14ac:dyDescent="0.25">
      <c r="A1402">
        <v>5507</v>
      </c>
      <c r="B1402">
        <v>1</v>
      </c>
      <c r="C1402">
        <v>1</v>
      </c>
      <c r="D1402">
        <v>1</v>
      </c>
      <c r="E1402">
        <v>1</v>
      </c>
      <c r="F1402">
        <v>3</v>
      </c>
      <c r="G1402">
        <v>1</v>
      </c>
    </row>
    <row r="1403" spans="1:7" x14ac:dyDescent="0.25">
      <c r="A1403">
        <v>5508</v>
      </c>
      <c r="B1403">
        <v>1</v>
      </c>
      <c r="C1403">
        <v>1</v>
      </c>
      <c r="D1403">
        <v>2</v>
      </c>
      <c r="E1403">
        <v>2</v>
      </c>
      <c r="F1403">
        <v>4</v>
      </c>
      <c r="G1403">
        <v>1.5</v>
      </c>
    </row>
    <row r="1404" spans="1:7" x14ac:dyDescent="0.25">
      <c r="A1404">
        <v>5509</v>
      </c>
      <c r="B1404">
        <v>1</v>
      </c>
      <c r="C1404">
        <v>1</v>
      </c>
      <c r="D1404">
        <v>1</v>
      </c>
      <c r="E1404">
        <v>1</v>
      </c>
      <c r="F1404">
        <v>3</v>
      </c>
      <c r="G1404">
        <v>1</v>
      </c>
    </row>
    <row r="1405" spans="1:7" x14ac:dyDescent="0.25">
      <c r="A1405">
        <v>5510</v>
      </c>
      <c r="B1405">
        <v>1</v>
      </c>
      <c r="C1405">
        <v>1</v>
      </c>
      <c r="D1405">
        <v>2</v>
      </c>
      <c r="E1405">
        <v>1</v>
      </c>
      <c r="F1405">
        <v>3</v>
      </c>
      <c r="G1405">
        <v>1.25</v>
      </c>
    </row>
    <row r="1406" spans="1:7" x14ac:dyDescent="0.25">
      <c r="A1406">
        <v>5511</v>
      </c>
      <c r="B1406">
        <v>2</v>
      </c>
      <c r="C1406">
        <v>2</v>
      </c>
      <c r="D1406">
        <v>1</v>
      </c>
      <c r="E1406">
        <v>1</v>
      </c>
      <c r="F1406">
        <v>4</v>
      </c>
      <c r="G1406">
        <v>1.5</v>
      </c>
    </row>
    <row r="1407" spans="1:7" x14ac:dyDescent="0.25">
      <c r="A1407">
        <v>5513</v>
      </c>
      <c r="B1407">
        <v>2</v>
      </c>
      <c r="C1407">
        <v>2</v>
      </c>
      <c r="D1407">
        <v>2</v>
      </c>
      <c r="E1407">
        <v>3</v>
      </c>
      <c r="F1407">
        <v>2</v>
      </c>
      <c r="G1407">
        <v>2.25</v>
      </c>
    </row>
    <row r="1408" spans="1:7" x14ac:dyDescent="0.25">
      <c r="A1408">
        <v>5514</v>
      </c>
      <c r="B1408">
        <v>2</v>
      </c>
      <c r="C1408">
        <v>2</v>
      </c>
      <c r="D1408">
        <v>1</v>
      </c>
      <c r="E1408">
        <v>1</v>
      </c>
      <c r="F1408">
        <v>3</v>
      </c>
      <c r="G1408">
        <v>1.5</v>
      </c>
    </row>
    <row r="1409" spans="1:7" x14ac:dyDescent="0.25">
      <c r="A1409">
        <v>5515</v>
      </c>
      <c r="B1409">
        <v>1</v>
      </c>
      <c r="C1409">
        <v>1</v>
      </c>
      <c r="D1409">
        <v>2</v>
      </c>
      <c r="E1409">
        <v>3</v>
      </c>
      <c r="F1409">
        <v>3</v>
      </c>
      <c r="G1409">
        <v>1.75</v>
      </c>
    </row>
    <row r="1410" spans="1:7" x14ac:dyDescent="0.25">
      <c r="A1410">
        <v>5516</v>
      </c>
      <c r="B1410">
        <v>3</v>
      </c>
      <c r="C1410">
        <v>2</v>
      </c>
      <c r="D1410">
        <v>2</v>
      </c>
      <c r="E1410">
        <v>1</v>
      </c>
      <c r="F1410">
        <v>3</v>
      </c>
      <c r="G1410">
        <v>2</v>
      </c>
    </row>
    <row r="1411" spans="1:7" x14ac:dyDescent="0.25">
      <c r="A1411">
        <v>5518</v>
      </c>
      <c r="B1411">
        <v>2</v>
      </c>
      <c r="C1411">
        <v>1</v>
      </c>
      <c r="D1411">
        <v>1</v>
      </c>
      <c r="E1411">
        <v>1</v>
      </c>
      <c r="F1411">
        <v>3</v>
      </c>
      <c r="G1411">
        <v>1.25</v>
      </c>
    </row>
    <row r="1412" spans="1:7" x14ac:dyDescent="0.25">
      <c r="A1412">
        <v>5519</v>
      </c>
      <c r="B1412">
        <v>1</v>
      </c>
      <c r="C1412">
        <v>1</v>
      </c>
      <c r="D1412">
        <v>1</v>
      </c>
      <c r="E1412">
        <v>1</v>
      </c>
      <c r="F1412">
        <v>3</v>
      </c>
      <c r="G1412">
        <v>1</v>
      </c>
    </row>
    <row r="1413" spans="1:7" x14ac:dyDescent="0.25">
      <c r="A1413">
        <v>5520</v>
      </c>
      <c r="B1413">
        <v>2</v>
      </c>
      <c r="C1413">
        <v>1</v>
      </c>
      <c r="D1413">
        <v>1</v>
      </c>
      <c r="E1413">
        <v>1</v>
      </c>
      <c r="F1413">
        <v>2</v>
      </c>
      <c r="G1413">
        <v>1.25</v>
      </c>
    </row>
    <row r="1414" spans="1:7" x14ac:dyDescent="0.25">
      <c r="A1414">
        <v>5521</v>
      </c>
      <c r="B1414">
        <v>2</v>
      </c>
      <c r="C1414">
        <v>3</v>
      </c>
      <c r="D1414">
        <v>2</v>
      </c>
      <c r="E1414">
        <v>1</v>
      </c>
      <c r="F1414">
        <v>4</v>
      </c>
      <c r="G1414">
        <v>2</v>
      </c>
    </row>
    <row r="1415" spans="1:7" x14ac:dyDescent="0.25">
      <c r="A1415">
        <v>5523</v>
      </c>
      <c r="B1415">
        <v>1</v>
      </c>
      <c r="C1415">
        <v>1</v>
      </c>
      <c r="D1415">
        <v>2</v>
      </c>
      <c r="E1415">
        <v>1</v>
      </c>
      <c r="F1415">
        <v>2</v>
      </c>
      <c r="G1415">
        <v>1.25</v>
      </c>
    </row>
    <row r="1416" spans="1:7" x14ac:dyDescent="0.25">
      <c r="A1416">
        <v>5524</v>
      </c>
      <c r="B1416">
        <v>2</v>
      </c>
      <c r="C1416">
        <v>1</v>
      </c>
      <c r="D1416">
        <v>1</v>
      </c>
      <c r="E1416">
        <v>1</v>
      </c>
      <c r="F1416">
        <v>2</v>
      </c>
      <c r="G1416">
        <v>1.25</v>
      </c>
    </row>
    <row r="1417" spans="1:7" x14ac:dyDescent="0.25">
      <c r="A1417">
        <v>5525</v>
      </c>
      <c r="B1417">
        <v>1</v>
      </c>
      <c r="C1417">
        <v>1</v>
      </c>
      <c r="D1417">
        <v>1</v>
      </c>
      <c r="E1417">
        <v>1</v>
      </c>
      <c r="F1417">
        <v>3</v>
      </c>
      <c r="G1417">
        <v>1</v>
      </c>
    </row>
    <row r="1418" spans="1:7" x14ac:dyDescent="0.25">
      <c r="A1418">
        <v>5526</v>
      </c>
      <c r="B1418">
        <v>2</v>
      </c>
      <c r="C1418">
        <v>2</v>
      </c>
      <c r="D1418">
        <v>3</v>
      </c>
      <c r="E1418">
        <v>2</v>
      </c>
      <c r="F1418">
        <v>2</v>
      </c>
      <c r="G1418">
        <v>2.25</v>
      </c>
    </row>
    <row r="1419" spans="1:7" x14ac:dyDescent="0.25">
      <c r="A1419">
        <v>5528</v>
      </c>
      <c r="B1419">
        <v>2</v>
      </c>
      <c r="C1419">
        <v>2</v>
      </c>
      <c r="D1419">
        <v>3</v>
      </c>
      <c r="E1419">
        <v>2</v>
      </c>
      <c r="F1419">
        <v>2</v>
      </c>
      <c r="G1419">
        <v>2.25</v>
      </c>
    </row>
    <row r="1420" spans="1:7" x14ac:dyDescent="0.25">
      <c r="A1420">
        <v>5529</v>
      </c>
      <c r="B1420">
        <v>2</v>
      </c>
      <c r="C1420">
        <v>2</v>
      </c>
      <c r="D1420">
        <v>1</v>
      </c>
      <c r="E1420">
        <v>2</v>
      </c>
      <c r="F1420">
        <v>2</v>
      </c>
      <c r="G1420">
        <v>1.75</v>
      </c>
    </row>
    <row r="1421" spans="1:7" x14ac:dyDescent="0.25">
      <c r="A1421">
        <v>5532</v>
      </c>
      <c r="B1421">
        <v>1</v>
      </c>
      <c r="C1421">
        <v>1</v>
      </c>
      <c r="D1421">
        <v>2</v>
      </c>
      <c r="E1421">
        <v>2</v>
      </c>
      <c r="F1421">
        <v>3</v>
      </c>
      <c r="G1421">
        <v>1.5</v>
      </c>
    </row>
    <row r="1422" spans="1:7" x14ac:dyDescent="0.25">
      <c r="A1422">
        <v>5533</v>
      </c>
      <c r="B1422">
        <v>2</v>
      </c>
      <c r="C1422">
        <v>3</v>
      </c>
      <c r="D1422">
        <v>2</v>
      </c>
      <c r="E1422">
        <v>3</v>
      </c>
      <c r="F1422">
        <v>3</v>
      </c>
      <c r="G1422">
        <v>2.5</v>
      </c>
    </row>
    <row r="1423" spans="1:7" x14ac:dyDescent="0.25">
      <c r="A1423">
        <v>5534</v>
      </c>
      <c r="B1423">
        <v>1</v>
      </c>
      <c r="C1423">
        <v>2</v>
      </c>
      <c r="D1423">
        <v>1</v>
      </c>
      <c r="E1423">
        <v>1</v>
      </c>
      <c r="F1423">
        <v>2</v>
      </c>
      <c r="G1423">
        <v>1.25</v>
      </c>
    </row>
    <row r="1424" spans="1:7" x14ac:dyDescent="0.25">
      <c r="A1424">
        <v>5535</v>
      </c>
      <c r="B1424">
        <v>2</v>
      </c>
      <c r="C1424">
        <v>2</v>
      </c>
      <c r="D1424">
        <v>1</v>
      </c>
      <c r="E1424">
        <v>1</v>
      </c>
      <c r="F1424">
        <v>2</v>
      </c>
      <c r="G1424">
        <v>1.5</v>
      </c>
    </row>
    <row r="1425" spans="1:7" x14ac:dyDescent="0.25">
      <c r="A1425">
        <v>5536</v>
      </c>
      <c r="B1425">
        <v>1</v>
      </c>
      <c r="C1425">
        <v>2</v>
      </c>
      <c r="D1425">
        <v>1</v>
      </c>
      <c r="E1425">
        <v>1</v>
      </c>
      <c r="F1425">
        <v>4</v>
      </c>
      <c r="G1425">
        <v>1.25</v>
      </c>
    </row>
    <row r="1426" spans="1:7" x14ac:dyDescent="0.25">
      <c r="A1426">
        <v>5537</v>
      </c>
      <c r="B1426">
        <v>2</v>
      </c>
      <c r="C1426">
        <v>2</v>
      </c>
      <c r="D1426">
        <v>1</v>
      </c>
      <c r="E1426">
        <v>1</v>
      </c>
      <c r="F1426">
        <v>2</v>
      </c>
      <c r="G1426">
        <v>1.5</v>
      </c>
    </row>
    <row r="1427" spans="1:7" x14ac:dyDescent="0.25">
      <c r="A1427">
        <v>5543</v>
      </c>
      <c r="B1427">
        <v>1</v>
      </c>
      <c r="C1427">
        <v>1</v>
      </c>
      <c r="D1427">
        <v>2</v>
      </c>
      <c r="E1427">
        <v>1</v>
      </c>
      <c r="F1427">
        <v>3</v>
      </c>
      <c r="G1427">
        <v>1.25</v>
      </c>
    </row>
    <row r="1428" spans="1:7" x14ac:dyDescent="0.25">
      <c r="A1428">
        <v>5549</v>
      </c>
      <c r="B1428">
        <v>2</v>
      </c>
      <c r="C1428">
        <v>2</v>
      </c>
      <c r="D1428">
        <v>1</v>
      </c>
      <c r="E1428">
        <v>2</v>
      </c>
      <c r="F1428">
        <v>3</v>
      </c>
      <c r="G1428">
        <v>1.75</v>
      </c>
    </row>
    <row r="1429" spans="1:7" x14ac:dyDescent="0.25">
      <c r="A1429">
        <v>5550</v>
      </c>
      <c r="B1429">
        <v>1</v>
      </c>
      <c r="C1429">
        <v>1</v>
      </c>
      <c r="D1429">
        <v>2</v>
      </c>
      <c r="E1429">
        <v>2</v>
      </c>
      <c r="F1429">
        <v>4</v>
      </c>
      <c r="G1429">
        <v>1.5</v>
      </c>
    </row>
    <row r="1430" spans="1:7" x14ac:dyDescent="0.25">
      <c r="A1430">
        <v>5551</v>
      </c>
      <c r="B1430">
        <v>1</v>
      </c>
      <c r="C1430">
        <v>1</v>
      </c>
      <c r="D1430">
        <v>1</v>
      </c>
      <c r="E1430">
        <v>1</v>
      </c>
      <c r="F1430">
        <v>3</v>
      </c>
      <c r="G1430">
        <v>1</v>
      </c>
    </row>
    <row r="1431" spans="1:7" x14ac:dyDescent="0.25">
      <c r="A1431">
        <v>5552</v>
      </c>
      <c r="B1431">
        <v>2</v>
      </c>
      <c r="C1431">
        <v>2</v>
      </c>
      <c r="D1431">
        <v>2</v>
      </c>
      <c r="E1431">
        <v>3</v>
      </c>
      <c r="F1431">
        <v>2</v>
      </c>
      <c r="G1431">
        <v>2.25</v>
      </c>
    </row>
    <row r="1432" spans="1:7" x14ac:dyDescent="0.25">
      <c r="A1432">
        <v>5553</v>
      </c>
      <c r="B1432">
        <v>1</v>
      </c>
      <c r="C1432">
        <v>1</v>
      </c>
      <c r="D1432">
        <v>1</v>
      </c>
      <c r="E1432">
        <v>1</v>
      </c>
      <c r="F1432">
        <v>4</v>
      </c>
      <c r="G1432">
        <v>1</v>
      </c>
    </row>
    <row r="1433" spans="1:7" x14ac:dyDescent="0.25">
      <c r="A1433">
        <v>5554</v>
      </c>
      <c r="B1433">
        <v>2</v>
      </c>
      <c r="C1433">
        <v>1</v>
      </c>
      <c r="D1433">
        <v>2</v>
      </c>
      <c r="E1433">
        <v>2</v>
      </c>
      <c r="F1433">
        <v>3</v>
      </c>
      <c r="G1433">
        <v>1.75</v>
      </c>
    </row>
    <row r="1434" spans="1:7" x14ac:dyDescent="0.25">
      <c r="A1434">
        <v>5555</v>
      </c>
      <c r="B1434">
        <v>2</v>
      </c>
      <c r="C1434">
        <v>2</v>
      </c>
      <c r="D1434">
        <v>1</v>
      </c>
      <c r="E1434">
        <v>1</v>
      </c>
      <c r="F1434">
        <v>2</v>
      </c>
      <c r="G1434">
        <v>1.5</v>
      </c>
    </row>
    <row r="1435" spans="1:7" x14ac:dyDescent="0.25">
      <c r="A1435">
        <v>5556</v>
      </c>
      <c r="B1435">
        <v>1</v>
      </c>
      <c r="C1435">
        <v>1</v>
      </c>
      <c r="D1435">
        <v>1</v>
      </c>
      <c r="E1435">
        <v>1</v>
      </c>
      <c r="F1435">
        <v>3</v>
      </c>
      <c r="G1435">
        <v>1</v>
      </c>
    </row>
    <row r="1436" spans="1:7" x14ac:dyDescent="0.25">
      <c r="A1436">
        <v>5558</v>
      </c>
      <c r="B1436">
        <v>2</v>
      </c>
      <c r="C1436">
        <v>1</v>
      </c>
      <c r="D1436">
        <v>2</v>
      </c>
      <c r="E1436">
        <v>1</v>
      </c>
      <c r="F1436">
        <v>3</v>
      </c>
      <c r="G1436">
        <v>1.5</v>
      </c>
    </row>
    <row r="1437" spans="1:7" x14ac:dyDescent="0.25">
      <c r="A1437">
        <v>5559</v>
      </c>
      <c r="B1437">
        <v>3</v>
      </c>
      <c r="C1437">
        <v>2</v>
      </c>
      <c r="D1437">
        <v>1</v>
      </c>
      <c r="E1437">
        <v>1</v>
      </c>
      <c r="F1437">
        <v>3</v>
      </c>
      <c r="G1437">
        <v>1.75</v>
      </c>
    </row>
    <row r="1438" spans="1:7" x14ac:dyDescent="0.25">
      <c r="A1438">
        <v>5560</v>
      </c>
      <c r="B1438">
        <v>2</v>
      </c>
      <c r="C1438">
        <v>1</v>
      </c>
      <c r="D1438">
        <v>1</v>
      </c>
      <c r="E1438">
        <v>1</v>
      </c>
      <c r="F1438">
        <v>4</v>
      </c>
      <c r="G1438">
        <v>1.25</v>
      </c>
    </row>
    <row r="1439" spans="1:7" x14ac:dyDescent="0.25">
      <c r="A1439">
        <v>5561</v>
      </c>
      <c r="B1439">
        <v>2</v>
      </c>
      <c r="C1439">
        <v>3</v>
      </c>
      <c r="D1439">
        <v>3</v>
      </c>
      <c r="E1439">
        <v>2</v>
      </c>
      <c r="F1439">
        <v>2</v>
      </c>
      <c r="G1439">
        <v>2.5</v>
      </c>
    </row>
    <row r="1440" spans="1:7" x14ac:dyDescent="0.25">
      <c r="A1440">
        <v>5562</v>
      </c>
      <c r="B1440">
        <v>2</v>
      </c>
      <c r="C1440">
        <v>1</v>
      </c>
      <c r="D1440">
        <v>2</v>
      </c>
      <c r="E1440">
        <v>1</v>
      </c>
      <c r="F1440">
        <v>2</v>
      </c>
      <c r="G1440">
        <v>1.5</v>
      </c>
    </row>
    <row r="1441" spans="1:7" x14ac:dyDescent="0.25">
      <c r="A1441">
        <v>5563</v>
      </c>
      <c r="B1441">
        <v>1</v>
      </c>
      <c r="C1441">
        <v>1</v>
      </c>
      <c r="D1441">
        <v>1</v>
      </c>
      <c r="E1441">
        <v>1</v>
      </c>
      <c r="F1441">
        <v>2</v>
      </c>
      <c r="G1441">
        <v>1</v>
      </c>
    </row>
    <row r="1442" spans="1:7" x14ac:dyDescent="0.25">
      <c r="A1442">
        <v>5564</v>
      </c>
      <c r="B1442">
        <v>2</v>
      </c>
      <c r="C1442">
        <v>2</v>
      </c>
      <c r="D1442">
        <v>1</v>
      </c>
      <c r="E1442">
        <v>1</v>
      </c>
      <c r="F1442">
        <v>2</v>
      </c>
      <c r="G1442">
        <v>1.5</v>
      </c>
    </row>
    <row r="1443" spans="1:7" x14ac:dyDescent="0.25">
      <c r="A1443">
        <v>5566</v>
      </c>
      <c r="B1443">
        <v>2</v>
      </c>
      <c r="C1443">
        <v>1</v>
      </c>
      <c r="D1443">
        <v>3</v>
      </c>
      <c r="E1443">
        <v>2</v>
      </c>
      <c r="F1443">
        <v>4</v>
      </c>
      <c r="G1443">
        <v>2</v>
      </c>
    </row>
    <row r="1444" spans="1:7" x14ac:dyDescent="0.25">
      <c r="A1444">
        <v>5567</v>
      </c>
      <c r="B1444">
        <v>2</v>
      </c>
      <c r="C1444">
        <v>2</v>
      </c>
      <c r="D1444">
        <v>3</v>
      </c>
      <c r="E1444">
        <v>2</v>
      </c>
      <c r="F1444">
        <v>4</v>
      </c>
      <c r="G1444">
        <v>2.25</v>
      </c>
    </row>
    <row r="1445" spans="1:7" x14ac:dyDescent="0.25">
      <c r="A1445">
        <v>5570</v>
      </c>
      <c r="B1445">
        <v>2</v>
      </c>
      <c r="C1445">
        <v>2</v>
      </c>
      <c r="D1445">
        <v>1</v>
      </c>
      <c r="E1445">
        <v>1</v>
      </c>
      <c r="F1445">
        <v>3</v>
      </c>
      <c r="G1445">
        <v>1.5</v>
      </c>
    </row>
    <row r="1446" spans="1:7" x14ac:dyDescent="0.25">
      <c r="A1446">
        <v>5571</v>
      </c>
      <c r="B1446">
        <v>2</v>
      </c>
      <c r="C1446">
        <v>2</v>
      </c>
      <c r="D1446">
        <v>2</v>
      </c>
      <c r="E1446">
        <v>2</v>
      </c>
      <c r="F1446">
        <v>4</v>
      </c>
      <c r="G1446">
        <v>2</v>
      </c>
    </row>
    <row r="1447" spans="1:7" x14ac:dyDescent="0.25">
      <c r="A1447">
        <v>5572</v>
      </c>
      <c r="B1447">
        <v>1</v>
      </c>
      <c r="C1447">
        <v>1</v>
      </c>
      <c r="D1447">
        <v>2</v>
      </c>
      <c r="E1447">
        <v>1</v>
      </c>
      <c r="F1447">
        <v>2</v>
      </c>
      <c r="G1447">
        <v>1.25</v>
      </c>
    </row>
    <row r="1448" spans="1:7" x14ac:dyDescent="0.25">
      <c r="A1448">
        <v>5573</v>
      </c>
      <c r="B1448">
        <v>2</v>
      </c>
      <c r="C1448">
        <v>2</v>
      </c>
      <c r="D1448">
        <v>2</v>
      </c>
      <c r="E1448">
        <v>2</v>
      </c>
      <c r="F1448">
        <v>3</v>
      </c>
      <c r="G1448">
        <v>2</v>
      </c>
    </row>
    <row r="1449" spans="1:7" x14ac:dyDescent="0.25">
      <c r="A1449">
        <v>5574</v>
      </c>
      <c r="B1449">
        <v>1</v>
      </c>
      <c r="C1449">
        <v>2</v>
      </c>
      <c r="D1449">
        <v>2</v>
      </c>
      <c r="E1449">
        <v>2</v>
      </c>
      <c r="F1449">
        <v>3</v>
      </c>
      <c r="G1449">
        <v>1.75</v>
      </c>
    </row>
    <row r="1450" spans="1:7" x14ac:dyDescent="0.25">
      <c r="A1450">
        <v>5576</v>
      </c>
      <c r="B1450">
        <v>1</v>
      </c>
      <c r="C1450">
        <v>1</v>
      </c>
      <c r="D1450">
        <v>1</v>
      </c>
      <c r="E1450">
        <v>1</v>
      </c>
      <c r="F1450">
        <v>3</v>
      </c>
      <c r="G1450">
        <v>1</v>
      </c>
    </row>
    <row r="1451" spans="1:7" x14ac:dyDescent="0.25">
      <c r="A1451">
        <v>5578</v>
      </c>
      <c r="B1451">
        <v>2</v>
      </c>
      <c r="C1451">
        <v>1</v>
      </c>
      <c r="D1451">
        <v>1</v>
      </c>
      <c r="E1451">
        <v>2</v>
      </c>
      <c r="F1451">
        <v>2</v>
      </c>
      <c r="G1451">
        <v>1.5</v>
      </c>
    </row>
    <row r="1452" spans="1:7" x14ac:dyDescent="0.25">
      <c r="A1452">
        <v>5579</v>
      </c>
      <c r="B1452">
        <v>3</v>
      </c>
      <c r="C1452">
        <v>2</v>
      </c>
      <c r="D1452">
        <v>2</v>
      </c>
      <c r="E1452">
        <v>1</v>
      </c>
      <c r="F1452">
        <v>3</v>
      </c>
      <c r="G1452">
        <v>2</v>
      </c>
    </row>
    <row r="1453" spans="1:7" x14ac:dyDescent="0.25">
      <c r="A1453">
        <v>5580</v>
      </c>
      <c r="B1453">
        <v>2</v>
      </c>
      <c r="C1453">
        <v>2</v>
      </c>
      <c r="D1453">
        <v>1</v>
      </c>
      <c r="E1453">
        <v>2</v>
      </c>
      <c r="F1453">
        <v>2</v>
      </c>
      <c r="G1453">
        <v>1.75</v>
      </c>
    </row>
    <row r="1454" spans="1:7" x14ac:dyDescent="0.25">
      <c r="A1454">
        <v>5581</v>
      </c>
      <c r="B1454">
        <v>1</v>
      </c>
      <c r="C1454">
        <v>1</v>
      </c>
      <c r="D1454">
        <v>1</v>
      </c>
      <c r="E1454">
        <v>1</v>
      </c>
      <c r="F1454">
        <v>3</v>
      </c>
      <c r="G1454">
        <v>1</v>
      </c>
    </row>
    <row r="1455" spans="1:7" x14ac:dyDescent="0.25">
      <c r="A1455">
        <v>5583</v>
      </c>
      <c r="B1455">
        <v>1</v>
      </c>
      <c r="C1455">
        <v>2</v>
      </c>
      <c r="D1455">
        <v>2</v>
      </c>
      <c r="E1455">
        <v>2</v>
      </c>
      <c r="F1455">
        <v>2</v>
      </c>
      <c r="G1455">
        <v>1.75</v>
      </c>
    </row>
    <row r="1456" spans="1:7" x14ac:dyDescent="0.25">
      <c r="A1456">
        <v>5584</v>
      </c>
      <c r="B1456">
        <v>2</v>
      </c>
      <c r="C1456">
        <v>1</v>
      </c>
      <c r="D1456">
        <v>1</v>
      </c>
      <c r="E1456">
        <v>1</v>
      </c>
      <c r="F1456">
        <v>3</v>
      </c>
      <c r="G1456">
        <v>1.25</v>
      </c>
    </row>
    <row r="1457" spans="1:7" x14ac:dyDescent="0.25">
      <c r="A1457">
        <v>5585</v>
      </c>
      <c r="B1457">
        <v>1</v>
      </c>
      <c r="C1457">
        <v>1</v>
      </c>
      <c r="D1457">
        <v>1</v>
      </c>
      <c r="E1457">
        <v>1</v>
      </c>
      <c r="F1457">
        <v>2</v>
      </c>
      <c r="G1457">
        <v>1</v>
      </c>
    </row>
    <row r="1458" spans="1:7" x14ac:dyDescent="0.25">
      <c r="A1458">
        <v>5587</v>
      </c>
      <c r="B1458">
        <v>1</v>
      </c>
      <c r="C1458">
        <v>1</v>
      </c>
      <c r="D1458">
        <v>1</v>
      </c>
      <c r="E1458">
        <v>1</v>
      </c>
      <c r="F1458">
        <v>3</v>
      </c>
      <c r="G1458">
        <v>1</v>
      </c>
    </row>
    <row r="1459" spans="1:7" x14ac:dyDescent="0.25">
      <c r="A1459">
        <v>5589</v>
      </c>
      <c r="B1459">
        <v>1</v>
      </c>
      <c r="C1459">
        <v>1</v>
      </c>
      <c r="D1459">
        <v>1</v>
      </c>
      <c r="E1459">
        <v>1</v>
      </c>
      <c r="F1459">
        <v>2</v>
      </c>
      <c r="G1459">
        <v>1</v>
      </c>
    </row>
    <row r="1460" spans="1:7" x14ac:dyDescent="0.25">
      <c r="A1460">
        <v>5590</v>
      </c>
      <c r="B1460">
        <v>1</v>
      </c>
      <c r="C1460">
        <v>1</v>
      </c>
      <c r="D1460">
        <v>1</v>
      </c>
      <c r="E1460">
        <v>0</v>
      </c>
      <c r="F1460">
        <v>3</v>
      </c>
      <c r="G1460">
        <v>0.75</v>
      </c>
    </row>
    <row r="1461" spans="1:7" x14ac:dyDescent="0.25">
      <c r="A1461">
        <v>5592</v>
      </c>
      <c r="B1461">
        <v>2</v>
      </c>
      <c r="C1461">
        <v>1</v>
      </c>
      <c r="D1461">
        <v>2</v>
      </c>
      <c r="E1461">
        <v>2</v>
      </c>
      <c r="F1461">
        <v>2</v>
      </c>
      <c r="G1461">
        <v>1.75</v>
      </c>
    </row>
    <row r="1462" spans="1:7" x14ac:dyDescent="0.25">
      <c r="A1462">
        <v>5593</v>
      </c>
      <c r="B1462">
        <v>2</v>
      </c>
      <c r="C1462">
        <v>2</v>
      </c>
      <c r="D1462">
        <v>2</v>
      </c>
      <c r="E1462">
        <v>1</v>
      </c>
      <c r="F1462">
        <v>2</v>
      </c>
      <c r="G1462">
        <v>1.75</v>
      </c>
    </row>
    <row r="1463" spans="1:7" x14ac:dyDescent="0.25">
      <c r="A1463">
        <v>5594</v>
      </c>
      <c r="B1463">
        <v>1</v>
      </c>
      <c r="C1463">
        <v>1</v>
      </c>
      <c r="D1463">
        <v>1</v>
      </c>
      <c r="E1463">
        <v>1</v>
      </c>
      <c r="F1463">
        <v>2</v>
      </c>
      <c r="G1463">
        <v>1</v>
      </c>
    </row>
    <row r="1464" spans="1:7" x14ac:dyDescent="0.25">
      <c r="A1464">
        <v>5595</v>
      </c>
      <c r="B1464">
        <v>1</v>
      </c>
      <c r="C1464">
        <v>1</v>
      </c>
      <c r="D1464">
        <v>1</v>
      </c>
      <c r="E1464">
        <v>1</v>
      </c>
      <c r="F1464">
        <v>2</v>
      </c>
      <c r="G1464">
        <v>1</v>
      </c>
    </row>
    <row r="1465" spans="1:7" x14ac:dyDescent="0.25">
      <c r="A1465">
        <v>5596</v>
      </c>
      <c r="B1465">
        <v>1</v>
      </c>
      <c r="C1465">
        <v>1</v>
      </c>
      <c r="D1465">
        <v>1</v>
      </c>
      <c r="E1465">
        <v>1</v>
      </c>
      <c r="F1465">
        <v>3</v>
      </c>
      <c r="G1465">
        <v>1</v>
      </c>
    </row>
    <row r="1466" spans="1:7" x14ac:dyDescent="0.25">
      <c r="A1466">
        <v>5597</v>
      </c>
      <c r="B1466">
        <v>1</v>
      </c>
      <c r="C1466">
        <v>1</v>
      </c>
      <c r="D1466">
        <v>1</v>
      </c>
      <c r="E1466">
        <v>1</v>
      </c>
      <c r="F1466">
        <v>2</v>
      </c>
      <c r="G1466">
        <v>1</v>
      </c>
    </row>
    <row r="1467" spans="1:7" x14ac:dyDescent="0.25">
      <c r="A1467">
        <v>5601</v>
      </c>
      <c r="B1467">
        <v>1</v>
      </c>
      <c r="C1467">
        <v>1</v>
      </c>
      <c r="D1467">
        <v>2</v>
      </c>
      <c r="E1467">
        <v>1</v>
      </c>
      <c r="F1467">
        <v>2</v>
      </c>
      <c r="G1467">
        <v>1.25</v>
      </c>
    </row>
    <row r="1468" spans="1:7" x14ac:dyDescent="0.25">
      <c r="A1468">
        <v>5603</v>
      </c>
      <c r="B1468">
        <v>2</v>
      </c>
      <c r="C1468">
        <v>1</v>
      </c>
      <c r="D1468">
        <v>1</v>
      </c>
      <c r="E1468">
        <v>1</v>
      </c>
      <c r="F1468">
        <v>2</v>
      </c>
      <c r="G1468">
        <v>1.25</v>
      </c>
    </row>
    <row r="1469" spans="1:7" x14ac:dyDescent="0.25">
      <c r="A1469">
        <v>5605</v>
      </c>
      <c r="B1469">
        <v>2</v>
      </c>
      <c r="C1469">
        <v>2</v>
      </c>
      <c r="D1469">
        <v>1</v>
      </c>
      <c r="E1469">
        <v>3</v>
      </c>
      <c r="F1469">
        <v>2</v>
      </c>
      <c r="G1469">
        <v>2</v>
      </c>
    </row>
    <row r="1470" spans="1:7" x14ac:dyDescent="0.25">
      <c r="A1470">
        <v>5607</v>
      </c>
      <c r="B1470">
        <v>1</v>
      </c>
      <c r="C1470">
        <v>2</v>
      </c>
      <c r="D1470">
        <v>2</v>
      </c>
      <c r="E1470">
        <v>1</v>
      </c>
      <c r="F1470">
        <v>3</v>
      </c>
      <c r="G1470">
        <v>1.5</v>
      </c>
    </row>
    <row r="1471" spans="1:7" x14ac:dyDescent="0.25">
      <c r="A1471">
        <v>5608</v>
      </c>
      <c r="B1471">
        <v>1</v>
      </c>
      <c r="C1471">
        <v>1</v>
      </c>
      <c r="D1471">
        <v>2</v>
      </c>
      <c r="E1471">
        <v>2</v>
      </c>
      <c r="F1471">
        <v>3</v>
      </c>
      <c r="G1471">
        <v>1.5</v>
      </c>
    </row>
    <row r="1472" spans="1:7" x14ac:dyDescent="0.25">
      <c r="A1472">
        <v>5609</v>
      </c>
      <c r="B1472">
        <v>1</v>
      </c>
      <c r="C1472">
        <v>2</v>
      </c>
      <c r="D1472">
        <v>1</v>
      </c>
      <c r="E1472">
        <v>1</v>
      </c>
      <c r="F1472">
        <v>3</v>
      </c>
      <c r="G1472">
        <v>1.25</v>
      </c>
    </row>
    <row r="1473" spans="1:7" x14ac:dyDescent="0.25">
      <c r="A1473">
        <v>5610</v>
      </c>
      <c r="B1473">
        <v>1</v>
      </c>
      <c r="C1473">
        <v>1</v>
      </c>
      <c r="D1473">
        <v>1</v>
      </c>
      <c r="E1473">
        <v>1</v>
      </c>
      <c r="F1473">
        <v>3</v>
      </c>
      <c r="G1473">
        <v>1</v>
      </c>
    </row>
    <row r="1474" spans="1:7" x14ac:dyDescent="0.25">
      <c r="A1474">
        <v>5616</v>
      </c>
      <c r="B1474">
        <v>1</v>
      </c>
      <c r="C1474">
        <v>1</v>
      </c>
      <c r="D1474">
        <v>1</v>
      </c>
      <c r="E1474">
        <v>2</v>
      </c>
      <c r="F1474">
        <v>2</v>
      </c>
      <c r="G1474">
        <v>1.25</v>
      </c>
    </row>
    <row r="1475" spans="1:7" x14ac:dyDescent="0.25">
      <c r="A1475">
        <v>5617</v>
      </c>
      <c r="B1475">
        <v>1</v>
      </c>
      <c r="C1475">
        <v>1</v>
      </c>
      <c r="D1475">
        <v>1</v>
      </c>
      <c r="E1475">
        <v>2</v>
      </c>
      <c r="F1475">
        <v>2</v>
      </c>
      <c r="G1475">
        <v>1.25</v>
      </c>
    </row>
    <row r="1476" spans="1:7" x14ac:dyDescent="0.25">
      <c r="A1476">
        <v>5619</v>
      </c>
      <c r="B1476">
        <v>2</v>
      </c>
      <c r="C1476">
        <v>2</v>
      </c>
      <c r="D1476">
        <v>1</v>
      </c>
      <c r="E1476">
        <v>1</v>
      </c>
      <c r="F1476">
        <v>3</v>
      </c>
      <c r="G1476">
        <v>1.5</v>
      </c>
    </row>
    <row r="1477" spans="1:7" x14ac:dyDescent="0.25">
      <c r="A1477">
        <v>5620</v>
      </c>
      <c r="B1477">
        <v>1</v>
      </c>
      <c r="C1477">
        <v>1</v>
      </c>
      <c r="D1477">
        <v>1</v>
      </c>
      <c r="E1477">
        <v>2</v>
      </c>
      <c r="F1477">
        <v>3</v>
      </c>
      <c r="G1477">
        <v>1.25</v>
      </c>
    </row>
    <row r="1478" spans="1:7" x14ac:dyDescent="0.25">
      <c r="A1478">
        <v>5621</v>
      </c>
      <c r="B1478">
        <v>2</v>
      </c>
      <c r="C1478">
        <v>2</v>
      </c>
      <c r="D1478">
        <v>3</v>
      </c>
      <c r="E1478">
        <v>2</v>
      </c>
      <c r="F1478">
        <v>3</v>
      </c>
      <c r="G1478">
        <v>2.25</v>
      </c>
    </row>
    <row r="1479" spans="1:7" x14ac:dyDescent="0.25">
      <c r="A1479">
        <v>5622</v>
      </c>
      <c r="B1479">
        <v>1</v>
      </c>
      <c r="C1479">
        <v>1</v>
      </c>
      <c r="D1479">
        <v>2</v>
      </c>
      <c r="E1479">
        <v>1</v>
      </c>
      <c r="F1479">
        <v>4</v>
      </c>
      <c r="G1479">
        <v>1.25</v>
      </c>
    </row>
    <row r="1480" spans="1:7" x14ac:dyDescent="0.25">
      <c r="A1480">
        <v>5623</v>
      </c>
      <c r="B1480">
        <v>1</v>
      </c>
      <c r="C1480">
        <v>2</v>
      </c>
      <c r="D1480">
        <v>1</v>
      </c>
      <c r="E1480">
        <v>1</v>
      </c>
      <c r="F1480">
        <v>3</v>
      </c>
      <c r="G1480">
        <v>1.25</v>
      </c>
    </row>
    <row r="1481" spans="1:7" x14ac:dyDescent="0.25">
      <c r="A1481">
        <v>5624</v>
      </c>
      <c r="B1481">
        <v>2</v>
      </c>
      <c r="C1481">
        <v>1</v>
      </c>
      <c r="D1481">
        <v>2</v>
      </c>
      <c r="E1481">
        <v>1</v>
      </c>
      <c r="F1481">
        <v>4</v>
      </c>
      <c r="G1481">
        <v>1.5</v>
      </c>
    </row>
    <row r="1482" spans="1:7" x14ac:dyDescent="0.25">
      <c r="A1482">
        <v>5625</v>
      </c>
      <c r="B1482">
        <v>2</v>
      </c>
      <c r="C1482">
        <v>1</v>
      </c>
      <c r="D1482">
        <v>2</v>
      </c>
      <c r="E1482">
        <v>1</v>
      </c>
      <c r="F1482">
        <v>3</v>
      </c>
      <c r="G1482">
        <v>1.5</v>
      </c>
    </row>
    <row r="1483" spans="1:7" x14ac:dyDescent="0.25">
      <c r="A1483">
        <v>5628</v>
      </c>
      <c r="B1483">
        <v>2</v>
      </c>
      <c r="C1483">
        <v>2</v>
      </c>
      <c r="D1483">
        <v>1</v>
      </c>
      <c r="E1483">
        <v>1</v>
      </c>
      <c r="F1483">
        <v>3</v>
      </c>
      <c r="G1483">
        <v>1.5</v>
      </c>
    </row>
    <row r="1484" spans="1:7" x14ac:dyDescent="0.25">
      <c r="A1484">
        <v>5630</v>
      </c>
      <c r="B1484">
        <v>1</v>
      </c>
      <c r="C1484">
        <v>1</v>
      </c>
      <c r="D1484">
        <v>2</v>
      </c>
      <c r="E1484">
        <v>1</v>
      </c>
      <c r="F1484">
        <v>2</v>
      </c>
      <c r="G1484">
        <v>1.25</v>
      </c>
    </row>
    <row r="1485" spans="1:7" x14ac:dyDescent="0.25">
      <c r="A1485">
        <v>5632</v>
      </c>
      <c r="B1485">
        <v>0</v>
      </c>
      <c r="C1485">
        <v>2</v>
      </c>
      <c r="D1485">
        <v>2</v>
      </c>
      <c r="E1485">
        <v>2</v>
      </c>
      <c r="F1485">
        <v>3</v>
      </c>
      <c r="G1485">
        <v>1.5</v>
      </c>
    </row>
    <row r="1486" spans="1:7" x14ac:dyDescent="0.25">
      <c r="A1486">
        <v>5634</v>
      </c>
      <c r="B1486">
        <v>2</v>
      </c>
      <c r="C1486">
        <v>2</v>
      </c>
      <c r="D1486">
        <v>2</v>
      </c>
      <c r="E1486">
        <v>1</v>
      </c>
      <c r="F1486">
        <v>3</v>
      </c>
      <c r="G1486">
        <v>1.75</v>
      </c>
    </row>
    <row r="1487" spans="1:7" x14ac:dyDescent="0.25">
      <c r="A1487">
        <v>5635</v>
      </c>
      <c r="B1487">
        <v>2</v>
      </c>
      <c r="C1487">
        <v>2</v>
      </c>
      <c r="D1487">
        <v>2</v>
      </c>
      <c r="E1487">
        <v>2</v>
      </c>
      <c r="F1487">
        <v>4</v>
      </c>
      <c r="G1487">
        <v>2</v>
      </c>
    </row>
    <row r="1488" spans="1:7" x14ac:dyDescent="0.25">
      <c r="A1488">
        <v>5637</v>
      </c>
      <c r="B1488">
        <v>1</v>
      </c>
      <c r="C1488">
        <v>2</v>
      </c>
      <c r="D1488">
        <v>1</v>
      </c>
      <c r="E1488">
        <v>1</v>
      </c>
      <c r="F1488">
        <v>3</v>
      </c>
      <c r="G1488">
        <v>1.25</v>
      </c>
    </row>
    <row r="1489" spans="1:7" x14ac:dyDescent="0.25">
      <c r="A1489">
        <v>5640</v>
      </c>
      <c r="B1489">
        <v>3</v>
      </c>
      <c r="C1489">
        <v>3</v>
      </c>
      <c r="D1489">
        <v>2</v>
      </c>
      <c r="E1489">
        <v>2</v>
      </c>
      <c r="F1489">
        <v>3</v>
      </c>
      <c r="G1489">
        <v>2.5</v>
      </c>
    </row>
    <row r="1490" spans="1:7" x14ac:dyDescent="0.25">
      <c r="A1490">
        <v>5643</v>
      </c>
      <c r="B1490">
        <v>1</v>
      </c>
      <c r="C1490">
        <v>1</v>
      </c>
      <c r="D1490">
        <v>1</v>
      </c>
      <c r="E1490">
        <v>1</v>
      </c>
      <c r="F1490">
        <v>3</v>
      </c>
      <c r="G1490">
        <v>1</v>
      </c>
    </row>
    <row r="1491" spans="1:7" x14ac:dyDescent="0.25">
      <c r="A1491">
        <v>5644</v>
      </c>
      <c r="B1491">
        <v>2</v>
      </c>
      <c r="C1491">
        <v>1</v>
      </c>
      <c r="D1491">
        <v>1</v>
      </c>
      <c r="E1491">
        <v>2</v>
      </c>
      <c r="F1491">
        <v>2</v>
      </c>
      <c r="G1491">
        <v>1.5</v>
      </c>
    </row>
    <row r="1492" spans="1:7" x14ac:dyDescent="0.25">
      <c r="A1492">
        <v>5645</v>
      </c>
      <c r="B1492">
        <v>1</v>
      </c>
      <c r="C1492">
        <v>1</v>
      </c>
      <c r="D1492">
        <v>1</v>
      </c>
      <c r="E1492">
        <v>1</v>
      </c>
      <c r="F1492">
        <v>2</v>
      </c>
      <c r="G1492">
        <v>1</v>
      </c>
    </row>
    <row r="1493" spans="1:7" x14ac:dyDescent="0.25">
      <c r="A1493">
        <v>5646</v>
      </c>
      <c r="B1493">
        <v>2</v>
      </c>
      <c r="C1493">
        <v>1</v>
      </c>
      <c r="D1493">
        <v>1</v>
      </c>
      <c r="E1493">
        <v>2</v>
      </c>
      <c r="F1493">
        <v>3</v>
      </c>
      <c r="G1493">
        <v>1.5</v>
      </c>
    </row>
    <row r="1494" spans="1:7" x14ac:dyDescent="0.25">
      <c r="A1494">
        <v>5649</v>
      </c>
      <c r="B1494">
        <v>1</v>
      </c>
      <c r="C1494">
        <v>1</v>
      </c>
      <c r="D1494">
        <v>1</v>
      </c>
      <c r="E1494">
        <v>1</v>
      </c>
      <c r="F1494">
        <v>2</v>
      </c>
      <c r="G1494">
        <v>1</v>
      </c>
    </row>
    <row r="1495" spans="1:7" x14ac:dyDescent="0.25">
      <c r="A1495">
        <v>5650</v>
      </c>
      <c r="B1495">
        <v>2</v>
      </c>
      <c r="C1495">
        <v>1</v>
      </c>
      <c r="D1495">
        <v>1</v>
      </c>
      <c r="E1495">
        <v>2</v>
      </c>
      <c r="F1495">
        <v>2</v>
      </c>
      <c r="G1495">
        <v>1.5</v>
      </c>
    </row>
    <row r="1496" spans="1:7" x14ac:dyDescent="0.25">
      <c r="A1496">
        <v>5653</v>
      </c>
      <c r="B1496">
        <v>1</v>
      </c>
      <c r="C1496">
        <v>2</v>
      </c>
      <c r="D1496">
        <v>1</v>
      </c>
      <c r="E1496">
        <v>1</v>
      </c>
      <c r="F1496">
        <v>3</v>
      </c>
      <c r="G1496">
        <v>1.25</v>
      </c>
    </row>
    <row r="1497" spans="1:7" x14ac:dyDescent="0.25">
      <c r="A1497">
        <v>5655</v>
      </c>
      <c r="B1497">
        <v>1</v>
      </c>
      <c r="C1497">
        <v>3</v>
      </c>
      <c r="D1497">
        <v>2</v>
      </c>
      <c r="E1497">
        <v>2</v>
      </c>
      <c r="F1497">
        <v>3</v>
      </c>
      <c r="G1497">
        <v>2</v>
      </c>
    </row>
    <row r="1498" spans="1:7" x14ac:dyDescent="0.25">
      <c r="A1498">
        <v>5657</v>
      </c>
      <c r="B1498">
        <v>2</v>
      </c>
      <c r="C1498">
        <v>1</v>
      </c>
      <c r="D1498">
        <v>2</v>
      </c>
      <c r="E1498">
        <v>1</v>
      </c>
      <c r="F1498">
        <v>3</v>
      </c>
      <c r="G1498">
        <v>1.5</v>
      </c>
    </row>
    <row r="1499" spans="1:7" x14ac:dyDescent="0.25">
      <c r="A1499">
        <v>5660</v>
      </c>
      <c r="B1499">
        <v>1</v>
      </c>
      <c r="C1499">
        <v>1</v>
      </c>
      <c r="D1499">
        <v>2</v>
      </c>
      <c r="E1499">
        <v>2</v>
      </c>
      <c r="F1499">
        <v>3</v>
      </c>
      <c r="G1499">
        <v>1.5</v>
      </c>
    </row>
    <row r="1500" spans="1:7" x14ac:dyDescent="0.25">
      <c r="A1500">
        <v>5661</v>
      </c>
      <c r="B1500">
        <v>2</v>
      </c>
      <c r="C1500">
        <v>2</v>
      </c>
      <c r="D1500">
        <v>2</v>
      </c>
      <c r="E1500">
        <v>1</v>
      </c>
      <c r="F1500">
        <v>3</v>
      </c>
      <c r="G1500">
        <v>1.75</v>
      </c>
    </row>
    <row r="1501" spans="1:7" x14ac:dyDescent="0.25">
      <c r="A1501">
        <v>5665</v>
      </c>
      <c r="B1501">
        <v>2</v>
      </c>
      <c r="C1501">
        <v>1</v>
      </c>
      <c r="D1501">
        <v>1</v>
      </c>
      <c r="E1501">
        <v>1</v>
      </c>
      <c r="F1501">
        <v>3</v>
      </c>
      <c r="G1501">
        <v>1.25</v>
      </c>
    </row>
    <row r="1502" spans="1:7" x14ac:dyDescent="0.25">
      <c r="A1502">
        <v>5666</v>
      </c>
      <c r="B1502">
        <v>2</v>
      </c>
      <c r="C1502">
        <v>1</v>
      </c>
      <c r="D1502">
        <v>1</v>
      </c>
      <c r="E1502">
        <v>1</v>
      </c>
      <c r="F1502">
        <v>2</v>
      </c>
      <c r="G1502">
        <v>1.25</v>
      </c>
    </row>
    <row r="1503" spans="1:7" x14ac:dyDescent="0.25">
      <c r="A1503">
        <v>5668</v>
      </c>
      <c r="B1503">
        <v>1</v>
      </c>
      <c r="C1503">
        <v>1</v>
      </c>
      <c r="D1503">
        <v>1</v>
      </c>
      <c r="E1503">
        <v>2</v>
      </c>
      <c r="F1503">
        <v>3</v>
      </c>
      <c r="G1503">
        <v>1.25</v>
      </c>
    </row>
    <row r="1504" spans="1:7" x14ac:dyDescent="0.25">
      <c r="A1504">
        <v>5671</v>
      </c>
      <c r="B1504">
        <v>1</v>
      </c>
      <c r="C1504">
        <v>2</v>
      </c>
      <c r="D1504">
        <v>1</v>
      </c>
      <c r="E1504">
        <v>1</v>
      </c>
      <c r="F1504">
        <v>3</v>
      </c>
      <c r="G1504">
        <v>1.25</v>
      </c>
    </row>
    <row r="1505" spans="1:7" x14ac:dyDescent="0.25">
      <c r="A1505">
        <v>5674</v>
      </c>
      <c r="B1505">
        <v>1</v>
      </c>
      <c r="C1505">
        <v>1</v>
      </c>
      <c r="D1505">
        <v>1</v>
      </c>
      <c r="E1505">
        <v>1</v>
      </c>
      <c r="F1505">
        <v>3</v>
      </c>
      <c r="G1505">
        <v>1</v>
      </c>
    </row>
    <row r="1506" spans="1:7" x14ac:dyDescent="0.25">
      <c r="A1506">
        <v>5676</v>
      </c>
      <c r="B1506">
        <v>1</v>
      </c>
      <c r="C1506">
        <v>1</v>
      </c>
      <c r="D1506">
        <v>1</v>
      </c>
      <c r="E1506">
        <v>1</v>
      </c>
      <c r="F1506">
        <v>2</v>
      </c>
      <c r="G1506">
        <v>1</v>
      </c>
    </row>
    <row r="1507" spans="1:7" x14ac:dyDescent="0.25">
      <c r="A1507">
        <v>5678</v>
      </c>
      <c r="B1507">
        <v>1</v>
      </c>
      <c r="C1507">
        <v>2</v>
      </c>
      <c r="D1507">
        <v>2</v>
      </c>
      <c r="E1507">
        <v>2</v>
      </c>
      <c r="F1507">
        <v>2</v>
      </c>
      <c r="G1507">
        <v>1.75</v>
      </c>
    </row>
    <row r="1508" spans="1:7" x14ac:dyDescent="0.25">
      <c r="A1508">
        <v>5680</v>
      </c>
      <c r="B1508">
        <v>2</v>
      </c>
      <c r="C1508">
        <v>2</v>
      </c>
      <c r="D1508">
        <v>2</v>
      </c>
      <c r="E1508">
        <v>2</v>
      </c>
      <c r="F1508">
        <v>3</v>
      </c>
      <c r="G1508">
        <v>2</v>
      </c>
    </row>
    <row r="1509" spans="1:7" x14ac:dyDescent="0.25">
      <c r="A1509">
        <v>5682</v>
      </c>
      <c r="B1509">
        <v>2</v>
      </c>
      <c r="C1509">
        <v>2</v>
      </c>
      <c r="D1509">
        <v>2</v>
      </c>
      <c r="E1509">
        <v>1</v>
      </c>
      <c r="F1509">
        <v>4</v>
      </c>
      <c r="G1509">
        <v>1.75</v>
      </c>
    </row>
    <row r="1510" spans="1:7" x14ac:dyDescent="0.25">
      <c r="A1510">
        <v>5683</v>
      </c>
      <c r="B1510">
        <v>1</v>
      </c>
      <c r="C1510">
        <v>1</v>
      </c>
      <c r="D1510">
        <v>1</v>
      </c>
      <c r="E1510">
        <v>1</v>
      </c>
      <c r="F1510">
        <v>3</v>
      </c>
      <c r="G1510">
        <v>1</v>
      </c>
    </row>
    <row r="1511" spans="1:7" x14ac:dyDescent="0.25">
      <c r="A1511">
        <v>5684</v>
      </c>
      <c r="B1511">
        <v>1</v>
      </c>
      <c r="C1511">
        <v>1</v>
      </c>
      <c r="D1511">
        <v>1</v>
      </c>
      <c r="E1511">
        <v>1</v>
      </c>
      <c r="F1511">
        <v>2</v>
      </c>
      <c r="G1511">
        <v>1</v>
      </c>
    </row>
    <row r="1512" spans="1:7" x14ac:dyDescent="0.25">
      <c r="A1512">
        <v>5685</v>
      </c>
      <c r="B1512">
        <v>1</v>
      </c>
      <c r="C1512">
        <v>1</v>
      </c>
      <c r="D1512">
        <v>1</v>
      </c>
      <c r="E1512">
        <v>1</v>
      </c>
      <c r="F1512">
        <v>3</v>
      </c>
      <c r="G1512">
        <v>1</v>
      </c>
    </row>
    <row r="1513" spans="1:7" x14ac:dyDescent="0.25">
      <c r="A1513">
        <v>5686</v>
      </c>
      <c r="B1513">
        <v>2</v>
      </c>
      <c r="C1513">
        <v>2</v>
      </c>
      <c r="D1513">
        <v>1</v>
      </c>
      <c r="E1513">
        <v>1</v>
      </c>
      <c r="F1513">
        <v>2</v>
      </c>
      <c r="G1513">
        <v>1.5</v>
      </c>
    </row>
    <row r="1514" spans="1:7" x14ac:dyDescent="0.25">
      <c r="A1514">
        <v>5688</v>
      </c>
      <c r="B1514">
        <v>1</v>
      </c>
      <c r="C1514">
        <v>1</v>
      </c>
      <c r="D1514">
        <v>1</v>
      </c>
      <c r="E1514">
        <v>1</v>
      </c>
      <c r="F1514">
        <v>2</v>
      </c>
      <c r="G1514">
        <v>1</v>
      </c>
    </row>
    <row r="1515" spans="1:7" x14ac:dyDescent="0.25">
      <c r="A1515">
        <v>5691</v>
      </c>
      <c r="B1515">
        <v>2</v>
      </c>
      <c r="C1515">
        <v>1</v>
      </c>
      <c r="D1515">
        <v>1</v>
      </c>
      <c r="E1515">
        <v>1</v>
      </c>
      <c r="F1515">
        <v>3</v>
      </c>
      <c r="G1515">
        <v>1.25</v>
      </c>
    </row>
    <row r="1516" spans="1:7" x14ac:dyDescent="0.25">
      <c r="A1516">
        <v>5692</v>
      </c>
      <c r="B1516">
        <v>2</v>
      </c>
      <c r="C1516">
        <v>2</v>
      </c>
      <c r="D1516">
        <v>3</v>
      </c>
      <c r="E1516">
        <v>1</v>
      </c>
      <c r="F1516">
        <v>3</v>
      </c>
      <c r="G1516">
        <v>2</v>
      </c>
    </row>
    <row r="1517" spans="1:7" x14ac:dyDescent="0.25">
      <c r="A1517">
        <v>5695</v>
      </c>
      <c r="B1517">
        <v>2</v>
      </c>
      <c r="C1517">
        <v>2</v>
      </c>
      <c r="D1517">
        <v>2</v>
      </c>
      <c r="E1517">
        <v>2</v>
      </c>
      <c r="F1517">
        <v>2</v>
      </c>
      <c r="G1517">
        <v>2</v>
      </c>
    </row>
    <row r="1518" spans="1:7" x14ac:dyDescent="0.25">
      <c r="A1518">
        <v>5697</v>
      </c>
      <c r="B1518">
        <v>1</v>
      </c>
      <c r="C1518">
        <v>1</v>
      </c>
      <c r="D1518">
        <v>1</v>
      </c>
      <c r="E1518">
        <v>1</v>
      </c>
      <c r="F1518">
        <v>2</v>
      </c>
      <c r="G1518">
        <v>1</v>
      </c>
    </row>
    <row r="1519" spans="1:7" x14ac:dyDescent="0.25">
      <c r="A1519">
        <v>5700</v>
      </c>
      <c r="B1519">
        <v>2</v>
      </c>
      <c r="C1519">
        <v>2</v>
      </c>
      <c r="D1519">
        <v>1</v>
      </c>
      <c r="E1519">
        <v>1</v>
      </c>
      <c r="F1519">
        <v>3</v>
      </c>
      <c r="G1519">
        <v>1.5</v>
      </c>
    </row>
    <row r="1520" spans="1:7" x14ac:dyDescent="0.25">
      <c r="A1520">
        <v>5701</v>
      </c>
      <c r="B1520">
        <v>1</v>
      </c>
      <c r="C1520">
        <v>2</v>
      </c>
      <c r="D1520">
        <v>2</v>
      </c>
      <c r="E1520">
        <v>2</v>
      </c>
      <c r="F1520">
        <v>3</v>
      </c>
      <c r="G1520">
        <v>1.75</v>
      </c>
    </row>
    <row r="1521" spans="1:7" x14ac:dyDescent="0.25">
      <c r="A1521">
        <v>5705</v>
      </c>
      <c r="B1521">
        <v>2</v>
      </c>
      <c r="C1521">
        <v>2</v>
      </c>
      <c r="D1521">
        <v>2</v>
      </c>
      <c r="E1521">
        <v>2</v>
      </c>
      <c r="F1521">
        <v>2</v>
      </c>
      <c r="G1521">
        <v>2</v>
      </c>
    </row>
    <row r="1522" spans="1:7" x14ac:dyDescent="0.25">
      <c r="A1522">
        <v>5710</v>
      </c>
      <c r="B1522">
        <v>1</v>
      </c>
      <c r="C1522">
        <v>1</v>
      </c>
      <c r="D1522">
        <v>1</v>
      </c>
      <c r="E1522">
        <v>1</v>
      </c>
      <c r="F1522">
        <v>3</v>
      </c>
      <c r="G1522">
        <v>1</v>
      </c>
    </row>
    <row r="1523" spans="1:7" x14ac:dyDescent="0.25">
      <c r="A1523">
        <v>5713</v>
      </c>
      <c r="B1523">
        <v>2</v>
      </c>
      <c r="C1523">
        <v>1</v>
      </c>
      <c r="D1523">
        <v>1</v>
      </c>
      <c r="E1523">
        <v>2</v>
      </c>
      <c r="F1523">
        <v>2</v>
      </c>
      <c r="G1523">
        <v>1.5</v>
      </c>
    </row>
    <row r="1524" spans="1:7" x14ac:dyDescent="0.25">
      <c r="A1524">
        <v>5715</v>
      </c>
      <c r="B1524">
        <v>3</v>
      </c>
      <c r="C1524">
        <v>2</v>
      </c>
      <c r="D1524">
        <v>2</v>
      </c>
      <c r="E1524">
        <v>2</v>
      </c>
      <c r="F1524">
        <v>2</v>
      </c>
      <c r="G1524">
        <v>2.25</v>
      </c>
    </row>
    <row r="1525" spans="1:7" x14ac:dyDescent="0.25">
      <c r="A1525">
        <v>5716</v>
      </c>
      <c r="B1525">
        <v>1</v>
      </c>
      <c r="C1525">
        <v>1</v>
      </c>
      <c r="D1525">
        <v>2</v>
      </c>
      <c r="E1525">
        <v>1</v>
      </c>
      <c r="F1525">
        <v>3</v>
      </c>
      <c r="G1525">
        <v>1.25</v>
      </c>
    </row>
    <row r="1526" spans="1:7" x14ac:dyDescent="0.25">
      <c r="A1526">
        <v>5718</v>
      </c>
      <c r="B1526">
        <v>2</v>
      </c>
      <c r="C1526">
        <v>1</v>
      </c>
      <c r="D1526">
        <v>2</v>
      </c>
      <c r="E1526">
        <v>1</v>
      </c>
      <c r="F1526">
        <v>2</v>
      </c>
      <c r="G1526">
        <v>1.5</v>
      </c>
    </row>
    <row r="1527" spans="1:7" x14ac:dyDescent="0.25">
      <c r="A1527">
        <v>5722</v>
      </c>
      <c r="B1527">
        <v>2</v>
      </c>
      <c r="C1527">
        <v>2</v>
      </c>
      <c r="D1527">
        <v>2</v>
      </c>
      <c r="E1527">
        <v>2</v>
      </c>
      <c r="F1527">
        <v>3</v>
      </c>
      <c r="G1527">
        <v>2</v>
      </c>
    </row>
    <row r="1528" spans="1:7" x14ac:dyDescent="0.25">
      <c r="A1528">
        <v>5726</v>
      </c>
      <c r="B1528">
        <v>2</v>
      </c>
      <c r="C1528">
        <v>2</v>
      </c>
      <c r="D1528">
        <v>3</v>
      </c>
      <c r="E1528">
        <v>2</v>
      </c>
      <c r="F1528">
        <v>3</v>
      </c>
      <c r="G1528">
        <v>2.25</v>
      </c>
    </row>
    <row r="1529" spans="1:7" x14ac:dyDescent="0.25">
      <c r="A1529">
        <v>5730</v>
      </c>
      <c r="B1529">
        <v>2</v>
      </c>
      <c r="C1529">
        <v>3</v>
      </c>
      <c r="D1529">
        <v>2</v>
      </c>
      <c r="E1529">
        <v>2</v>
      </c>
      <c r="F1529">
        <v>2</v>
      </c>
      <c r="G1529">
        <v>2.25</v>
      </c>
    </row>
    <row r="1530" spans="1:7" x14ac:dyDescent="0.25">
      <c r="A1530">
        <v>5732</v>
      </c>
      <c r="B1530">
        <v>1</v>
      </c>
      <c r="C1530">
        <v>1</v>
      </c>
      <c r="D1530">
        <v>1</v>
      </c>
      <c r="E1530">
        <v>1</v>
      </c>
      <c r="F1530">
        <v>2</v>
      </c>
      <c r="G1530">
        <v>1</v>
      </c>
    </row>
    <row r="1531" spans="1:7" x14ac:dyDescent="0.25">
      <c r="A1531">
        <v>5733</v>
      </c>
      <c r="B1531">
        <v>1</v>
      </c>
      <c r="C1531">
        <v>1</v>
      </c>
      <c r="D1531">
        <v>1</v>
      </c>
      <c r="E1531">
        <v>2</v>
      </c>
      <c r="F1531">
        <v>3</v>
      </c>
      <c r="G1531">
        <v>1.25</v>
      </c>
    </row>
    <row r="1532" spans="1:7" x14ac:dyDescent="0.25">
      <c r="A1532">
        <v>5735</v>
      </c>
      <c r="B1532">
        <v>1</v>
      </c>
      <c r="C1532">
        <v>1</v>
      </c>
      <c r="D1532">
        <v>1</v>
      </c>
      <c r="E1532">
        <v>1</v>
      </c>
      <c r="F1532">
        <v>3</v>
      </c>
      <c r="G1532">
        <v>1</v>
      </c>
    </row>
    <row r="1533" spans="1:7" x14ac:dyDescent="0.25">
      <c r="A1533">
        <v>5736</v>
      </c>
      <c r="B1533">
        <v>1</v>
      </c>
      <c r="C1533">
        <v>1</v>
      </c>
      <c r="D1533">
        <v>1</v>
      </c>
      <c r="E1533">
        <v>2</v>
      </c>
      <c r="F1533">
        <v>2</v>
      </c>
      <c r="G1533">
        <v>1.25</v>
      </c>
    </row>
    <row r="1534" spans="1:7" x14ac:dyDescent="0.25">
      <c r="A1534">
        <v>5740</v>
      </c>
      <c r="B1534">
        <v>2</v>
      </c>
      <c r="C1534">
        <v>2</v>
      </c>
      <c r="D1534">
        <v>1</v>
      </c>
      <c r="E1534">
        <v>1</v>
      </c>
      <c r="F1534">
        <v>3</v>
      </c>
      <c r="G1534">
        <v>1.5</v>
      </c>
    </row>
    <row r="1535" spans="1:7" x14ac:dyDescent="0.25">
      <c r="A1535">
        <v>5744</v>
      </c>
      <c r="B1535">
        <v>2</v>
      </c>
      <c r="C1535">
        <v>1</v>
      </c>
      <c r="D1535">
        <v>2</v>
      </c>
      <c r="E1535">
        <v>2</v>
      </c>
      <c r="F1535">
        <v>2</v>
      </c>
      <c r="G1535">
        <v>1.75</v>
      </c>
    </row>
    <row r="1536" spans="1:7" x14ac:dyDescent="0.25">
      <c r="A1536">
        <v>5746</v>
      </c>
      <c r="B1536">
        <v>1</v>
      </c>
      <c r="C1536">
        <v>1</v>
      </c>
      <c r="D1536">
        <v>2</v>
      </c>
      <c r="E1536">
        <v>2</v>
      </c>
      <c r="F1536">
        <v>3</v>
      </c>
      <c r="G1536">
        <v>1.5</v>
      </c>
    </row>
    <row r="1537" spans="1:7" x14ac:dyDescent="0.25">
      <c r="A1537">
        <v>5757</v>
      </c>
      <c r="B1537">
        <v>1</v>
      </c>
      <c r="C1537">
        <v>1</v>
      </c>
      <c r="D1537">
        <v>2</v>
      </c>
      <c r="E1537">
        <v>2</v>
      </c>
      <c r="F1537">
        <v>4</v>
      </c>
      <c r="G1537">
        <v>1.5</v>
      </c>
    </row>
    <row r="1538" spans="1:7" x14ac:dyDescent="0.25">
      <c r="A1538">
        <v>5758</v>
      </c>
      <c r="B1538">
        <v>2</v>
      </c>
      <c r="C1538">
        <v>2</v>
      </c>
      <c r="D1538">
        <v>2</v>
      </c>
      <c r="E1538">
        <v>2</v>
      </c>
      <c r="F1538">
        <v>3</v>
      </c>
      <c r="G1538">
        <v>2</v>
      </c>
    </row>
    <row r="1539" spans="1:7" x14ac:dyDescent="0.25">
      <c r="A1539">
        <v>5769</v>
      </c>
      <c r="B1539">
        <v>2</v>
      </c>
      <c r="C1539">
        <v>2</v>
      </c>
      <c r="D1539">
        <v>1</v>
      </c>
      <c r="E1539">
        <v>1</v>
      </c>
      <c r="F1539">
        <v>3</v>
      </c>
      <c r="G1539">
        <v>1.5</v>
      </c>
    </row>
    <row r="1540" spans="1:7" x14ac:dyDescent="0.25">
      <c r="A1540">
        <v>5787</v>
      </c>
      <c r="B1540">
        <v>1</v>
      </c>
      <c r="C1540">
        <v>1</v>
      </c>
      <c r="D1540">
        <v>1</v>
      </c>
      <c r="E1540">
        <v>1</v>
      </c>
      <c r="F1540">
        <v>3</v>
      </c>
      <c r="G1540">
        <v>1</v>
      </c>
    </row>
    <row r="1541" spans="1:7" x14ac:dyDescent="0.25">
      <c r="A1541">
        <v>5810</v>
      </c>
      <c r="B1541">
        <v>3</v>
      </c>
      <c r="C1541">
        <v>3</v>
      </c>
      <c r="D1541">
        <v>2</v>
      </c>
      <c r="E1541">
        <v>2</v>
      </c>
      <c r="F1541">
        <v>3</v>
      </c>
      <c r="G1541">
        <v>2.5</v>
      </c>
    </row>
    <row r="1542" spans="1:7" x14ac:dyDescent="0.25">
      <c r="A1542">
        <v>5826</v>
      </c>
      <c r="B1542">
        <v>1</v>
      </c>
      <c r="C1542">
        <v>1</v>
      </c>
      <c r="D1542">
        <v>2</v>
      </c>
      <c r="E1542">
        <v>2</v>
      </c>
      <c r="F1542">
        <v>3</v>
      </c>
      <c r="G1542">
        <v>1.5</v>
      </c>
    </row>
  </sheetData>
  <autoFilter ref="A2:G2" xr:uid="{94F0B6E3-F794-45EB-BB2E-6EB6B09117C5}">
    <sortState xmlns:xlrd2="http://schemas.microsoft.com/office/spreadsheetml/2017/richdata2" ref="A3:G1562">
      <sortCondition ref="A2"/>
    </sortState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BF72-2F09-44DC-86F6-704C7AED3241}">
  <dimension ref="A1:P1029"/>
  <sheetViews>
    <sheetView tabSelected="1" topLeftCell="A759" workbookViewId="0">
      <selection activeCell="M774" sqref="M774"/>
    </sheetView>
  </sheetViews>
  <sheetFormatPr defaultRowHeight="21" customHeight="1" x14ac:dyDescent="0.25"/>
  <cols>
    <col min="1" max="1" width="8.7109375" customWidth="1"/>
    <col min="2" max="2" width="19.7109375" bestFit="1" customWidth="1"/>
    <col min="4" max="4" width="15.7109375" bestFit="1" customWidth="1"/>
    <col min="8" max="8" width="11.42578125" bestFit="1" customWidth="1"/>
    <col min="9" max="9" width="10" bestFit="1" customWidth="1"/>
    <col min="10" max="10" width="10.7109375" bestFit="1" customWidth="1"/>
    <col min="11" max="12" width="3.5703125" bestFit="1" customWidth="1"/>
    <col min="13" max="13" width="3.140625" bestFit="1" customWidth="1"/>
    <col min="14" max="14" width="3.42578125" bestFit="1" customWidth="1"/>
    <col min="15" max="15" width="16.85546875" style="32" customWidth="1"/>
  </cols>
  <sheetData>
    <row r="1" spans="1:15" ht="27.75" customHeight="1" x14ac:dyDescent="0.25">
      <c r="A1" s="26" t="s">
        <v>36</v>
      </c>
      <c r="B1" s="26" t="s">
        <v>37</v>
      </c>
      <c r="C1" s="26"/>
      <c r="D1" s="26" t="s">
        <v>87</v>
      </c>
      <c r="E1" s="26"/>
      <c r="F1" s="26" t="s">
        <v>102</v>
      </c>
      <c r="G1" s="26"/>
      <c r="H1" s="26" t="s">
        <v>103</v>
      </c>
      <c r="I1" s="26" t="s">
        <v>89</v>
      </c>
      <c r="J1" s="26" t="s">
        <v>104</v>
      </c>
      <c r="K1" s="100" t="s">
        <v>90</v>
      </c>
      <c r="L1" s="100"/>
      <c r="M1" s="100"/>
      <c r="N1" s="100"/>
      <c r="O1" s="96" t="s">
        <v>105</v>
      </c>
    </row>
    <row r="2" spans="1:15" ht="21" customHeight="1" x14ac:dyDescent="0.25">
      <c r="A2" s="1">
        <v>3480</v>
      </c>
      <c r="B2" s="27">
        <v>46024</v>
      </c>
      <c r="C2" s="26"/>
      <c r="D2" s="4" t="s">
        <v>7</v>
      </c>
      <c r="E2" s="26"/>
      <c r="F2" s="5">
        <v>5</v>
      </c>
      <c r="G2" s="26"/>
      <c r="H2" s="27">
        <v>46028</v>
      </c>
      <c r="I2" s="5">
        <v>3</v>
      </c>
      <c r="J2" s="27">
        <v>46032</v>
      </c>
      <c r="K2" s="26"/>
      <c r="L2" s="26"/>
      <c r="M2" s="26"/>
      <c r="N2" s="86" t="s">
        <v>4</v>
      </c>
      <c r="O2" s="87">
        <f>VLOOKUP(A2,'HIPERQUERATOSE 26'!$A$2:$G$1542,7,1)</f>
        <v>1</v>
      </c>
    </row>
    <row r="3" spans="1:15" ht="21" customHeight="1" x14ac:dyDescent="0.25">
      <c r="A3" s="1">
        <v>3423</v>
      </c>
      <c r="B3" s="27">
        <v>46024</v>
      </c>
      <c r="C3" s="26"/>
      <c r="D3" s="4" t="s">
        <v>7</v>
      </c>
      <c r="E3" s="26"/>
      <c r="F3" s="5">
        <v>5</v>
      </c>
      <c r="G3" s="26"/>
      <c r="H3" s="27">
        <v>46028</v>
      </c>
      <c r="I3" s="5">
        <v>3</v>
      </c>
      <c r="J3" s="27">
        <v>46032</v>
      </c>
      <c r="K3" s="26"/>
      <c r="L3" s="26"/>
      <c r="M3" s="26"/>
      <c r="N3" s="86" t="s">
        <v>4</v>
      </c>
      <c r="O3" s="87">
        <f>VLOOKUP(A3,'HIPERQUERATOSE 26'!$A$2:$G$1542,7,1)</f>
        <v>3.25</v>
      </c>
    </row>
    <row r="4" spans="1:15" ht="21" customHeight="1" x14ac:dyDescent="0.25">
      <c r="A4" s="1">
        <v>4216</v>
      </c>
      <c r="B4" s="27">
        <v>46024</v>
      </c>
      <c r="C4" s="26"/>
      <c r="D4" s="4" t="s">
        <v>7</v>
      </c>
      <c r="E4" s="26"/>
      <c r="F4" s="5">
        <v>5</v>
      </c>
      <c r="G4" s="26"/>
      <c r="H4" s="27">
        <v>46028</v>
      </c>
      <c r="I4" s="5">
        <v>3</v>
      </c>
      <c r="J4" s="27">
        <v>46032</v>
      </c>
      <c r="K4" s="26"/>
      <c r="L4" s="26"/>
      <c r="M4" s="26"/>
      <c r="N4" s="86" t="s">
        <v>4</v>
      </c>
      <c r="O4" s="87">
        <f>VLOOKUP(A4,'HIPERQUERATOSE 26'!$A$2:$G$1542,7,1)</f>
        <v>3</v>
      </c>
    </row>
    <row r="5" spans="1:15" ht="21" customHeight="1" x14ac:dyDescent="0.25">
      <c r="A5" s="1">
        <v>1203</v>
      </c>
      <c r="B5" s="27">
        <v>46024</v>
      </c>
      <c r="C5" s="26"/>
      <c r="D5" s="4" t="s">
        <v>25</v>
      </c>
      <c r="E5" s="26"/>
      <c r="F5" s="5">
        <v>5</v>
      </c>
      <c r="G5" s="26"/>
      <c r="H5" s="27">
        <v>46028</v>
      </c>
      <c r="I5" s="5">
        <v>5</v>
      </c>
      <c r="J5" s="27">
        <v>46034</v>
      </c>
      <c r="K5" s="26" t="s">
        <v>3</v>
      </c>
      <c r="L5" s="26"/>
      <c r="M5" s="26"/>
      <c r="N5" s="86"/>
      <c r="O5" s="87">
        <f>VLOOKUP(A5,'HIPERQUERATOSE 26'!$A$2:$G$1542,7,1)</f>
        <v>2.25</v>
      </c>
    </row>
    <row r="6" spans="1:15" ht="21" customHeight="1" x14ac:dyDescent="0.25">
      <c r="A6" s="1">
        <v>3718</v>
      </c>
      <c r="B6" s="27">
        <v>46025</v>
      </c>
      <c r="C6" s="26"/>
      <c r="D6" s="4" t="s">
        <v>7</v>
      </c>
      <c r="E6" s="26"/>
      <c r="F6" s="5">
        <v>5</v>
      </c>
      <c r="G6" s="26"/>
      <c r="H6" s="27">
        <v>46029</v>
      </c>
      <c r="I6" s="5">
        <v>3</v>
      </c>
      <c r="J6" s="27">
        <v>46033</v>
      </c>
      <c r="K6" s="26"/>
      <c r="L6" s="26"/>
      <c r="M6" s="26"/>
      <c r="N6" s="86" t="s">
        <v>4</v>
      </c>
      <c r="O6" s="87">
        <f>VLOOKUP(A6,'HIPERQUERATOSE 26'!$A$2:$G$1542,7,1)</f>
        <v>1.5</v>
      </c>
    </row>
    <row r="7" spans="1:15" ht="21" customHeight="1" x14ac:dyDescent="0.25">
      <c r="A7" s="1">
        <v>3862</v>
      </c>
      <c r="B7" s="27">
        <v>46025</v>
      </c>
      <c r="C7" s="26"/>
      <c r="D7" s="4" t="s">
        <v>7</v>
      </c>
      <c r="E7" s="26"/>
      <c r="F7" s="5">
        <v>5</v>
      </c>
      <c r="G7" s="26"/>
      <c r="H7" s="27">
        <v>46029</v>
      </c>
      <c r="I7" s="5">
        <v>3</v>
      </c>
      <c r="J7" s="27">
        <v>46033</v>
      </c>
      <c r="K7" s="26"/>
      <c r="L7" s="26" t="s">
        <v>5</v>
      </c>
      <c r="M7" s="26"/>
      <c r="N7" s="86"/>
      <c r="O7" s="87">
        <f>VLOOKUP(A7,'HIPERQUERATOSE 26'!$A$2:$G$1542,7,1)</f>
        <v>1.5</v>
      </c>
    </row>
    <row r="8" spans="1:15" ht="21" customHeight="1" x14ac:dyDescent="0.25">
      <c r="A8" s="1">
        <v>4648</v>
      </c>
      <c r="B8" s="27">
        <v>46025</v>
      </c>
      <c r="C8" s="26"/>
      <c r="D8" s="4" t="s">
        <v>7</v>
      </c>
      <c r="E8" s="26"/>
      <c r="F8" s="5">
        <v>5</v>
      </c>
      <c r="G8" s="26"/>
      <c r="H8" s="27">
        <v>46029</v>
      </c>
      <c r="I8" s="5">
        <v>3</v>
      </c>
      <c r="J8" s="27">
        <v>46033</v>
      </c>
      <c r="K8" s="26"/>
      <c r="L8" s="26"/>
      <c r="M8" s="26"/>
      <c r="N8" s="86" t="s">
        <v>4</v>
      </c>
      <c r="O8" s="87">
        <f>VLOOKUP(A8,'HIPERQUERATOSE 26'!$A$2:$G$1542,7,1)</f>
        <v>1.5</v>
      </c>
    </row>
    <row r="9" spans="1:15" ht="21" customHeight="1" x14ac:dyDescent="0.25">
      <c r="A9" s="1">
        <v>4469</v>
      </c>
      <c r="B9" s="27">
        <v>46026</v>
      </c>
      <c r="C9" s="26"/>
      <c r="D9" s="4" t="s">
        <v>7</v>
      </c>
      <c r="E9" s="26"/>
      <c r="F9" s="5">
        <v>5</v>
      </c>
      <c r="G9" s="26"/>
      <c r="H9" s="27">
        <v>46030</v>
      </c>
      <c r="I9" s="5">
        <v>3</v>
      </c>
      <c r="J9" s="27">
        <v>46034</v>
      </c>
      <c r="K9" s="26"/>
      <c r="L9" s="26" t="s">
        <v>5</v>
      </c>
      <c r="M9" s="26"/>
      <c r="N9" s="86"/>
      <c r="O9" s="87">
        <f>VLOOKUP(A9,'HIPERQUERATOSE 26'!$A$2:$G$1542,7,1)</f>
        <v>1.75</v>
      </c>
    </row>
    <row r="10" spans="1:15" ht="21" customHeight="1" x14ac:dyDescent="0.25">
      <c r="A10" s="1">
        <v>3397</v>
      </c>
      <c r="B10" s="27">
        <v>46027</v>
      </c>
      <c r="C10" s="26"/>
      <c r="D10" s="4" t="s">
        <v>31</v>
      </c>
      <c r="E10" s="26"/>
      <c r="F10" s="5">
        <v>5</v>
      </c>
      <c r="G10" s="26"/>
      <c r="H10" s="27">
        <v>46031</v>
      </c>
      <c r="I10" s="5">
        <v>5</v>
      </c>
      <c r="J10" s="27">
        <v>46037</v>
      </c>
      <c r="K10" s="26" t="s">
        <v>3</v>
      </c>
      <c r="L10" s="26"/>
      <c r="M10" s="26"/>
      <c r="N10" s="86"/>
      <c r="O10" s="87">
        <f>VLOOKUP(A10,'HIPERQUERATOSE 26'!$A$2:$G$1542,7,1)</f>
        <v>3</v>
      </c>
    </row>
    <row r="11" spans="1:15" ht="21" customHeight="1" x14ac:dyDescent="0.25">
      <c r="A11" s="1">
        <v>5356</v>
      </c>
      <c r="B11" s="27">
        <v>46027</v>
      </c>
      <c r="C11" s="26"/>
      <c r="D11" s="4" t="s">
        <v>7</v>
      </c>
      <c r="E11" s="26"/>
      <c r="F11" s="5">
        <v>5</v>
      </c>
      <c r="G11" s="26"/>
      <c r="H11" s="27">
        <v>46031</v>
      </c>
      <c r="I11" s="5">
        <v>3</v>
      </c>
      <c r="J11" s="27">
        <v>46035</v>
      </c>
      <c r="K11" s="26"/>
      <c r="L11" s="26"/>
      <c r="M11" s="26" t="s">
        <v>1</v>
      </c>
      <c r="N11" s="86"/>
      <c r="O11" s="87">
        <f>VLOOKUP(A11,'HIPERQUERATOSE 26'!$A$2:$G$1542,7,1)</f>
        <v>1.5</v>
      </c>
    </row>
    <row r="12" spans="1:15" ht="21" customHeight="1" x14ac:dyDescent="0.25">
      <c r="A12" s="1">
        <v>4817</v>
      </c>
      <c r="B12" s="27">
        <v>46028</v>
      </c>
      <c r="C12" s="26"/>
      <c r="D12" s="4" t="s">
        <v>20</v>
      </c>
      <c r="E12" s="26"/>
      <c r="F12" s="5">
        <v>3</v>
      </c>
      <c r="G12" s="26"/>
      <c r="H12" s="27">
        <v>46030</v>
      </c>
      <c r="I12" s="5">
        <v>9</v>
      </c>
      <c r="J12" s="27">
        <v>46040</v>
      </c>
      <c r="K12" s="26"/>
      <c r="L12" s="26" t="s">
        <v>5</v>
      </c>
      <c r="M12" s="26"/>
      <c r="N12" s="86"/>
      <c r="O12" s="87">
        <f>VLOOKUP(A12,'HIPERQUERATOSE 26'!$A$2:$G$1542,7,1)</f>
        <v>1</v>
      </c>
    </row>
    <row r="13" spans="1:15" ht="21" customHeight="1" x14ac:dyDescent="0.25">
      <c r="A13" s="1">
        <v>3902</v>
      </c>
      <c r="B13" s="27">
        <v>46028</v>
      </c>
      <c r="C13" s="26"/>
      <c r="D13" s="4" t="s">
        <v>20</v>
      </c>
      <c r="E13" s="26"/>
      <c r="F13" s="5">
        <v>5</v>
      </c>
      <c r="G13" s="26"/>
      <c r="H13" s="27">
        <v>46032</v>
      </c>
      <c r="I13" s="5">
        <v>9</v>
      </c>
      <c r="J13" s="27">
        <v>46042</v>
      </c>
      <c r="K13" s="26"/>
      <c r="L13" s="26"/>
      <c r="M13" s="26" t="s">
        <v>1</v>
      </c>
      <c r="N13" s="86"/>
      <c r="O13" s="87">
        <f>VLOOKUP(A13,'HIPERQUERATOSE 26'!$A$2:$G$1542,7,1)</f>
        <v>3</v>
      </c>
    </row>
    <row r="14" spans="1:15" ht="21" customHeight="1" x14ac:dyDescent="0.25">
      <c r="A14" s="1">
        <v>3594</v>
      </c>
      <c r="B14" s="27">
        <v>46028</v>
      </c>
      <c r="C14" s="26"/>
      <c r="D14" s="4" t="s">
        <v>20</v>
      </c>
      <c r="E14" s="26"/>
      <c r="F14" s="5">
        <v>5</v>
      </c>
      <c r="G14" s="26"/>
      <c r="H14" s="27">
        <v>46032</v>
      </c>
      <c r="I14" s="5">
        <v>9</v>
      </c>
      <c r="J14" s="27">
        <v>46042</v>
      </c>
      <c r="K14" s="26"/>
      <c r="L14" s="26"/>
      <c r="M14" s="26"/>
      <c r="N14" s="86" t="s">
        <v>4</v>
      </c>
      <c r="O14" s="87">
        <f>VLOOKUP(A14,'HIPERQUERATOSE 26'!$A$2:$G$1542,7,1)</f>
        <v>1.25</v>
      </c>
    </row>
    <row r="15" spans="1:15" ht="21" customHeight="1" x14ac:dyDescent="0.25">
      <c r="A15" s="1">
        <v>3591</v>
      </c>
      <c r="B15" s="27">
        <v>46028</v>
      </c>
      <c r="C15" s="26"/>
      <c r="D15" s="4" t="s">
        <v>0</v>
      </c>
      <c r="E15" s="26"/>
      <c r="F15" s="5">
        <v>5</v>
      </c>
      <c r="G15" s="26"/>
      <c r="H15" s="27">
        <v>46032</v>
      </c>
      <c r="I15" s="5">
        <v>5</v>
      </c>
      <c r="J15" s="27">
        <v>46038</v>
      </c>
      <c r="K15" s="26"/>
      <c r="L15" s="26"/>
      <c r="M15" s="26"/>
      <c r="N15" s="86"/>
      <c r="O15" s="87">
        <f>VLOOKUP(A15,'HIPERQUERATOSE 26'!$A$2:$G$1542,7,1)</f>
        <v>1</v>
      </c>
    </row>
    <row r="16" spans="1:15" ht="21" customHeight="1" x14ac:dyDescent="0.25">
      <c r="A16" s="1">
        <v>4324</v>
      </c>
      <c r="B16" s="27">
        <v>46029</v>
      </c>
      <c r="C16" s="26"/>
      <c r="D16" s="4" t="s">
        <v>7</v>
      </c>
      <c r="E16" s="26"/>
      <c r="F16" s="5">
        <v>5</v>
      </c>
      <c r="G16" s="26"/>
      <c r="H16" s="27">
        <v>46033</v>
      </c>
      <c r="I16" s="5">
        <v>3</v>
      </c>
      <c r="J16" s="27">
        <v>46037</v>
      </c>
      <c r="K16" s="26"/>
      <c r="L16" s="26"/>
      <c r="M16" s="26" t="s">
        <v>1</v>
      </c>
      <c r="N16" s="86"/>
      <c r="O16" s="87">
        <f>VLOOKUP(A16,'HIPERQUERATOSE 26'!$A$2:$G$1542,7,1)</f>
        <v>2.75</v>
      </c>
    </row>
    <row r="17" spans="1:15" ht="21" customHeight="1" x14ac:dyDescent="0.25">
      <c r="A17" s="1">
        <v>3526</v>
      </c>
      <c r="B17" s="27">
        <v>46031</v>
      </c>
      <c r="C17" s="26"/>
      <c r="D17" s="4" t="s">
        <v>0</v>
      </c>
      <c r="E17" s="26"/>
      <c r="F17" s="5">
        <v>5</v>
      </c>
      <c r="G17" s="26"/>
      <c r="H17" s="27">
        <v>46035</v>
      </c>
      <c r="I17" s="5">
        <v>5</v>
      </c>
      <c r="J17" s="27">
        <v>46041</v>
      </c>
      <c r="K17" s="26"/>
      <c r="L17" s="26"/>
      <c r="M17" s="26"/>
      <c r="N17" s="86" t="s">
        <v>4</v>
      </c>
      <c r="O17" s="87">
        <f>VLOOKUP(A17,'HIPERQUERATOSE 26'!$A$2:$G$1542,7,1)</f>
        <v>1</v>
      </c>
    </row>
    <row r="18" spans="1:15" ht="21" customHeight="1" x14ac:dyDescent="0.25">
      <c r="A18" s="1">
        <v>3423</v>
      </c>
      <c r="B18" s="27">
        <v>46032</v>
      </c>
      <c r="C18" s="26"/>
      <c r="D18" s="4" t="s">
        <v>25</v>
      </c>
      <c r="E18" s="26"/>
      <c r="F18" s="5">
        <v>5</v>
      </c>
      <c r="G18" s="26"/>
      <c r="H18" s="27">
        <v>46036</v>
      </c>
      <c r="I18" s="5">
        <v>5</v>
      </c>
      <c r="J18" s="27">
        <v>46042</v>
      </c>
      <c r="K18" s="26"/>
      <c r="L18" s="26"/>
      <c r="M18" s="26"/>
      <c r="N18" s="86" t="s">
        <v>4</v>
      </c>
      <c r="O18" s="87">
        <f>VLOOKUP(A18,'HIPERQUERATOSE 26'!$A$2:$G$1542,7,1)</f>
        <v>3.25</v>
      </c>
    </row>
    <row r="19" spans="1:15" ht="21" customHeight="1" x14ac:dyDescent="0.25">
      <c r="A19" s="1">
        <v>4129</v>
      </c>
      <c r="B19" s="27">
        <v>46033</v>
      </c>
      <c r="C19" s="26"/>
      <c r="D19" s="4" t="s">
        <v>7</v>
      </c>
      <c r="E19" s="26"/>
      <c r="F19" s="5">
        <v>5</v>
      </c>
      <c r="G19" s="26"/>
      <c r="H19" s="27">
        <v>46037</v>
      </c>
      <c r="I19" s="5">
        <v>5</v>
      </c>
      <c r="J19" s="27">
        <v>46043</v>
      </c>
      <c r="K19" s="26"/>
      <c r="L19" s="26" t="s">
        <v>5</v>
      </c>
      <c r="M19" s="26"/>
      <c r="N19" s="86"/>
      <c r="O19" s="87">
        <f>VLOOKUP(A19,'HIPERQUERATOSE 26'!$A$2:$G$1542,7,1)</f>
        <v>1</v>
      </c>
    </row>
    <row r="20" spans="1:15" ht="21" customHeight="1" x14ac:dyDescent="0.25">
      <c r="A20" s="1">
        <v>5177</v>
      </c>
      <c r="B20" s="27">
        <v>46033</v>
      </c>
      <c r="C20" s="26"/>
      <c r="D20" s="4" t="s">
        <v>7</v>
      </c>
      <c r="E20" s="26"/>
      <c r="F20" s="5">
        <v>5</v>
      </c>
      <c r="G20" s="26"/>
      <c r="H20" s="27">
        <v>46037</v>
      </c>
      <c r="I20" s="5">
        <v>5</v>
      </c>
      <c r="J20" s="27">
        <v>46043</v>
      </c>
      <c r="K20" s="26"/>
      <c r="L20" s="26"/>
      <c r="M20" s="26"/>
      <c r="N20" s="86" t="s">
        <v>4</v>
      </c>
      <c r="O20" s="87">
        <f>VLOOKUP(A20,'HIPERQUERATOSE 26'!$A$2:$G$1542,7,1)</f>
        <v>1.25</v>
      </c>
    </row>
    <row r="21" spans="1:15" ht="21" customHeight="1" x14ac:dyDescent="0.25">
      <c r="A21" s="1">
        <v>4058</v>
      </c>
      <c r="B21" s="27">
        <v>46034</v>
      </c>
      <c r="C21" s="26"/>
      <c r="D21" s="4" t="s">
        <v>20</v>
      </c>
      <c r="E21" s="26"/>
      <c r="F21" s="5">
        <v>4</v>
      </c>
      <c r="G21" s="26"/>
      <c r="H21" s="27">
        <v>46037</v>
      </c>
      <c r="I21" s="5">
        <v>9</v>
      </c>
      <c r="J21" s="27">
        <v>46047</v>
      </c>
      <c r="K21" s="26" t="s">
        <v>3</v>
      </c>
      <c r="L21" s="26"/>
      <c r="M21" s="26"/>
      <c r="N21" s="86"/>
      <c r="O21" s="87">
        <f>VLOOKUP(A21,'HIPERQUERATOSE 26'!$A$2:$G$1542,7,1)</f>
        <v>1.5</v>
      </c>
    </row>
    <row r="22" spans="1:15" ht="21" customHeight="1" x14ac:dyDescent="0.25">
      <c r="A22" s="1">
        <v>3554</v>
      </c>
      <c r="B22" s="27">
        <v>46035</v>
      </c>
      <c r="C22" s="26"/>
      <c r="D22" s="4" t="s">
        <v>7</v>
      </c>
      <c r="E22" s="26"/>
      <c r="F22" s="5">
        <v>5</v>
      </c>
      <c r="G22" s="26"/>
      <c r="H22" s="27">
        <v>46039</v>
      </c>
      <c r="I22" s="5">
        <v>3</v>
      </c>
      <c r="J22" s="27">
        <v>46043</v>
      </c>
      <c r="K22" s="26" t="s">
        <v>3</v>
      </c>
      <c r="L22" s="26"/>
      <c r="M22" s="26"/>
      <c r="N22" s="86"/>
      <c r="O22" s="87">
        <f>VLOOKUP(A22,'HIPERQUERATOSE 26'!$A$2:$G$1542,7,1)</f>
        <v>1</v>
      </c>
    </row>
    <row r="23" spans="1:15" ht="21" customHeight="1" x14ac:dyDescent="0.25">
      <c r="A23" s="1">
        <v>4452</v>
      </c>
      <c r="B23" s="27">
        <v>46035</v>
      </c>
      <c r="C23" s="26"/>
      <c r="D23" s="4" t="s">
        <v>7</v>
      </c>
      <c r="E23" s="26"/>
      <c r="F23" s="5">
        <v>5</v>
      </c>
      <c r="G23" s="26"/>
      <c r="H23" s="27">
        <v>46039</v>
      </c>
      <c r="I23" s="5">
        <v>3</v>
      </c>
      <c r="J23" s="27">
        <v>46043</v>
      </c>
      <c r="K23" s="26" t="s">
        <v>3</v>
      </c>
      <c r="L23" s="26"/>
      <c r="M23" s="26"/>
      <c r="N23" s="86"/>
      <c r="O23" s="87">
        <f>VLOOKUP(A23,'HIPERQUERATOSE 26'!$A$2:$G$1542,7,1)</f>
        <v>2</v>
      </c>
    </row>
    <row r="24" spans="1:15" ht="21" customHeight="1" x14ac:dyDescent="0.25">
      <c r="A24" s="1">
        <v>4667</v>
      </c>
      <c r="B24" s="27">
        <v>46035</v>
      </c>
      <c r="C24" s="26"/>
      <c r="D24" s="4" t="s">
        <v>7</v>
      </c>
      <c r="E24" s="26"/>
      <c r="F24" s="5">
        <v>5</v>
      </c>
      <c r="G24" s="26"/>
      <c r="H24" s="27">
        <v>46039</v>
      </c>
      <c r="I24" s="5">
        <v>3</v>
      </c>
      <c r="J24" s="27">
        <v>46043</v>
      </c>
      <c r="K24" s="26"/>
      <c r="L24" s="26"/>
      <c r="M24" s="26"/>
      <c r="N24" s="86" t="s">
        <v>4</v>
      </c>
      <c r="O24" s="87">
        <f>VLOOKUP(A24,'HIPERQUERATOSE 26'!$A$2:$G$1542,7,1)</f>
        <v>2.25</v>
      </c>
    </row>
    <row r="25" spans="1:15" ht="21" customHeight="1" x14ac:dyDescent="0.25">
      <c r="A25" s="1">
        <v>5250</v>
      </c>
      <c r="B25" s="27">
        <v>46036</v>
      </c>
      <c r="C25" s="26"/>
      <c r="D25" s="4" t="s">
        <v>7</v>
      </c>
      <c r="E25" s="26"/>
      <c r="F25" s="5">
        <v>5</v>
      </c>
      <c r="G25" s="26"/>
      <c r="H25" s="27">
        <v>46040</v>
      </c>
      <c r="I25" s="5">
        <v>3</v>
      </c>
      <c r="J25" s="27">
        <v>46044</v>
      </c>
      <c r="K25" s="26"/>
      <c r="L25" s="26"/>
      <c r="M25" s="26" t="s">
        <v>1</v>
      </c>
      <c r="N25" s="86"/>
      <c r="O25" s="87">
        <f>VLOOKUP(A25,'HIPERQUERATOSE 26'!$A$2:$G$1542,7,1)</f>
        <v>1.5</v>
      </c>
    </row>
    <row r="26" spans="1:15" ht="21" customHeight="1" x14ac:dyDescent="0.25">
      <c r="A26" s="1">
        <v>3746</v>
      </c>
      <c r="B26" s="27">
        <v>46036</v>
      </c>
      <c r="C26" s="26"/>
      <c r="D26" s="4" t="s">
        <v>20</v>
      </c>
      <c r="E26" s="26"/>
      <c r="F26" s="5">
        <v>5</v>
      </c>
      <c r="G26" s="26"/>
      <c r="H26" s="27">
        <v>46040</v>
      </c>
      <c r="I26" s="5">
        <v>9</v>
      </c>
      <c r="J26" s="27">
        <v>46050</v>
      </c>
      <c r="K26" s="26"/>
      <c r="L26" s="26"/>
      <c r="M26" s="26" t="s">
        <v>1</v>
      </c>
      <c r="N26" s="86"/>
      <c r="O26" s="87">
        <f>VLOOKUP(A26,'HIPERQUERATOSE 26'!$A$2:$G$1542,7,1)</f>
        <v>2.25</v>
      </c>
    </row>
    <row r="27" spans="1:15" ht="21" customHeight="1" x14ac:dyDescent="0.25">
      <c r="A27" s="1">
        <v>5194</v>
      </c>
      <c r="B27" s="27">
        <v>46037</v>
      </c>
      <c r="C27" s="26"/>
      <c r="D27" s="4" t="s">
        <v>7</v>
      </c>
      <c r="E27" s="26"/>
      <c r="F27" s="5">
        <v>5</v>
      </c>
      <c r="G27" s="26"/>
      <c r="H27" s="27">
        <v>46041</v>
      </c>
      <c r="I27" s="5">
        <v>3</v>
      </c>
      <c r="J27" s="27">
        <v>46045</v>
      </c>
      <c r="K27" s="26"/>
      <c r="L27" s="26"/>
      <c r="M27" s="26"/>
      <c r="N27" s="86" t="s">
        <v>4</v>
      </c>
      <c r="O27" s="87">
        <f>VLOOKUP(A27,'HIPERQUERATOSE 26'!$A$2:$G$1542,7,1)</f>
        <v>1</v>
      </c>
    </row>
    <row r="28" spans="1:15" ht="21" customHeight="1" x14ac:dyDescent="0.25">
      <c r="A28" s="1">
        <v>3554</v>
      </c>
      <c r="B28" s="27">
        <v>46037</v>
      </c>
      <c r="C28" s="26"/>
      <c r="D28" s="4" t="s">
        <v>25</v>
      </c>
      <c r="E28" s="26"/>
      <c r="F28" s="5">
        <v>5</v>
      </c>
      <c r="G28" s="26"/>
      <c r="H28" s="27">
        <v>46041</v>
      </c>
      <c r="I28" s="5">
        <v>9</v>
      </c>
      <c r="J28" s="27">
        <v>46051</v>
      </c>
      <c r="K28" s="26" t="s">
        <v>3</v>
      </c>
      <c r="L28" s="26"/>
      <c r="M28" s="26"/>
      <c r="N28" s="86"/>
      <c r="O28" s="87">
        <f>VLOOKUP(A28,'HIPERQUERATOSE 26'!$A$2:$G$1542,7,1)</f>
        <v>1</v>
      </c>
    </row>
    <row r="29" spans="1:15" ht="21" customHeight="1" x14ac:dyDescent="0.25">
      <c r="A29" s="1">
        <v>4773</v>
      </c>
      <c r="B29" s="27">
        <v>46037</v>
      </c>
      <c r="C29" s="26"/>
      <c r="D29" s="4" t="s">
        <v>7</v>
      </c>
      <c r="E29" s="26"/>
      <c r="F29" s="5">
        <v>5</v>
      </c>
      <c r="G29" s="26"/>
      <c r="H29" s="27">
        <v>46041</v>
      </c>
      <c r="I29" s="5">
        <v>3</v>
      </c>
      <c r="J29" s="27">
        <v>46045</v>
      </c>
      <c r="K29" s="26"/>
      <c r="L29" s="26"/>
      <c r="M29" s="26" t="s">
        <v>1</v>
      </c>
      <c r="N29" s="86"/>
      <c r="O29" s="87">
        <f>VLOOKUP(A29,'HIPERQUERATOSE 26'!$A$2:$G$1542,7,1)</f>
        <v>2</v>
      </c>
    </row>
    <row r="30" spans="1:15" ht="21" customHeight="1" x14ac:dyDescent="0.25">
      <c r="A30" s="1">
        <v>4501</v>
      </c>
      <c r="B30" s="27">
        <v>46037</v>
      </c>
      <c r="C30" s="26"/>
      <c r="D30" s="4" t="s">
        <v>7</v>
      </c>
      <c r="E30" s="26"/>
      <c r="F30" s="5">
        <v>5</v>
      </c>
      <c r="G30" s="26"/>
      <c r="H30" s="27">
        <v>46041</v>
      </c>
      <c r="I30" s="5">
        <v>3</v>
      </c>
      <c r="J30" s="27">
        <v>46045</v>
      </c>
      <c r="K30" s="26"/>
      <c r="L30" s="26" t="s">
        <v>5</v>
      </c>
      <c r="M30" s="26"/>
      <c r="N30" s="86"/>
      <c r="O30" s="87">
        <f>VLOOKUP(A30,'HIPERQUERATOSE 26'!$A$2:$G$1542,7,1)</f>
        <v>2.5</v>
      </c>
    </row>
    <row r="31" spans="1:15" ht="21" customHeight="1" x14ac:dyDescent="0.25">
      <c r="A31" s="1">
        <v>5209</v>
      </c>
      <c r="B31" s="27">
        <v>46038</v>
      </c>
      <c r="C31" s="26"/>
      <c r="D31" s="4" t="s">
        <v>32</v>
      </c>
      <c r="E31" s="26"/>
      <c r="F31" s="5">
        <v>4</v>
      </c>
      <c r="G31" s="26"/>
      <c r="H31" s="27">
        <v>46041</v>
      </c>
      <c r="I31" s="5">
        <v>3</v>
      </c>
      <c r="J31" s="27">
        <v>46045</v>
      </c>
      <c r="K31" s="26"/>
      <c r="L31" s="26" t="s">
        <v>5</v>
      </c>
      <c r="M31" s="26"/>
      <c r="N31" s="86"/>
      <c r="O31" s="87">
        <f>VLOOKUP(A31,'HIPERQUERATOSE 26'!$A$2:$G$1542,7,1)</f>
        <v>1</v>
      </c>
    </row>
    <row r="32" spans="1:15" ht="21" customHeight="1" x14ac:dyDescent="0.25">
      <c r="A32" s="1">
        <v>4452</v>
      </c>
      <c r="B32" s="27">
        <v>46038</v>
      </c>
      <c r="C32" s="26"/>
      <c r="D32" s="4" t="s">
        <v>32</v>
      </c>
      <c r="E32" s="26"/>
      <c r="F32" s="5">
        <v>4</v>
      </c>
      <c r="G32" s="26"/>
      <c r="H32" s="27">
        <v>46041</v>
      </c>
      <c r="I32" s="5">
        <v>3</v>
      </c>
      <c r="J32" s="27">
        <v>46045</v>
      </c>
      <c r="K32" s="26" t="s">
        <v>3</v>
      </c>
      <c r="L32" s="26"/>
      <c r="M32" s="26"/>
      <c r="N32" s="86"/>
      <c r="O32" s="87">
        <f>VLOOKUP(A32,'HIPERQUERATOSE 26'!$A$2:$G$1542,7,1)</f>
        <v>2</v>
      </c>
    </row>
    <row r="33" spans="1:15" ht="21" customHeight="1" x14ac:dyDescent="0.25">
      <c r="A33" s="1">
        <v>4385</v>
      </c>
      <c r="B33" s="27">
        <v>46038</v>
      </c>
      <c r="C33" s="26"/>
      <c r="D33" s="4" t="s">
        <v>32</v>
      </c>
      <c r="E33" s="26"/>
      <c r="F33" s="5">
        <v>4</v>
      </c>
      <c r="G33" s="26"/>
      <c r="H33" s="27">
        <v>46041</v>
      </c>
      <c r="I33" s="5">
        <v>3</v>
      </c>
      <c r="J33" s="27">
        <v>46045</v>
      </c>
      <c r="K33" s="26"/>
      <c r="L33" s="26"/>
      <c r="M33" s="26" t="s">
        <v>1</v>
      </c>
      <c r="N33" s="86"/>
      <c r="O33" s="87">
        <f>VLOOKUP(A33,'HIPERQUERATOSE 26'!$A$2:$G$1542,7,1)</f>
        <v>1.25</v>
      </c>
    </row>
    <row r="34" spans="1:15" ht="21" customHeight="1" x14ac:dyDescent="0.25">
      <c r="A34" s="1">
        <v>4058</v>
      </c>
      <c r="B34" s="27">
        <v>46038</v>
      </c>
      <c r="C34" s="26"/>
      <c r="D34" s="4" t="s">
        <v>32</v>
      </c>
      <c r="E34" s="26"/>
      <c r="F34" s="5">
        <v>4</v>
      </c>
      <c r="G34" s="26"/>
      <c r="H34" s="27">
        <v>46041</v>
      </c>
      <c r="I34" s="5">
        <v>3</v>
      </c>
      <c r="J34" s="27">
        <v>46045</v>
      </c>
      <c r="K34" s="26" t="s">
        <v>3</v>
      </c>
      <c r="L34" s="26"/>
      <c r="M34" s="26"/>
      <c r="N34" s="86"/>
      <c r="O34" s="87">
        <f>VLOOKUP(A34,'HIPERQUERATOSE 26'!$A$2:$G$1542,7,1)</f>
        <v>1.5</v>
      </c>
    </row>
    <row r="35" spans="1:15" ht="21" customHeight="1" x14ac:dyDescent="0.25">
      <c r="A35" s="1">
        <v>4829</v>
      </c>
      <c r="B35" s="27">
        <v>46039</v>
      </c>
      <c r="C35" s="26"/>
      <c r="D35" s="4" t="s">
        <v>32</v>
      </c>
      <c r="E35" s="26"/>
      <c r="F35" s="5">
        <v>4</v>
      </c>
      <c r="G35" s="26"/>
      <c r="H35" s="27">
        <v>46042</v>
      </c>
      <c r="I35" s="5">
        <v>3</v>
      </c>
      <c r="J35" s="27">
        <v>46046</v>
      </c>
      <c r="K35" s="26"/>
      <c r="L35" s="26"/>
      <c r="M35" s="26" t="s">
        <v>1</v>
      </c>
      <c r="N35" s="86"/>
      <c r="O35" s="87">
        <f>VLOOKUP(A35,'HIPERQUERATOSE 26'!$A$2:$G$1542,7,1)</f>
        <v>1</v>
      </c>
    </row>
    <row r="36" spans="1:15" ht="21" customHeight="1" x14ac:dyDescent="0.25">
      <c r="A36" s="1">
        <v>2885</v>
      </c>
      <c r="B36" s="27">
        <v>46039</v>
      </c>
      <c r="C36" s="26"/>
      <c r="D36" s="26" t="s">
        <v>33</v>
      </c>
      <c r="E36" s="26"/>
      <c r="F36" s="5">
        <v>4</v>
      </c>
      <c r="G36" s="26"/>
      <c r="H36" s="27">
        <v>46042</v>
      </c>
      <c r="I36" s="28">
        <v>4</v>
      </c>
      <c r="J36" s="27">
        <v>46046</v>
      </c>
      <c r="K36" s="26"/>
      <c r="L36" s="26"/>
      <c r="M36" s="26"/>
      <c r="N36" s="86" t="s">
        <v>4</v>
      </c>
      <c r="O36" s="87">
        <f>VLOOKUP(A36,'HIPERQUERATOSE 26'!$A$2:$G$1542,7,1)</f>
        <v>1</v>
      </c>
    </row>
    <row r="37" spans="1:15" ht="21" customHeight="1" x14ac:dyDescent="0.25">
      <c r="A37" s="1">
        <v>3072</v>
      </c>
      <c r="B37" s="27">
        <v>46039</v>
      </c>
      <c r="C37" s="26"/>
      <c r="D37" s="4" t="s">
        <v>32</v>
      </c>
      <c r="E37" s="26"/>
      <c r="F37" s="5">
        <v>4</v>
      </c>
      <c r="G37" s="26"/>
      <c r="H37" s="27">
        <v>46042</v>
      </c>
      <c r="I37" s="29">
        <v>3</v>
      </c>
      <c r="J37" s="27">
        <v>46046</v>
      </c>
      <c r="K37" s="26" t="s">
        <v>3</v>
      </c>
      <c r="L37" s="26"/>
      <c r="M37" s="26"/>
      <c r="N37" s="86"/>
      <c r="O37" s="87">
        <f>VLOOKUP(A37,'HIPERQUERATOSE 26'!$A$2:$G$1542,7,1)</f>
        <v>1.25</v>
      </c>
    </row>
    <row r="38" spans="1:15" ht="21" customHeight="1" x14ac:dyDescent="0.25">
      <c r="A38" s="1">
        <v>4026</v>
      </c>
      <c r="B38" s="27">
        <v>46039</v>
      </c>
      <c r="C38" s="26"/>
      <c r="D38" s="26" t="s">
        <v>33</v>
      </c>
      <c r="E38" s="26"/>
      <c r="F38" s="5">
        <v>4</v>
      </c>
      <c r="G38" s="26"/>
      <c r="H38" s="27">
        <v>46042</v>
      </c>
      <c r="I38" s="28">
        <v>4</v>
      </c>
      <c r="J38" s="27">
        <v>46046</v>
      </c>
      <c r="K38" s="26"/>
      <c r="L38" s="26" t="s">
        <v>5</v>
      </c>
      <c r="M38" s="26"/>
      <c r="N38" s="86"/>
      <c r="O38" s="87">
        <f>VLOOKUP(A38,'HIPERQUERATOSE 26'!$A$2:$G$1542,7,1)</f>
        <v>2.25</v>
      </c>
    </row>
    <row r="39" spans="1:15" ht="21" customHeight="1" x14ac:dyDescent="0.25">
      <c r="A39" s="1">
        <v>4578</v>
      </c>
      <c r="B39" s="27">
        <v>46039</v>
      </c>
      <c r="C39" s="26"/>
      <c r="D39" s="4" t="s">
        <v>32</v>
      </c>
      <c r="E39" s="26"/>
      <c r="F39" s="5">
        <v>4</v>
      </c>
      <c r="G39" s="26"/>
      <c r="H39" s="27">
        <v>46042</v>
      </c>
      <c r="I39" s="29">
        <v>3</v>
      </c>
      <c r="J39" s="27">
        <v>46046</v>
      </c>
      <c r="K39" s="26"/>
      <c r="L39" s="26" t="s">
        <v>5</v>
      </c>
      <c r="M39" s="26"/>
      <c r="N39" s="86"/>
      <c r="O39" s="87">
        <f>VLOOKUP(A39,'HIPERQUERATOSE 26'!$A$2:$G$1542,7,1)</f>
        <v>1.25</v>
      </c>
    </row>
    <row r="40" spans="1:15" ht="21" customHeight="1" x14ac:dyDescent="0.25">
      <c r="A40" s="1">
        <v>4111</v>
      </c>
      <c r="B40" s="27">
        <v>46038</v>
      </c>
      <c r="C40" s="26"/>
      <c r="D40" s="4" t="s">
        <v>32</v>
      </c>
      <c r="E40" s="26"/>
      <c r="F40" s="5">
        <v>4</v>
      </c>
      <c r="G40" s="26"/>
      <c r="H40" s="27">
        <v>46041</v>
      </c>
      <c r="I40" s="28">
        <v>3</v>
      </c>
      <c r="J40" s="27">
        <v>46045</v>
      </c>
      <c r="K40" s="26"/>
      <c r="L40" s="26"/>
      <c r="M40" s="26"/>
      <c r="N40" s="86" t="s">
        <v>4</v>
      </c>
      <c r="O40" s="87">
        <f>VLOOKUP(A40,'HIPERQUERATOSE 26'!$A$2:$G$1542,7,1)</f>
        <v>2</v>
      </c>
    </row>
    <row r="41" spans="1:15" ht="21" customHeight="1" x14ac:dyDescent="0.25">
      <c r="A41" s="1">
        <v>4277</v>
      </c>
      <c r="B41" s="27">
        <v>46041</v>
      </c>
      <c r="C41" s="26"/>
      <c r="D41" s="4" t="s">
        <v>25</v>
      </c>
      <c r="E41" s="26"/>
      <c r="F41" s="5">
        <v>4</v>
      </c>
      <c r="G41" s="26"/>
      <c r="H41" s="27">
        <v>46044</v>
      </c>
      <c r="I41" s="29">
        <v>5</v>
      </c>
      <c r="J41" s="27">
        <v>46050</v>
      </c>
      <c r="K41" s="26"/>
      <c r="L41" s="26"/>
      <c r="M41" s="26"/>
      <c r="N41" s="86"/>
      <c r="O41" s="87">
        <f>VLOOKUP(A41,'HIPERQUERATOSE 26'!$A$2:$G$1542,7,1)</f>
        <v>1</v>
      </c>
    </row>
    <row r="42" spans="1:15" ht="21" customHeight="1" x14ac:dyDescent="0.25">
      <c r="A42" s="1">
        <v>4157</v>
      </c>
      <c r="B42" s="27">
        <v>46041</v>
      </c>
      <c r="C42" s="26"/>
      <c r="D42" s="4" t="s">
        <v>25</v>
      </c>
      <c r="E42" s="26"/>
      <c r="F42" s="5">
        <v>4</v>
      </c>
      <c r="G42" s="26"/>
      <c r="H42" s="27">
        <v>46044</v>
      </c>
      <c r="I42" s="28">
        <v>5</v>
      </c>
      <c r="J42" s="27">
        <v>46050</v>
      </c>
      <c r="K42" s="26"/>
      <c r="L42" s="26"/>
      <c r="M42" s="26"/>
      <c r="N42" s="86"/>
      <c r="O42" s="87">
        <f>VLOOKUP(A42,'HIPERQUERATOSE 26'!$A$2:$G$1542,7,1)</f>
        <v>1.75</v>
      </c>
    </row>
    <row r="43" spans="1:15" ht="21" customHeight="1" x14ac:dyDescent="0.25">
      <c r="A43" s="1">
        <v>3858</v>
      </c>
      <c r="B43" s="27">
        <v>46041</v>
      </c>
      <c r="C43" s="26"/>
      <c r="D43" s="4" t="s">
        <v>25</v>
      </c>
      <c r="E43" s="26"/>
      <c r="F43" s="5">
        <v>4</v>
      </c>
      <c r="G43" s="26"/>
      <c r="H43" s="27">
        <v>46044</v>
      </c>
      <c r="I43" s="29">
        <v>5</v>
      </c>
      <c r="J43" s="27">
        <v>46050</v>
      </c>
      <c r="K43" s="26"/>
      <c r="L43" s="26"/>
      <c r="M43" s="26"/>
      <c r="N43" s="86"/>
      <c r="O43" s="87">
        <f>VLOOKUP(A43,'HIPERQUERATOSE 26'!$A$2:$G$1542,7,1)</f>
        <v>1.25</v>
      </c>
    </row>
    <row r="44" spans="1:15" ht="21" customHeight="1" x14ac:dyDescent="0.25">
      <c r="A44" s="1">
        <v>4677</v>
      </c>
      <c r="B44" s="27">
        <v>46043</v>
      </c>
      <c r="C44" s="26"/>
      <c r="D44" s="4" t="s">
        <v>32</v>
      </c>
      <c r="E44" s="26"/>
      <c r="F44" s="5">
        <v>4</v>
      </c>
      <c r="G44" s="26"/>
      <c r="H44" s="27">
        <v>46046</v>
      </c>
      <c r="I44" s="28">
        <v>3</v>
      </c>
      <c r="J44" s="27">
        <v>46050</v>
      </c>
      <c r="K44" s="26"/>
      <c r="L44" s="26"/>
      <c r="M44" s="26" t="s">
        <v>1</v>
      </c>
      <c r="N44" s="86"/>
      <c r="O44" s="87">
        <f>VLOOKUP(A44,'HIPERQUERATOSE 26'!$A$2:$G$1542,7,1)</f>
        <v>1.25</v>
      </c>
    </row>
    <row r="45" spans="1:15" ht="21" customHeight="1" x14ac:dyDescent="0.25">
      <c r="A45" s="1">
        <v>4452</v>
      </c>
      <c r="B45" s="27">
        <v>46042</v>
      </c>
      <c r="C45" s="26"/>
      <c r="D45" s="4" t="s">
        <v>34</v>
      </c>
      <c r="E45" s="26"/>
      <c r="F45" s="5">
        <v>4</v>
      </c>
      <c r="G45" s="26"/>
      <c r="H45" s="27">
        <v>46045</v>
      </c>
      <c r="I45" s="29">
        <v>3</v>
      </c>
      <c r="J45" s="27">
        <v>46049</v>
      </c>
      <c r="K45" s="26" t="s">
        <v>3</v>
      </c>
      <c r="L45" s="26"/>
      <c r="M45" s="26"/>
      <c r="N45" s="86"/>
      <c r="O45" s="87">
        <f>VLOOKUP(A45,'HIPERQUERATOSE 26'!$A$2:$G$1542,7,1)</f>
        <v>2</v>
      </c>
    </row>
    <row r="46" spans="1:15" ht="21" customHeight="1" x14ac:dyDescent="0.25">
      <c r="A46" s="1">
        <v>4385</v>
      </c>
      <c r="B46" s="27">
        <v>46043</v>
      </c>
      <c r="C46" s="26"/>
      <c r="D46" s="4" t="s">
        <v>20</v>
      </c>
      <c r="E46" s="26"/>
      <c r="F46" s="5">
        <v>4</v>
      </c>
      <c r="G46" s="26"/>
      <c r="H46" s="27">
        <v>46046</v>
      </c>
      <c r="I46" s="28">
        <v>9</v>
      </c>
      <c r="J46" s="27">
        <v>46056</v>
      </c>
      <c r="K46" s="26"/>
      <c r="L46" s="26"/>
      <c r="M46" s="26" t="s">
        <v>1</v>
      </c>
      <c r="N46" s="86"/>
      <c r="O46" s="87">
        <f>VLOOKUP(A46,'HIPERQUERATOSE 26'!$A$2:$G$1542,7,1)</f>
        <v>1.25</v>
      </c>
    </row>
    <row r="47" spans="1:15" ht="21" customHeight="1" x14ac:dyDescent="0.25">
      <c r="A47" s="1">
        <v>2885</v>
      </c>
      <c r="B47" s="27">
        <v>46043</v>
      </c>
      <c r="C47" s="26"/>
      <c r="D47" s="4" t="s">
        <v>20</v>
      </c>
      <c r="E47" s="26"/>
      <c r="F47" s="5">
        <v>4</v>
      </c>
      <c r="G47" s="26"/>
      <c r="H47" s="27">
        <v>46046</v>
      </c>
      <c r="I47" s="29">
        <v>9</v>
      </c>
      <c r="J47" s="27">
        <v>46056</v>
      </c>
      <c r="K47" s="26"/>
      <c r="L47" s="26"/>
      <c r="M47" s="26"/>
      <c r="N47" s="86" t="s">
        <v>4</v>
      </c>
      <c r="O47" s="87">
        <f>VLOOKUP(A47,'HIPERQUERATOSE 26'!$A$2:$G$1542,7,1)</f>
        <v>1</v>
      </c>
    </row>
    <row r="48" spans="1:15" ht="21" customHeight="1" x14ac:dyDescent="0.25">
      <c r="A48" s="1">
        <v>4026</v>
      </c>
      <c r="B48" s="27">
        <v>46043</v>
      </c>
      <c r="C48" s="26"/>
      <c r="D48" s="4" t="s">
        <v>25</v>
      </c>
      <c r="E48" s="26"/>
      <c r="F48" s="5">
        <v>4</v>
      </c>
      <c r="G48" s="26"/>
      <c r="H48" s="27">
        <v>46046</v>
      </c>
      <c r="I48" s="28">
        <v>5</v>
      </c>
      <c r="J48" s="27">
        <v>46052</v>
      </c>
      <c r="K48" s="26"/>
      <c r="L48" s="26" t="s">
        <v>5</v>
      </c>
      <c r="M48" s="26"/>
      <c r="N48" s="86"/>
      <c r="O48" s="87">
        <f>VLOOKUP(A48,'HIPERQUERATOSE 26'!$A$2:$G$1542,7,1)</f>
        <v>2.25</v>
      </c>
    </row>
    <row r="49" spans="1:15" ht="21" customHeight="1" x14ac:dyDescent="0.25">
      <c r="A49" s="1">
        <v>4492</v>
      </c>
      <c r="B49" s="27">
        <v>46043</v>
      </c>
      <c r="C49" s="26"/>
      <c r="D49" s="4" t="s">
        <v>20</v>
      </c>
      <c r="E49" s="26"/>
      <c r="F49" s="5">
        <v>4</v>
      </c>
      <c r="G49" s="26"/>
      <c r="H49" s="27">
        <v>46046</v>
      </c>
      <c r="I49" s="29">
        <v>9</v>
      </c>
      <c r="J49" s="27">
        <v>46056</v>
      </c>
      <c r="K49" s="26" t="s">
        <v>3</v>
      </c>
      <c r="L49" s="26" t="s">
        <v>5</v>
      </c>
      <c r="M49" s="26" t="s">
        <v>1</v>
      </c>
      <c r="N49" s="86"/>
      <c r="O49" s="87">
        <f>VLOOKUP(A49,'HIPERQUERATOSE 26'!$A$2:$G$1542,7,1)</f>
        <v>0.75</v>
      </c>
    </row>
    <row r="50" spans="1:15" ht="21" customHeight="1" x14ac:dyDescent="0.25">
      <c r="A50" s="1">
        <v>4277</v>
      </c>
      <c r="B50" s="27">
        <v>46043</v>
      </c>
      <c r="C50" s="26"/>
      <c r="D50" s="4" t="s">
        <v>20</v>
      </c>
      <c r="E50" s="26"/>
      <c r="F50" s="5">
        <v>4</v>
      </c>
      <c r="G50" s="26"/>
      <c r="H50" s="27">
        <v>46046</v>
      </c>
      <c r="I50" s="28">
        <v>9</v>
      </c>
      <c r="J50" s="27">
        <v>46056</v>
      </c>
      <c r="K50" s="26"/>
      <c r="L50" s="26" t="s">
        <v>5</v>
      </c>
      <c r="M50" s="26"/>
      <c r="N50" s="86" t="s">
        <v>4</v>
      </c>
      <c r="O50" s="87">
        <f>VLOOKUP(A50,'HIPERQUERATOSE 26'!$A$2:$G$1542,7,1)</f>
        <v>1</v>
      </c>
    </row>
    <row r="51" spans="1:15" ht="21" customHeight="1" x14ac:dyDescent="0.25">
      <c r="A51" s="1">
        <v>3422</v>
      </c>
      <c r="B51" s="27">
        <v>46044</v>
      </c>
      <c r="C51" s="26"/>
      <c r="D51" s="4" t="s">
        <v>32</v>
      </c>
      <c r="E51" s="26"/>
      <c r="F51" s="5">
        <v>4</v>
      </c>
      <c r="G51" s="26"/>
      <c r="H51" s="27">
        <v>46047</v>
      </c>
      <c r="I51" s="29">
        <v>3</v>
      </c>
      <c r="J51" s="27">
        <v>46051</v>
      </c>
      <c r="K51" s="26"/>
      <c r="L51" s="26" t="s">
        <v>5</v>
      </c>
      <c r="M51" s="26"/>
      <c r="N51" s="86"/>
      <c r="O51" s="87">
        <f>VLOOKUP(A51,'HIPERQUERATOSE 26'!$A$2:$G$1542,7,1)</f>
        <v>3.25</v>
      </c>
    </row>
    <row r="52" spans="1:15" ht="21" customHeight="1" x14ac:dyDescent="0.25">
      <c r="A52" s="1">
        <v>3330</v>
      </c>
      <c r="B52" s="27">
        <v>46044</v>
      </c>
      <c r="C52" s="26"/>
      <c r="D52" s="4" t="s">
        <v>25</v>
      </c>
      <c r="E52" s="26"/>
      <c r="F52" s="5">
        <v>4</v>
      </c>
      <c r="G52" s="26"/>
      <c r="H52" s="27">
        <v>46047</v>
      </c>
      <c r="I52" s="28">
        <v>5</v>
      </c>
      <c r="J52" s="27">
        <v>46053</v>
      </c>
      <c r="K52" s="26"/>
      <c r="L52" s="26" t="s">
        <v>5</v>
      </c>
      <c r="M52" s="26"/>
      <c r="N52" s="86"/>
      <c r="O52" s="87">
        <f>VLOOKUP(A52,'HIPERQUERATOSE 26'!$A$2:$G$1542,7,1)</f>
        <v>1.25</v>
      </c>
    </row>
    <row r="53" spans="1:15" ht="21" customHeight="1" x14ac:dyDescent="0.25">
      <c r="A53" s="1">
        <v>3739</v>
      </c>
      <c r="B53" s="27">
        <v>46045</v>
      </c>
      <c r="C53" s="26"/>
      <c r="D53" s="4" t="s">
        <v>32</v>
      </c>
      <c r="E53" s="26"/>
      <c r="F53" s="5">
        <v>4</v>
      </c>
      <c r="G53" s="26"/>
      <c r="H53" s="27">
        <v>46048</v>
      </c>
      <c r="I53" s="29">
        <v>3</v>
      </c>
      <c r="J53" s="27">
        <v>46052</v>
      </c>
      <c r="K53" s="26"/>
      <c r="L53" s="26"/>
      <c r="M53" s="26"/>
      <c r="N53" s="86" t="s">
        <v>4</v>
      </c>
      <c r="O53" s="87">
        <f>VLOOKUP(A53,'HIPERQUERATOSE 26'!$A$2:$G$1542,7,1)</f>
        <v>1</v>
      </c>
    </row>
    <row r="54" spans="1:15" ht="21" customHeight="1" x14ac:dyDescent="0.25">
      <c r="A54" s="1">
        <v>5191</v>
      </c>
      <c r="B54" s="27">
        <v>46046</v>
      </c>
      <c r="C54" s="26"/>
      <c r="D54" s="4" t="s">
        <v>32</v>
      </c>
      <c r="E54" s="26"/>
      <c r="F54" s="5">
        <v>4</v>
      </c>
      <c r="G54" s="26"/>
      <c r="H54" s="27">
        <v>46049</v>
      </c>
      <c r="I54" s="28">
        <v>3</v>
      </c>
      <c r="J54" s="27">
        <v>46053</v>
      </c>
      <c r="K54" s="26"/>
      <c r="L54" s="26" t="s">
        <v>5</v>
      </c>
      <c r="M54" s="26"/>
      <c r="N54" s="86"/>
      <c r="O54" s="87">
        <f>VLOOKUP(A54,'HIPERQUERATOSE 26'!$A$2:$G$1542,7,1)</f>
        <v>1.25</v>
      </c>
    </row>
    <row r="55" spans="1:15" ht="21" customHeight="1" x14ac:dyDescent="0.25">
      <c r="A55" s="1">
        <v>4017</v>
      </c>
      <c r="B55" s="27">
        <v>46046</v>
      </c>
      <c r="C55" s="26"/>
      <c r="D55" s="4" t="s">
        <v>32</v>
      </c>
      <c r="E55" s="26"/>
      <c r="F55" s="5">
        <v>4</v>
      </c>
      <c r="G55" s="26"/>
      <c r="H55" s="27">
        <v>46049</v>
      </c>
      <c r="I55" s="29">
        <v>3</v>
      </c>
      <c r="J55" s="27">
        <v>46053</v>
      </c>
      <c r="K55" s="26"/>
      <c r="L55" s="26"/>
      <c r="M55" s="26" t="s">
        <v>1</v>
      </c>
      <c r="N55" s="86"/>
      <c r="O55" s="87">
        <f>VLOOKUP(A55,'HIPERQUERATOSE 26'!$A$2:$G$1542,7,1)</f>
        <v>3.5</v>
      </c>
    </row>
    <row r="56" spans="1:15" ht="21" customHeight="1" x14ac:dyDescent="0.25">
      <c r="A56" s="1">
        <v>4200</v>
      </c>
      <c r="B56" s="27">
        <v>46046</v>
      </c>
      <c r="C56" s="26"/>
      <c r="D56" s="4" t="s">
        <v>32</v>
      </c>
      <c r="E56" s="26"/>
      <c r="F56" s="5">
        <v>4</v>
      </c>
      <c r="G56" s="26"/>
      <c r="H56" s="27">
        <v>46049</v>
      </c>
      <c r="I56" s="28">
        <v>3</v>
      </c>
      <c r="J56" s="27">
        <v>46053</v>
      </c>
      <c r="K56" s="26"/>
      <c r="L56" s="26"/>
      <c r="M56" s="26" t="s">
        <v>1</v>
      </c>
      <c r="N56" s="86"/>
      <c r="O56" s="87">
        <f>VLOOKUP(A56,'HIPERQUERATOSE 26'!$A$2:$G$1542,7,1)</f>
        <v>1</v>
      </c>
    </row>
    <row r="57" spans="1:15" ht="21" customHeight="1" x14ac:dyDescent="0.25">
      <c r="A57" s="1">
        <v>4664</v>
      </c>
      <c r="B57" s="27">
        <v>46046</v>
      </c>
      <c r="C57" s="26"/>
      <c r="D57" s="4" t="s">
        <v>32</v>
      </c>
      <c r="E57" s="26"/>
      <c r="F57" s="5">
        <v>4</v>
      </c>
      <c r="G57" s="26"/>
      <c r="H57" s="27">
        <v>46049</v>
      </c>
      <c r="I57" s="29">
        <v>3</v>
      </c>
      <c r="J57" s="27">
        <v>46053</v>
      </c>
      <c r="K57" s="26" t="s">
        <v>3</v>
      </c>
      <c r="L57" s="26"/>
      <c r="M57" s="26"/>
      <c r="N57" s="86"/>
      <c r="O57" s="87">
        <f>VLOOKUP(A57,'HIPERQUERATOSE 26'!$A$2:$G$1542,7,1)</f>
        <v>1</v>
      </c>
    </row>
    <row r="58" spans="1:15" ht="21" customHeight="1" x14ac:dyDescent="0.25">
      <c r="A58" s="1">
        <v>3576</v>
      </c>
      <c r="B58" s="27">
        <v>46047</v>
      </c>
      <c r="C58" s="26"/>
      <c r="D58" s="4" t="s">
        <v>25</v>
      </c>
      <c r="E58" s="26"/>
      <c r="F58" s="5">
        <v>4</v>
      </c>
      <c r="G58" s="26"/>
      <c r="H58" s="27">
        <v>46050</v>
      </c>
      <c r="I58" s="28">
        <v>5</v>
      </c>
      <c r="J58" s="27">
        <v>46056</v>
      </c>
      <c r="K58" s="26"/>
      <c r="L58" s="26"/>
      <c r="M58" s="26"/>
      <c r="N58" s="86" t="s">
        <v>4</v>
      </c>
      <c r="O58" s="87">
        <f>VLOOKUP(A58,'HIPERQUERATOSE 26'!$A$2:$G$1542,7,1)</f>
        <v>2.25</v>
      </c>
    </row>
    <row r="59" spans="1:15" ht="21" customHeight="1" x14ac:dyDescent="0.25">
      <c r="A59" s="1">
        <v>5202</v>
      </c>
      <c r="B59" s="27">
        <v>46048</v>
      </c>
      <c r="C59" s="26"/>
      <c r="D59" s="4" t="s">
        <v>7</v>
      </c>
      <c r="E59" s="26"/>
      <c r="F59" s="5">
        <v>4</v>
      </c>
      <c r="G59" s="26"/>
      <c r="H59" s="27">
        <v>46051</v>
      </c>
      <c r="I59" s="29">
        <v>3</v>
      </c>
      <c r="J59" s="27">
        <v>46055</v>
      </c>
      <c r="K59" s="26"/>
      <c r="L59" s="26"/>
      <c r="M59" s="26" t="s">
        <v>1</v>
      </c>
      <c r="N59" s="86"/>
      <c r="O59" s="87">
        <f>VLOOKUP(A59,'HIPERQUERATOSE 26'!$A$2:$G$1542,7,1)</f>
        <v>1.5</v>
      </c>
    </row>
    <row r="60" spans="1:15" ht="21" customHeight="1" x14ac:dyDescent="0.25">
      <c r="A60" s="1">
        <v>4026</v>
      </c>
      <c r="B60" s="27">
        <v>46048</v>
      </c>
      <c r="C60" s="26"/>
      <c r="D60" s="4" t="s">
        <v>21</v>
      </c>
      <c r="E60" s="26"/>
      <c r="F60" s="5">
        <v>4</v>
      </c>
      <c r="G60" s="26"/>
      <c r="H60" s="27">
        <v>46051</v>
      </c>
      <c r="I60" s="28">
        <v>9</v>
      </c>
      <c r="J60" s="27">
        <v>46061</v>
      </c>
      <c r="K60" s="26"/>
      <c r="L60" s="26" t="s">
        <v>5</v>
      </c>
      <c r="M60" s="26"/>
      <c r="N60" s="86"/>
      <c r="O60" s="87">
        <f>VLOOKUP(A60,'HIPERQUERATOSE 26'!$A$2:$G$1542,7,1)</f>
        <v>2.25</v>
      </c>
    </row>
    <row r="61" spans="1:15" ht="21" customHeight="1" x14ac:dyDescent="0.25">
      <c r="A61" s="1">
        <v>4452</v>
      </c>
      <c r="B61" s="27">
        <v>46048</v>
      </c>
      <c r="C61" s="26"/>
      <c r="D61" s="4" t="s">
        <v>21</v>
      </c>
      <c r="E61" s="26"/>
      <c r="F61" s="5">
        <v>4</v>
      </c>
      <c r="G61" s="26"/>
      <c r="H61" s="27">
        <v>46051</v>
      </c>
      <c r="I61" s="29">
        <v>9</v>
      </c>
      <c r="J61" s="27">
        <v>46061</v>
      </c>
      <c r="K61" s="26" t="s">
        <v>3</v>
      </c>
      <c r="L61" s="26"/>
      <c r="M61" s="26"/>
      <c r="N61" s="86"/>
      <c r="O61" s="87">
        <f>VLOOKUP(A61,'HIPERQUERATOSE 26'!$A$2:$G$1542,7,1)</f>
        <v>2</v>
      </c>
    </row>
    <row r="62" spans="1:15" ht="21" customHeight="1" x14ac:dyDescent="0.25">
      <c r="A62" s="1">
        <v>3746</v>
      </c>
      <c r="B62" s="27">
        <v>46048</v>
      </c>
      <c r="C62" s="26"/>
      <c r="D62" s="4" t="s">
        <v>21</v>
      </c>
      <c r="E62" s="26"/>
      <c r="F62" s="5">
        <v>4</v>
      </c>
      <c r="G62" s="26"/>
      <c r="H62" s="27">
        <v>46051</v>
      </c>
      <c r="I62" s="28">
        <v>9</v>
      </c>
      <c r="J62" s="27">
        <v>46061</v>
      </c>
      <c r="K62" s="26"/>
      <c r="L62" s="26"/>
      <c r="M62" s="26" t="s">
        <v>1</v>
      </c>
      <c r="N62" s="86"/>
      <c r="O62" s="87">
        <f>VLOOKUP(A62,'HIPERQUERATOSE 26'!$A$2:$G$1542,7,1)</f>
        <v>2.25</v>
      </c>
    </row>
    <row r="63" spans="1:15" ht="21" customHeight="1" x14ac:dyDescent="0.25">
      <c r="A63" s="1">
        <v>2931</v>
      </c>
      <c r="B63" s="27">
        <v>46049</v>
      </c>
      <c r="C63" s="26"/>
      <c r="D63" s="4" t="s">
        <v>0</v>
      </c>
      <c r="E63" s="26"/>
      <c r="F63" s="5">
        <v>4</v>
      </c>
      <c r="G63" s="26"/>
      <c r="H63" s="27">
        <v>46052</v>
      </c>
      <c r="I63" s="29">
        <v>5</v>
      </c>
      <c r="J63" s="27">
        <v>46058</v>
      </c>
      <c r="K63" s="26"/>
      <c r="L63" s="26"/>
      <c r="M63" s="26" t="s">
        <v>1</v>
      </c>
      <c r="N63" s="86"/>
      <c r="O63" s="87">
        <f>VLOOKUP(A63,'HIPERQUERATOSE 26'!$A$2:$G$1542,7,1)</f>
        <v>2.75</v>
      </c>
    </row>
    <row r="64" spans="1:15" ht="21" customHeight="1" x14ac:dyDescent="0.25">
      <c r="A64" s="1">
        <v>4438</v>
      </c>
      <c r="B64" s="27">
        <v>46049</v>
      </c>
      <c r="C64" s="26"/>
      <c r="D64" s="4" t="s">
        <v>0</v>
      </c>
      <c r="E64" s="26"/>
      <c r="F64" s="5">
        <v>4</v>
      </c>
      <c r="G64" s="26"/>
      <c r="H64" s="27">
        <v>46052</v>
      </c>
      <c r="I64" s="28">
        <v>5</v>
      </c>
      <c r="J64" s="27">
        <v>46058</v>
      </c>
      <c r="K64" s="26"/>
      <c r="L64" s="26"/>
      <c r="M64" s="26" t="s">
        <v>1</v>
      </c>
      <c r="N64" s="86"/>
      <c r="O64" s="87">
        <f>VLOOKUP(A64,'HIPERQUERATOSE 26'!$A$2:$G$1542,7,1)</f>
        <v>3.5</v>
      </c>
    </row>
    <row r="65" spans="1:15" ht="21" customHeight="1" x14ac:dyDescent="0.25">
      <c r="A65" s="1">
        <v>3511</v>
      </c>
      <c r="B65" s="27">
        <v>46049</v>
      </c>
      <c r="C65" s="26"/>
      <c r="D65" s="4" t="s">
        <v>0</v>
      </c>
      <c r="E65" s="26"/>
      <c r="F65" s="5">
        <v>4</v>
      </c>
      <c r="G65" s="26"/>
      <c r="H65" s="27">
        <v>46052</v>
      </c>
      <c r="I65" s="29">
        <v>5</v>
      </c>
      <c r="J65" s="27">
        <v>46058</v>
      </c>
      <c r="K65" s="26" t="s">
        <v>3</v>
      </c>
      <c r="L65" s="26"/>
      <c r="M65" s="26"/>
      <c r="N65" s="86"/>
      <c r="O65" s="87">
        <f>VLOOKUP(A65,'HIPERQUERATOSE 26'!$A$2:$G$1542,7,1)</f>
        <v>2.5</v>
      </c>
    </row>
    <row r="66" spans="1:15" ht="21" customHeight="1" x14ac:dyDescent="0.25">
      <c r="A66" s="1">
        <v>4157</v>
      </c>
      <c r="B66" s="27">
        <v>46049</v>
      </c>
      <c r="C66" s="26"/>
      <c r="D66" s="4" t="s">
        <v>34</v>
      </c>
      <c r="E66" s="26"/>
      <c r="F66" s="5">
        <v>4</v>
      </c>
      <c r="G66" s="26"/>
      <c r="H66" s="27">
        <v>46052</v>
      </c>
      <c r="I66" s="28">
        <v>3</v>
      </c>
      <c r="J66" s="27">
        <v>46056</v>
      </c>
      <c r="K66" s="26"/>
      <c r="L66" s="26" t="s">
        <v>5</v>
      </c>
      <c r="M66" s="26"/>
      <c r="N66" s="86"/>
      <c r="O66" s="87">
        <f>VLOOKUP(A66,'HIPERQUERATOSE 26'!$A$2:$G$1542,7,1)</f>
        <v>1.75</v>
      </c>
    </row>
    <row r="67" spans="1:15" ht="21" customHeight="1" x14ac:dyDescent="0.25">
      <c r="A67" s="1">
        <v>4578</v>
      </c>
      <c r="B67" s="27">
        <v>46049</v>
      </c>
      <c r="C67" s="26"/>
      <c r="D67" s="4" t="s">
        <v>20</v>
      </c>
      <c r="E67" s="26"/>
      <c r="F67" s="5">
        <v>4</v>
      </c>
      <c r="G67" s="26"/>
      <c r="H67" s="27">
        <v>46052</v>
      </c>
      <c r="I67" s="29">
        <v>9</v>
      </c>
      <c r="J67" s="27">
        <v>46062</v>
      </c>
      <c r="K67" s="26"/>
      <c r="L67" s="26" t="s">
        <v>5</v>
      </c>
      <c r="M67" s="26"/>
      <c r="N67" s="86"/>
      <c r="O67" s="87">
        <f>VLOOKUP(A67,'HIPERQUERATOSE 26'!$A$2:$G$1542,7,1)</f>
        <v>1.25</v>
      </c>
    </row>
    <row r="68" spans="1:15" ht="21" customHeight="1" x14ac:dyDescent="0.25">
      <c r="A68" s="1">
        <v>892</v>
      </c>
      <c r="B68" s="27">
        <v>46050</v>
      </c>
      <c r="C68" s="26"/>
      <c r="D68" s="4" t="s">
        <v>7</v>
      </c>
      <c r="E68" s="26"/>
      <c r="F68" s="5">
        <v>4</v>
      </c>
      <c r="G68" s="26"/>
      <c r="H68" s="27">
        <v>46053</v>
      </c>
      <c r="I68" s="28">
        <v>3</v>
      </c>
      <c r="J68" s="27">
        <v>46058</v>
      </c>
      <c r="K68" s="26"/>
      <c r="L68" s="26"/>
      <c r="M68" s="26"/>
      <c r="N68" s="86" t="s">
        <v>4</v>
      </c>
      <c r="O68" s="87">
        <f>VLOOKUP(A68,'HIPERQUERATOSE 26'!$A$2:$G$1542,7,1)</f>
        <v>1</v>
      </c>
    </row>
    <row r="69" spans="1:15" ht="21" customHeight="1" x14ac:dyDescent="0.25">
      <c r="A69" s="1">
        <v>4692</v>
      </c>
      <c r="B69" s="27">
        <v>46050</v>
      </c>
      <c r="C69" s="26"/>
      <c r="D69" s="4" t="s">
        <v>35</v>
      </c>
      <c r="E69" s="26"/>
      <c r="F69" s="5">
        <v>4</v>
      </c>
      <c r="G69" s="26"/>
      <c r="H69" s="27">
        <v>46053</v>
      </c>
      <c r="I69" s="29">
        <v>4</v>
      </c>
      <c r="J69" s="27">
        <v>46058</v>
      </c>
      <c r="K69" s="26"/>
      <c r="L69" s="26"/>
      <c r="M69" s="26" t="s">
        <v>1</v>
      </c>
      <c r="N69" s="86"/>
      <c r="O69" s="87">
        <f>VLOOKUP(A69,'HIPERQUERATOSE 26'!$A$2:$G$1542,7,1)</f>
        <v>1.5</v>
      </c>
    </row>
    <row r="70" spans="1:15" ht="21" customHeight="1" x14ac:dyDescent="0.25">
      <c r="A70" s="1">
        <v>4617</v>
      </c>
      <c r="B70" s="27">
        <v>46050</v>
      </c>
      <c r="C70" s="26"/>
      <c r="D70" s="4" t="s">
        <v>0</v>
      </c>
      <c r="E70" s="26"/>
      <c r="F70" s="5">
        <v>4</v>
      </c>
      <c r="G70" s="26"/>
      <c r="H70" s="27">
        <v>46053</v>
      </c>
      <c r="I70" s="28">
        <v>5</v>
      </c>
      <c r="J70" s="27">
        <v>46059</v>
      </c>
      <c r="K70" s="26" t="s">
        <v>3</v>
      </c>
      <c r="L70" s="26"/>
      <c r="M70" s="26"/>
      <c r="N70" s="86"/>
      <c r="O70" s="87">
        <f>VLOOKUP(A70,'HIPERQUERATOSE 26'!$A$2:$G$1542,7,1)</f>
        <v>2.75</v>
      </c>
    </row>
    <row r="71" spans="1:15" ht="21" customHeight="1" x14ac:dyDescent="0.25">
      <c r="A71" s="1">
        <v>5194</v>
      </c>
      <c r="B71" s="27">
        <v>46051</v>
      </c>
      <c r="C71" s="26"/>
      <c r="D71" s="4" t="s">
        <v>34</v>
      </c>
      <c r="E71" s="26"/>
      <c r="F71" s="5">
        <v>4</v>
      </c>
      <c r="G71" s="26"/>
      <c r="H71" s="27">
        <v>46054</v>
      </c>
      <c r="I71" s="29">
        <v>3</v>
      </c>
      <c r="J71" s="27">
        <v>46058</v>
      </c>
      <c r="K71" s="26"/>
      <c r="L71" s="26"/>
      <c r="M71" s="26"/>
      <c r="N71" s="86" t="s">
        <v>4</v>
      </c>
      <c r="O71" s="87">
        <f>VLOOKUP(A71,'HIPERQUERATOSE 26'!$A$2:$G$1542,7,1)</f>
        <v>1</v>
      </c>
    </row>
    <row r="72" spans="1:15" ht="21" customHeight="1" x14ac:dyDescent="0.25">
      <c r="A72" s="1">
        <v>4125</v>
      </c>
      <c r="B72" s="27">
        <v>46051</v>
      </c>
      <c r="C72" s="26"/>
      <c r="D72" s="4" t="s">
        <v>35</v>
      </c>
      <c r="E72" s="26"/>
      <c r="F72" s="5">
        <v>4</v>
      </c>
      <c r="G72" s="26"/>
      <c r="H72" s="27">
        <v>46054</v>
      </c>
      <c r="I72" s="28">
        <v>4</v>
      </c>
      <c r="J72" s="27">
        <v>46059</v>
      </c>
      <c r="K72" s="26"/>
      <c r="L72" s="26"/>
      <c r="M72" s="26" t="s">
        <v>1</v>
      </c>
      <c r="N72" s="86"/>
      <c r="O72" s="87">
        <f>VLOOKUP(A72,'HIPERQUERATOSE 26'!$A$2:$G$1542,7,1)</f>
        <v>1.5</v>
      </c>
    </row>
    <row r="73" spans="1:15" ht="21" customHeight="1" x14ac:dyDescent="0.25">
      <c r="A73" s="1">
        <v>4601</v>
      </c>
      <c r="B73" s="27">
        <v>46052</v>
      </c>
      <c r="C73" s="26"/>
      <c r="D73" s="4" t="s">
        <v>0</v>
      </c>
      <c r="E73" s="26"/>
      <c r="F73" s="5">
        <v>4</v>
      </c>
      <c r="G73" s="26"/>
      <c r="H73" s="27">
        <v>46055</v>
      </c>
      <c r="I73" s="29">
        <v>5</v>
      </c>
      <c r="J73" s="27">
        <v>46062</v>
      </c>
      <c r="K73" s="26"/>
      <c r="L73" s="26" t="s">
        <v>5</v>
      </c>
      <c r="M73" s="26"/>
      <c r="N73" s="86"/>
      <c r="O73" s="87">
        <f>VLOOKUP(A73,'HIPERQUERATOSE 26'!$A$2:$G$1542,7,1)</f>
        <v>1</v>
      </c>
    </row>
    <row r="74" spans="1:15" ht="21" customHeight="1" x14ac:dyDescent="0.25">
      <c r="A74" s="1">
        <v>5175</v>
      </c>
      <c r="B74" s="27">
        <v>46053</v>
      </c>
      <c r="C74" s="26"/>
      <c r="D74" s="4" t="s">
        <v>34</v>
      </c>
      <c r="E74" s="26"/>
      <c r="F74" s="5">
        <v>4</v>
      </c>
      <c r="G74" s="26"/>
      <c r="H74" s="27">
        <v>46056</v>
      </c>
      <c r="I74" s="28">
        <v>3</v>
      </c>
      <c r="J74" s="27">
        <v>46060</v>
      </c>
      <c r="K74" s="26"/>
      <c r="L74" s="26"/>
      <c r="M74" s="26" t="s">
        <v>1</v>
      </c>
      <c r="N74" s="86"/>
      <c r="O74" s="87">
        <f>VLOOKUP(A74,'HIPERQUERATOSE 26'!$A$2:$G$1542,7,1)</f>
        <v>1.25</v>
      </c>
    </row>
    <row r="75" spans="1:15" ht="21" customHeight="1" x14ac:dyDescent="0.25">
      <c r="A75" s="1">
        <v>4464</v>
      </c>
      <c r="B75" s="27">
        <v>46053</v>
      </c>
      <c r="C75" s="26"/>
      <c r="D75" s="4" t="s">
        <v>34</v>
      </c>
      <c r="E75" s="26"/>
      <c r="F75" s="5">
        <v>4</v>
      </c>
      <c r="G75" s="26"/>
      <c r="H75" s="27">
        <v>46056</v>
      </c>
      <c r="I75" s="29">
        <v>3</v>
      </c>
      <c r="J75" s="27">
        <v>46060</v>
      </c>
      <c r="K75" s="26" t="s">
        <v>3</v>
      </c>
      <c r="L75" s="26"/>
      <c r="M75" s="26"/>
      <c r="N75" s="86"/>
      <c r="O75" s="87">
        <f>VLOOKUP(A75,'HIPERQUERATOSE 26'!$A$2:$G$1542,7,1)</f>
        <v>2</v>
      </c>
    </row>
    <row r="76" spans="1:15" ht="21" customHeight="1" x14ac:dyDescent="0.25">
      <c r="A76" s="1">
        <v>4617</v>
      </c>
      <c r="B76" s="27">
        <v>46053</v>
      </c>
      <c r="C76" s="26"/>
      <c r="D76" s="4" t="s">
        <v>20</v>
      </c>
      <c r="E76" s="26"/>
      <c r="F76" s="5">
        <v>4</v>
      </c>
      <c r="G76" s="26"/>
      <c r="H76" s="27">
        <v>46056</v>
      </c>
      <c r="I76" s="28">
        <v>9</v>
      </c>
      <c r="J76" s="27">
        <v>46066</v>
      </c>
      <c r="K76" s="26" t="s">
        <v>3</v>
      </c>
      <c r="L76" s="26"/>
      <c r="M76" s="26"/>
      <c r="N76" s="86"/>
      <c r="O76" s="87">
        <f>VLOOKUP(A76,'HIPERQUERATOSE 26'!$A$2:$G$1542,7,1)</f>
        <v>2.75</v>
      </c>
    </row>
    <row r="77" spans="1:15" ht="21" customHeight="1" x14ac:dyDescent="0.25">
      <c r="A77" s="1">
        <v>4129</v>
      </c>
      <c r="B77" s="27">
        <v>46055</v>
      </c>
      <c r="C77" s="26"/>
      <c r="D77" s="4" t="s">
        <v>0</v>
      </c>
      <c r="E77" s="26"/>
      <c r="F77" s="5">
        <v>4</v>
      </c>
      <c r="G77" s="26"/>
      <c r="H77" s="27">
        <v>46058</v>
      </c>
      <c r="I77" s="29">
        <v>5</v>
      </c>
      <c r="J77" s="27">
        <v>46064</v>
      </c>
      <c r="K77" s="26"/>
      <c r="L77" s="26"/>
      <c r="M77" s="26"/>
      <c r="N77" s="86" t="s">
        <v>4</v>
      </c>
      <c r="O77" s="87">
        <f>VLOOKUP(A77,'HIPERQUERATOSE 26'!$A$2:$G$1542,7,1)</f>
        <v>1</v>
      </c>
    </row>
    <row r="78" spans="1:15" ht="21" customHeight="1" x14ac:dyDescent="0.25">
      <c r="A78" s="1">
        <v>3439</v>
      </c>
      <c r="B78" s="27">
        <v>46055</v>
      </c>
      <c r="C78" s="26"/>
      <c r="D78" s="4" t="s">
        <v>20</v>
      </c>
      <c r="E78" s="26"/>
      <c r="F78" s="5">
        <v>4</v>
      </c>
      <c r="G78" s="26"/>
      <c r="H78" s="27">
        <v>46058</v>
      </c>
      <c r="I78" s="28">
        <v>9</v>
      </c>
      <c r="J78" s="27">
        <v>46068</v>
      </c>
      <c r="K78" s="26"/>
      <c r="L78" s="26" t="s">
        <v>5</v>
      </c>
      <c r="M78" s="26"/>
      <c r="N78" s="86"/>
      <c r="O78" s="87">
        <f>VLOOKUP(A78,'HIPERQUERATOSE 26'!$A$2:$G$1542,7,1)</f>
        <v>2.25</v>
      </c>
    </row>
    <row r="79" spans="1:15" ht="21" customHeight="1" x14ac:dyDescent="0.25">
      <c r="A79" s="1">
        <v>3576</v>
      </c>
      <c r="B79" s="27">
        <v>46056</v>
      </c>
      <c r="C79" s="26"/>
      <c r="D79" s="4" t="s">
        <v>34</v>
      </c>
      <c r="E79" s="26"/>
      <c r="F79" s="5">
        <v>4</v>
      </c>
      <c r="G79" s="26"/>
      <c r="H79" s="27">
        <v>46059</v>
      </c>
      <c r="I79" s="29">
        <v>3</v>
      </c>
      <c r="J79" s="27">
        <v>46063</v>
      </c>
      <c r="K79" s="26"/>
      <c r="L79" s="26"/>
      <c r="M79" s="26"/>
      <c r="N79" s="86" t="s">
        <v>4</v>
      </c>
      <c r="O79" s="87">
        <f>VLOOKUP(A79,'HIPERQUERATOSE 26'!$A$2:$G$1542,7,1)</f>
        <v>2.25</v>
      </c>
    </row>
    <row r="80" spans="1:15" ht="21" customHeight="1" x14ac:dyDescent="0.25">
      <c r="A80" s="1">
        <v>4692</v>
      </c>
      <c r="B80" s="27">
        <v>46056</v>
      </c>
      <c r="C80" s="26"/>
      <c r="D80" s="4" t="s">
        <v>0</v>
      </c>
      <c r="E80" s="26"/>
      <c r="F80" s="5">
        <v>4</v>
      </c>
      <c r="G80" s="26"/>
      <c r="H80" s="27">
        <v>46059</v>
      </c>
      <c r="I80" s="28">
        <v>3</v>
      </c>
      <c r="J80" s="27">
        <v>46063</v>
      </c>
      <c r="K80" s="26"/>
      <c r="L80" s="26"/>
      <c r="M80" s="26" t="s">
        <v>1</v>
      </c>
      <c r="N80" s="86" t="s">
        <v>4</v>
      </c>
      <c r="O80" s="87">
        <f>VLOOKUP(A80,'HIPERQUERATOSE 26'!$A$2:$G$1542,7,1)</f>
        <v>1.5</v>
      </c>
    </row>
    <row r="81" spans="1:15" ht="21" customHeight="1" x14ac:dyDescent="0.25">
      <c r="A81" s="1">
        <v>4260</v>
      </c>
      <c r="B81" s="27">
        <v>46056</v>
      </c>
      <c r="C81" s="26"/>
      <c r="D81" s="4" t="s">
        <v>34</v>
      </c>
      <c r="E81" s="26"/>
      <c r="F81" s="5">
        <v>4</v>
      </c>
      <c r="G81" s="26"/>
      <c r="H81" s="27">
        <v>46059</v>
      </c>
      <c r="I81" s="29">
        <v>3</v>
      </c>
      <c r="J81" s="27">
        <v>46063</v>
      </c>
      <c r="K81" s="26"/>
      <c r="L81" s="26"/>
      <c r="M81" s="26"/>
      <c r="N81" s="86" t="s">
        <v>4</v>
      </c>
      <c r="O81" s="87">
        <f>VLOOKUP(A81,'HIPERQUERATOSE 26'!$A$2:$G$1542,7,1)</f>
        <v>1</v>
      </c>
    </row>
    <row r="82" spans="1:15" ht="21" customHeight="1" x14ac:dyDescent="0.25">
      <c r="A82" s="1">
        <v>4189</v>
      </c>
      <c r="B82" s="27">
        <v>46058</v>
      </c>
      <c r="C82" s="26"/>
      <c r="D82" s="4" t="s">
        <v>34</v>
      </c>
      <c r="E82" s="26"/>
      <c r="F82" s="5">
        <v>4</v>
      </c>
      <c r="G82" s="26"/>
      <c r="H82" s="27">
        <v>46061</v>
      </c>
      <c r="I82" s="28">
        <v>3</v>
      </c>
      <c r="J82" s="27">
        <v>46065</v>
      </c>
      <c r="K82" s="26"/>
      <c r="L82" s="26" t="s">
        <v>5</v>
      </c>
      <c r="M82" s="26"/>
      <c r="N82" s="86"/>
      <c r="O82" s="87">
        <f>VLOOKUP(A82,'HIPERQUERATOSE 26'!$A$2:$G$1542,7,1)</f>
        <v>2.75</v>
      </c>
    </row>
    <row r="83" spans="1:15" ht="21" customHeight="1" x14ac:dyDescent="0.25">
      <c r="A83" s="1">
        <v>5485</v>
      </c>
      <c r="B83" s="27">
        <v>46058</v>
      </c>
      <c r="C83" s="26"/>
      <c r="D83" s="4" t="s">
        <v>21</v>
      </c>
      <c r="E83" s="26"/>
      <c r="F83" s="5">
        <v>4</v>
      </c>
      <c r="G83" s="26"/>
      <c r="H83" s="27">
        <v>46061</v>
      </c>
      <c r="I83" s="29">
        <v>9</v>
      </c>
      <c r="J83" s="27">
        <v>46071</v>
      </c>
      <c r="K83" s="26"/>
      <c r="L83" s="26"/>
      <c r="M83" s="26" t="s">
        <v>1</v>
      </c>
      <c r="N83" s="86"/>
      <c r="O83" s="87">
        <f>VLOOKUP(A83,'HIPERQUERATOSE 26'!$A$2:$G$1542,7,1)</f>
        <v>2.5</v>
      </c>
    </row>
    <row r="84" spans="1:15" ht="21" customHeight="1" x14ac:dyDescent="0.25">
      <c r="A84" s="1">
        <v>4501</v>
      </c>
      <c r="B84" s="27">
        <v>46059</v>
      </c>
      <c r="C84" s="26"/>
      <c r="D84" s="4" t="s">
        <v>34</v>
      </c>
      <c r="E84" s="26"/>
      <c r="F84" s="5">
        <v>4</v>
      </c>
      <c r="G84" s="26"/>
      <c r="H84" s="27">
        <v>46062</v>
      </c>
      <c r="I84" s="28">
        <v>3</v>
      </c>
      <c r="J84" s="27">
        <v>46066</v>
      </c>
      <c r="K84" s="26"/>
      <c r="L84" s="26" t="s">
        <v>5</v>
      </c>
      <c r="M84" s="26"/>
      <c r="N84" s="86"/>
      <c r="O84" s="87">
        <f>VLOOKUP(A84,'HIPERQUERATOSE 26'!$A$2:$G$1542,7,1)</f>
        <v>2.5</v>
      </c>
    </row>
    <row r="85" spans="1:15" ht="21" customHeight="1" x14ac:dyDescent="0.25">
      <c r="A85" s="1">
        <v>3935</v>
      </c>
      <c r="B85" s="27">
        <v>46060</v>
      </c>
      <c r="C85" s="26"/>
      <c r="D85" s="4" t="s">
        <v>34</v>
      </c>
      <c r="E85" s="26"/>
      <c r="F85" s="5">
        <v>4</v>
      </c>
      <c r="G85" s="26"/>
      <c r="H85" s="27">
        <v>46063</v>
      </c>
      <c r="I85" s="29">
        <v>3</v>
      </c>
      <c r="J85" s="27">
        <v>46067</v>
      </c>
      <c r="K85" s="26" t="s">
        <v>3</v>
      </c>
      <c r="L85" s="26"/>
      <c r="M85" s="26"/>
      <c r="N85" s="86"/>
      <c r="O85" s="87">
        <f>VLOOKUP(A85,'HIPERQUERATOSE 26'!$A$2:$G$1542,7,1)</f>
        <v>2.25</v>
      </c>
    </row>
    <row r="86" spans="1:15" ht="21" customHeight="1" x14ac:dyDescent="0.25">
      <c r="A86" s="1">
        <v>3596</v>
      </c>
      <c r="B86" s="27">
        <v>46060</v>
      </c>
      <c r="C86" s="26"/>
      <c r="D86" s="4" t="s">
        <v>34</v>
      </c>
      <c r="E86" s="26"/>
      <c r="F86" s="5">
        <v>4</v>
      </c>
      <c r="G86" s="26"/>
      <c r="H86" s="27">
        <v>46063</v>
      </c>
      <c r="I86" s="28">
        <v>3</v>
      </c>
      <c r="J86" s="27">
        <v>46067</v>
      </c>
      <c r="K86" s="26"/>
      <c r="L86" s="26" t="s">
        <v>5</v>
      </c>
      <c r="M86" s="26"/>
      <c r="N86" s="86"/>
      <c r="O86" s="87">
        <f>VLOOKUP(A86,'HIPERQUERATOSE 26'!$A$2:$G$1542,7,1)</f>
        <v>1.25</v>
      </c>
    </row>
    <row r="87" spans="1:15" ht="21" customHeight="1" x14ac:dyDescent="0.25">
      <c r="A87" s="1">
        <v>2924</v>
      </c>
      <c r="B87" s="27">
        <v>46061</v>
      </c>
      <c r="C87" s="26"/>
      <c r="D87" s="4" t="s">
        <v>32</v>
      </c>
      <c r="E87" s="26"/>
      <c r="F87" s="5">
        <v>4</v>
      </c>
      <c r="G87" s="26"/>
      <c r="H87" s="27">
        <v>46064</v>
      </c>
      <c r="I87" s="29">
        <v>3</v>
      </c>
      <c r="J87" s="27">
        <v>46068</v>
      </c>
      <c r="K87" s="26"/>
      <c r="L87" s="26" t="s">
        <v>5</v>
      </c>
      <c r="M87" s="26"/>
      <c r="N87" s="86"/>
      <c r="O87" s="87">
        <f>VLOOKUP(A87,'HIPERQUERATOSE 26'!$A$2:$G$1542,7,1)</f>
        <v>3</v>
      </c>
    </row>
    <row r="88" spans="1:15" ht="21" customHeight="1" x14ac:dyDescent="0.25">
      <c r="A88" s="1">
        <v>4924</v>
      </c>
      <c r="B88" s="27">
        <v>46061</v>
      </c>
      <c r="C88" s="26"/>
      <c r="D88" s="4" t="s">
        <v>32</v>
      </c>
      <c r="E88" s="26"/>
      <c r="F88" s="5">
        <v>4</v>
      </c>
      <c r="G88" s="26"/>
      <c r="H88" s="27">
        <v>46064</v>
      </c>
      <c r="I88" s="28">
        <v>3</v>
      </c>
      <c r="J88" s="27">
        <v>46068</v>
      </c>
      <c r="K88" s="26"/>
      <c r="L88" s="26"/>
      <c r="M88" s="26" t="s">
        <v>1</v>
      </c>
      <c r="N88" s="86"/>
      <c r="O88" s="87">
        <f>VLOOKUP(A88,'HIPERQUERATOSE 26'!$A$2:$G$1542,7,1)</f>
        <v>1</v>
      </c>
    </row>
    <row r="89" spans="1:15" ht="21" customHeight="1" x14ac:dyDescent="0.25">
      <c r="A89" s="1">
        <v>3428</v>
      </c>
      <c r="B89" s="27">
        <v>46062</v>
      </c>
      <c r="C89" s="26"/>
      <c r="D89" s="4" t="s">
        <v>32</v>
      </c>
      <c r="E89" s="26"/>
      <c r="F89" s="5">
        <v>4</v>
      </c>
      <c r="G89" s="26"/>
      <c r="H89" s="27">
        <v>46065</v>
      </c>
      <c r="I89" s="29">
        <v>3</v>
      </c>
      <c r="J89" s="27">
        <v>46069</v>
      </c>
      <c r="K89" s="26" t="s">
        <v>3</v>
      </c>
      <c r="L89" s="26"/>
      <c r="M89" s="26"/>
      <c r="N89" s="86"/>
      <c r="O89" s="87">
        <f>VLOOKUP(A89,'HIPERQUERATOSE 26'!$A$2:$G$1542,7,1)</f>
        <v>2.75</v>
      </c>
    </row>
    <row r="90" spans="1:15" ht="21" customHeight="1" x14ac:dyDescent="0.25">
      <c r="A90" s="1">
        <v>4601</v>
      </c>
      <c r="B90" s="27">
        <v>46063</v>
      </c>
      <c r="C90" s="26"/>
      <c r="D90" s="4" t="s">
        <v>21</v>
      </c>
      <c r="E90" s="26"/>
      <c r="F90" s="5">
        <v>4</v>
      </c>
      <c r="G90" s="26"/>
      <c r="H90" s="27">
        <v>46066</v>
      </c>
      <c r="I90" s="28">
        <v>9</v>
      </c>
      <c r="J90" s="27">
        <v>46076</v>
      </c>
      <c r="K90" s="26"/>
      <c r="L90" s="26"/>
      <c r="M90" s="26"/>
      <c r="N90" s="86" t="s">
        <v>4</v>
      </c>
      <c r="O90" s="87">
        <f>VLOOKUP(A90,'HIPERQUERATOSE 26'!$A$2:$G$1542,7,1)</f>
        <v>1</v>
      </c>
    </row>
    <row r="91" spans="1:15" ht="21" customHeight="1" x14ac:dyDescent="0.25">
      <c r="A91" s="1">
        <v>3935</v>
      </c>
      <c r="B91" s="27">
        <v>46063</v>
      </c>
      <c r="C91" s="26"/>
      <c r="D91" s="4" t="s">
        <v>21</v>
      </c>
      <c r="E91" s="26"/>
      <c r="F91" s="5">
        <v>4</v>
      </c>
      <c r="G91" s="26"/>
      <c r="H91" s="27">
        <v>46066</v>
      </c>
      <c r="I91" s="29">
        <v>9</v>
      </c>
      <c r="J91" s="27">
        <v>46076</v>
      </c>
      <c r="K91" s="26" t="s">
        <v>3</v>
      </c>
      <c r="L91" s="26"/>
      <c r="M91" s="26"/>
      <c r="N91" s="86"/>
      <c r="O91" s="87">
        <f>VLOOKUP(A91,'HIPERQUERATOSE 26'!$A$2:$G$1542,7,1)</f>
        <v>2.25</v>
      </c>
    </row>
    <row r="92" spans="1:15" ht="21" customHeight="1" x14ac:dyDescent="0.25">
      <c r="A92" s="1">
        <v>5042</v>
      </c>
      <c r="B92" s="27">
        <v>46064</v>
      </c>
      <c r="C92" s="26"/>
      <c r="D92" s="4" t="s">
        <v>32</v>
      </c>
      <c r="E92" s="26"/>
      <c r="F92" s="5">
        <v>4</v>
      </c>
      <c r="G92" s="26"/>
      <c r="H92" s="27">
        <v>46067</v>
      </c>
      <c r="I92" s="28">
        <v>3</v>
      </c>
      <c r="J92" s="27">
        <v>46071</v>
      </c>
      <c r="K92" s="26"/>
      <c r="L92" s="26"/>
      <c r="M92" s="26"/>
      <c r="N92" s="86" t="s">
        <v>4</v>
      </c>
      <c r="O92" s="87">
        <f>VLOOKUP(A92,'HIPERQUERATOSE 26'!$A$2:$G$1542,7,1)</f>
        <v>1</v>
      </c>
    </row>
    <row r="93" spans="1:15" ht="21" customHeight="1" x14ac:dyDescent="0.25">
      <c r="A93" s="1">
        <v>4791</v>
      </c>
      <c r="B93" s="27">
        <v>46064</v>
      </c>
      <c r="C93" s="26"/>
      <c r="D93" s="4" t="s">
        <v>21</v>
      </c>
      <c r="E93" s="26"/>
      <c r="F93" s="5">
        <v>4</v>
      </c>
      <c r="G93" s="26"/>
      <c r="H93" s="27">
        <v>46067</v>
      </c>
      <c r="I93" s="29">
        <v>9</v>
      </c>
      <c r="J93" s="27">
        <v>46077</v>
      </c>
      <c r="K93" s="26"/>
      <c r="L93" s="26"/>
      <c r="M93" s="26" t="s">
        <v>1</v>
      </c>
      <c r="N93" s="86"/>
      <c r="O93" s="87">
        <f>VLOOKUP(A93,'HIPERQUERATOSE 26'!$A$2:$G$1542,7,1)</f>
        <v>2</v>
      </c>
    </row>
    <row r="94" spans="1:15" ht="21" customHeight="1" x14ac:dyDescent="0.25">
      <c r="A94" s="1">
        <v>4216</v>
      </c>
      <c r="B94" s="27">
        <v>46065</v>
      </c>
      <c r="C94" s="26"/>
      <c r="D94" s="4" t="s">
        <v>32</v>
      </c>
      <c r="E94" s="26"/>
      <c r="F94" s="5">
        <v>4</v>
      </c>
      <c r="G94" s="26"/>
      <c r="H94" s="27">
        <v>46068</v>
      </c>
      <c r="I94" s="28">
        <v>3</v>
      </c>
      <c r="J94" s="27">
        <v>46072</v>
      </c>
      <c r="K94" s="26"/>
      <c r="L94" s="26" t="s">
        <v>5</v>
      </c>
      <c r="M94" s="26"/>
      <c r="N94" s="86"/>
      <c r="O94" s="87">
        <f>VLOOKUP(A94,'HIPERQUERATOSE 26'!$A$2:$G$1542,7,1)</f>
        <v>3</v>
      </c>
    </row>
    <row r="95" spans="1:15" ht="21" customHeight="1" x14ac:dyDescent="0.25">
      <c r="A95" s="1">
        <v>4145</v>
      </c>
      <c r="B95" s="27">
        <v>46065</v>
      </c>
      <c r="C95" s="26"/>
      <c r="D95" s="4" t="s">
        <v>32</v>
      </c>
      <c r="E95" s="26"/>
      <c r="F95" s="5">
        <v>4</v>
      </c>
      <c r="G95" s="26"/>
      <c r="H95" s="27">
        <v>46068</v>
      </c>
      <c r="I95" s="29">
        <v>3</v>
      </c>
      <c r="J95" s="27">
        <v>46072</v>
      </c>
      <c r="K95" s="26" t="s">
        <v>3</v>
      </c>
      <c r="L95" s="26"/>
      <c r="M95" s="26"/>
      <c r="N95" s="86"/>
      <c r="O95" s="87">
        <f>VLOOKUP(A95,'HIPERQUERATOSE 26'!$A$2:$G$1542,7,1)</f>
        <v>2</v>
      </c>
    </row>
    <row r="96" spans="1:15" ht="21" customHeight="1" x14ac:dyDescent="0.25">
      <c r="A96" s="1">
        <v>5492</v>
      </c>
      <c r="B96" s="27">
        <v>46065</v>
      </c>
      <c r="C96" s="26"/>
      <c r="D96" s="4" t="s">
        <v>32</v>
      </c>
      <c r="E96" s="26"/>
      <c r="F96" s="5">
        <v>4</v>
      </c>
      <c r="G96" s="26"/>
      <c r="H96" s="27">
        <v>46068</v>
      </c>
      <c r="I96" s="28">
        <v>3</v>
      </c>
      <c r="J96" s="27">
        <v>46072</v>
      </c>
      <c r="K96" s="26"/>
      <c r="L96" s="26"/>
      <c r="M96" s="26" t="s">
        <v>1</v>
      </c>
      <c r="N96" s="86"/>
      <c r="O96" s="87">
        <f>VLOOKUP(A96,'HIPERQUERATOSE 26'!$A$2:$G$1542,7,1)</f>
        <v>0.75</v>
      </c>
    </row>
    <row r="97" spans="1:15" ht="21" customHeight="1" x14ac:dyDescent="0.25">
      <c r="A97" s="1">
        <v>2872</v>
      </c>
      <c r="B97" s="27">
        <v>46066</v>
      </c>
      <c r="C97" s="26"/>
      <c r="D97" s="4" t="s">
        <v>32</v>
      </c>
      <c r="E97" s="26"/>
      <c r="F97" s="5">
        <v>4</v>
      </c>
      <c r="G97" s="26"/>
      <c r="H97" s="27">
        <v>46069</v>
      </c>
      <c r="I97" s="29">
        <v>3</v>
      </c>
      <c r="J97" s="27">
        <v>46073</v>
      </c>
      <c r="K97" s="26" t="s">
        <v>3</v>
      </c>
      <c r="L97" s="26"/>
      <c r="M97" s="26"/>
      <c r="N97" s="86"/>
      <c r="O97" s="87">
        <f>VLOOKUP(A97,'HIPERQUERATOSE 26'!$A$2:$G$1542,7,1)</f>
        <v>1</v>
      </c>
    </row>
    <row r="98" spans="1:15" ht="21" customHeight="1" x14ac:dyDescent="0.25">
      <c r="A98" s="1">
        <v>4171</v>
      </c>
      <c r="B98" s="27">
        <v>46066</v>
      </c>
      <c r="C98" s="26"/>
      <c r="D98" s="4" t="s">
        <v>32</v>
      </c>
      <c r="E98" s="26"/>
      <c r="F98" s="5">
        <v>4</v>
      </c>
      <c r="G98" s="26"/>
      <c r="H98" s="27">
        <v>46069</v>
      </c>
      <c r="I98" s="28">
        <v>3</v>
      </c>
      <c r="J98" s="27">
        <v>46073</v>
      </c>
      <c r="K98" s="26"/>
      <c r="L98" s="26"/>
      <c r="M98" s="26"/>
      <c r="N98" s="86" t="s">
        <v>4</v>
      </c>
      <c r="O98" s="87">
        <f>VLOOKUP(A98,'HIPERQUERATOSE 26'!$A$2:$G$1542,7,1)</f>
        <v>2.75</v>
      </c>
    </row>
    <row r="99" spans="1:15" ht="21" customHeight="1" x14ac:dyDescent="0.25">
      <c r="A99" s="1">
        <v>3252</v>
      </c>
      <c r="B99" s="27">
        <v>46067</v>
      </c>
      <c r="C99" s="26"/>
      <c r="D99" s="4" t="s">
        <v>20</v>
      </c>
      <c r="E99" s="26"/>
      <c r="F99" s="5">
        <v>4</v>
      </c>
      <c r="G99" s="26"/>
      <c r="H99" s="27">
        <v>46070</v>
      </c>
      <c r="I99" s="29">
        <v>9</v>
      </c>
      <c r="J99" s="27">
        <v>46080</v>
      </c>
      <c r="K99" s="26"/>
      <c r="L99" s="26" t="s">
        <v>5</v>
      </c>
      <c r="M99" s="26"/>
      <c r="N99" s="86"/>
      <c r="O99" s="87">
        <f>VLOOKUP(A99,'HIPERQUERATOSE 26'!$A$2:$G$1542,7,1)</f>
        <v>2.75</v>
      </c>
    </row>
    <row r="100" spans="1:15" ht="21" customHeight="1" x14ac:dyDescent="0.25">
      <c r="A100" s="1">
        <v>4617</v>
      </c>
      <c r="B100" s="27">
        <v>46067</v>
      </c>
      <c r="C100" s="26"/>
      <c r="D100" s="4" t="s">
        <v>20</v>
      </c>
      <c r="E100" s="26"/>
      <c r="F100" s="5">
        <v>4</v>
      </c>
      <c r="G100" s="26"/>
      <c r="H100" s="27">
        <v>46070</v>
      </c>
      <c r="I100" s="28">
        <v>9</v>
      </c>
      <c r="J100" s="27">
        <v>46080</v>
      </c>
      <c r="K100" s="26" t="s">
        <v>5</v>
      </c>
      <c r="L100" s="26"/>
      <c r="M100" s="26" t="s">
        <v>1</v>
      </c>
      <c r="N100" s="86"/>
      <c r="O100" s="87">
        <f>VLOOKUP(A100,'HIPERQUERATOSE 26'!$A$2:$G$1542,7,1)</f>
        <v>2.75</v>
      </c>
    </row>
    <row r="101" spans="1:15" ht="21" customHeight="1" x14ac:dyDescent="0.25">
      <c r="A101" s="1">
        <v>5042</v>
      </c>
      <c r="B101" s="27">
        <v>46067</v>
      </c>
      <c r="C101" s="26"/>
      <c r="D101" s="4" t="s">
        <v>20</v>
      </c>
      <c r="E101" s="26"/>
      <c r="F101" s="5">
        <v>4</v>
      </c>
      <c r="G101" s="26"/>
      <c r="H101" s="27">
        <v>46070</v>
      </c>
      <c r="I101" s="29">
        <v>9</v>
      </c>
      <c r="J101" s="27">
        <v>46080</v>
      </c>
      <c r="K101" s="26"/>
      <c r="L101" s="26"/>
      <c r="M101" s="26"/>
      <c r="N101" s="86" t="s">
        <v>4</v>
      </c>
      <c r="O101" s="87">
        <f>VLOOKUP(A101,'HIPERQUERATOSE 26'!$A$2:$G$1542,7,1)</f>
        <v>1</v>
      </c>
    </row>
    <row r="102" spans="1:15" ht="21" customHeight="1" x14ac:dyDescent="0.25">
      <c r="A102" s="1">
        <v>4731</v>
      </c>
      <c r="B102" s="27">
        <v>46067</v>
      </c>
      <c r="C102" s="26"/>
      <c r="D102" s="4" t="s">
        <v>32</v>
      </c>
      <c r="E102" s="26"/>
      <c r="F102" s="5">
        <v>4</v>
      </c>
      <c r="G102" s="26"/>
      <c r="H102" s="27">
        <v>46070</v>
      </c>
      <c r="I102" s="28">
        <v>3</v>
      </c>
      <c r="J102" s="27">
        <v>46074</v>
      </c>
      <c r="K102" s="26"/>
      <c r="L102" s="26" t="s">
        <v>5</v>
      </c>
      <c r="M102" s="26"/>
      <c r="N102" s="86"/>
      <c r="O102" s="87">
        <f>VLOOKUP(A102,'HIPERQUERATOSE 26'!$A$2:$G$1542,7,1)</f>
        <v>1.5</v>
      </c>
    </row>
    <row r="103" spans="1:15" ht="21" customHeight="1" x14ac:dyDescent="0.25">
      <c r="A103" s="1">
        <v>3976</v>
      </c>
      <c r="B103" s="27">
        <v>46068</v>
      </c>
      <c r="C103" s="26"/>
      <c r="D103" s="4" t="s">
        <v>32</v>
      </c>
      <c r="E103" s="26"/>
      <c r="F103" s="5">
        <v>4</v>
      </c>
      <c r="G103" s="26"/>
      <c r="H103" s="27">
        <v>46071</v>
      </c>
      <c r="I103" s="29">
        <v>3</v>
      </c>
      <c r="J103" s="27">
        <v>46075</v>
      </c>
      <c r="K103" s="26" t="s">
        <v>3</v>
      </c>
      <c r="L103" s="26"/>
      <c r="M103" s="26"/>
      <c r="N103" s="86"/>
      <c r="O103" s="87">
        <f>VLOOKUP(A103,'HIPERQUERATOSE 26'!$A$2:$G$1542,7,1)</f>
        <v>1.75</v>
      </c>
    </row>
    <row r="104" spans="1:15" ht="21" customHeight="1" x14ac:dyDescent="0.25">
      <c r="A104" s="1">
        <v>2730</v>
      </c>
      <c r="B104" s="27">
        <v>46069</v>
      </c>
      <c r="C104" s="26"/>
      <c r="D104" s="4" t="s">
        <v>32</v>
      </c>
      <c r="E104" s="26"/>
      <c r="F104" s="5">
        <v>4</v>
      </c>
      <c r="G104" s="26"/>
      <c r="H104" s="27">
        <v>46072</v>
      </c>
      <c r="I104" s="28">
        <v>3</v>
      </c>
      <c r="J104" s="27">
        <v>46076</v>
      </c>
      <c r="K104" s="26" t="s">
        <v>3</v>
      </c>
      <c r="L104" s="26"/>
      <c r="M104" s="26"/>
      <c r="N104" s="86"/>
      <c r="O104" s="87">
        <f>VLOOKUP(A104,'HIPERQUERATOSE 26'!$A$2:$G$1542,7,1)</f>
        <v>1</v>
      </c>
    </row>
    <row r="105" spans="1:15" ht="21" customHeight="1" x14ac:dyDescent="0.25">
      <c r="A105" s="1">
        <v>5230</v>
      </c>
      <c r="B105" s="27">
        <v>46069</v>
      </c>
      <c r="C105" s="26"/>
      <c r="D105" s="4" t="s">
        <v>32</v>
      </c>
      <c r="E105" s="26"/>
      <c r="F105" s="5">
        <v>4</v>
      </c>
      <c r="G105" s="26"/>
      <c r="H105" s="27">
        <v>46072</v>
      </c>
      <c r="I105" s="29">
        <v>3</v>
      </c>
      <c r="J105" s="27">
        <v>46076</v>
      </c>
      <c r="K105" s="26"/>
      <c r="L105" s="26"/>
      <c r="M105" s="26" t="s">
        <v>1</v>
      </c>
      <c r="N105" s="86"/>
      <c r="O105" s="87">
        <f>VLOOKUP(A105,'HIPERQUERATOSE 26'!$A$2:$G$1542,7,1)</f>
        <v>1.5</v>
      </c>
    </row>
    <row r="106" spans="1:15" ht="21" customHeight="1" x14ac:dyDescent="0.25">
      <c r="A106" s="1">
        <v>3428</v>
      </c>
      <c r="B106" s="27">
        <v>46069</v>
      </c>
      <c r="C106" s="26"/>
      <c r="D106" s="4" t="s">
        <v>34</v>
      </c>
      <c r="E106" s="26"/>
      <c r="F106" s="5">
        <v>4</v>
      </c>
      <c r="G106" s="26"/>
      <c r="H106" s="27">
        <v>46072</v>
      </c>
      <c r="I106" s="28">
        <v>3</v>
      </c>
      <c r="J106" s="27">
        <v>46076</v>
      </c>
      <c r="K106" s="26"/>
      <c r="L106" s="26"/>
      <c r="M106" s="26"/>
      <c r="N106" s="86" t="s">
        <v>4</v>
      </c>
      <c r="O106" s="87">
        <f>VLOOKUP(A106,'HIPERQUERATOSE 26'!$A$2:$G$1542,7,1)</f>
        <v>2.75</v>
      </c>
    </row>
    <row r="107" spans="1:15" ht="21" customHeight="1" x14ac:dyDescent="0.25">
      <c r="A107" s="1">
        <v>3761</v>
      </c>
      <c r="B107" s="27">
        <v>46070</v>
      </c>
      <c r="C107" s="26"/>
      <c r="D107" s="4" t="s">
        <v>32</v>
      </c>
      <c r="E107" s="26"/>
      <c r="F107" s="5">
        <v>4</v>
      </c>
      <c r="G107" s="26"/>
      <c r="H107" s="27">
        <v>46073</v>
      </c>
      <c r="I107" s="29">
        <v>3</v>
      </c>
      <c r="J107" s="27">
        <v>46077</v>
      </c>
      <c r="K107" s="26" t="s">
        <v>3</v>
      </c>
      <c r="L107" s="26"/>
      <c r="M107" s="26"/>
      <c r="N107" s="86"/>
      <c r="O107" s="87">
        <f>VLOOKUP(A107,'HIPERQUERATOSE 26'!$A$2:$G$1542,7,1)</f>
        <v>0.75</v>
      </c>
    </row>
    <row r="108" spans="1:15" ht="21" customHeight="1" x14ac:dyDescent="0.25">
      <c r="A108" s="1">
        <v>4773</v>
      </c>
      <c r="B108" s="27">
        <v>46071</v>
      </c>
      <c r="C108" s="26"/>
      <c r="D108" s="4" t="s">
        <v>32</v>
      </c>
      <c r="E108" s="26"/>
      <c r="F108" s="5">
        <v>4</v>
      </c>
      <c r="G108" s="26"/>
      <c r="H108" s="27">
        <v>46074</v>
      </c>
      <c r="I108" s="28">
        <v>3</v>
      </c>
      <c r="J108" s="27">
        <v>46078</v>
      </c>
      <c r="K108" s="26"/>
      <c r="L108" s="26"/>
      <c r="M108" s="26" t="s">
        <v>1</v>
      </c>
      <c r="N108" s="86"/>
      <c r="O108" s="87">
        <f>VLOOKUP(A108,'HIPERQUERATOSE 26'!$A$2:$G$1542,7,1)</f>
        <v>2</v>
      </c>
    </row>
    <row r="109" spans="1:15" ht="21" customHeight="1" x14ac:dyDescent="0.25">
      <c r="A109" s="1">
        <v>4032</v>
      </c>
      <c r="B109" s="27">
        <v>46072</v>
      </c>
      <c r="C109" s="26"/>
      <c r="D109" s="4" t="s">
        <v>32</v>
      </c>
      <c r="E109" s="26"/>
      <c r="F109" s="5">
        <v>4</v>
      </c>
      <c r="G109" s="26"/>
      <c r="H109" s="27">
        <v>46075</v>
      </c>
      <c r="I109" s="29">
        <v>3</v>
      </c>
      <c r="J109" s="27">
        <v>46079</v>
      </c>
      <c r="K109" s="26"/>
      <c r="L109" s="26"/>
      <c r="M109" s="26"/>
      <c r="N109" s="86" t="s">
        <v>4</v>
      </c>
      <c r="O109" s="87">
        <f>VLOOKUP(A109,'HIPERQUERATOSE 26'!$A$2:$G$1542,7,1)</f>
        <v>2.75</v>
      </c>
    </row>
    <row r="110" spans="1:15" ht="21" customHeight="1" x14ac:dyDescent="0.25">
      <c r="A110" s="1">
        <v>3761</v>
      </c>
      <c r="B110" s="27">
        <v>46073</v>
      </c>
      <c r="C110" s="26"/>
      <c r="D110" s="4" t="s">
        <v>20</v>
      </c>
      <c r="E110" s="26"/>
      <c r="F110" s="5">
        <v>4</v>
      </c>
      <c r="G110" s="26"/>
      <c r="H110" s="27">
        <v>46076</v>
      </c>
      <c r="I110" s="28">
        <v>9</v>
      </c>
      <c r="J110" s="27">
        <v>46085</v>
      </c>
      <c r="K110" s="26" t="s">
        <v>3</v>
      </c>
      <c r="L110" s="26"/>
      <c r="M110" s="26"/>
      <c r="N110" s="86"/>
      <c r="O110" s="87">
        <f>VLOOKUP(A110,'HIPERQUERATOSE 26'!$A$2:$G$1542,7,1)</f>
        <v>0.75</v>
      </c>
    </row>
    <row r="111" spans="1:15" ht="21" customHeight="1" x14ac:dyDescent="0.25">
      <c r="A111" s="1">
        <v>4573</v>
      </c>
      <c r="B111" s="27">
        <v>46074</v>
      </c>
      <c r="C111" s="26"/>
      <c r="D111" s="4" t="s">
        <v>32</v>
      </c>
      <c r="E111" s="26"/>
      <c r="F111" s="5">
        <v>4</v>
      </c>
      <c r="G111" s="26"/>
      <c r="H111" s="27">
        <v>46077</v>
      </c>
      <c r="I111" s="29">
        <v>3</v>
      </c>
      <c r="J111" s="27">
        <v>46081</v>
      </c>
      <c r="K111" s="26"/>
      <c r="L111" s="26"/>
      <c r="M111" s="26"/>
      <c r="N111" s="86" t="s">
        <v>4</v>
      </c>
      <c r="O111" s="87">
        <f>VLOOKUP(A111,'HIPERQUERATOSE 26'!$A$2:$G$1542,7,1)</f>
        <v>1.75</v>
      </c>
    </row>
    <row r="112" spans="1:15" ht="21" customHeight="1" x14ac:dyDescent="0.25">
      <c r="A112" s="1">
        <v>1187</v>
      </c>
      <c r="B112" s="27">
        <v>46073</v>
      </c>
      <c r="C112" s="26"/>
      <c r="D112" s="4" t="s">
        <v>32</v>
      </c>
      <c r="E112" s="26"/>
      <c r="F112" s="5">
        <v>4</v>
      </c>
      <c r="G112" s="26"/>
      <c r="H112" s="27">
        <v>46076</v>
      </c>
      <c r="I112" s="28">
        <v>3</v>
      </c>
      <c r="J112" s="27">
        <v>46080</v>
      </c>
      <c r="K112" s="26"/>
      <c r="L112" s="26" t="s">
        <v>5</v>
      </c>
      <c r="M112" s="26"/>
      <c r="N112" s="86"/>
      <c r="O112" s="87">
        <f>VLOOKUP(A112,'HIPERQUERATOSE 26'!$A$2:$G$1542,7,1)</f>
        <v>2.5</v>
      </c>
    </row>
    <row r="113" spans="1:15" ht="21" customHeight="1" x14ac:dyDescent="0.25">
      <c r="A113" s="1">
        <v>3615</v>
      </c>
      <c r="B113" s="27">
        <v>46074</v>
      </c>
      <c r="C113" s="26"/>
      <c r="D113" s="4" t="s">
        <v>32</v>
      </c>
      <c r="E113" s="26"/>
      <c r="F113" s="5">
        <v>4</v>
      </c>
      <c r="G113" s="26"/>
      <c r="H113" s="27">
        <v>46077</v>
      </c>
      <c r="I113" s="29">
        <v>3</v>
      </c>
      <c r="J113" s="27">
        <v>46081</v>
      </c>
      <c r="K113" s="26" t="s">
        <v>3</v>
      </c>
      <c r="L113" s="26"/>
      <c r="M113" s="26"/>
      <c r="N113" s="86"/>
      <c r="O113" s="87">
        <f>VLOOKUP(A113,'HIPERQUERATOSE 26'!$A$2:$G$1542,7,1)</f>
        <v>1.75</v>
      </c>
    </row>
    <row r="114" spans="1:15" ht="21" customHeight="1" x14ac:dyDescent="0.25">
      <c r="A114" s="1">
        <v>5492</v>
      </c>
      <c r="B114" s="27">
        <v>46074</v>
      </c>
      <c r="C114" s="26"/>
      <c r="D114" s="4" t="s">
        <v>34</v>
      </c>
      <c r="E114" s="26"/>
      <c r="F114" s="5">
        <v>4</v>
      </c>
      <c r="G114" s="26"/>
      <c r="H114" s="27">
        <v>46077</v>
      </c>
      <c r="I114" s="28">
        <v>3</v>
      </c>
      <c r="J114" s="27">
        <v>46081</v>
      </c>
      <c r="K114" s="26"/>
      <c r="L114" s="26"/>
      <c r="M114" s="26" t="s">
        <v>1</v>
      </c>
      <c r="N114" s="86"/>
      <c r="O114" s="87">
        <f>VLOOKUP(A114,'HIPERQUERATOSE 26'!$A$2:$G$1542,7,1)</f>
        <v>0.75</v>
      </c>
    </row>
    <row r="115" spans="1:15" ht="21" customHeight="1" x14ac:dyDescent="0.25">
      <c r="A115" s="1">
        <v>4877</v>
      </c>
      <c r="B115" s="27">
        <v>46076</v>
      </c>
      <c r="C115" s="26"/>
      <c r="D115" s="4" t="s">
        <v>20</v>
      </c>
      <c r="E115" s="26"/>
      <c r="F115" s="5">
        <v>4</v>
      </c>
      <c r="G115" s="26"/>
      <c r="H115" s="27">
        <v>46079</v>
      </c>
      <c r="I115" s="29">
        <v>9</v>
      </c>
      <c r="J115" s="27">
        <v>46089</v>
      </c>
      <c r="K115" s="26"/>
      <c r="L115" s="26"/>
      <c r="M115" s="26" t="s">
        <v>1</v>
      </c>
      <c r="N115" s="86"/>
      <c r="O115" s="87">
        <f>VLOOKUP(A115,'HIPERQUERATOSE 26'!$A$2:$G$1542,7,1)</f>
        <v>1</v>
      </c>
    </row>
    <row r="116" spans="1:15" ht="21" customHeight="1" x14ac:dyDescent="0.25">
      <c r="A116" s="1">
        <v>5346</v>
      </c>
      <c r="B116" s="27">
        <v>46076</v>
      </c>
      <c r="C116" s="26"/>
      <c r="D116" s="4" t="s">
        <v>20</v>
      </c>
      <c r="E116" s="26"/>
      <c r="F116" s="5">
        <v>4</v>
      </c>
      <c r="G116" s="26"/>
      <c r="H116" s="27">
        <v>46079</v>
      </c>
      <c r="I116" s="28">
        <v>9</v>
      </c>
      <c r="J116" s="27">
        <v>46089</v>
      </c>
      <c r="K116" s="26"/>
      <c r="L116" s="26"/>
      <c r="M116" s="26" t="s">
        <v>1</v>
      </c>
      <c r="N116" s="86"/>
      <c r="O116" s="87">
        <f>VLOOKUP(A116,'HIPERQUERATOSE 26'!$A$2:$G$1542,7,1)</f>
        <v>1</v>
      </c>
    </row>
    <row r="117" spans="1:15" ht="21" customHeight="1" x14ac:dyDescent="0.25">
      <c r="A117" s="1">
        <v>2944</v>
      </c>
      <c r="B117" s="27">
        <v>46076</v>
      </c>
      <c r="C117" s="26"/>
      <c r="D117" s="4" t="s">
        <v>32</v>
      </c>
      <c r="E117" s="26"/>
      <c r="F117" s="5">
        <v>4</v>
      </c>
      <c r="G117" s="26"/>
      <c r="H117" s="27">
        <v>46079</v>
      </c>
      <c r="I117" s="29">
        <v>3</v>
      </c>
      <c r="J117" s="27">
        <v>46083</v>
      </c>
      <c r="K117" s="26"/>
      <c r="L117" s="26" t="s">
        <v>5</v>
      </c>
      <c r="M117" s="26"/>
      <c r="N117" s="86"/>
      <c r="O117" s="87">
        <f>VLOOKUP(A117,'HIPERQUERATOSE 26'!$A$2:$G$1542,7,1)</f>
        <v>3</v>
      </c>
    </row>
    <row r="118" spans="1:15" ht="21" customHeight="1" x14ac:dyDescent="0.25">
      <c r="A118" s="1">
        <v>4501</v>
      </c>
      <c r="B118" s="27">
        <v>46078</v>
      </c>
      <c r="C118" s="26"/>
      <c r="D118" s="4" t="s">
        <v>32</v>
      </c>
      <c r="E118" s="26"/>
      <c r="F118" s="5">
        <v>4</v>
      </c>
      <c r="G118" s="26"/>
      <c r="H118" s="27">
        <v>46081</v>
      </c>
      <c r="I118" s="28">
        <v>3</v>
      </c>
      <c r="J118" s="27">
        <v>46085</v>
      </c>
      <c r="K118" s="26"/>
      <c r="L118" s="26" t="s">
        <v>5</v>
      </c>
      <c r="M118" s="26"/>
      <c r="N118" s="86"/>
      <c r="O118" s="87">
        <f>VLOOKUP(A118,'HIPERQUERATOSE 26'!$A$2:$G$1542,7,1)</f>
        <v>2.5</v>
      </c>
    </row>
    <row r="119" spans="1:15" ht="21" customHeight="1" x14ac:dyDescent="0.25">
      <c r="A119" s="1">
        <v>3295</v>
      </c>
      <c r="B119" s="27">
        <v>46080</v>
      </c>
      <c r="C119" s="26"/>
      <c r="D119" s="4" t="s">
        <v>20</v>
      </c>
      <c r="E119" s="26"/>
      <c r="F119" s="5">
        <v>4</v>
      </c>
      <c r="G119" s="26"/>
      <c r="H119" s="27">
        <v>46083</v>
      </c>
      <c r="I119" s="29">
        <v>9</v>
      </c>
      <c r="J119" s="27">
        <v>46093</v>
      </c>
      <c r="K119" s="26"/>
      <c r="L119" s="26" t="s">
        <v>5</v>
      </c>
      <c r="M119" s="26"/>
      <c r="N119" s="86"/>
      <c r="O119" s="87">
        <f>VLOOKUP(A119,'HIPERQUERATOSE 26'!$A$2:$G$1542,7,1)</f>
        <v>2.75</v>
      </c>
    </row>
    <row r="120" spans="1:15" ht="21" customHeight="1" x14ac:dyDescent="0.25">
      <c r="A120" s="1">
        <v>1187</v>
      </c>
      <c r="B120" s="27">
        <v>46080</v>
      </c>
      <c r="C120" s="26"/>
      <c r="D120" s="4" t="s">
        <v>20</v>
      </c>
      <c r="E120" s="26"/>
      <c r="F120" s="5">
        <v>4</v>
      </c>
      <c r="G120" s="26"/>
      <c r="H120" s="27">
        <v>46083</v>
      </c>
      <c r="I120" s="28">
        <v>9</v>
      </c>
      <c r="J120" s="27">
        <v>46093</v>
      </c>
      <c r="K120" s="26"/>
      <c r="L120" s="26" t="s">
        <v>5</v>
      </c>
      <c r="M120" s="26"/>
      <c r="N120" s="86"/>
      <c r="O120" s="87">
        <f>VLOOKUP(A120,'HIPERQUERATOSE 26'!$A$2:$G$1542,7,1)</f>
        <v>2.5</v>
      </c>
    </row>
    <row r="121" spans="1:15" ht="21" customHeight="1" x14ac:dyDescent="0.25">
      <c r="A121" s="1">
        <v>3615</v>
      </c>
      <c r="B121" s="27">
        <v>46080</v>
      </c>
      <c r="C121" s="26"/>
      <c r="D121" s="4" t="s">
        <v>34</v>
      </c>
      <c r="E121" s="26"/>
      <c r="F121" s="5">
        <v>4</v>
      </c>
      <c r="G121" s="26"/>
      <c r="H121" s="27">
        <v>46083</v>
      </c>
      <c r="I121" s="29">
        <v>3</v>
      </c>
      <c r="J121" s="27">
        <v>46087</v>
      </c>
      <c r="K121" s="26" t="s">
        <v>3</v>
      </c>
      <c r="L121" s="26"/>
      <c r="M121" s="26" t="s">
        <v>1</v>
      </c>
      <c r="N121" s="86"/>
      <c r="O121" s="87">
        <f>VLOOKUP(A121,'HIPERQUERATOSE 26'!$A$2:$G$1542,7,1)</f>
        <v>1.75</v>
      </c>
    </row>
    <row r="122" spans="1:15" ht="21" customHeight="1" x14ac:dyDescent="0.25">
      <c r="A122" s="1">
        <v>3723</v>
      </c>
      <c r="B122" s="27">
        <v>46081</v>
      </c>
      <c r="C122" s="26"/>
      <c r="D122" s="4" t="s">
        <v>20</v>
      </c>
      <c r="E122" s="26"/>
      <c r="F122" s="5">
        <v>4</v>
      </c>
      <c r="G122" s="26"/>
      <c r="H122" s="27">
        <v>46084</v>
      </c>
      <c r="I122" s="28">
        <v>9</v>
      </c>
      <c r="J122" s="27">
        <v>46094</v>
      </c>
      <c r="K122" s="26"/>
      <c r="L122" s="26"/>
      <c r="M122" s="26"/>
      <c r="N122" s="86" t="s">
        <v>4</v>
      </c>
      <c r="O122" s="87">
        <f>VLOOKUP(A122,'HIPERQUERATOSE 26'!$A$2:$G$1542,7,1)</f>
        <v>1</v>
      </c>
    </row>
    <row r="123" spans="1:15" ht="21" customHeight="1" x14ac:dyDescent="0.25">
      <c r="A123" s="1">
        <v>4032</v>
      </c>
      <c r="B123" s="27">
        <v>46081</v>
      </c>
      <c r="C123" s="26"/>
      <c r="D123" s="4" t="s">
        <v>20</v>
      </c>
      <c r="E123" s="26"/>
      <c r="F123" s="5">
        <v>4</v>
      </c>
      <c r="G123" s="26"/>
      <c r="H123" s="27">
        <v>46084</v>
      </c>
      <c r="I123" s="29">
        <v>9</v>
      </c>
      <c r="J123" s="27">
        <v>46094</v>
      </c>
      <c r="K123" s="26"/>
      <c r="L123" s="26"/>
      <c r="M123" s="26"/>
      <c r="N123" s="86" t="s">
        <v>4</v>
      </c>
      <c r="O123" s="87">
        <f>VLOOKUP(A123,'HIPERQUERATOSE 26'!$A$2:$G$1542,7,1)</f>
        <v>2.75</v>
      </c>
    </row>
    <row r="124" spans="1:15" ht="21" customHeight="1" x14ac:dyDescent="0.25">
      <c r="A124" s="1">
        <v>5492</v>
      </c>
      <c r="B124" s="27">
        <v>46081</v>
      </c>
      <c r="C124" s="26"/>
      <c r="D124" s="4" t="s">
        <v>20</v>
      </c>
      <c r="E124" s="26"/>
      <c r="F124" s="5">
        <v>4</v>
      </c>
      <c r="G124" s="26"/>
      <c r="H124" s="27">
        <v>46084</v>
      </c>
      <c r="I124" s="28">
        <v>9</v>
      </c>
      <c r="J124" s="27">
        <v>46094</v>
      </c>
      <c r="K124" s="26"/>
      <c r="L124" s="26"/>
      <c r="M124" s="26"/>
      <c r="N124" s="86" t="s">
        <v>4</v>
      </c>
      <c r="O124" s="87">
        <f>VLOOKUP(A124,'HIPERQUERATOSE 26'!$A$2:$G$1542,7,1)</f>
        <v>0.75</v>
      </c>
    </row>
    <row r="125" spans="1:15" ht="21" customHeight="1" x14ac:dyDescent="0.25">
      <c r="A125" s="1">
        <v>5472</v>
      </c>
      <c r="B125" s="27">
        <v>46081</v>
      </c>
      <c r="C125" s="26"/>
      <c r="D125" s="4" t="s">
        <v>32</v>
      </c>
      <c r="E125" s="26"/>
      <c r="F125" s="5">
        <v>4</v>
      </c>
      <c r="G125" s="26"/>
      <c r="H125" s="27">
        <v>46084</v>
      </c>
      <c r="I125" s="29">
        <v>3</v>
      </c>
      <c r="J125" s="27">
        <v>46088</v>
      </c>
      <c r="K125" s="26"/>
      <c r="L125" s="26"/>
      <c r="M125" s="26"/>
      <c r="N125" s="86" t="s">
        <v>4</v>
      </c>
      <c r="O125" s="87">
        <f>VLOOKUP(A125,'HIPERQUERATOSE 26'!$A$2:$G$1542,7,1)</f>
        <v>2</v>
      </c>
    </row>
    <row r="126" spans="1:15" ht="21" customHeight="1" x14ac:dyDescent="0.25">
      <c r="A126" s="1">
        <v>3507</v>
      </c>
      <c r="B126" s="27">
        <v>46081</v>
      </c>
      <c r="C126" s="26"/>
      <c r="D126" s="4" t="s">
        <v>32</v>
      </c>
      <c r="E126" s="26"/>
      <c r="F126" s="5">
        <v>4</v>
      </c>
      <c r="G126" s="26"/>
      <c r="H126" s="27">
        <v>46084</v>
      </c>
      <c r="I126" s="28">
        <v>3</v>
      </c>
      <c r="J126" s="27">
        <v>46088</v>
      </c>
      <c r="K126" s="26" t="s">
        <v>3</v>
      </c>
      <c r="L126" s="26"/>
      <c r="M126" s="26"/>
      <c r="N126" s="86"/>
      <c r="O126" s="87">
        <f>VLOOKUP(A126,'HIPERQUERATOSE 26'!$A$2:$G$1542,7,1)</f>
        <v>1</v>
      </c>
    </row>
    <row r="127" spans="1:15" ht="21" customHeight="1" x14ac:dyDescent="0.25">
      <c r="A127" s="1">
        <v>3449</v>
      </c>
      <c r="B127" s="27">
        <v>46083</v>
      </c>
      <c r="C127" s="26"/>
      <c r="D127" s="4" t="s">
        <v>20</v>
      </c>
      <c r="E127" s="26"/>
      <c r="F127" s="5">
        <v>4</v>
      </c>
      <c r="G127" s="26"/>
      <c r="H127" s="27">
        <v>46086</v>
      </c>
      <c r="I127" s="29">
        <v>9</v>
      </c>
      <c r="J127" s="27">
        <v>46188</v>
      </c>
      <c r="K127" s="26"/>
      <c r="L127" s="26" t="s">
        <v>5</v>
      </c>
      <c r="M127" s="26"/>
      <c r="N127" s="86"/>
      <c r="O127" s="87">
        <f>VLOOKUP(A127,'HIPERQUERATOSE 26'!$A$2:$G$1542,7,1)</f>
        <v>1</v>
      </c>
    </row>
    <row r="128" spans="1:15" ht="21" customHeight="1" x14ac:dyDescent="0.25">
      <c r="A128" s="1">
        <v>3261</v>
      </c>
      <c r="B128" s="27">
        <v>46083</v>
      </c>
      <c r="C128" s="26"/>
      <c r="D128" s="4" t="s">
        <v>32</v>
      </c>
      <c r="E128" s="26"/>
      <c r="F128" s="5">
        <v>4</v>
      </c>
      <c r="G128" s="26"/>
      <c r="H128" s="27">
        <v>46086</v>
      </c>
      <c r="I128" s="28">
        <v>3</v>
      </c>
      <c r="J128" s="27">
        <v>46090</v>
      </c>
      <c r="K128" s="26"/>
      <c r="L128" s="26"/>
      <c r="M128" s="26"/>
      <c r="N128" s="86"/>
      <c r="O128" s="87">
        <f>VLOOKUP(A128,'HIPERQUERATOSE 26'!$A$2:$G$1542,7,1)</f>
        <v>1.75</v>
      </c>
    </row>
    <row r="129" spans="1:15" ht="21" customHeight="1" x14ac:dyDescent="0.25">
      <c r="A129" s="1">
        <v>3734</v>
      </c>
      <c r="B129" s="27">
        <v>46082</v>
      </c>
      <c r="C129" s="26"/>
      <c r="D129" s="4" t="s">
        <v>20</v>
      </c>
      <c r="E129" s="26"/>
      <c r="F129" s="5">
        <v>4</v>
      </c>
      <c r="G129" s="26"/>
      <c r="H129" s="27">
        <v>46085</v>
      </c>
      <c r="I129" s="29">
        <v>9</v>
      </c>
      <c r="J129" s="27">
        <v>46095</v>
      </c>
      <c r="K129" s="26"/>
      <c r="L129" s="26"/>
      <c r="M129" s="26" t="s">
        <v>1</v>
      </c>
      <c r="N129" s="86"/>
      <c r="O129" s="87">
        <f>VLOOKUP(A129,'HIPERQUERATOSE 26'!$A$2:$G$1542,7,1)</f>
        <v>2.25</v>
      </c>
    </row>
    <row r="130" spans="1:15" ht="21" customHeight="1" x14ac:dyDescent="0.25">
      <c r="A130" s="1">
        <v>5016</v>
      </c>
      <c r="B130" s="27">
        <v>46084</v>
      </c>
      <c r="C130" s="26"/>
      <c r="D130" s="4" t="s">
        <v>32</v>
      </c>
      <c r="E130" s="26"/>
      <c r="F130" s="5">
        <v>4</v>
      </c>
      <c r="G130" s="26"/>
      <c r="H130" s="27">
        <v>46087</v>
      </c>
      <c r="I130" s="28">
        <v>3</v>
      </c>
      <c r="J130" s="27">
        <v>46091</v>
      </c>
      <c r="K130" s="26"/>
      <c r="L130" s="26" t="s">
        <v>5</v>
      </c>
      <c r="M130" s="26"/>
      <c r="N130" s="86"/>
      <c r="O130" s="87">
        <f>VLOOKUP(A130,'HIPERQUERATOSE 26'!$A$2:$G$1542,7,1)</f>
        <v>1.5</v>
      </c>
    </row>
    <row r="131" spans="1:15" ht="21" customHeight="1" x14ac:dyDescent="0.25">
      <c r="A131" s="1">
        <v>5485</v>
      </c>
      <c r="B131" s="27">
        <v>46084</v>
      </c>
      <c r="C131" s="26"/>
      <c r="D131" s="4" t="s">
        <v>32</v>
      </c>
      <c r="E131" s="26"/>
      <c r="F131" s="5">
        <v>4</v>
      </c>
      <c r="G131" s="26"/>
      <c r="H131" s="27">
        <v>46087</v>
      </c>
      <c r="I131" s="29">
        <v>3</v>
      </c>
      <c r="J131" s="27">
        <v>46091</v>
      </c>
      <c r="K131" s="26"/>
      <c r="L131" s="26"/>
      <c r="M131" s="26" t="s">
        <v>1</v>
      </c>
      <c r="N131" s="86"/>
      <c r="O131" s="87">
        <f>VLOOKUP(A131,'HIPERQUERATOSE 26'!$A$2:$G$1542,7,1)</f>
        <v>2.5</v>
      </c>
    </row>
    <row r="132" spans="1:15" ht="21" customHeight="1" x14ac:dyDescent="0.25">
      <c r="A132" s="1">
        <v>3990</v>
      </c>
      <c r="B132" s="27">
        <v>46084</v>
      </c>
      <c r="C132" s="26"/>
      <c r="D132" s="4" t="s">
        <v>32</v>
      </c>
      <c r="E132" s="26"/>
      <c r="F132" s="5">
        <v>4</v>
      </c>
      <c r="G132" s="26"/>
      <c r="H132" s="27">
        <v>46087</v>
      </c>
      <c r="I132" s="28">
        <v>3</v>
      </c>
      <c r="J132" s="27">
        <v>46091</v>
      </c>
      <c r="K132" s="26"/>
      <c r="L132" s="26"/>
      <c r="M132" s="26" t="s">
        <v>1</v>
      </c>
      <c r="N132" s="86"/>
      <c r="O132" s="87">
        <f>VLOOKUP(A132,'HIPERQUERATOSE 26'!$A$2:$G$1542,7,1)</f>
        <v>1</v>
      </c>
    </row>
    <row r="133" spans="1:15" ht="21" customHeight="1" x14ac:dyDescent="0.25">
      <c r="A133" s="1">
        <v>5590</v>
      </c>
      <c r="B133" s="27">
        <v>46084</v>
      </c>
      <c r="C133" s="26"/>
      <c r="D133" s="4" t="s">
        <v>32</v>
      </c>
      <c r="E133" s="26"/>
      <c r="F133" s="5">
        <v>4</v>
      </c>
      <c r="G133" s="26"/>
      <c r="H133" s="27">
        <v>46087</v>
      </c>
      <c r="I133" s="29">
        <v>3</v>
      </c>
      <c r="J133" s="27">
        <v>46091</v>
      </c>
      <c r="K133" s="26"/>
      <c r="L133" s="26"/>
      <c r="M133" s="26"/>
      <c r="N133" s="86" t="s">
        <v>4</v>
      </c>
      <c r="O133" s="87">
        <f>VLOOKUP(A133,'HIPERQUERATOSE 26'!$A$2:$G$1542,7,1)</f>
        <v>0.75</v>
      </c>
    </row>
    <row r="134" spans="1:15" ht="21" customHeight="1" x14ac:dyDescent="0.25">
      <c r="A134" s="1">
        <v>3507</v>
      </c>
      <c r="B134" s="27">
        <v>46084</v>
      </c>
      <c r="C134" s="26"/>
      <c r="D134" s="4" t="s">
        <v>20</v>
      </c>
      <c r="E134" s="26"/>
      <c r="F134" s="5">
        <v>4</v>
      </c>
      <c r="G134" s="26"/>
      <c r="H134" s="27">
        <v>46087</v>
      </c>
      <c r="I134" s="28">
        <v>9</v>
      </c>
      <c r="J134" s="27">
        <v>46097</v>
      </c>
      <c r="K134" s="26" t="s">
        <v>3</v>
      </c>
      <c r="L134" s="26"/>
      <c r="M134" s="26" t="s">
        <v>1</v>
      </c>
      <c r="N134" s="86"/>
      <c r="O134" s="87">
        <f>VLOOKUP(A134,'HIPERQUERATOSE 26'!$A$2:$G$1542,7,1)</f>
        <v>1</v>
      </c>
    </row>
    <row r="135" spans="1:15" ht="21" customHeight="1" x14ac:dyDescent="0.25">
      <c r="A135" s="1">
        <v>2996</v>
      </c>
      <c r="B135" s="27">
        <v>46085</v>
      </c>
      <c r="C135" s="26"/>
      <c r="D135" s="4" t="s">
        <v>32</v>
      </c>
      <c r="E135" s="26"/>
      <c r="F135" s="5">
        <v>4</v>
      </c>
      <c r="G135" s="26"/>
      <c r="H135" s="27">
        <v>46088</v>
      </c>
      <c r="I135" s="29">
        <v>3</v>
      </c>
      <c r="J135" s="27">
        <v>46092</v>
      </c>
      <c r="K135" s="26"/>
      <c r="L135" s="26"/>
      <c r="M135" s="26"/>
      <c r="N135" s="86" t="s">
        <v>4</v>
      </c>
      <c r="O135" s="87">
        <f>VLOOKUP(A135,'HIPERQUERATOSE 26'!$A$2:$G$1542,7,1)</f>
        <v>3.75</v>
      </c>
    </row>
    <row r="136" spans="1:15" ht="21" customHeight="1" x14ac:dyDescent="0.25">
      <c r="A136" s="1">
        <v>4083</v>
      </c>
      <c r="B136" s="27">
        <v>46085</v>
      </c>
      <c r="C136" s="26"/>
      <c r="D136" s="4" t="s">
        <v>32</v>
      </c>
      <c r="E136" s="26"/>
      <c r="F136" s="5">
        <v>4</v>
      </c>
      <c r="G136" s="26"/>
      <c r="H136" s="27">
        <v>46088</v>
      </c>
      <c r="I136" s="28">
        <v>3</v>
      </c>
      <c r="J136" s="27">
        <v>46092</v>
      </c>
      <c r="K136" s="26"/>
      <c r="L136" s="26" t="s">
        <v>5</v>
      </c>
      <c r="M136" s="26"/>
      <c r="N136" s="86"/>
      <c r="O136" s="87">
        <f>VLOOKUP(A136,'HIPERQUERATOSE 26'!$A$2:$G$1542,7,1)</f>
        <v>2</v>
      </c>
    </row>
    <row r="137" spans="1:15" ht="21" customHeight="1" x14ac:dyDescent="0.25">
      <c r="A137" s="1">
        <v>4129</v>
      </c>
      <c r="B137" s="27">
        <v>46086</v>
      </c>
      <c r="C137" s="26"/>
      <c r="D137" s="4" t="s">
        <v>34</v>
      </c>
      <c r="E137" s="26"/>
      <c r="F137" s="5">
        <v>4</v>
      </c>
      <c r="G137" s="26"/>
      <c r="H137" s="27">
        <v>46089</v>
      </c>
      <c r="I137" s="29">
        <v>3</v>
      </c>
      <c r="J137" s="27">
        <v>46065</v>
      </c>
      <c r="K137" s="26"/>
      <c r="L137" s="26"/>
      <c r="M137" s="26" t="s">
        <v>1</v>
      </c>
      <c r="N137" s="86"/>
      <c r="O137" s="87">
        <f>VLOOKUP(A137,'HIPERQUERATOSE 26'!$A$2:$G$1542,7,1)</f>
        <v>1</v>
      </c>
    </row>
    <row r="138" spans="1:15" ht="21" customHeight="1" x14ac:dyDescent="0.25">
      <c r="A138" s="1">
        <v>4442</v>
      </c>
      <c r="B138" s="27">
        <v>46087</v>
      </c>
      <c r="C138" s="26"/>
      <c r="D138" s="4" t="s">
        <v>32</v>
      </c>
      <c r="E138" s="26"/>
      <c r="F138" s="5">
        <v>4</v>
      </c>
      <c r="G138" s="26"/>
      <c r="H138" s="27">
        <v>46090</v>
      </c>
      <c r="I138" s="28">
        <v>3</v>
      </c>
      <c r="J138" s="27">
        <v>46066</v>
      </c>
      <c r="K138" s="26"/>
      <c r="L138" s="26"/>
      <c r="M138" s="26" t="s">
        <v>1</v>
      </c>
      <c r="N138" s="86"/>
      <c r="O138" s="87">
        <f>VLOOKUP(A138,'HIPERQUERATOSE 26'!$A$2:$G$1542,7,1)</f>
        <v>3.25</v>
      </c>
    </row>
    <row r="139" spans="1:15" ht="21" customHeight="1" x14ac:dyDescent="0.25">
      <c r="A139" s="1">
        <v>5590</v>
      </c>
      <c r="B139" s="27">
        <v>46087</v>
      </c>
      <c r="C139" s="26"/>
      <c r="D139" s="4" t="s">
        <v>20</v>
      </c>
      <c r="E139" s="26"/>
      <c r="F139" s="5">
        <v>4</v>
      </c>
      <c r="G139" s="26"/>
      <c r="H139" s="27">
        <v>46090</v>
      </c>
      <c r="I139" s="29">
        <v>3</v>
      </c>
      <c r="J139" s="27">
        <v>46100</v>
      </c>
      <c r="K139" s="26"/>
      <c r="L139" s="26"/>
      <c r="M139" s="26"/>
      <c r="N139" s="86" t="s">
        <v>4</v>
      </c>
      <c r="O139" s="87">
        <f>VLOOKUP(A139,'HIPERQUERATOSE 26'!$A$2:$G$1542,7,1)</f>
        <v>0.75</v>
      </c>
    </row>
    <row r="140" spans="1:15" ht="21" customHeight="1" x14ac:dyDescent="0.25">
      <c r="A140" s="1">
        <v>3400</v>
      </c>
      <c r="B140" s="27">
        <v>46088</v>
      </c>
      <c r="C140" s="26"/>
      <c r="D140" s="4" t="s">
        <v>32</v>
      </c>
      <c r="E140" s="26"/>
      <c r="F140" s="5">
        <v>4</v>
      </c>
      <c r="G140" s="26"/>
      <c r="H140" s="27">
        <v>46091</v>
      </c>
      <c r="I140" s="28">
        <v>3</v>
      </c>
      <c r="J140" s="27">
        <v>46095</v>
      </c>
      <c r="K140" s="26"/>
      <c r="L140" s="26"/>
      <c r="M140" s="26" t="s">
        <v>1</v>
      </c>
      <c r="N140" s="86"/>
      <c r="O140" s="87">
        <f>VLOOKUP(A140,'HIPERQUERATOSE 26'!$A$2:$G$1542,7,1)</f>
        <v>3</v>
      </c>
    </row>
    <row r="141" spans="1:15" ht="21" customHeight="1" x14ac:dyDescent="0.25">
      <c r="A141" s="1">
        <v>4474</v>
      </c>
      <c r="B141" s="27">
        <v>46088</v>
      </c>
      <c r="C141" s="26"/>
      <c r="D141" s="4" t="s">
        <v>32</v>
      </c>
      <c r="E141" s="26"/>
      <c r="F141" s="5">
        <v>4</v>
      </c>
      <c r="G141" s="26"/>
      <c r="H141" s="27">
        <v>46091</v>
      </c>
      <c r="I141" s="29">
        <v>3</v>
      </c>
      <c r="J141" s="27">
        <v>46095</v>
      </c>
      <c r="K141" s="26" t="s">
        <v>3</v>
      </c>
      <c r="L141" s="26"/>
      <c r="M141" s="26"/>
      <c r="N141" s="86"/>
      <c r="O141" s="87">
        <f>VLOOKUP(A141,'HIPERQUERATOSE 26'!$A$2:$G$1542,7,1)</f>
        <v>1.5</v>
      </c>
    </row>
    <row r="142" spans="1:15" ht="21" customHeight="1" x14ac:dyDescent="0.25">
      <c r="A142" s="1">
        <v>3483</v>
      </c>
      <c r="B142" s="27">
        <v>46090</v>
      </c>
      <c r="C142" s="26"/>
      <c r="D142" s="4" t="s">
        <v>32</v>
      </c>
      <c r="E142" s="26"/>
      <c r="F142" s="5">
        <v>4</v>
      </c>
      <c r="G142" s="26"/>
      <c r="H142" s="27">
        <v>46093</v>
      </c>
      <c r="I142" s="28">
        <v>3</v>
      </c>
      <c r="J142" s="27">
        <v>46097</v>
      </c>
      <c r="K142" s="26"/>
      <c r="L142" s="26" t="s">
        <v>5</v>
      </c>
      <c r="M142" s="26"/>
      <c r="N142" s="86"/>
      <c r="O142" s="87">
        <f>VLOOKUP(A142,'HIPERQUERATOSE 26'!$A$2:$G$1542,7,1)</f>
        <v>1</v>
      </c>
    </row>
    <row r="143" spans="1:15" ht="21" customHeight="1" x14ac:dyDescent="0.25">
      <c r="A143" s="1">
        <v>4376</v>
      </c>
      <c r="B143" s="27">
        <v>46089</v>
      </c>
      <c r="C143" s="26"/>
      <c r="D143" s="4" t="s">
        <v>32</v>
      </c>
      <c r="E143" s="26"/>
      <c r="F143" s="5">
        <v>4</v>
      </c>
      <c r="G143" s="26"/>
      <c r="H143" s="27">
        <v>46092</v>
      </c>
      <c r="I143" s="29">
        <v>3</v>
      </c>
      <c r="J143" s="27">
        <v>46095</v>
      </c>
      <c r="K143" s="26"/>
      <c r="L143" s="26"/>
      <c r="M143" s="26" t="s">
        <v>1</v>
      </c>
      <c r="N143" s="86" t="s">
        <v>4</v>
      </c>
      <c r="O143" s="87">
        <f>VLOOKUP(A143,'HIPERQUERATOSE 26'!$A$2:$G$1542,7,1)</f>
        <v>2.75</v>
      </c>
    </row>
    <row r="144" spans="1:15" ht="21" customHeight="1" x14ac:dyDescent="0.25">
      <c r="A144" s="1">
        <v>4819</v>
      </c>
      <c r="B144" s="27">
        <v>46089</v>
      </c>
      <c r="C144" s="26"/>
      <c r="D144" s="4" t="s">
        <v>32</v>
      </c>
      <c r="E144" s="26"/>
      <c r="F144" s="5">
        <v>4</v>
      </c>
      <c r="G144" s="26"/>
      <c r="H144" s="27">
        <v>46092</v>
      </c>
      <c r="I144" s="28">
        <v>3</v>
      </c>
      <c r="J144" s="27">
        <v>46095</v>
      </c>
      <c r="K144" s="26"/>
      <c r="L144" s="26" t="s">
        <v>5</v>
      </c>
      <c r="M144" s="26"/>
      <c r="N144" s="86"/>
      <c r="O144" s="87">
        <f>VLOOKUP(A144,'HIPERQUERATOSE 26'!$A$2:$G$1542,7,1)</f>
        <v>1</v>
      </c>
    </row>
    <row r="145" spans="1:15" ht="21" customHeight="1" x14ac:dyDescent="0.25">
      <c r="A145" s="1">
        <v>3680</v>
      </c>
      <c r="B145" s="27">
        <v>46088</v>
      </c>
      <c r="C145" s="26"/>
      <c r="D145" s="4" t="s">
        <v>20</v>
      </c>
      <c r="E145" s="26"/>
      <c r="F145" s="5">
        <v>4</v>
      </c>
      <c r="G145" s="26"/>
      <c r="H145" s="27">
        <v>46091</v>
      </c>
      <c r="I145" s="29">
        <v>9</v>
      </c>
      <c r="J145" s="27">
        <v>46101</v>
      </c>
      <c r="K145" s="26" t="s">
        <v>3</v>
      </c>
      <c r="L145" s="26"/>
      <c r="M145" s="26"/>
      <c r="N145" s="86"/>
      <c r="O145" s="87">
        <f>VLOOKUP(A145,'HIPERQUERATOSE 26'!$A$2:$G$1542,7,1)</f>
        <v>1.75</v>
      </c>
    </row>
    <row r="146" spans="1:15" ht="21" customHeight="1" x14ac:dyDescent="0.25">
      <c r="A146" s="1">
        <v>1075</v>
      </c>
      <c r="B146" s="27">
        <v>46090</v>
      </c>
      <c r="C146" s="26"/>
      <c r="D146" s="4" t="s">
        <v>32</v>
      </c>
      <c r="E146" s="26"/>
      <c r="F146" s="5">
        <v>4</v>
      </c>
      <c r="G146" s="26"/>
      <c r="H146" s="27">
        <v>46093</v>
      </c>
      <c r="I146" s="28">
        <v>3</v>
      </c>
      <c r="J146" s="27">
        <v>46097</v>
      </c>
      <c r="K146" s="26"/>
      <c r="L146" s="26"/>
      <c r="M146" s="26"/>
      <c r="N146" s="86" t="s">
        <v>4</v>
      </c>
      <c r="O146" s="87">
        <f>VLOOKUP(A146,'HIPERQUERATOSE 26'!$A$2:$G$1542,7,1)</f>
        <v>1</v>
      </c>
    </row>
    <row r="147" spans="1:15" ht="21" customHeight="1" x14ac:dyDescent="0.25">
      <c r="A147" s="1">
        <v>4260</v>
      </c>
      <c r="B147" s="27">
        <v>46091</v>
      </c>
      <c r="C147" s="26"/>
      <c r="D147" s="4" t="s">
        <v>32</v>
      </c>
      <c r="E147" s="26"/>
      <c r="F147" s="5">
        <v>4</v>
      </c>
      <c r="G147" s="26"/>
      <c r="H147" s="27">
        <v>46094</v>
      </c>
      <c r="I147" s="29">
        <v>3</v>
      </c>
      <c r="J147" s="27">
        <v>46098</v>
      </c>
      <c r="K147" s="26"/>
      <c r="L147" s="26"/>
      <c r="M147" s="26"/>
      <c r="N147" s="86" t="s">
        <v>4</v>
      </c>
      <c r="O147" s="87">
        <f>VLOOKUP(A147,'HIPERQUERATOSE 26'!$A$2:$G$1542,7,1)</f>
        <v>1</v>
      </c>
    </row>
    <row r="148" spans="1:15" ht="21" customHeight="1" x14ac:dyDescent="0.25">
      <c r="A148" s="1">
        <v>4375</v>
      </c>
      <c r="B148" s="27">
        <v>46091</v>
      </c>
      <c r="C148" s="26"/>
      <c r="D148" s="4" t="s">
        <v>32</v>
      </c>
      <c r="E148" s="26"/>
      <c r="F148" s="5">
        <v>4</v>
      </c>
      <c r="G148" s="26"/>
      <c r="H148" s="27">
        <v>46094</v>
      </c>
      <c r="I148" s="28">
        <v>3</v>
      </c>
      <c r="J148" s="27">
        <v>46098</v>
      </c>
      <c r="K148" s="26" t="s">
        <v>3</v>
      </c>
      <c r="L148" s="26"/>
      <c r="M148" s="26"/>
      <c r="N148" s="86"/>
      <c r="O148" s="87">
        <f>VLOOKUP(A148,'HIPERQUERATOSE 26'!$A$2:$G$1542,7,1)</f>
        <v>1.75</v>
      </c>
    </row>
    <row r="149" spans="1:15" ht="21" customHeight="1" x14ac:dyDescent="0.25">
      <c r="A149" s="1">
        <v>3615</v>
      </c>
      <c r="B149" s="27">
        <v>46092</v>
      </c>
      <c r="C149" s="26"/>
      <c r="D149" s="4" t="s">
        <v>33</v>
      </c>
      <c r="E149" s="26"/>
      <c r="F149" s="5">
        <v>4</v>
      </c>
      <c r="G149" s="26"/>
      <c r="H149" s="27">
        <v>46095</v>
      </c>
      <c r="I149" s="29">
        <v>4</v>
      </c>
      <c r="J149" s="27">
        <v>46100</v>
      </c>
      <c r="K149" s="26" t="s">
        <v>3</v>
      </c>
      <c r="L149" s="26"/>
      <c r="M149" s="26"/>
      <c r="N149" s="86"/>
      <c r="O149" s="87">
        <f>VLOOKUP(A149,'HIPERQUERATOSE 26'!$A$2:$G$1542,7,1)</f>
        <v>1.75</v>
      </c>
    </row>
    <row r="150" spans="1:15" ht="21" customHeight="1" x14ac:dyDescent="0.25">
      <c r="A150" s="1">
        <v>2886</v>
      </c>
      <c r="B150" s="27">
        <v>46092</v>
      </c>
      <c r="C150" s="26"/>
      <c r="D150" s="4" t="s">
        <v>25</v>
      </c>
      <c r="E150" s="26"/>
      <c r="F150" s="5">
        <v>4</v>
      </c>
      <c r="G150" s="26"/>
      <c r="H150" s="27">
        <v>46095</v>
      </c>
      <c r="I150" s="28">
        <v>5</v>
      </c>
      <c r="J150" s="27">
        <v>46101</v>
      </c>
      <c r="K150" s="26" t="s">
        <v>3</v>
      </c>
      <c r="L150" s="26"/>
      <c r="M150" s="26"/>
      <c r="N150" s="86"/>
      <c r="O150" s="87">
        <f>VLOOKUP(A150,'HIPERQUERATOSE 26'!$A$2:$G$1542,7,1)</f>
        <v>2.5</v>
      </c>
    </row>
    <row r="151" spans="1:15" ht="21" customHeight="1" x14ac:dyDescent="0.25">
      <c r="A151" s="1">
        <v>4229</v>
      </c>
      <c r="B151" s="27">
        <v>46092</v>
      </c>
      <c r="C151" s="26"/>
      <c r="D151" s="4" t="s">
        <v>25</v>
      </c>
      <c r="E151" s="26"/>
      <c r="F151" s="5">
        <v>4</v>
      </c>
      <c r="G151" s="26"/>
      <c r="H151" s="27">
        <v>46095</v>
      </c>
      <c r="I151" s="29">
        <v>5</v>
      </c>
      <c r="J151" s="27">
        <v>46101</v>
      </c>
      <c r="K151" s="26" t="s">
        <v>3</v>
      </c>
      <c r="L151" s="26"/>
      <c r="M151" s="26"/>
      <c r="N151" s="86"/>
      <c r="O151" s="87">
        <f>VLOOKUP(A151,'HIPERQUERATOSE 26'!$A$2:$G$1542,7,1)</f>
        <v>2.5</v>
      </c>
    </row>
    <row r="152" spans="1:15" ht="21" customHeight="1" x14ac:dyDescent="0.25">
      <c r="A152" s="1">
        <v>4064</v>
      </c>
      <c r="B152" s="27">
        <v>46094</v>
      </c>
      <c r="C152" s="26"/>
      <c r="D152" s="4" t="s">
        <v>32</v>
      </c>
      <c r="E152" s="26"/>
      <c r="F152" s="5">
        <v>4</v>
      </c>
      <c r="G152" s="26"/>
      <c r="H152" s="27">
        <v>46097</v>
      </c>
      <c r="I152" s="28">
        <v>3</v>
      </c>
      <c r="J152" s="27">
        <v>46101</v>
      </c>
      <c r="K152" s="26"/>
      <c r="L152" s="26"/>
      <c r="M152" s="26"/>
      <c r="N152" s="86" t="s">
        <v>4</v>
      </c>
      <c r="O152" s="87">
        <f>VLOOKUP(A152,'HIPERQUERATOSE 26'!$A$2:$G$1542,7,1)</f>
        <v>2.5</v>
      </c>
    </row>
    <row r="153" spans="1:15" ht="21" customHeight="1" x14ac:dyDescent="0.25">
      <c r="A153" s="1">
        <v>1075</v>
      </c>
      <c r="B153" s="27">
        <v>46094</v>
      </c>
      <c r="C153" s="26"/>
      <c r="D153" s="4" t="s">
        <v>21</v>
      </c>
      <c r="E153" s="26"/>
      <c r="F153" s="5">
        <v>4</v>
      </c>
      <c r="G153" s="26"/>
      <c r="H153" s="27">
        <v>46097</v>
      </c>
      <c r="I153" s="29">
        <v>9</v>
      </c>
      <c r="J153" s="27">
        <v>46107</v>
      </c>
      <c r="K153" s="26"/>
      <c r="L153" s="26"/>
      <c r="M153" s="26"/>
      <c r="N153" s="86" t="s">
        <v>4</v>
      </c>
      <c r="O153" s="87">
        <f>VLOOKUP(A153,'HIPERQUERATOSE 26'!$A$2:$G$1542,7,1)</f>
        <v>1</v>
      </c>
    </row>
    <row r="154" spans="1:15" ht="21" customHeight="1" x14ac:dyDescent="0.25">
      <c r="A154" s="1">
        <v>3190</v>
      </c>
      <c r="B154" s="27">
        <v>46095</v>
      </c>
      <c r="C154" s="26"/>
      <c r="D154" s="4" t="s">
        <v>32</v>
      </c>
      <c r="E154" s="26"/>
      <c r="F154" s="5">
        <v>4</v>
      </c>
      <c r="G154" s="26"/>
      <c r="H154" s="27">
        <v>46098</v>
      </c>
      <c r="I154" s="28">
        <v>3</v>
      </c>
      <c r="J154" s="27">
        <v>46102</v>
      </c>
      <c r="K154" s="26" t="s">
        <v>3</v>
      </c>
      <c r="L154" s="26"/>
      <c r="M154" s="26"/>
      <c r="N154" s="86"/>
      <c r="O154" s="87">
        <f>VLOOKUP(A154,'HIPERQUERATOSE 26'!$A$2:$G$1542,7,1)</f>
        <v>1.75</v>
      </c>
    </row>
    <row r="155" spans="1:15" ht="21" customHeight="1" x14ac:dyDescent="0.25">
      <c r="A155" s="1">
        <v>4260</v>
      </c>
      <c r="B155" s="27">
        <v>46095</v>
      </c>
      <c r="C155" s="26"/>
      <c r="D155" s="4" t="s">
        <v>21</v>
      </c>
      <c r="E155" s="26"/>
      <c r="F155" s="5">
        <v>4</v>
      </c>
      <c r="G155" s="26"/>
      <c r="H155" s="27">
        <v>46098</v>
      </c>
      <c r="I155" s="29">
        <v>9</v>
      </c>
      <c r="J155" s="27">
        <v>46108</v>
      </c>
      <c r="K155" s="26"/>
      <c r="L155" s="26"/>
      <c r="M155" s="26"/>
      <c r="N155" s="86" t="s">
        <v>4</v>
      </c>
      <c r="O155" s="87">
        <f>VLOOKUP(A155,'HIPERQUERATOSE 26'!$A$2:$G$1542,7,1)</f>
        <v>1</v>
      </c>
    </row>
    <row r="156" spans="1:15" ht="21" customHeight="1" x14ac:dyDescent="0.25">
      <c r="A156" s="1">
        <v>5052</v>
      </c>
      <c r="B156" s="27">
        <v>46095</v>
      </c>
      <c r="C156" s="26"/>
      <c r="D156" s="4" t="s">
        <v>32</v>
      </c>
      <c r="E156" s="26"/>
      <c r="F156" s="5">
        <v>4</v>
      </c>
      <c r="G156" s="26"/>
      <c r="H156" s="27">
        <v>46098</v>
      </c>
      <c r="I156" s="28">
        <v>3</v>
      </c>
      <c r="J156" s="27">
        <v>46102</v>
      </c>
      <c r="K156" s="26"/>
      <c r="L156" s="26"/>
      <c r="M156" s="26"/>
      <c r="N156" s="86" t="s">
        <v>4</v>
      </c>
      <c r="O156" s="87">
        <f>VLOOKUP(A156,'HIPERQUERATOSE 26'!$A$2:$G$1542,7,1)</f>
        <v>0.75</v>
      </c>
    </row>
    <row r="157" spans="1:15" ht="21" customHeight="1" x14ac:dyDescent="0.25">
      <c r="A157" s="1">
        <v>4457</v>
      </c>
      <c r="B157" s="27">
        <v>46096</v>
      </c>
      <c r="C157" s="26"/>
      <c r="D157" s="4" t="s">
        <v>32</v>
      </c>
      <c r="E157" s="26"/>
      <c r="F157" s="5">
        <v>4</v>
      </c>
      <c r="G157" s="26"/>
      <c r="H157" s="27">
        <v>46099</v>
      </c>
      <c r="I157" s="29">
        <v>3</v>
      </c>
      <c r="J157" s="27">
        <v>46103</v>
      </c>
      <c r="K157" s="26"/>
      <c r="L157" s="26"/>
      <c r="M157" s="26" t="s">
        <v>1</v>
      </c>
      <c r="N157" s="86"/>
      <c r="O157" s="87">
        <f>VLOOKUP(A157,'HIPERQUERATOSE 26'!$A$2:$G$1542,7,1)</f>
        <v>1.5</v>
      </c>
    </row>
    <row r="158" spans="1:15" ht="21" customHeight="1" x14ac:dyDescent="0.25">
      <c r="A158" s="1">
        <v>3483</v>
      </c>
      <c r="B158" s="27">
        <v>46097</v>
      </c>
      <c r="C158" s="26"/>
      <c r="D158" s="4" t="s">
        <v>25</v>
      </c>
      <c r="E158" s="26"/>
      <c r="F158" s="5">
        <v>4</v>
      </c>
      <c r="G158" s="26"/>
      <c r="H158" s="27">
        <v>46100</v>
      </c>
      <c r="I158" s="28">
        <v>3</v>
      </c>
      <c r="J158" s="27">
        <v>46104</v>
      </c>
      <c r="K158" s="26"/>
      <c r="L158" s="26" t="s">
        <v>5</v>
      </c>
      <c r="M158" s="26"/>
      <c r="N158" s="86"/>
      <c r="O158" s="87">
        <f>VLOOKUP(A158,'HIPERQUERATOSE 26'!$A$2:$G$1542,7,1)</f>
        <v>1</v>
      </c>
    </row>
    <row r="159" spans="1:15" ht="21" customHeight="1" x14ac:dyDescent="0.25">
      <c r="A159" s="1">
        <v>4917</v>
      </c>
      <c r="B159" s="27">
        <v>46098</v>
      </c>
      <c r="C159" s="26"/>
      <c r="D159" s="4" t="s">
        <v>32</v>
      </c>
      <c r="E159" s="26"/>
      <c r="F159" s="5">
        <v>4</v>
      </c>
      <c r="G159" s="26"/>
      <c r="H159" s="27">
        <v>46101</v>
      </c>
      <c r="I159" s="29">
        <v>3</v>
      </c>
      <c r="J159" s="27">
        <v>46105</v>
      </c>
      <c r="K159" s="26"/>
      <c r="L159" s="26"/>
      <c r="M159" s="26"/>
      <c r="N159" s="86" t="s">
        <v>4</v>
      </c>
      <c r="O159" s="87">
        <f>VLOOKUP(A159,'HIPERQUERATOSE 26'!$A$2:$G$1542,7,1)</f>
        <v>1.75</v>
      </c>
    </row>
    <row r="160" spans="1:15" ht="21" customHeight="1" x14ac:dyDescent="0.25">
      <c r="A160" s="1">
        <v>3232</v>
      </c>
      <c r="B160" s="27">
        <v>46098</v>
      </c>
      <c r="C160" s="26"/>
      <c r="D160" s="4" t="s">
        <v>21</v>
      </c>
      <c r="E160" s="26"/>
      <c r="F160" s="5">
        <v>4</v>
      </c>
      <c r="G160" s="26"/>
      <c r="H160" s="27">
        <v>46101</v>
      </c>
      <c r="I160" s="28">
        <v>3</v>
      </c>
      <c r="J160" s="27">
        <v>46105</v>
      </c>
      <c r="K160" s="26"/>
      <c r="L160" s="26"/>
      <c r="M160" s="26"/>
      <c r="N160" s="86" t="s">
        <v>4</v>
      </c>
      <c r="O160" s="87">
        <f>VLOOKUP(A160,'HIPERQUERATOSE 26'!$A$2:$G$1542,7,1)</f>
        <v>1.5</v>
      </c>
    </row>
    <row r="161" spans="1:15" ht="21" customHeight="1" x14ac:dyDescent="0.25">
      <c r="A161" s="1">
        <v>5052</v>
      </c>
      <c r="B161" s="27">
        <v>46098</v>
      </c>
      <c r="C161" s="26"/>
      <c r="D161" s="4" t="s">
        <v>21</v>
      </c>
      <c r="E161" s="26"/>
      <c r="F161" s="5">
        <v>4</v>
      </c>
      <c r="G161" s="26"/>
      <c r="H161" s="27">
        <v>46101</v>
      </c>
      <c r="I161" s="29">
        <v>3</v>
      </c>
      <c r="J161" s="27">
        <v>46105</v>
      </c>
      <c r="K161" s="26"/>
      <c r="L161" s="26"/>
      <c r="M161" s="26" t="s">
        <v>1</v>
      </c>
      <c r="N161" s="86"/>
      <c r="O161" s="87">
        <f>VLOOKUP(A161,'HIPERQUERATOSE 26'!$A$2:$G$1542,7,1)</f>
        <v>0.75</v>
      </c>
    </row>
    <row r="162" spans="1:15" ht="21" customHeight="1" x14ac:dyDescent="0.25">
      <c r="A162" s="1">
        <v>4204</v>
      </c>
      <c r="B162" s="27">
        <v>46099</v>
      </c>
      <c r="C162" s="26"/>
      <c r="D162" s="4" t="s">
        <v>32</v>
      </c>
      <c r="E162" s="26"/>
      <c r="F162" s="5">
        <v>4</v>
      </c>
      <c r="G162" s="26"/>
      <c r="H162" s="27">
        <v>46102</v>
      </c>
      <c r="I162" s="28">
        <v>3</v>
      </c>
      <c r="J162" s="27">
        <v>46106</v>
      </c>
      <c r="K162" s="26"/>
      <c r="L162" s="26"/>
      <c r="M162" s="26" t="s">
        <v>1</v>
      </c>
      <c r="N162" s="86"/>
      <c r="O162" s="87">
        <f>VLOOKUP(A162,'HIPERQUERATOSE 26'!$A$2:$G$1542,7,1)</f>
        <v>3</v>
      </c>
    </row>
    <row r="163" spans="1:15" ht="21" customHeight="1" x14ac:dyDescent="0.25">
      <c r="A163" s="1">
        <v>2108</v>
      </c>
      <c r="B163" s="27">
        <v>46099</v>
      </c>
      <c r="C163" s="26"/>
      <c r="D163" s="4" t="s">
        <v>21</v>
      </c>
      <c r="E163" s="26"/>
      <c r="F163" s="5">
        <v>4</v>
      </c>
      <c r="G163" s="26"/>
      <c r="H163" s="27">
        <v>46102</v>
      </c>
      <c r="I163" s="29">
        <v>3</v>
      </c>
      <c r="J163" s="27">
        <v>46106</v>
      </c>
      <c r="K163" s="26"/>
      <c r="L163" s="26"/>
      <c r="M163" s="26"/>
      <c r="N163" s="86" t="s">
        <v>4</v>
      </c>
      <c r="O163" s="87">
        <f>VLOOKUP(A163,'HIPERQUERATOSE 26'!$A$2:$G$1542,7,1)</f>
        <v>2.5</v>
      </c>
    </row>
    <row r="164" spans="1:15" ht="21" customHeight="1" x14ac:dyDescent="0.25">
      <c r="A164" s="1">
        <v>4385</v>
      </c>
      <c r="B164" s="27">
        <v>46102</v>
      </c>
      <c r="C164" s="26"/>
      <c r="D164" s="4" t="s">
        <v>21</v>
      </c>
      <c r="E164" s="26"/>
      <c r="F164" s="5">
        <v>4</v>
      </c>
      <c r="G164" s="26"/>
      <c r="H164" s="27">
        <v>46105</v>
      </c>
      <c r="I164" s="28">
        <v>9</v>
      </c>
      <c r="J164" s="27">
        <v>46115</v>
      </c>
      <c r="K164" s="26" t="s">
        <v>3</v>
      </c>
      <c r="L164" s="26"/>
      <c r="M164" s="26"/>
      <c r="N164" s="86"/>
      <c r="O164" s="87">
        <f>VLOOKUP(A164,'HIPERQUERATOSE 26'!$A$2:$G$1542,7,1)</f>
        <v>1.25</v>
      </c>
    </row>
    <row r="165" spans="1:15" ht="21" customHeight="1" x14ac:dyDescent="0.25">
      <c r="A165" s="1">
        <v>4690</v>
      </c>
      <c r="B165" s="27">
        <v>46103</v>
      </c>
      <c r="C165" s="26"/>
      <c r="D165" s="4" t="s">
        <v>32</v>
      </c>
      <c r="E165" s="26"/>
      <c r="F165" s="5">
        <v>4</v>
      </c>
      <c r="G165" s="26"/>
      <c r="H165" s="27">
        <v>46105</v>
      </c>
      <c r="I165" s="29">
        <v>3</v>
      </c>
      <c r="J165" s="27">
        <v>46109</v>
      </c>
      <c r="K165" s="26"/>
      <c r="L165" s="26" t="s">
        <v>5</v>
      </c>
      <c r="M165" s="26"/>
      <c r="N165" s="86"/>
      <c r="O165" s="87">
        <f>VLOOKUP(A165,'HIPERQUERATOSE 26'!$A$2:$G$1542,7,1)</f>
        <v>0.75</v>
      </c>
    </row>
    <row r="166" spans="1:15" ht="21" customHeight="1" x14ac:dyDescent="0.25">
      <c r="A166" s="1">
        <v>5483</v>
      </c>
      <c r="B166" s="27">
        <v>46104</v>
      </c>
      <c r="C166" s="26"/>
      <c r="D166" s="4" t="s">
        <v>32</v>
      </c>
      <c r="E166" s="26"/>
      <c r="F166" s="5">
        <v>4</v>
      </c>
      <c r="G166" s="26"/>
      <c r="H166" s="27">
        <v>46107</v>
      </c>
      <c r="I166" s="28">
        <v>3</v>
      </c>
      <c r="J166" s="27">
        <v>46117</v>
      </c>
      <c r="K166" s="26" t="s">
        <v>3</v>
      </c>
      <c r="L166" s="26"/>
      <c r="M166" s="26"/>
      <c r="N166" s="86"/>
      <c r="O166" s="87">
        <f>VLOOKUP(A166,'HIPERQUERATOSE 26'!$A$2:$G$1542,7,1)</f>
        <v>1.75</v>
      </c>
    </row>
    <row r="167" spans="1:15" ht="21" customHeight="1" x14ac:dyDescent="0.25">
      <c r="A167" s="1">
        <v>3232</v>
      </c>
      <c r="B167" s="27">
        <v>46104</v>
      </c>
      <c r="C167" s="26"/>
      <c r="D167" s="4" t="s">
        <v>20</v>
      </c>
      <c r="E167" s="26"/>
      <c r="F167" s="5">
        <v>4</v>
      </c>
      <c r="G167" s="26"/>
      <c r="H167" s="27">
        <v>46107</v>
      </c>
      <c r="I167" s="29">
        <v>9</v>
      </c>
      <c r="J167" s="27">
        <v>46117</v>
      </c>
      <c r="K167" s="26"/>
      <c r="L167" s="26"/>
      <c r="M167" s="26" t="s">
        <v>1</v>
      </c>
      <c r="N167" s="86"/>
      <c r="O167" s="87">
        <f>VLOOKUP(A167,'HIPERQUERATOSE 26'!$A$2:$G$1542,7,1)</f>
        <v>1.5</v>
      </c>
    </row>
    <row r="168" spans="1:15" ht="21" customHeight="1" x14ac:dyDescent="0.25">
      <c r="A168" s="1">
        <v>3592</v>
      </c>
      <c r="B168" s="27">
        <v>46104</v>
      </c>
      <c r="C168" s="26"/>
      <c r="D168" s="4" t="s">
        <v>20</v>
      </c>
      <c r="E168" s="26"/>
      <c r="F168" s="5">
        <v>4</v>
      </c>
      <c r="G168" s="26"/>
      <c r="H168" s="30">
        <v>46107</v>
      </c>
      <c r="I168" s="28">
        <v>9</v>
      </c>
      <c r="J168" s="27">
        <v>46117</v>
      </c>
      <c r="K168" s="26" t="s">
        <v>3</v>
      </c>
      <c r="L168" s="26"/>
      <c r="M168" s="26" t="s">
        <v>1</v>
      </c>
      <c r="N168" s="86"/>
      <c r="O168" s="87">
        <f>VLOOKUP(A168,'HIPERQUERATOSE 26'!$A$2:$G$1542,7,1)</f>
        <v>1</v>
      </c>
    </row>
    <row r="169" spans="1:15" ht="21" customHeight="1" x14ac:dyDescent="0.25">
      <c r="A169" s="1">
        <v>3680</v>
      </c>
      <c r="B169" s="27">
        <v>46104</v>
      </c>
      <c r="C169" s="26"/>
      <c r="D169" s="4" t="s">
        <v>20</v>
      </c>
      <c r="E169" s="26"/>
      <c r="F169" s="5">
        <v>4</v>
      </c>
      <c r="G169" s="26"/>
      <c r="H169" s="27">
        <v>46107</v>
      </c>
      <c r="I169" s="29">
        <v>9</v>
      </c>
      <c r="J169" s="27">
        <v>46117</v>
      </c>
      <c r="K169" s="26" t="s">
        <v>3</v>
      </c>
      <c r="L169" s="26"/>
      <c r="M169" s="26"/>
      <c r="N169" s="86"/>
      <c r="O169" s="87">
        <f>VLOOKUP(A169,'HIPERQUERATOSE 26'!$A$2:$G$1542,7,1)</f>
        <v>1.75</v>
      </c>
    </row>
    <row r="170" spans="1:15" ht="21" customHeight="1" x14ac:dyDescent="0.25">
      <c r="A170" s="1">
        <v>4254</v>
      </c>
      <c r="B170" s="27">
        <v>46104</v>
      </c>
      <c r="C170" s="26"/>
      <c r="D170" s="4" t="s">
        <v>20</v>
      </c>
      <c r="E170" s="26"/>
      <c r="F170" s="5">
        <v>4</v>
      </c>
      <c r="G170" s="26"/>
      <c r="H170" s="27">
        <v>46107</v>
      </c>
      <c r="I170" s="28">
        <v>9</v>
      </c>
      <c r="J170" s="27">
        <v>46117</v>
      </c>
      <c r="K170" s="26"/>
      <c r="L170" s="26"/>
      <c r="M170" s="26" t="s">
        <v>1</v>
      </c>
      <c r="N170" s="86"/>
      <c r="O170" s="87">
        <f>VLOOKUP(A170,'HIPERQUERATOSE 26'!$A$2:$G$1542,7,1)</f>
        <v>2</v>
      </c>
    </row>
    <row r="171" spans="1:15" ht="21" customHeight="1" x14ac:dyDescent="0.25">
      <c r="A171" s="1">
        <v>3483</v>
      </c>
      <c r="B171" s="27">
        <v>46104</v>
      </c>
      <c r="C171" s="26"/>
      <c r="D171" s="4" t="s">
        <v>20</v>
      </c>
      <c r="E171" s="26"/>
      <c r="F171" s="5">
        <v>4</v>
      </c>
      <c r="G171" s="26"/>
      <c r="H171" s="27">
        <v>46107</v>
      </c>
      <c r="I171" s="29">
        <v>9</v>
      </c>
      <c r="J171" s="27">
        <v>46117</v>
      </c>
      <c r="K171" s="26" t="s">
        <v>3</v>
      </c>
      <c r="L171" s="26"/>
      <c r="M171" s="26"/>
      <c r="N171" s="86"/>
      <c r="O171" s="87">
        <f>VLOOKUP(A171,'HIPERQUERATOSE 26'!$A$2:$G$1542,7,1)</f>
        <v>1</v>
      </c>
    </row>
    <row r="172" spans="1:15" ht="21" customHeight="1" x14ac:dyDescent="0.25">
      <c r="A172" s="1">
        <v>4428</v>
      </c>
      <c r="B172" s="27">
        <v>46103</v>
      </c>
      <c r="C172" s="26"/>
      <c r="D172" s="4" t="s">
        <v>32</v>
      </c>
      <c r="E172" s="26"/>
      <c r="F172" s="5">
        <v>4</v>
      </c>
      <c r="G172" s="26"/>
      <c r="H172" s="27">
        <v>46106</v>
      </c>
      <c r="I172" s="28">
        <v>3</v>
      </c>
      <c r="J172" s="27">
        <v>46110</v>
      </c>
      <c r="K172" s="26" t="s">
        <v>3</v>
      </c>
      <c r="L172" s="26"/>
      <c r="M172" s="26"/>
      <c r="N172" s="86"/>
      <c r="O172" s="87">
        <f>VLOOKUP(A172,'HIPERQUERATOSE 26'!$A$2:$G$1542,7,1)</f>
        <v>4</v>
      </c>
    </row>
    <row r="173" spans="1:15" ht="21" customHeight="1" x14ac:dyDescent="0.25">
      <c r="A173" s="1">
        <v>3854</v>
      </c>
      <c r="B173" s="27">
        <v>46104</v>
      </c>
      <c r="C173" s="26"/>
      <c r="D173" s="4" t="s">
        <v>20</v>
      </c>
      <c r="E173" s="26"/>
      <c r="F173" s="5">
        <v>4</v>
      </c>
      <c r="G173" s="26"/>
      <c r="H173" s="27">
        <v>46107</v>
      </c>
      <c r="I173" s="29">
        <v>9</v>
      </c>
      <c r="J173" s="27">
        <v>46117</v>
      </c>
      <c r="K173" s="26"/>
      <c r="L173" s="26" t="s">
        <v>5</v>
      </c>
      <c r="M173" s="26"/>
      <c r="N173" s="86"/>
      <c r="O173" s="87">
        <f>VLOOKUP(A173,'HIPERQUERATOSE 26'!$A$2:$G$1542,7,1)</f>
        <v>2</v>
      </c>
    </row>
    <row r="174" spans="1:15" ht="21" customHeight="1" x14ac:dyDescent="0.25">
      <c r="A174" s="1">
        <v>3480</v>
      </c>
      <c r="B174" s="27">
        <v>46104</v>
      </c>
      <c r="C174" s="26"/>
      <c r="D174" s="4" t="s">
        <v>0</v>
      </c>
      <c r="E174" s="26"/>
      <c r="F174" s="5">
        <v>4</v>
      </c>
      <c r="G174" s="26"/>
      <c r="H174" s="27">
        <v>46107</v>
      </c>
      <c r="I174" s="28">
        <v>5</v>
      </c>
      <c r="J174" s="27">
        <v>46113</v>
      </c>
      <c r="K174" s="26" t="s">
        <v>3</v>
      </c>
      <c r="L174" s="26"/>
      <c r="M174" s="26"/>
      <c r="N174" s="86"/>
      <c r="O174" s="87">
        <f>VLOOKUP(A174,'HIPERQUERATOSE 26'!$A$2:$G$1542,7,1)</f>
        <v>1</v>
      </c>
    </row>
    <row r="175" spans="1:15" ht="21" customHeight="1" x14ac:dyDescent="0.25">
      <c r="A175" s="1">
        <v>4260</v>
      </c>
      <c r="B175" s="27">
        <v>46105</v>
      </c>
      <c r="C175" s="26"/>
      <c r="D175" s="4" t="s">
        <v>20</v>
      </c>
      <c r="E175" s="26"/>
      <c r="F175" s="5">
        <v>4</v>
      </c>
      <c r="G175" s="26"/>
      <c r="H175" s="27">
        <v>46108</v>
      </c>
      <c r="I175" s="29">
        <v>9</v>
      </c>
      <c r="J175" s="27">
        <v>46118</v>
      </c>
      <c r="K175" s="26"/>
      <c r="L175" s="26"/>
      <c r="M175" s="26"/>
      <c r="N175" s="86" t="s">
        <v>4</v>
      </c>
      <c r="O175" s="87">
        <f>VLOOKUP(A175,'HIPERQUERATOSE 26'!$A$2:$G$1542,7,1)</f>
        <v>1</v>
      </c>
    </row>
    <row r="176" spans="1:15" ht="21" customHeight="1" x14ac:dyDescent="0.25">
      <c r="A176" s="1">
        <v>4690</v>
      </c>
      <c r="B176" s="27">
        <v>46105</v>
      </c>
      <c r="C176" s="26"/>
      <c r="D176" s="4" t="s">
        <v>20</v>
      </c>
      <c r="E176" s="26"/>
      <c r="F176" s="5">
        <v>4</v>
      </c>
      <c r="G176" s="26"/>
      <c r="H176" s="27">
        <v>46108</v>
      </c>
      <c r="I176" s="28">
        <v>9</v>
      </c>
      <c r="J176" s="27">
        <v>46118</v>
      </c>
      <c r="K176" s="26"/>
      <c r="L176" s="26" t="s">
        <v>5</v>
      </c>
      <c r="M176" s="26"/>
      <c r="N176" s="86"/>
      <c r="O176" s="87">
        <f>VLOOKUP(A176,'HIPERQUERATOSE 26'!$A$2:$G$1542,7,1)</f>
        <v>0.75</v>
      </c>
    </row>
    <row r="177" spans="1:15" ht="21" customHeight="1" x14ac:dyDescent="0.25">
      <c r="A177" s="1">
        <v>4229</v>
      </c>
      <c r="B177" s="27">
        <v>46105</v>
      </c>
      <c r="C177" s="26"/>
      <c r="D177" s="4" t="s">
        <v>32</v>
      </c>
      <c r="E177" s="26"/>
      <c r="F177" s="5">
        <v>4</v>
      </c>
      <c r="G177" s="26"/>
      <c r="H177" s="27">
        <v>46108</v>
      </c>
      <c r="I177" s="29">
        <v>3</v>
      </c>
      <c r="J177" s="27">
        <v>46112</v>
      </c>
      <c r="K177" s="26" t="s">
        <v>3</v>
      </c>
      <c r="L177" s="26"/>
      <c r="M177" s="26"/>
      <c r="N177" s="86"/>
      <c r="O177" s="87">
        <f>VLOOKUP(A177,'HIPERQUERATOSE 26'!$A$2:$G$1542,7,1)</f>
        <v>2.5</v>
      </c>
    </row>
    <row r="178" spans="1:15" ht="21" customHeight="1" x14ac:dyDescent="0.25">
      <c r="A178" s="1">
        <v>3007</v>
      </c>
      <c r="B178" s="27">
        <v>46107</v>
      </c>
      <c r="C178" s="26"/>
      <c r="D178" s="4" t="s">
        <v>34</v>
      </c>
      <c r="E178" s="26"/>
      <c r="F178" s="5">
        <v>4</v>
      </c>
      <c r="G178" s="26"/>
      <c r="H178" s="27">
        <v>46110</v>
      </c>
      <c r="I178" s="28">
        <v>3</v>
      </c>
      <c r="J178" s="27">
        <v>46112</v>
      </c>
      <c r="K178" s="26"/>
      <c r="L178" s="26"/>
      <c r="M178" s="26" t="s">
        <v>1</v>
      </c>
      <c r="N178" s="86"/>
      <c r="O178" s="87">
        <f>VLOOKUP(A178,'HIPERQUERATOSE 26'!$A$2:$G$1542,7,1)</f>
        <v>1</v>
      </c>
    </row>
    <row r="179" spans="1:15" ht="21" customHeight="1" x14ac:dyDescent="0.25">
      <c r="A179" s="1">
        <v>2545</v>
      </c>
      <c r="B179" s="27">
        <v>46107</v>
      </c>
      <c r="C179" s="26"/>
      <c r="D179" s="4" t="s">
        <v>20</v>
      </c>
      <c r="E179" s="26"/>
      <c r="F179" s="5">
        <v>4</v>
      </c>
      <c r="G179" s="26"/>
      <c r="H179" s="27">
        <v>46110</v>
      </c>
      <c r="I179" s="29">
        <v>9</v>
      </c>
      <c r="J179" s="27">
        <v>46119</v>
      </c>
      <c r="K179" s="26" t="s">
        <v>3</v>
      </c>
      <c r="L179" s="26" t="s">
        <v>5</v>
      </c>
      <c r="M179" s="26"/>
      <c r="N179" s="86"/>
      <c r="O179" s="87">
        <f>VLOOKUP(A179,'HIPERQUERATOSE 26'!$A$2:$G$1542,7,1)</f>
        <v>3.25</v>
      </c>
    </row>
    <row r="180" spans="1:15" ht="21" customHeight="1" x14ac:dyDescent="0.25">
      <c r="A180" s="1">
        <v>4970</v>
      </c>
      <c r="B180" s="27">
        <v>46108</v>
      </c>
      <c r="C180" s="26"/>
      <c r="D180" s="4" t="s">
        <v>32</v>
      </c>
      <c r="E180" s="26"/>
      <c r="F180" s="5">
        <v>4</v>
      </c>
      <c r="G180" s="26"/>
      <c r="H180" s="27">
        <v>46111</v>
      </c>
      <c r="I180" s="28">
        <v>3</v>
      </c>
      <c r="J180" s="27">
        <v>46115</v>
      </c>
      <c r="K180" s="26"/>
      <c r="L180" s="26" t="s">
        <v>5</v>
      </c>
      <c r="M180" s="26"/>
      <c r="N180" s="86"/>
      <c r="O180" s="87">
        <f>VLOOKUP(A180,'HIPERQUERATOSE 26'!$A$2:$G$1542,7,1)</f>
        <v>1.75</v>
      </c>
    </row>
    <row r="181" spans="1:15" ht="21" customHeight="1" x14ac:dyDescent="0.25">
      <c r="A181" s="1">
        <v>5063</v>
      </c>
      <c r="B181" s="27">
        <v>46109</v>
      </c>
      <c r="C181" s="26"/>
      <c r="D181" s="4" t="s">
        <v>32</v>
      </c>
      <c r="E181" s="26"/>
      <c r="F181" s="5">
        <v>4</v>
      </c>
      <c r="G181" s="26"/>
      <c r="H181" s="27">
        <v>46112</v>
      </c>
      <c r="I181" s="29">
        <v>3</v>
      </c>
      <c r="J181" s="27">
        <v>46116</v>
      </c>
      <c r="K181" s="26"/>
      <c r="L181" s="26"/>
      <c r="M181" s="26"/>
      <c r="N181" s="86" t="s">
        <v>4</v>
      </c>
      <c r="O181" s="87">
        <f>VLOOKUP(A181,'HIPERQUERATOSE 26'!$A$2:$G$1542,7,1)</f>
        <v>1.25</v>
      </c>
    </row>
    <row r="182" spans="1:15" ht="21" customHeight="1" x14ac:dyDescent="0.25">
      <c r="A182" s="1">
        <v>3437</v>
      </c>
      <c r="B182" s="27">
        <v>46110</v>
      </c>
      <c r="C182" s="26"/>
      <c r="D182" s="4" t="s">
        <v>32</v>
      </c>
      <c r="E182" s="26"/>
      <c r="F182" s="5">
        <v>4</v>
      </c>
      <c r="G182" s="26"/>
      <c r="H182" s="27">
        <v>46113</v>
      </c>
      <c r="I182" s="28">
        <v>3</v>
      </c>
      <c r="J182" s="27">
        <v>46117</v>
      </c>
      <c r="K182" s="26"/>
      <c r="L182" s="26" t="s">
        <v>5</v>
      </c>
      <c r="M182" s="26"/>
      <c r="N182" s="86"/>
      <c r="O182" s="87">
        <f>VLOOKUP(A182,'HIPERQUERATOSE 26'!$A$2:$G$1542,7,1)</f>
        <v>2.25</v>
      </c>
    </row>
    <row r="183" spans="1:15" ht="21" customHeight="1" x14ac:dyDescent="0.25">
      <c r="A183" s="1">
        <v>3858</v>
      </c>
      <c r="B183" s="27">
        <v>46110</v>
      </c>
      <c r="C183" s="26"/>
      <c r="D183" s="4" t="s">
        <v>32</v>
      </c>
      <c r="E183" s="26"/>
      <c r="F183" s="5">
        <v>4</v>
      </c>
      <c r="G183" s="26"/>
      <c r="H183" s="27">
        <v>46113</v>
      </c>
      <c r="I183" s="29">
        <v>3</v>
      </c>
      <c r="J183" s="27">
        <v>46117</v>
      </c>
      <c r="K183" s="26" t="s">
        <v>3</v>
      </c>
      <c r="L183" s="26"/>
      <c r="M183" s="26"/>
      <c r="N183" s="86"/>
      <c r="O183" s="87">
        <f>VLOOKUP(A183,'HIPERQUERATOSE 26'!$A$2:$G$1542,7,1)</f>
        <v>1.25</v>
      </c>
    </row>
    <row r="184" spans="1:15" ht="21" customHeight="1" x14ac:dyDescent="0.25">
      <c r="A184" s="1">
        <v>3007</v>
      </c>
      <c r="B184" s="27">
        <v>46111</v>
      </c>
      <c r="C184" s="26"/>
      <c r="D184" s="4" t="s">
        <v>21</v>
      </c>
      <c r="E184" s="26"/>
      <c r="F184" s="5">
        <v>4</v>
      </c>
      <c r="G184" s="26"/>
      <c r="H184" s="27">
        <v>46114</v>
      </c>
      <c r="I184" s="28">
        <v>9</v>
      </c>
      <c r="J184" s="27">
        <v>46124</v>
      </c>
      <c r="K184" s="26"/>
      <c r="L184" s="26"/>
      <c r="M184" s="26" t="s">
        <v>1</v>
      </c>
      <c r="N184" s="86" t="s">
        <v>4</v>
      </c>
      <c r="O184" s="87">
        <f>VLOOKUP(A184,'HIPERQUERATOSE 26'!$A$2:$G$1542,7,1)</f>
        <v>1</v>
      </c>
    </row>
    <row r="185" spans="1:15" ht="21" customHeight="1" x14ac:dyDescent="0.25">
      <c r="A185" s="1">
        <v>1051</v>
      </c>
      <c r="B185" s="27">
        <v>46111</v>
      </c>
      <c r="C185" s="26"/>
      <c r="D185" s="4" t="s">
        <v>21</v>
      </c>
      <c r="E185" s="26"/>
      <c r="F185" s="5">
        <v>4</v>
      </c>
      <c r="G185" s="26"/>
      <c r="H185" s="27">
        <v>46114</v>
      </c>
      <c r="I185" s="29">
        <v>9</v>
      </c>
      <c r="J185" s="27">
        <v>46124</v>
      </c>
      <c r="K185" s="26"/>
      <c r="L185" s="26"/>
      <c r="M185" s="26"/>
      <c r="N185" s="86" t="s">
        <v>4</v>
      </c>
      <c r="O185" s="87">
        <f>VLOOKUP(A185,'HIPERQUERATOSE 26'!$A$2:$G$1542,7,1)</f>
        <v>1</v>
      </c>
    </row>
    <row r="186" spans="1:15" ht="21" customHeight="1" x14ac:dyDescent="0.25">
      <c r="A186" s="1">
        <v>4695</v>
      </c>
      <c r="B186" s="27">
        <v>46111</v>
      </c>
      <c r="C186" s="26"/>
      <c r="D186" s="4" t="s">
        <v>32</v>
      </c>
      <c r="E186" s="26"/>
      <c r="F186" s="5">
        <v>4</v>
      </c>
      <c r="G186" s="26"/>
      <c r="H186" s="27">
        <v>46114</v>
      </c>
      <c r="I186" s="28">
        <v>3</v>
      </c>
      <c r="J186" s="27">
        <v>46118</v>
      </c>
      <c r="K186" s="26"/>
      <c r="L186" s="26"/>
      <c r="M186" s="26"/>
      <c r="N186" s="86" t="s">
        <v>4</v>
      </c>
      <c r="O186" s="87">
        <f>VLOOKUP(A186,'HIPERQUERATOSE 26'!$A$2:$G$1542,7,1)</f>
        <v>0.75</v>
      </c>
    </row>
    <row r="187" spans="1:15" ht="21" customHeight="1" x14ac:dyDescent="0.25">
      <c r="A187" s="1">
        <v>3305</v>
      </c>
      <c r="B187" s="27">
        <v>46112</v>
      </c>
      <c r="C187" s="26"/>
      <c r="D187" s="4" t="s">
        <v>32</v>
      </c>
      <c r="E187" s="26"/>
      <c r="F187" s="5">
        <v>4</v>
      </c>
      <c r="G187" s="26"/>
      <c r="H187" s="27">
        <v>46115</v>
      </c>
      <c r="I187" s="29">
        <v>3</v>
      </c>
      <c r="J187" s="27">
        <v>46119</v>
      </c>
      <c r="K187" s="26"/>
      <c r="L187" s="26"/>
      <c r="M187" s="26" t="s">
        <v>1</v>
      </c>
      <c r="N187" s="86"/>
      <c r="O187" s="87">
        <f>VLOOKUP(A187,'HIPERQUERATOSE 26'!$A$2:$G$1542,7,1)</f>
        <v>1.25</v>
      </c>
    </row>
    <row r="188" spans="1:15" ht="21" customHeight="1" x14ac:dyDescent="0.25">
      <c r="A188" s="1">
        <v>5194</v>
      </c>
      <c r="B188" s="27">
        <v>46113</v>
      </c>
      <c r="C188" s="26"/>
      <c r="D188" s="4" t="s">
        <v>21</v>
      </c>
      <c r="E188" s="26"/>
      <c r="F188" s="5">
        <v>4</v>
      </c>
      <c r="G188" s="26"/>
      <c r="H188" s="27">
        <v>46116</v>
      </c>
      <c r="I188" s="28">
        <v>9</v>
      </c>
      <c r="J188" s="27">
        <v>46126</v>
      </c>
      <c r="K188" s="26"/>
      <c r="L188" s="26"/>
      <c r="M188" s="26"/>
      <c r="N188" s="86" t="s">
        <v>4</v>
      </c>
      <c r="O188" s="87">
        <f>VLOOKUP(A188,'HIPERQUERATOSE 26'!$A$2:$G$1542,7,1)</f>
        <v>1</v>
      </c>
    </row>
    <row r="189" spans="1:15" ht="21" customHeight="1" x14ac:dyDescent="0.25">
      <c r="A189" s="1">
        <v>3870</v>
      </c>
      <c r="B189" s="27">
        <v>46113</v>
      </c>
      <c r="C189" s="26"/>
      <c r="D189" s="4" t="s">
        <v>32</v>
      </c>
      <c r="E189" s="26"/>
      <c r="F189" s="5">
        <v>4</v>
      </c>
      <c r="G189" s="26"/>
      <c r="H189" s="27">
        <v>46116</v>
      </c>
      <c r="I189" s="29">
        <v>3</v>
      </c>
      <c r="J189" s="27">
        <v>46120</v>
      </c>
      <c r="K189" s="26"/>
      <c r="L189" s="26" t="s">
        <v>5</v>
      </c>
      <c r="M189" s="26"/>
      <c r="N189" s="86"/>
      <c r="O189" s="87">
        <f>VLOOKUP(A189,'HIPERQUERATOSE 26'!$A$2:$G$1542,7,1)</f>
        <v>3.5</v>
      </c>
    </row>
    <row r="190" spans="1:15" ht="21" customHeight="1" x14ac:dyDescent="0.25">
      <c r="A190" s="1">
        <v>4790</v>
      </c>
      <c r="B190" s="27">
        <v>46113</v>
      </c>
      <c r="C190" s="26"/>
      <c r="D190" s="4" t="s">
        <v>32</v>
      </c>
      <c r="E190" s="26"/>
      <c r="F190" s="5">
        <v>4</v>
      </c>
      <c r="G190" s="26"/>
      <c r="H190" s="27">
        <v>46116</v>
      </c>
      <c r="I190" s="28">
        <v>3</v>
      </c>
      <c r="J190" s="27">
        <v>46120</v>
      </c>
      <c r="K190" s="26" t="s">
        <v>3</v>
      </c>
      <c r="L190" s="26"/>
      <c r="M190" s="26"/>
      <c r="N190" s="86"/>
      <c r="O190" s="87">
        <f>VLOOKUP(A190,'HIPERQUERATOSE 26'!$A$2:$G$1542,7,1)</f>
        <v>2</v>
      </c>
    </row>
    <row r="191" spans="1:15" ht="21" customHeight="1" x14ac:dyDescent="0.25">
      <c r="A191" s="1">
        <v>2988</v>
      </c>
      <c r="B191" s="27">
        <v>46114</v>
      </c>
      <c r="C191" s="26"/>
      <c r="D191" s="4" t="s">
        <v>34</v>
      </c>
      <c r="E191" s="26"/>
      <c r="F191" s="5">
        <v>4</v>
      </c>
      <c r="G191" s="26"/>
      <c r="H191" s="27">
        <v>46117</v>
      </c>
      <c r="I191" s="29">
        <v>3</v>
      </c>
      <c r="J191" s="27">
        <v>46121</v>
      </c>
      <c r="K191" s="26"/>
      <c r="L191" s="26" t="s">
        <v>5</v>
      </c>
      <c r="M191" s="26"/>
      <c r="N191" s="86"/>
      <c r="O191" s="87">
        <f>VLOOKUP(A191,'HIPERQUERATOSE 26'!$A$2:$G$1542,7,1)</f>
        <v>2.75</v>
      </c>
    </row>
    <row r="192" spans="1:15" ht="21" customHeight="1" x14ac:dyDescent="0.25">
      <c r="A192" s="1">
        <v>4216</v>
      </c>
      <c r="B192" s="27">
        <v>46114</v>
      </c>
      <c r="C192" s="26"/>
      <c r="D192" s="4" t="s">
        <v>34</v>
      </c>
      <c r="E192" s="26"/>
      <c r="F192" s="5">
        <v>4</v>
      </c>
      <c r="G192" s="26"/>
      <c r="H192" s="27">
        <v>46117</v>
      </c>
      <c r="I192" s="28">
        <v>3</v>
      </c>
      <c r="J192" s="27">
        <v>46121</v>
      </c>
      <c r="K192" s="26"/>
      <c r="L192" s="26" t="s">
        <v>5</v>
      </c>
      <c r="M192" s="26"/>
      <c r="N192" s="86"/>
      <c r="O192" s="87">
        <f>VLOOKUP(A192,'HIPERQUERATOSE 26'!$A$2:$G$1542,7,1)</f>
        <v>3</v>
      </c>
    </row>
    <row r="193" spans="1:15" ht="21" customHeight="1" x14ac:dyDescent="0.25">
      <c r="A193" s="1">
        <v>5450</v>
      </c>
      <c r="B193" s="27">
        <v>46115</v>
      </c>
      <c r="C193" s="26"/>
      <c r="D193" s="4" t="s">
        <v>7</v>
      </c>
      <c r="E193" s="26"/>
      <c r="F193" s="5">
        <v>4</v>
      </c>
      <c r="G193" s="26"/>
      <c r="H193" s="27">
        <v>46118</v>
      </c>
      <c r="I193" s="29">
        <v>3</v>
      </c>
      <c r="J193" s="27">
        <v>46122</v>
      </c>
      <c r="K193" s="26"/>
      <c r="L193" s="26"/>
      <c r="M193" s="26" t="s">
        <v>1</v>
      </c>
      <c r="N193" s="86"/>
      <c r="O193" s="87">
        <f>VLOOKUP(A193,'HIPERQUERATOSE 26'!$A$2:$G$1542,7,1)</f>
        <v>1.5</v>
      </c>
    </row>
    <row r="194" spans="1:15" ht="21" customHeight="1" x14ac:dyDescent="0.25">
      <c r="A194" s="1">
        <v>3989</v>
      </c>
      <c r="B194" s="27">
        <v>46115</v>
      </c>
      <c r="C194" s="26"/>
      <c r="D194" s="4" t="s">
        <v>7</v>
      </c>
      <c r="E194" s="26"/>
      <c r="F194" s="5">
        <v>4</v>
      </c>
      <c r="G194" s="26"/>
      <c r="H194" s="27">
        <v>46118</v>
      </c>
      <c r="I194" s="28">
        <v>3</v>
      </c>
      <c r="J194" s="27">
        <v>46122</v>
      </c>
      <c r="K194" s="26" t="s">
        <v>3</v>
      </c>
      <c r="L194" s="26"/>
      <c r="M194" s="26"/>
      <c r="N194" s="86"/>
      <c r="O194" s="87">
        <f>VLOOKUP(A194,'HIPERQUERATOSE 26'!$A$2:$G$1542,7,1)</f>
        <v>2.75</v>
      </c>
    </row>
    <row r="195" spans="1:15" ht="21" customHeight="1" x14ac:dyDescent="0.25">
      <c r="A195" s="1">
        <v>2931</v>
      </c>
      <c r="B195" s="27">
        <v>46116</v>
      </c>
      <c r="C195" s="26"/>
      <c r="D195" s="4" t="s">
        <v>32</v>
      </c>
      <c r="E195" s="26"/>
      <c r="F195" s="5">
        <v>4</v>
      </c>
      <c r="G195" s="26"/>
      <c r="H195" s="27">
        <v>46119</v>
      </c>
      <c r="I195" s="29">
        <v>3</v>
      </c>
      <c r="J195" s="27">
        <v>46123</v>
      </c>
      <c r="K195" s="26"/>
      <c r="L195" s="26"/>
      <c r="M195" s="26" t="s">
        <v>1</v>
      </c>
      <c r="N195" s="86"/>
      <c r="O195" s="87">
        <f>VLOOKUP(A195,'HIPERQUERATOSE 26'!$A$2:$G$1542,7,1)</f>
        <v>2.75</v>
      </c>
    </row>
    <row r="196" spans="1:15" ht="21" customHeight="1" x14ac:dyDescent="0.25">
      <c r="A196" s="1">
        <v>3940</v>
      </c>
      <c r="B196" s="27">
        <v>46118</v>
      </c>
      <c r="C196" s="26"/>
      <c r="D196" s="4" t="s">
        <v>20</v>
      </c>
      <c r="E196" s="26"/>
      <c r="F196" s="5">
        <v>4</v>
      </c>
      <c r="G196" s="26"/>
      <c r="H196" s="27">
        <v>46121</v>
      </c>
      <c r="I196" s="28">
        <v>9</v>
      </c>
      <c r="J196" s="27">
        <v>46131</v>
      </c>
      <c r="K196" s="26" t="s">
        <v>3</v>
      </c>
      <c r="L196" s="26"/>
      <c r="M196" s="26" t="s">
        <v>1</v>
      </c>
      <c r="N196" s="86"/>
      <c r="O196" s="87">
        <f>VLOOKUP(A196,'HIPERQUERATOSE 26'!$A$2:$G$1542,7,1)</f>
        <v>1.5</v>
      </c>
    </row>
    <row r="197" spans="1:15" ht="21" customHeight="1" x14ac:dyDescent="0.25">
      <c r="A197" s="1">
        <v>3341</v>
      </c>
      <c r="B197" s="27">
        <v>46118</v>
      </c>
      <c r="C197" s="26"/>
      <c r="D197" s="4" t="s">
        <v>20</v>
      </c>
      <c r="E197" s="26"/>
      <c r="F197" s="5">
        <v>4</v>
      </c>
      <c r="G197" s="26"/>
      <c r="H197" s="27">
        <v>46121</v>
      </c>
      <c r="I197" s="29">
        <v>9</v>
      </c>
      <c r="J197" s="27">
        <v>46131</v>
      </c>
      <c r="K197" s="26" t="s">
        <v>3</v>
      </c>
      <c r="L197" s="26"/>
      <c r="M197" s="26"/>
      <c r="N197" s="86"/>
      <c r="O197" s="87">
        <f>VLOOKUP(A197,'HIPERQUERATOSE 26'!$A$2:$G$1542,7,1)</f>
        <v>2</v>
      </c>
    </row>
    <row r="198" spans="1:15" ht="21" customHeight="1" x14ac:dyDescent="0.25">
      <c r="A198" s="1">
        <v>3223</v>
      </c>
      <c r="B198" s="27">
        <v>46118</v>
      </c>
      <c r="C198" s="26"/>
      <c r="D198" s="4" t="s">
        <v>7</v>
      </c>
      <c r="E198" s="26"/>
      <c r="F198" s="5">
        <v>4</v>
      </c>
      <c r="G198" s="26"/>
      <c r="H198" s="27">
        <v>46121</v>
      </c>
      <c r="I198" s="28">
        <v>3</v>
      </c>
      <c r="J198" s="27">
        <v>46125</v>
      </c>
      <c r="K198" s="26"/>
      <c r="L198" s="26" t="s">
        <v>5</v>
      </c>
      <c r="M198" s="26"/>
      <c r="N198" s="86"/>
      <c r="O198" s="87">
        <f>VLOOKUP(A198,'HIPERQUERATOSE 26'!$A$2:$G$1542,7,1)</f>
        <v>2.75</v>
      </c>
    </row>
    <row r="199" spans="1:15" ht="21" customHeight="1" x14ac:dyDescent="0.25">
      <c r="A199" s="1">
        <v>4370</v>
      </c>
      <c r="B199" s="27">
        <v>46117</v>
      </c>
      <c r="C199" s="26"/>
      <c r="D199" s="4" t="s">
        <v>32</v>
      </c>
      <c r="E199" s="26"/>
      <c r="F199" s="5">
        <v>4</v>
      </c>
      <c r="G199" s="26"/>
      <c r="H199" s="27">
        <v>46273</v>
      </c>
      <c r="I199" s="29">
        <v>3</v>
      </c>
      <c r="J199" s="27">
        <v>46124</v>
      </c>
      <c r="K199" s="26" t="s">
        <v>3</v>
      </c>
      <c r="L199" s="26"/>
      <c r="M199" s="26"/>
      <c r="N199" s="86"/>
      <c r="O199" s="87">
        <f>VLOOKUP(A199,'HIPERQUERATOSE 26'!$A$2:$G$1542,7,1)</f>
        <v>1.75</v>
      </c>
    </row>
    <row r="200" spans="1:15" ht="21" customHeight="1" x14ac:dyDescent="0.25">
      <c r="A200" s="1">
        <v>4067</v>
      </c>
      <c r="B200" s="27">
        <v>46118</v>
      </c>
      <c r="C200" s="26"/>
      <c r="D200" s="4" t="s">
        <v>20</v>
      </c>
      <c r="E200" s="26"/>
      <c r="F200" s="5">
        <v>4</v>
      </c>
      <c r="G200" s="26"/>
      <c r="H200" s="27">
        <v>46121</v>
      </c>
      <c r="I200" s="28">
        <v>9</v>
      </c>
      <c r="J200" s="27">
        <v>46131</v>
      </c>
      <c r="K200" s="26" t="s">
        <v>3</v>
      </c>
      <c r="L200" s="26"/>
      <c r="M200" s="26"/>
      <c r="N200" s="86"/>
      <c r="O200" s="87">
        <f>VLOOKUP(A200,'HIPERQUERATOSE 26'!$A$2:$G$1542,7,1)</f>
        <v>3</v>
      </c>
    </row>
    <row r="201" spans="1:15" ht="21" customHeight="1" x14ac:dyDescent="0.25">
      <c r="A201" s="1">
        <v>3158</v>
      </c>
      <c r="B201" s="27">
        <v>46118</v>
      </c>
      <c r="C201" s="26"/>
      <c r="D201" s="4" t="s">
        <v>20</v>
      </c>
      <c r="E201" s="26"/>
      <c r="F201" s="5">
        <v>4</v>
      </c>
      <c r="G201" s="26"/>
      <c r="H201" s="27">
        <v>46121</v>
      </c>
      <c r="I201" s="29">
        <v>9</v>
      </c>
      <c r="J201" s="27">
        <v>46131</v>
      </c>
      <c r="K201" s="26"/>
      <c r="L201" s="26" t="s">
        <v>5</v>
      </c>
      <c r="M201" s="26"/>
      <c r="N201" s="86"/>
      <c r="O201" s="87">
        <f>VLOOKUP(A201,'HIPERQUERATOSE 26'!$A$2:$G$1542,7,1)</f>
        <v>2.25</v>
      </c>
    </row>
    <row r="202" spans="1:15" ht="21" customHeight="1" x14ac:dyDescent="0.25">
      <c r="A202" s="1">
        <v>4970</v>
      </c>
      <c r="B202" s="27">
        <v>46119</v>
      </c>
      <c r="C202" s="26"/>
      <c r="D202" s="4" t="s">
        <v>20</v>
      </c>
      <c r="E202" s="26"/>
      <c r="F202" s="5">
        <v>4</v>
      </c>
      <c r="G202" s="26"/>
      <c r="H202" s="27">
        <v>46122</v>
      </c>
      <c r="I202" s="28">
        <v>9</v>
      </c>
      <c r="J202" s="27">
        <v>46132</v>
      </c>
      <c r="K202" s="26"/>
      <c r="L202" s="26" t="s">
        <v>5</v>
      </c>
      <c r="M202" s="26"/>
      <c r="N202" s="86"/>
      <c r="O202" s="87">
        <f>VLOOKUP(A202,'HIPERQUERATOSE 26'!$A$2:$G$1542,7,1)</f>
        <v>1.75</v>
      </c>
    </row>
    <row r="203" spans="1:15" ht="21" customHeight="1" x14ac:dyDescent="0.25">
      <c r="A203" s="1">
        <v>5350</v>
      </c>
      <c r="B203" s="27">
        <v>46120</v>
      </c>
      <c r="C203" s="26"/>
      <c r="D203" s="4" t="s">
        <v>20</v>
      </c>
      <c r="E203" s="26"/>
      <c r="F203" s="5">
        <v>4</v>
      </c>
      <c r="G203" s="26"/>
      <c r="H203" s="27">
        <v>46123</v>
      </c>
      <c r="I203" s="29">
        <v>9</v>
      </c>
      <c r="J203" s="27">
        <v>46133</v>
      </c>
      <c r="K203" s="26"/>
      <c r="L203" s="26"/>
      <c r="M203" s="26" t="s">
        <v>1</v>
      </c>
      <c r="N203" s="86"/>
      <c r="O203" s="87">
        <f>VLOOKUP(A203,'HIPERQUERATOSE 26'!$A$2:$G$1542,7,1)</f>
        <v>1.25</v>
      </c>
    </row>
    <row r="204" spans="1:15" ht="21" customHeight="1" x14ac:dyDescent="0.25">
      <c r="A204" s="1">
        <v>3624</v>
      </c>
      <c r="B204" s="27">
        <v>46120</v>
      </c>
      <c r="C204" s="26"/>
      <c r="D204" s="4" t="s">
        <v>7</v>
      </c>
      <c r="E204" s="26"/>
      <c r="F204" s="5">
        <v>4</v>
      </c>
      <c r="G204" s="26"/>
      <c r="H204" s="27">
        <v>46123</v>
      </c>
      <c r="I204" s="28">
        <v>3</v>
      </c>
      <c r="J204" s="27">
        <v>46127</v>
      </c>
      <c r="K204" s="26"/>
      <c r="L204" s="26" t="s">
        <v>5</v>
      </c>
      <c r="M204" s="26"/>
      <c r="N204" s="86"/>
      <c r="O204" s="87">
        <f>VLOOKUP(A204,'HIPERQUERATOSE 26'!$A$2:$G$1542,7,1)</f>
        <v>3</v>
      </c>
    </row>
    <row r="205" spans="1:15" ht="21" customHeight="1" x14ac:dyDescent="0.25">
      <c r="A205" s="1">
        <v>3617</v>
      </c>
      <c r="B205" s="27">
        <v>46121</v>
      </c>
      <c r="C205" s="26"/>
      <c r="D205" s="4" t="s">
        <v>20</v>
      </c>
      <c r="E205" s="26"/>
      <c r="F205" s="5">
        <v>4</v>
      </c>
      <c r="G205" s="26"/>
      <c r="H205" s="27">
        <v>46124</v>
      </c>
      <c r="I205" s="29">
        <v>9</v>
      </c>
      <c r="J205" s="27">
        <v>46134</v>
      </c>
      <c r="K205" s="26" t="s">
        <v>3</v>
      </c>
      <c r="L205" s="26"/>
      <c r="M205" s="26"/>
      <c r="N205" s="86" t="s">
        <v>4</v>
      </c>
      <c r="O205" s="87">
        <f>VLOOKUP(A205,'HIPERQUERATOSE 26'!$A$2:$G$1542,7,1)</f>
        <v>1</v>
      </c>
    </row>
    <row r="206" spans="1:15" ht="21" customHeight="1" x14ac:dyDescent="0.25">
      <c r="A206" s="1">
        <v>3597</v>
      </c>
      <c r="B206" s="27">
        <v>46122</v>
      </c>
      <c r="C206" s="26"/>
      <c r="D206" s="4" t="s">
        <v>7</v>
      </c>
      <c r="E206" s="26"/>
      <c r="F206" s="5">
        <v>4</v>
      </c>
      <c r="G206" s="26"/>
      <c r="H206" s="27">
        <v>46125</v>
      </c>
      <c r="I206" s="28">
        <v>3</v>
      </c>
      <c r="J206" s="27">
        <v>46129</v>
      </c>
      <c r="K206" s="26"/>
      <c r="L206" s="26" t="s">
        <v>5</v>
      </c>
      <c r="M206" s="26"/>
      <c r="N206" s="86"/>
      <c r="O206" s="87">
        <f>VLOOKUP(A206,'HIPERQUERATOSE 26'!$A$2:$G$1542,7,1)</f>
        <v>1</v>
      </c>
    </row>
    <row r="207" spans="1:15" ht="21" customHeight="1" x14ac:dyDescent="0.25">
      <c r="A207" s="1">
        <v>5018</v>
      </c>
      <c r="B207" s="27">
        <v>46123</v>
      </c>
      <c r="C207" s="26"/>
      <c r="D207" s="4" t="s">
        <v>7</v>
      </c>
      <c r="E207" s="26"/>
      <c r="F207" s="5">
        <v>4</v>
      </c>
      <c r="G207" s="26"/>
      <c r="H207" s="27">
        <v>46126</v>
      </c>
      <c r="I207" s="29">
        <v>3</v>
      </c>
      <c r="J207" s="27">
        <v>46130</v>
      </c>
      <c r="K207" s="26"/>
      <c r="L207" s="26" t="s">
        <v>5</v>
      </c>
      <c r="M207" s="26"/>
      <c r="N207" s="86"/>
      <c r="O207" s="87">
        <f>VLOOKUP(A207,'HIPERQUERATOSE 26'!$A$2:$G$1542,7,1)</f>
        <v>0.75</v>
      </c>
    </row>
    <row r="208" spans="1:15" ht="21" customHeight="1" x14ac:dyDescent="0.25">
      <c r="A208" s="1">
        <v>3223</v>
      </c>
      <c r="B208" s="27">
        <v>46123</v>
      </c>
      <c r="C208" s="26"/>
      <c r="D208" s="4" t="s">
        <v>34</v>
      </c>
      <c r="E208" s="26"/>
      <c r="F208" s="5">
        <v>4</v>
      </c>
      <c r="G208" s="26"/>
      <c r="H208" s="27">
        <v>46126</v>
      </c>
      <c r="I208" s="28">
        <v>3</v>
      </c>
      <c r="J208" s="27">
        <v>46130</v>
      </c>
      <c r="K208" s="26"/>
      <c r="L208" s="26" t="s">
        <v>5</v>
      </c>
      <c r="M208" s="26"/>
      <c r="N208" s="86"/>
      <c r="O208" s="87">
        <f>VLOOKUP(A208,'HIPERQUERATOSE 26'!$A$2:$G$1542,7,1)</f>
        <v>2.75</v>
      </c>
    </row>
    <row r="209" spans="1:15" ht="21" customHeight="1" x14ac:dyDescent="0.25">
      <c r="A209" s="1">
        <v>4488</v>
      </c>
      <c r="B209" s="27">
        <v>46123</v>
      </c>
      <c r="C209" s="26"/>
      <c r="D209" s="4" t="s">
        <v>7</v>
      </c>
      <c r="E209" s="26"/>
      <c r="F209" s="5">
        <v>4</v>
      </c>
      <c r="G209" s="26"/>
      <c r="H209" s="27">
        <v>46126</v>
      </c>
      <c r="I209" s="29">
        <v>3</v>
      </c>
      <c r="J209" s="27">
        <v>46130</v>
      </c>
      <c r="K209" s="26"/>
      <c r="L209" s="26"/>
      <c r="M209" s="26" t="s">
        <v>1</v>
      </c>
      <c r="N209" s="86"/>
      <c r="O209" s="87">
        <f>VLOOKUP(A209,'HIPERQUERATOSE 26'!$A$2:$G$1542,7,1)</f>
        <v>2.25</v>
      </c>
    </row>
    <row r="210" spans="1:15" ht="21" customHeight="1" x14ac:dyDescent="0.25">
      <c r="A210" s="1">
        <v>3450</v>
      </c>
      <c r="B210" s="27">
        <v>46123</v>
      </c>
      <c r="C210" s="26"/>
      <c r="D210" s="4" t="s">
        <v>20</v>
      </c>
      <c r="E210" s="26"/>
      <c r="F210" s="5">
        <v>4</v>
      </c>
      <c r="G210" s="26"/>
      <c r="H210" s="27">
        <v>46126</v>
      </c>
      <c r="I210" s="28">
        <v>9</v>
      </c>
      <c r="J210" s="27">
        <v>46136</v>
      </c>
      <c r="K210" s="26"/>
      <c r="L210" s="26" t="s">
        <v>5</v>
      </c>
      <c r="M210" s="26"/>
      <c r="N210" s="86" t="s">
        <v>4</v>
      </c>
      <c r="O210" s="87">
        <f>VLOOKUP(A210,'HIPERQUERATOSE 26'!$A$2:$G$1542,7,1)</f>
        <v>1</v>
      </c>
    </row>
    <row r="211" spans="1:15" ht="21" customHeight="1" x14ac:dyDescent="0.25">
      <c r="A211" s="1">
        <v>4204</v>
      </c>
      <c r="B211" s="27">
        <v>46124</v>
      </c>
      <c r="C211" s="26"/>
      <c r="D211" s="4" t="s">
        <v>7</v>
      </c>
      <c r="E211" s="26"/>
      <c r="F211" s="5">
        <v>4</v>
      </c>
      <c r="G211" s="26"/>
      <c r="H211" s="27">
        <v>46128</v>
      </c>
      <c r="I211" s="29">
        <v>3</v>
      </c>
      <c r="J211" s="27">
        <v>46132</v>
      </c>
      <c r="K211" s="26"/>
      <c r="L211" s="26" t="s">
        <v>5</v>
      </c>
      <c r="M211" s="26"/>
      <c r="N211" s="86"/>
      <c r="O211" s="87">
        <f>VLOOKUP(A211,'HIPERQUERATOSE 26'!$A$2:$G$1542,7,1)</f>
        <v>3</v>
      </c>
    </row>
    <row r="212" spans="1:15" ht="21" customHeight="1" x14ac:dyDescent="0.25">
      <c r="A212" s="1">
        <v>4983</v>
      </c>
      <c r="B212" s="27">
        <v>46124</v>
      </c>
      <c r="C212" s="26"/>
      <c r="D212" s="4" t="s">
        <v>7</v>
      </c>
      <c r="E212" s="26"/>
      <c r="F212" s="5">
        <v>4</v>
      </c>
      <c r="G212" s="26"/>
      <c r="H212" s="27">
        <v>46128</v>
      </c>
      <c r="I212" s="28">
        <v>3</v>
      </c>
      <c r="J212" s="27">
        <v>46132</v>
      </c>
      <c r="K212" s="26"/>
      <c r="L212" s="26" t="s">
        <v>5</v>
      </c>
      <c r="M212" s="26"/>
      <c r="N212" s="86"/>
      <c r="O212" s="87">
        <f>VLOOKUP(A212,'HIPERQUERATOSE 26'!$A$2:$G$1542,7,1)</f>
        <v>0.75</v>
      </c>
    </row>
    <row r="213" spans="1:15" ht="21" customHeight="1" x14ac:dyDescent="0.25">
      <c r="A213" s="1">
        <v>3805</v>
      </c>
      <c r="B213" s="27">
        <v>46125</v>
      </c>
      <c r="C213" s="26"/>
      <c r="D213" s="4" t="s">
        <v>7</v>
      </c>
      <c r="E213" s="26"/>
      <c r="F213" s="5">
        <v>4</v>
      </c>
      <c r="G213" s="26"/>
      <c r="H213" s="27">
        <v>46128</v>
      </c>
      <c r="I213" s="29">
        <v>3</v>
      </c>
      <c r="J213" s="27">
        <v>46132</v>
      </c>
      <c r="K213" s="26" t="s">
        <v>3</v>
      </c>
      <c r="L213" s="26"/>
      <c r="M213" s="26"/>
      <c r="N213" s="86"/>
      <c r="O213" s="87">
        <f>VLOOKUP(A213,'HIPERQUERATOSE 26'!$A$2:$G$1542,7,1)</f>
        <v>1</v>
      </c>
    </row>
    <row r="214" spans="1:15" ht="21" customHeight="1" x14ac:dyDescent="0.25">
      <c r="A214" s="1">
        <v>4677</v>
      </c>
      <c r="B214" s="27">
        <v>46125</v>
      </c>
      <c r="C214" s="26"/>
      <c r="D214" s="4" t="s">
        <v>7</v>
      </c>
      <c r="E214" s="26"/>
      <c r="F214" s="5">
        <v>4</v>
      </c>
      <c r="G214" s="26"/>
      <c r="H214" s="27">
        <v>46128</v>
      </c>
      <c r="I214" s="28">
        <v>3</v>
      </c>
      <c r="J214" s="27">
        <v>46132</v>
      </c>
      <c r="K214" s="26" t="s">
        <v>3</v>
      </c>
      <c r="L214" s="26"/>
      <c r="M214" s="26"/>
      <c r="N214" s="86"/>
      <c r="O214" s="87">
        <f>VLOOKUP(A214,'HIPERQUERATOSE 26'!$A$2:$G$1542,7,1)</f>
        <v>1.25</v>
      </c>
    </row>
    <row r="215" spans="1:15" ht="21" customHeight="1" x14ac:dyDescent="0.25">
      <c r="A215" s="1">
        <v>4488</v>
      </c>
      <c r="B215" s="27">
        <v>46126</v>
      </c>
      <c r="C215" s="26"/>
      <c r="D215" s="4" t="s">
        <v>20</v>
      </c>
      <c r="E215" s="26"/>
      <c r="F215" s="5">
        <v>4</v>
      </c>
      <c r="G215" s="26"/>
      <c r="H215" s="27">
        <v>46129</v>
      </c>
      <c r="I215" s="29">
        <v>9</v>
      </c>
      <c r="J215" s="27">
        <v>46139</v>
      </c>
      <c r="K215" s="26"/>
      <c r="L215" s="26"/>
      <c r="M215" s="26" t="s">
        <v>1</v>
      </c>
      <c r="N215" s="86"/>
      <c r="O215" s="87">
        <f>VLOOKUP(A215,'HIPERQUERATOSE 26'!$A$2:$G$1542,7,1)</f>
        <v>2.25</v>
      </c>
    </row>
    <row r="216" spans="1:15" ht="21" customHeight="1" x14ac:dyDescent="0.25">
      <c r="A216" s="1">
        <v>4006</v>
      </c>
      <c r="B216" s="27">
        <v>46127</v>
      </c>
      <c r="C216" s="26"/>
      <c r="D216" s="4" t="s">
        <v>7</v>
      </c>
      <c r="E216" s="26"/>
      <c r="F216" s="5">
        <v>4</v>
      </c>
      <c r="G216" s="26"/>
      <c r="H216" s="27">
        <v>46130</v>
      </c>
      <c r="I216" s="28">
        <v>3</v>
      </c>
      <c r="J216" s="27">
        <v>46134</v>
      </c>
      <c r="K216" s="26" t="s">
        <v>3</v>
      </c>
      <c r="L216" s="26"/>
      <c r="M216" s="26"/>
      <c r="N216" s="86"/>
      <c r="O216" s="87">
        <f>VLOOKUP(A216,'HIPERQUERATOSE 26'!$A$2:$G$1542,7,1)</f>
        <v>2.75</v>
      </c>
    </row>
    <row r="217" spans="1:15" ht="21" customHeight="1" x14ac:dyDescent="0.25">
      <c r="A217" s="1">
        <v>4951</v>
      </c>
      <c r="B217" s="27">
        <v>46127</v>
      </c>
      <c r="C217" s="26"/>
      <c r="D217" s="4" t="s">
        <v>7</v>
      </c>
      <c r="E217" s="26"/>
      <c r="F217" s="5">
        <v>4</v>
      </c>
      <c r="G217" s="26"/>
      <c r="H217" s="27">
        <v>46130</v>
      </c>
      <c r="I217" s="29">
        <v>3</v>
      </c>
      <c r="J217" s="27">
        <v>46134</v>
      </c>
      <c r="K217" s="26"/>
      <c r="L217" s="26"/>
      <c r="M217" s="26" t="s">
        <v>1</v>
      </c>
      <c r="N217" s="86"/>
      <c r="O217" s="87">
        <f>VLOOKUP(A217,'HIPERQUERATOSE 26'!$A$2:$G$1542,7,1)</f>
        <v>1</v>
      </c>
    </row>
    <row r="218" spans="1:15" ht="21" customHeight="1" x14ac:dyDescent="0.25">
      <c r="A218" s="1">
        <v>3288</v>
      </c>
      <c r="B218" s="27">
        <v>46128</v>
      </c>
      <c r="C218" s="26"/>
      <c r="D218" s="4" t="s">
        <v>34</v>
      </c>
      <c r="E218" s="26"/>
      <c r="F218" s="5">
        <v>4</v>
      </c>
      <c r="G218" s="26"/>
      <c r="H218" s="27">
        <v>46131</v>
      </c>
      <c r="I218" s="28">
        <v>3</v>
      </c>
      <c r="J218" s="27">
        <v>46135</v>
      </c>
      <c r="K218" s="26" t="s">
        <v>3</v>
      </c>
      <c r="L218" s="26"/>
      <c r="M218" s="26" t="s">
        <v>1</v>
      </c>
      <c r="N218" s="86"/>
      <c r="O218" s="87">
        <f>VLOOKUP(A218,'HIPERQUERATOSE 26'!$A$2:$G$1542,7,1)</f>
        <v>3.75</v>
      </c>
    </row>
    <row r="219" spans="1:15" ht="21" customHeight="1" x14ac:dyDescent="0.25">
      <c r="A219" s="1">
        <v>3846</v>
      </c>
      <c r="B219" s="27">
        <v>46128</v>
      </c>
      <c r="C219" s="26"/>
      <c r="D219" s="4" t="s">
        <v>7</v>
      </c>
      <c r="E219" s="26"/>
      <c r="F219" s="5">
        <v>4</v>
      </c>
      <c r="G219" s="26"/>
      <c r="H219" s="27">
        <v>46131</v>
      </c>
      <c r="I219" s="29">
        <v>3</v>
      </c>
      <c r="J219" s="27">
        <v>46135</v>
      </c>
      <c r="K219" s="26" t="s">
        <v>3</v>
      </c>
      <c r="L219" s="26"/>
      <c r="M219" s="26"/>
      <c r="N219" s="86"/>
      <c r="O219" s="87">
        <f>VLOOKUP(A219,'HIPERQUERATOSE 26'!$A$2:$G$1542,7,1)</f>
        <v>2.25</v>
      </c>
    </row>
    <row r="220" spans="1:15" ht="21" customHeight="1" x14ac:dyDescent="0.25">
      <c r="A220" s="1">
        <v>3223</v>
      </c>
      <c r="B220" s="27">
        <v>46128</v>
      </c>
      <c r="C220" s="26"/>
      <c r="D220" s="4" t="s">
        <v>20</v>
      </c>
      <c r="E220" s="26"/>
      <c r="F220" s="5">
        <v>4</v>
      </c>
      <c r="G220" s="26"/>
      <c r="H220" s="27">
        <v>46128</v>
      </c>
      <c r="I220" s="28">
        <v>9</v>
      </c>
      <c r="J220" s="27">
        <v>46138</v>
      </c>
      <c r="K220" s="27" t="s">
        <v>3</v>
      </c>
      <c r="L220" s="26"/>
      <c r="M220" s="26" t="s">
        <v>1</v>
      </c>
      <c r="N220" s="86"/>
      <c r="O220" s="87">
        <f>VLOOKUP(A220,'HIPERQUERATOSE 26'!$A$2:$G$1542,7,1)</f>
        <v>2.75</v>
      </c>
    </row>
    <row r="221" spans="1:15" ht="21" customHeight="1" x14ac:dyDescent="0.25">
      <c r="A221" s="1">
        <v>5333</v>
      </c>
      <c r="B221" s="27">
        <v>46129</v>
      </c>
      <c r="C221" s="26"/>
      <c r="D221" s="4" t="s">
        <v>7</v>
      </c>
      <c r="E221" s="26"/>
      <c r="F221" s="5">
        <v>4</v>
      </c>
      <c r="G221" s="26"/>
      <c r="H221" s="27">
        <v>46132</v>
      </c>
      <c r="I221" s="29">
        <v>3</v>
      </c>
      <c r="J221" s="27">
        <v>46136</v>
      </c>
      <c r="K221" s="26"/>
      <c r="L221" s="26"/>
      <c r="M221" s="26" t="s">
        <v>1</v>
      </c>
      <c r="N221" s="86"/>
      <c r="O221" s="87">
        <f>VLOOKUP(A221,'HIPERQUERATOSE 26'!$A$2:$G$1542,7,1)</f>
        <v>2</v>
      </c>
    </row>
    <row r="222" spans="1:15" ht="21" customHeight="1" x14ac:dyDescent="0.25">
      <c r="A222" s="1">
        <v>3177</v>
      </c>
      <c r="B222" s="27">
        <v>46129</v>
      </c>
      <c r="C222" s="26"/>
      <c r="D222" s="4" t="s">
        <v>20</v>
      </c>
      <c r="E222" s="26"/>
      <c r="F222" s="5">
        <v>4</v>
      </c>
      <c r="G222" s="26"/>
      <c r="H222" s="27">
        <v>46132</v>
      </c>
      <c r="I222" s="28">
        <v>9</v>
      </c>
      <c r="J222" s="27">
        <v>46139</v>
      </c>
      <c r="K222" s="26" t="s">
        <v>3</v>
      </c>
      <c r="L222" s="26"/>
      <c r="M222" s="26"/>
      <c r="N222" s="86"/>
      <c r="O222" s="87">
        <f>VLOOKUP(A222,'HIPERQUERATOSE 26'!$A$2:$G$1542,7,1)</f>
        <v>2.25</v>
      </c>
    </row>
    <row r="223" spans="1:15" ht="21" customHeight="1" x14ac:dyDescent="0.25">
      <c r="A223" s="1">
        <v>3480</v>
      </c>
      <c r="B223" s="27">
        <v>46129</v>
      </c>
      <c r="C223" s="26"/>
      <c r="D223" s="4" t="s">
        <v>7</v>
      </c>
      <c r="E223" s="26"/>
      <c r="F223" s="5">
        <v>4</v>
      </c>
      <c r="G223" s="26"/>
      <c r="H223" s="27">
        <v>46132</v>
      </c>
      <c r="I223" s="29">
        <v>3</v>
      </c>
      <c r="J223" s="27">
        <v>46136</v>
      </c>
      <c r="K223" s="26"/>
      <c r="L223" s="26" t="s">
        <v>5</v>
      </c>
      <c r="M223" s="26"/>
      <c r="N223" s="86"/>
      <c r="O223" s="87">
        <f>VLOOKUP(A223,'HIPERQUERATOSE 26'!$A$2:$G$1542,7,1)</f>
        <v>1</v>
      </c>
    </row>
    <row r="224" spans="1:15" ht="21" customHeight="1" x14ac:dyDescent="0.25">
      <c r="A224" s="1">
        <v>3480</v>
      </c>
      <c r="B224" s="27">
        <v>46132</v>
      </c>
      <c r="C224" s="26"/>
      <c r="D224" s="4" t="s">
        <v>34</v>
      </c>
      <c r="E224" s="26"/>
      <c r="F224" s="5">
        <v>4</v>
      </c>
      <c r="G224" s="26"/>
      <c r="H224" s="27">
        <v>46135</v>
      </c>
      <c r="I224" s="28">
        <v>3</v>
      </c>
      <c r="J224" s="27">
        <v>46139</v>
      </c>
      <c r="K224" s="26"/>
      <c r="L224" s="26" t="s">
        <v>5</v>
      </c>
      <c r="M224" s="26" t="s">
        <v>1</v>
      </c>
      <c r="N224" s="86"/>
      <c r="O224" s="87">
        <f>VLOOKUP(A224,'HIPERQUERATOSE 26'!$A$2:$G$1542,7,1)</f>
        <v>1</v>
      </c>
    </row>
    <row r="225" spans="1:15" ht="21" customHeight="1" x14ac:dyDescent="0.25">
      <c r="A225" s="1">
        <v>3500</v>
      </c>
      <c r="B225" s="27">
        <v>46132</v>
      </c>
      <c r="C225" s="26"/>
      <c r="D225" s="4" t="s">
        <v>20</v>
      </c>
      <c r="E225" s="26"/>
      <c r="F225" s="5">
        <v>4</v>
      </c>
      <c r="G225" s="26"/>
      <c r="H225" s="27">
        <v>46135</v>
      </c>
      <c r="I225" s="29">
        <v>9</v>
      </c>
      <c r="J225" s="27">
        <v>46145</v>
      </c>
      <c r="K225" s="26"/>
      <c r="L225" s="26"/>
      <c r="M225" s="26" t="s">
        <v>1</v>
      </c>
      <c r="N225" s="86"/>
      <c r="O225" s="87">
        <f>VLOOKUP(A225,'HIPERQUERATOSE 26'!$A$2:$G$1542,7,1)</f>
        <v>3.25</v>
      </c>
    </row>
    <row r="226" spans="1:15" ht="21" customHeight="1" x14ac:dyDescent="0.25">
      <c r="A226" s="1">
        <v>4687</v>
      </c>
      <c r="B226" s="27">
        <v>46132</v>
      </c>
      <c r="C226" s="26"/>
      <c r="D226" s="4" t="s">
        <v>7</v>
      </c>
      <c r="E226" s="26"/>
      <c r="F226" s="5">
        <v>4</v>
      </c>
      <c r="G226" s="26"/>
      <c r="H226" s="27">
        <v>46135</v>
      </c>
      <c r="I226" s="28">
        <v>3</v>
      </c>
      <c r="J226" s="27">
        <v>46139</v>
      </c>
      <c r="K226" s="26"/>
      <c r="L226" s="26" t="s">
        <v>5</v>
      </c>
      <c r="M226" s="26" t="s">
        <v>1</v>
      </c>
      <c r="N226" s="86"/>
      <c r="O226" s="87">
        <f>VLOOKUP(A226,'HIPERQUERATOSE 26'!$A$2:$G$1542,7,1)</f>
        <v>1</v>
      </c>
    </row>
    <row r="227" spans="1:15" ht="21" customHeight="1" x14ac:dyDescent="0.25">
      <c r="A227" s="1">
        <v>3383</v>
      </c>
      <c r="B227" s="27">
        <v>46132</v>
      </c>
      <c r="C227" s="26"/>
      <c r="D227" s="4" t="s">
        <v>7</v>
      </c>
      <c r="E227" s="26"/>
      <c r="F227" s="5">
        <v>4</v>
      </c>
      <c r="G227" s="26"/>
      <c r="H227" s="27">
        <v>46135</v>
      </c>
      <c r="I227" s="29">
        <v>3</v>
      </c>
      <c r="J227" s="27">
        <v>46139</v>
      </c>
      <c r="K227" s="26"/>
      <c r="L227" s="26"/>
      <c r="M227" s="26"/>
      <c r="N227" s="86" t="s">
        <v>4</v>
      </c>
      <c r="O227" s="87">
        <f>VLOOKUP(A227,'HIPERQUERATOSE 26'!$A$2:$G$1542,7,1)</f>
        <v>2</v>
      </c>
    </row>
    <row r="228" spans="1:15" ht="21" customHeight="1" x14ac:dyDescent="0.25">
      <c r="A228" s="1">
        <v>4687</v>
      </c>
      <c r="B228" s="27">
        <v>46132</v>
      </c>
      <c r="C228" s="26"/>
      <c r="D228" s="4" t="s">
        <v>7</v>
      </c>
      <c r="E228" s="26"/>
      <c r="F228" s="5">
        <v>4</v>
      </c>
      <c r="G228" s="26"/>
      <c r="H228" s="27">
        <v>46135</v>
      </c>
      <c r="I228" s="28">
        <v>3</v>
      </c>
      <c r="J228" s="27">
        <v>46139</v>
      </c>
      <c r="K228" s="26"/>
      <c r="L228" s="26" t="s">
        <v>5</v>
      </c>
      <c r="M228" s="26" t="s">
        <v>1</v>
      </c>
      <c r="N228" s="86"/>
      <c r="O228" s="87">
        <f>VLOOKUP(A228,'HIPERQUERATOSE 26'!$A$2:$G$1542,7,1)</f>
        <v>1</v>
      </c>
    </row>
    <row r="229" spans="1:15" ht="21" customHeight="1" x14ac:dyDescent="0.25">
      <c r="A229" s="1">
        <v>4649</v>
      </c>
      <c r="B229" s="27">
        <v>46133</v>
      </c>
      <c r="C229" s="26"/>
      <c r="D229" s="4" t="s">
        <v>7</v>
      </c>
      <c r="E229" s="26"/>
      <c r="F229" s="5">
        <v>4</v>
      </c>
      <c r="G229" s="26"/>
      <c r="H229" s="27">
        <v>46136</v>
      </c>
      <c r="I229" s="29">
        <v>3</v>
      </c>
      <c r="J229" s="27">
        <v>46140</v>
      </c>
      <c r="K229" s="26" t="s">
        <v>3</v>
      </c>
      <c r="L229" s="26"/>
      <c r="M229" s="26"/>
      <c r="N229" s="86"/>
      <c r="O229" s="87">
        <f>VLOOKUP(A229,'HIPERQUERATOSE 26'!$A$2:$G$1542,7,1)</f>
        <v>1.5</v>
      </c>
    </row>
    <row r="230" spans="1:15" ht="21" customHeight="1" x14ac:dyDescent="0.25">
      <c r="A230" s="1">
        <v>1749</v>
      </c>
      <c r="B230" s="27">
        <v>46134</v>
      </c>
      <c r="C230" s="26"/>
      <c r="D230" s="4" t="s">
        <v>20</v>
      </c>
      <c r="E230" s="26"/>
      <c r="F230" s="5">
        <v>4</v>
      </c>
      <c r="G230" s="26"/>
      <c r="H230" s="27">
        <v>46137</v>
      </c>
      <c r="I230" s="28">
        <v>9</v>
      </c>
      <c r="J230" s="27">
        <v>46147</v>
      </c>
      <c r="K230" s="26" t="s">
        <v>3</v>
      </c>
      <c r="L230" s="26"/>
      <c r="M230" s="26" t="s">
        <v>1</v>
      </c>
      <c r="N230" s="86"/>
      <c r="O230" s="87">
        <f>VLOOKUP(A230,'HIPERQUERATOSE 26'!$A$2:$G$1542,7,1)</f>
        <v>2</v>
      </c>
    </row>
    <row r="231" spans="1:15" ht="21" customHeight="1" x14ac:dyDescent="0.25">
      <c r="A231" s="1">
        <v>3433</v>
      </c>
      <c r="B231" s="27">
        <v>46135</v>
      </c>
      <c r="C231" s="26"/>
      <c r="D231" s="4" t="s">
        <v>20</v>
      </c>
      <c r="E231" s="26"/>
      <c r="F231" s="5">
        <v>4</v>
      </c>
      <c r="G231" s="26"/>
      <c r="H231" s="27">
        <v>46138</v>
      </c>
      <c r="I231" s="29">
        <v>9</v>
      </c>
      <c r="J231" s="27">
        <v>46148</v>
      </c>
      <c r="K231" s="26"/>
      <c r="L231" s="26" t="s">
        <v>5</v>
      </c>
      <c r="M231" s="26"/>
      <c r="N231" s="86" t="s">
        <v>4</v>
      </c>
      <c r="O231" s="87">
        <f>VLOOKUP(A231,'HIPERQUERATOSE 26'!$A$2:$G$1542,7,1)</f>
        <v>2.25</v>
      </c>
    </row>
    <row r="232" spans="1:15" ht="21" customHeight="1" x14ac:dyDescent="0.25">
      <c r="A232" s="1">
        <v>3846</v>
      </c>
      <c r="B232" s="27">
        <v>46135</v>
      </c>
      <c r="C232" s="26"/>
      <c r="D232" s="4" t="s">
        <v>34</v>
      </c>
      <c r="E232" s="26"/>
      <c r="F232" s="5">
        <v>4</v>
      </c>
      <c r="G232" s="26"/>
      <c r="H232" s="27">
        <v>46138</v>
      </c>
      <c r="I232" s="28">
        <v>3</v>
      </c>
      <c r="J232" s="27">
        <v>46142</v>
      </c>
      <c r="K232" s="26" t="s">
        <v>3</v>
      </c>
      <c r="L232" s="26" t="s">
        <v>5</v>
      </c>
      <c r="M232" s="26"/>
      <c r="N232" s="86"/>
      <c r="O232" s="87">
        <f>VLOOKUP(A232,'HIPERQUERATOSE 26'!$A$2:$G$1542,7,1)</f>
        <v>2.25</v>
      </c>
    </row>
    <row r="233" spans="1:15" ht="21" customHeight="1" x14ac:dyDescent="0.25">
      <c r="A233" s="1">
        <v>4370</v>
      </c>
      <c r="B233" s="27">
        <v>46136</v>
      </c>
      <c r="C233" s="26"/>
      <c r="D233" s="4" t="s">
        <v>25</v>
      </c>
      <c r="E233" s="26"/>
      <c r="F233" s="5">
        <v>4</v>
      </c>
      <c r="G233" s="26"/>
      <c r="H233" s="27">
        <v>46139</v>
      </c>
      <c r="I233" s="29">
        <v>5</v>
      </c>
      <c r="J233" s="31">
        <v>46145</v>
      </c>
      <c r="K233" s="26"/>
      <c r="L233" s="26" t="s">
        <v>5</v>
      </c>
      <c r="M233" s="26"/>
      <c r="N233" s="86"/>
      <c r="O233" s="87">
        <f>VLOOKUP(A233,'HIPERQUERATOSE 26'!$A$2:$G$1542,7,1)</f>
        <v>1.75</v>
      </c>
    </row>
    <row r="234" spans="1:15" ht="21" customHeight="1" x14ac:dyDescent="0.25">
      <c r="A234" s="1">
        <v>4687</v>
      </c>
      <c r="B234" s="27">
        <v>46136</v>
      </c>
      <c r="C234" s="26"/>
      <c r="D234" s="4" t="s">
        <v>20</v>
      </c>
      <c r="E234" s="26"/>
      <c r="F234" s="5">
        <v>4</v>
      </c>
      <c r="G234" s="26"/>
      <c r="H234" s="27">
        <v>46139</v>
      </c>
      <c r="I234" s="28">
        <v>9</v>
      </c>
      <c r="J234" s="27">
        <v>46149</v>
      </c>
      <c r="K234" s="26"/>
      <c r="L234" s="26" t="s">
        <v>5</v>
      </c>
      <c r="M234" s="26"/>
      <c r="N234" s="86"/>
      <c r="O234" s="87">
        <f>VLOOKUP(A234,'HIPERQUERATOSE 26'!$A$2:$G$1542,7,1)</f>
        <v>1</v>
      </c>
    </row>
    <row r="235" spans="1:15" ht="21" customHeight="1" x14ac:dyDescent="0.25">
      <c r="A235" s="1">
        <v>4163</v>
      </c>
      <c r="B235" s="27">
        <v>46137</v>
      </c>
      <c r="C235" s="26"/>
      <c r="D235" s="4" t="s">
        <v>7</v>
      </c>
      <c r="E235" s="26"/>
      <c r="F235" s="5">
        <v>4</v>
      </c>
      <c r="G235" s="26"/>
      <c r="H235" s="27">
        <v>46140</v>
      </c>
      <c r="I235" s="29">
        <v>3</v>
      </c>
      <c r="J235" s="27">
        <v>46144</v>
      </c>
      <c r="K235" s="26"/>
      <c r="L235" s="26"/>
      <c r="M235" s="26" t="s">
        <v>1</v>
      </c>
      <c r="N235" s="86"/>
      <c r="O235" s="87">
        <f>VLOOKUP(A235,'HIPERQUERATOSE 26'!$A$2:$G$1542,7,1)</f>
        <v>4</v>
      </c>
    </row>
    <row r="236" spans="1:15" ht="21" customHeight="1" x14ac:dyDescent="0.25">
      <c r="A236" s="1">
        <v>3480</v>
      </c>
      <c r="B236" s="27">
        <v>46137</v>
      </c>
      <c r="C236" s="26"/>
      <c r="D236" s="4" t="s">
        <v>20</v>
      </c>
      <c r="E236" s="26"/>
      <c r="F236" s="5">
        <v>4</v>
      </c>
      <c r="G236" s="26"/>
      <c r="H236" s="27">
        <v>46140</v>
      </c>
      <c r="I236" s="28">
        <v>9</v>
      </c>
      <c r="J236" s="27">
        <v>46150</v>
      </c>
      <c r="K236" s="26"/>
      <c r="L236" s="26" t="s">
        <v>5</v>
      </c>
      <c r="M236" s="26"/>
      <c r="N236" s="86"/>
      <c r="O236" s="87">
        <f>VLOOKUP(A236,'HIPERQUERATOSE 26'!$A$2:$G$1542,7,1)</f>
        <v>1</v>
      </c>
    </row>
    <row r="237" spans="1:15" ht="21" customHeight="1" x14ac:dyDescent="0.25">
      <c r="A237" s="1">
        <v>4649</v>
      </c>
      <c r="B237" s="27">
        <v>46137</v>
      </c>
      <c r="C237" s="26"/>
      <c r="D237" s="4" t="s">
        <v>34</v>
      </c>
      <c r="E237" s="26"/>
      <c r="F237" s="5">
        <v>4</v>
      </c>
      <c r="G237" s="26"/>
      <c r="H237" s="27">
        <v>46140</v>
      </c>
      <c r="I237" s="29">
        <v>3</v>
      </c>
      <c r="J237" s="27">
        <v>46144</v>
      </c>
      <c r="K237" s="26" t="s">
        <v>3</v>
      </c>
      <c r="L237" s="26"/>
      <c r="M237" s="26"/>
      <c r="N237" s="86"/>
      <c r="O237" s="87">
        <f>VLOOKUP(A237,'HIPERQUERATOSE 26'!$A$2:$G$1542,7,1)</f>
        <v>1.5</v>
      </c>
    </row>
    <row r="238" spans="1:15" ht="21" customHeight="1" x14ac:dyDescent="0.25">
      <c r="A238" s="1">
        <v>4041</v>
      </c>
      <c r="B238" s="27">
        <v>46137</v>
      </c>
      <c r="C238" s="26"/>
      <c r="D238" s="4" t="s">
        <v>7</v>
      </c>
      <c r="E238" s="26"/>
      <c r="F238" s="5">
        <v>4</v>
      </c>
      <c r="G238" s="26"/>
      <c r="H238" s="27">
        <v>46140</v>
      </c>
      <c r="I238" s="28">
        <v>3</v>
      </c>
      <c r="J238" s="27">
        <v>46144</v>
      </c>
      <c r="K238" s="26" t="s">
        <v>3</v>
      </c>
      <c r="L238" s="26" t="s">
        <v>5</v>
      </c>
      <c r="M238" s="26"/>
      <c r="N238" s="86"/>
      <c r="O238" s="87">
        <f>VLOOKUP(A238,'HIPERQUERATOSE 26'!$A$2:$G$1542,7,1)</f>
        <v>4</v>
      </c>
    </row>
    <row r="239" spans="1:15" ht="21" customHeight="1" x14ac:dyDescent="0.25">
      <c r="A239" s="1">
        <v>4444</v>
      </c>
      <c r="B239" s="27">
        <v>46137</v>
      </c>
      <c r="C239" s="26"/>
      <c r="D239" s="4" t="s">
        <v>7</v>
      </c>
      <c r="E239" s="26"/>
      <c r="F239" s="5">
        <v>4</v>
      </c>
      <c r="G239" s="26"/>
      <c r="H239" s="27">
        <v>46140</v>
      </c>
      <c r="I239" s="29">
        <v>3</v>
      </c>
      <c r="J239" s="27">
        <v>46144</v>
      </c>
      <c r="K239" s="26"/>
      <c r="L239" s="26"/>
      <c r="M239" s="26"/>
      <c r="N239" s="86" t="s">
        <v>4</v>
      </c>
      <c r="O239" s="87">
        <f>VLOOKUP(A239,'HIPERQUERATOSE 26'!$A$2:$G$1542,7,1)</f>
        <v>1.25</v>
      </c>
    </row>
    <row r="240" spans="1:15" ht="21" customHeight="1" x14ac:dyDescent="0.25">
      <c r="A240" s="1">
        <v>3989</v>
      </c>
      <c r="B240" s="27">
        <v>46137</v>
      </c>
      <c r="C240" s="26"/>
      <c r="D240" s="4" t="s">
        <v>7</v>
      </c>
      <c r="E240" s="26"/>
      <c r="F240" s="5">
        <v>4</v>
      </c>
      <c r="G240" s="26"/>
      <c r="H240" s="27">
        <v>46140</v>
      </c>
      <c r="I240" s="28">
        <v>3</v>
      </c>
      <c r="J240" s="27">
        <v>46144</v>
      </c>
      <c r="K240" s="26"/>
      <c r="L240" s="26" t="s">
        <v>5</v>
      </c>
      <c r="M240" s="26" t="s">
        <v>1</v>
      </c>
      <c r="N240" s="86"/>
      <c r="O240" s="87">
        <f>VLOOKUP(A240,'HIPERQUERATOSE 26'!$A$2:$G$1542,7,1)</f>
        <v>2.75</v>
      </c>
    </row>
    <row r="241" spans="1:15" ht="21" customHeight="1" x14ac:dyDescent="0.25">
      <c r="A241" s="1">
        <v>2279</v>
      </c>
      <c r="B241" s="27">
        <v>46137</v>
      </c>
      <c r="C241" s="26"/>
      <c r="D241" s="4" t="s">
        <v>7</v>
      </c>
      <c r="E241" s="26"/>
      <c r="F241" s="5">
        <v>4</v>
      </c>
      <c r="G241" s="26"/>
      <c r="H241" s="27">
        <v>46140</v>
      </c>
      <c r="I241" s="29">
        <v>3</v>
      </c>
      <c r="J241" s="27">
        <v>46144</v>
      </c>
      <c r="K241" s="26"/>
      <c r="L241" s="26" t="s">
        <v>5</v>
      </c>
      <c r="M241" s="26"/>
      <c r="N241" s="86"/>
      <c r="O241" s="87">
        <f>VLOOKUP(A241,'HIPERQUERATOSE 26'!$A$2:$G$1542,7,1)</f>
        <v>1.25</v>
      </c>
    </row>
    <row r="242" spans="1:15" ht="21" customHeight="1" x14ac:dyDescent="0.25">
      <c r="A242" s="1">
        <v>3110</v>
      </c>
      <c r="B242" s="27">
        <v>46137</v>
      </c>
      <c r="C242" s="26"/>
      <c r="D242" s="4" t="s">
        <v>7</v>
      </c>
      <c r="E242" s="26"/>
      <c r="F242" s="5">
        <v>4</v>
      </c>
      <c r="G242" s="26"/>
      <c r="H242" s="27">
        <v>46140</v>
      </c>
      <c r="I242" s="28">
        <v>3</v>
      </c>
      <c r="J242" s="27">
        <v>46144</v>
      </c>
      <c r="K242" s="26"/>
      <c r="L242" s="26" t="s">
        <v>5</v>
      </c>
      <c r="M242" s="26"/>
      <c r="N242" s="86"/>
      <c r="O242" s="87">
        <f>VLOOKUP(A242,'HIPERQUERATOSE 26'!$A$2:$G$1542,7,1)</f>
        <v>2</v>
      </c>
    </row>
    <row r="243" spans="1:15" ht="21" customHeight="1" x14ac:dyDescent="0.25">
      <c r="A243" s="1">
        <v>2570</v>
      </c>
      <c r="B243" s="27">
        <v>46137</v>
      </c>
      <c r="C243" s="26"/>
      <c r="D243" s="4" t="s">
        <v>7</v>
      </c>
      <c r="E243" s="26"/>
      <c r="F243" s="5">
        <v>4</v>
      </c>
      <c r="G243" s="26"/>
      <c r="H243" s="27">
        <v>46140</v>
      </c>
      <c r="I243" s="29">
        <v>3</v>
      </c>
      <c r="J243" s="27">
        <v>46144</v>
      </c>
      <c r="K243" s="26" t="s">
        <v>3</v>
      </c>
      <c r="L243" s="26" t="s">
        <v>5</v>
      </c>
      <c r="M243" s="26"/>
      <c r="N243" s="86" t="s">
        <v>4</v>
      </c>
      <c r="O243" s="87">
        <f>VLOOKUP(A243,'HIPERQUERATOSE 26'!$A$2:$G$1542,7,1)</f>
        <v>3.25</v>
      </c>
    </row>
    <row r="244" spans="1:15" ht="21" customHeight="1" x14ac:dyDescent="0.25">
      <c r="A244" s="1">
        <v>1203</v>
      </c>
      <c r="B244" s="27">
        <v>46138</v>
      </c>
      <c r="C244" s="26"/>
      <c r="D244" s="4" t="s">
        <v>34</v>
      </c>
      <c r="E244" s="26"/>
      <c r="F244" s="5">
        <v>4</v>
      </c>
      <c r="G244" s="26"/>
      <c r="H244" s="27">
        <v>46141</v>
      </c>
      <c r="I244" s="28">
        <v>3</v>
      </c>
      <c r="J244" s="27">
        <v>46145</v>
      </c>
      <c r="K244" s="26"/>
      <c r="L244" s="26"/>
      <c r="M244" s="26"/>
      <c r="N244" s="86" t="s">
        <v>4</v>
      </c>
      <c r="O244" s="87">
        <f>VLOOKUP(A244,'HIPERQUERATOSE 26'!$A$2:$G$1542,7,1)</f>
        <v>2.25</v>
      </c>
    </row>
    <row r="245" spans="1:15" ht="21" customHeight="1" x14ac:dyDescent="0.25">
      <c r="A245" s="1">
        <v>2760</v>
      </c>
      <c r="B245" s="27">
        <v>46139</v>
      </c>
      <c r="C245" s="26"/>
      <c r="D245" s="4" t="s">
        <v>34</v>
      </c>
      <c r="E245" s="26"/>
      <c r="F245" s="5">
        <v>4</v>
      </c>
      <c r="G245" s="26"/>
      <c r="H245" s="27">
        <v>46142</v>
      </c>
      <c r="I245" s="29">
        <v>3</v>
      </c>
      <c r="J245" s="27">
        <v>46146</v>
      </c>
      <c r="K245" s="26"/>
      <c r="L245" s="26"/>
      <c r="M245" s="26"/>
      <c r="N245" s="86" t="s">
        <v>4</v>
      </c>
      <c r="O245" s="87">
        <f>VLOOKUP(A245,'HIPERQUERATOSE 26'!$A$2:$G$1542,7,1)</f>
        <v>3.25</v>
      </c>
    </row>
    <row r="246" spans="1:15" ht="21" customHeight="1" x14ac:dyDescent="0.25">
      <c r="A246" s="1">
        <v>4895</v>
      </c>
      <c r="B246" s="27">
        <v>46139</v>
      </c>
      <c r="C246" s="26"/>
      <c r="D246" s="4" t="s">
        <v>20</v>
      </c>
      <c r="E246" s="26"/>
      <c r="F246" s="5">
        <v>4</v>
      </c>
      <c r="G246" s="26"/>
      <c r="H246" s="27">
        <v>46142</v>
      </c>
      <c r="I246" s="28">
        <v>9</v>
      </c>
      <c r="J246" s="27">
        <v>46152</v>
      </c>
      <c r="K246" s="26"/>
      <c r="L246" s="26"/>
      <c r="M246" s="26" t="s">
        <v>1</v>
      </c>
      <c r="N246" s="86"/>
      <c r="O246" s="87">
        <f>VLOOKUP(A246,'HIPERQUERATOSE 26'!$A$2:$G$1542,7,1)</f>
        <v>2</v>
      </c>
    </row>
    <row r="247" spans="1:15" ht="21" customHeight="1" x14ac:dyDescent="0.25">
      <c r="A247" s="1">
        <v>3146</v>
      </c>
      <c r="B247" s="27">
        <v>46139</v>
      </c>
      <c r="C247" s="26"/>
      <c r="D247" s="4" t="s">
        <v>20</v>
      </c>
      <c r="E247" s="26"/>
      <c r="F247" s="5">
        <v>4</v>
      </c>
      <c r="G247" s="26"/>
      <c r="H247" s="27">
        <v>46142</v>
      </c>
      <c r="I247" s="29">
        <v>9</v>
      </c>
      <c r="J247" s="27">
        <v>46152</v>
      </c>
      <c r="K247" s="26"/>
      <c r="L247" s="26"/>
      <c r="M247" s="26"/>
      <c r="N247" s="86" t="s">
        <v>4</v>
      </c>
      <c r="O247" s="87">
        <f>VLOOKUP(A247,'HIPERQUERATOSE 26'!$A$2:$G$1542,7,1)</f>
        <v>1</v>
      </c>
    </row>
    <row r="248" spans="1:15" ht="21" customHeight="1" x14ac:dyDescent="0.25">
      <c r="A248" s="1">
        <v>2570</v>
      </c>
      <c r="B248" s="27">
        <v>46141</v>
      </c>
      <c r="C248" s="26"/>
      <c r="D248" s="4" t="s">
        <v>34</v>
      </c>
      <c r="E248" s="26"/>
      <c r="F248" s="5">
        <v>4</v>
      </c>
      <c r="G248" s="26"/>
      <c r="H248" s="27">
        <v>46144</v>
      </c>
      <c r="I248" s="28">
        <v>3</v>
      </c>
      <c r="J248" s="27">
        <v>46148</v>
      </c>
      <c r="K248" s="26"/>
      <c r="L248" s="26"/>
      <c r="M248" s="26"/>
      <c r="N248" s="86" t="s">
        <v>4</v>
      </c>
      <c r="O248" s="87">
        <f>VLOOKUP(A248,'HIPERQUERATOSE 26'!$A$2:$G$1542,7,1)</f>
        <v>3.25</v>
      </c>
    </row>
    <row r="249" spans="1:15" ht="21" customHeight="1" x14ac:dyDescent="0.25">
      <c r="A249" s="1">
        <v>3334</v>
      </c>
      <c r="B249" s="27">
        <v>46142</v>
      </c>
      <c r="C249" s="26"/>
      <c r="D249" s="4" t="s">
        <v>34</v>
      </c>
      <c r="E249" s="26"/>
      <c r="F249" s="5">
        <v>4</v>
      </c>
      <c r="G249" s="26"/>
      <c r="H249" s="27">
        <v>46145</v>
      </c>
      <c r="I249" s="29">
        <v>3</v>
      </c>
      <c r="J249" s="27">
        <v>46149</v>
      </c>
      <c r="K249" s="26" t="s">
        <v>3</v>
      </c>
      <c r="L249" s="26"/>
      <c r="M249" s="26"/>
      <c r="N249" s="86"/>
      <c r="O249" s="87">
        <f>VLOOKUP(A249,'HIPERQUERATOSE 26'!$A$2:$G$1542,7,1)</f>
        <v>1.25</v>
      </c>
    </row>
    <row r="250" spans="1:15" ht="21" customHeight="1" x14ac:dyDescent="0.25">
      <c r="A250" s="1">
        <v>4649</v>
      </c>
      <c r="B250" s="27">
        <v>46142</v>
      </c>
      <c r="C250" s="26"/>
      <c r="D250" s="4" t="s">
        <v>21</v>
      </c>
      <c r="E250" s="26"/>
      <c r="F250" s="5">
        <v>4</v>
      </c>
      <c r="G250" s="26"/>
      <c r="H250" s="27">
        <v>46145</v>
      </c>
      <c r="I250" s="28">
        <v>9</v>
      </c>
      <c r="J250" s="27">
        <v>46155</v>
      </c>
      <c r="K250" s="26" t="s">
        <v>3</v>
      </c>
      <c r="L250" s="26"/>
      <c r="M250" s="26"/>
      <c r="N250" s="86"/>
      <c r="O250" s="87">
        <f>VLOOKUP(A250,'HIPERQUERATOSE 26'!$A$2:$G$1542,7,1)</f>
        <v>1.5</v>
      </c>
    </row>
    <row r="251" spans="1:15" ht="21" customHeight="1" x14ac:dyDescent="0.25">
      <c r="A251" s="1">
        <v>4476</v>
      </c>
      <c r="B251" s="27">
        <v>46142</v>
      </c>
      <c r="C251" s="26"/>
      <c r="D251" s="4" t="s">
        <v>7</v>
      </c>
      <c r="E251" s="26"/>
      <c r="F251" s="5">
        <v>4</v>
      </c>
      <c r="G251" s="26"/>
      <c r="H251" s="27">
        <v>46145</v>
      </c>
      <c r="I251" s="29">
        <v>3</v>
      </c>
      <c r="J251" s="27">
        <v>46149</v>
      </c>
      <c r="K251" s="26"/>
      <c r="L251" s="26" t="s">
        <v>5</v>
      </c>
      <c r="M251" s="26"/>
      <c r="N251" s="86"/>
      <c r="O251" s="87">
        <f>VLOOKUP(A251,'HIPERQUERATOSE 26'!$A$2:$G$1542,7,1)</f>
        <v>1.5</v>
      </c>
    </row>
    <row r="252" spans="1:15" ht="21" customHeight="1" x14ac:dyDescent="0.25">
      <c r="A252" s="1">
        <v>5351</v>
      </c>
      <c r="B252" s="27">
        <v>46142</v>
      </c>
      <c r="C252" s="26"/>
      <c r="D252" s="4" t="s">
        <v>7</v>
      </c>
      <c r="E252" s="26"/>
      <c r="F252" s="5">
        <v>4</v>
      </c>
      <c r="G252" s="26"/>
      <c r="H252" s="27">
        <v>46145</v>
      </c>
      <c r="I252" s="28">
        <v>3</v>
      </c>
      <c r="J252" s="27">
        <v>46149</v>
      </c>
      <c r="K252" s="26"/>
      <c r="L252" s="26"/>
      <c r="M252" s="26" t="s">
        <v>1</v>
      </c>
      <c r="N252" s="86"/>
      <c r="O252" s="87">
        <f>VLOOKUP(A252,'HIPERQUERATOSE 26'!$A$2:$G$1542,7,1)</f>
        <v>1.25</v>
      </c>
    </row>
    <row r="253" spans="1:15" ht="21" customHeight="1" x14ac:dyDescent="0.25">
      <c r="A253" s="1">
        <v>4330</v>
      </c>
      <c r="B253" s="27">
        <v>46142</v>
      </c>
      <c r="C253" s="26"/>
      <c r="D253" s="4" t="s">
        <v>7</v>
      </c>
      <c r="E253" s="26"/>
      <c r="F253" s="5">
        <v>4</v>
      </c>
      <c r="G253" s="26"/>
      <c r="H253" s="27">
        <v>46145</v>
      </c>
      <c r="I253" s="29">
        <v>3</v>
      </c>
      <c r="J253" s="27">
        <v>46149</v>
      </c>
      <c r="K253" s="26" t="s">
        <v>3</v>
      </c>
      <c r="L253" s="26"/>
      <c r="M253" s="26"/>
      <c r="N253" s="86"/>
      <c r="O253" s="87">
        <f>VLOOKUP(A253,'HIPERQUERATOSE 26'!$A$2:$G$1542,7,1)</f>
        <v>1.25</v>
      </c>
    </row>
    <row r="254" spans="1:15" ht="21" customHeight="1" x14ac:dyDescent="0.25">
      <c r="A254" s="1">
        <v>5041</v>
      </c>
      <c r="B254" s="27">
        <v>46142</v>
      </c>
      <c r="C254" s="26"/>
      <c r="D254" s="4" t="s">
        <v>7</v>
      </c>
      <c r="E254" s="26"/>
      <c r="F254" s="5">
        <v>4</v>
      </c>
      <c r="G254" s="26"/>
      <c r="H254" s="27">
        <v>46145</v>
      </c>
      <c r="I254" s="28">
        <v>3</v>
      </c>
      <c r="J254" s="27">
        <v>46149</v>
      </c>
      <c r="K254" s="26"/>
      <c r="L254" s="26"/>
      <c r="M254" s="26"/>
      <c r="N254" s="86" t="s">
        <v>4</v>
      </c>
      <c r="O254" s="87">
        <f>VLOOKUP(A254,'HIPERQUERATOSE 26'!$A$2:$G$1542,7,1)</f>
        <v>1.25</v>
      </c>
    </row>
    <row r="255" spans="1:15" ht="21" customHeight="1" x14ac:dyDescent="0.25">
      <c r="A255" s="1">
        <v>2894</v>
      </c>
      <c r="B255" s="27">
        <v>46142</v>
      </c>
      <c r="C255" s="26"/>
      <c r="D255" s="4" t="s">
        <v>7</v>
      </c>
      <c r="E255" s="26"/>
      <c r="F255" s="5">
        <v>4</v>
      </c>
      <c r="G255" s="26"/>
      <c r="H255" s="27">
        <v>46145</v>
      </c>
      <c r="I255" s="29">
        <v>3</v>
      </c>
      <c r="J255" s="27">
        <v>46149</v>
      </c>
      <c r="K255" s="26" t="s">
        <v>3</v>
      </c>
      <c r="L255" s="26"/>
      <c r="M255" s="26"/>
      <c r="N255" s="86"/>
      <c r="O255" s="87">
        <f>VLOOKUP(A255,'HIPERQUERATOSE 26'!$A$2:$G$1542,7,1)</f>
        <v>2.25</v>
      </c>
    </row>
    <row r="256" spans="1:15" ht="21" customHeight="1" x14ac:dyDescent="0.25">
      <c r="A256" s="1">
        <v>3940</v>
      </c>
      <c r="B256" s="27">
        <v>46142</v>
      </c>
      <c r="C256" s="26"/>
      <c r="D256" s="4" t="s">
        <v>7</v>
      </c>
      <c r="E256" s="26"/>
      <c r="F256" s="5">
        <v>4</v>
      </c>
      <c r="G256" s="26"/>
      <c r="H256" s="27">
        <v>46145</v>
      </c>
      <c r="I256" s="28">
        <v>3</v>
      </c>
      <c r="J256" s="27">
        <v>46149</v>
      </c>
      <c r="K256" s="26"/>
      <c r="L256" s="26"/>
      <c r="M256" s="26"/>
      <c r="N256" s="86" t="s">
        <v>4</v>
      </c>
      <c r="O256" s="87">
        <f>VLOOKUP(A256,'HIPERQUERATOSE 26'!$A$2:$G$1542,7,1)</f>
        <v>1.5</v>
      </c>
    </row>
    <row r="257" spans="1:15" ht="21" customHeight="1" x14ac:dyDescent="0.25">
      <c r="A257" s="1">
        <v>3383</v>
      </c>
      <c r="B257" s="27">
        <v>46142</v>
      </c>
      <c r="C257" s="26"/>
      <c r="D257" s="4" t="s">
        <v>7</v>
      </c>
      <c r="E257" s="26"/>
      <c r="F257" s="5">
        <v>4</v>
      </c>
      <c r="G257" s="26"/>
      <c r="H257" s="27">
        <v>46145</v>
      </c>
      <c r="I257" s="29">
        <v>3</v>
      </c>
      <c r="J257" s="27">
        <v>46149</v>
      </c>
      <c r="K257" s="26"/>
      <c r="L257" s="26"/>
      <c r="M257" s="26"/>
      <c r="N257" s="86" t="s">
        <v>4</v>
      </c>
      <c r="O257" s="87">
        <f>VLOOKUP(A257,'HIPERQUERATOSE 26'!$A$2:$G$1542,7,1)</f>
        <v>2</v>
      </c>
    </row>
    <row r="258" spans="1:15" ht="21" customHeight="1" x14ac:dyDescent="0.25">
      <c r="A258" s="1">
        <v>4501</v>
      </c>
      <c r="B258" s="27">
        <v>46142</v>
      </c>
      <c r="C258" s="26"/>
      <c r="D258" s="4" t="s">
        <v>7</v>
      </c>
      <c r="E258" s="26"/>
      <c r="F258" s="5">
        <v>4</v>
      </c>
      <c r="G258" s="26"/>
      <c r="H258" s="27">
        <v>46145</v>
      </c>
      <c r="I258" s="28">
        <v>3</v>
      </c>
      <c r="J258" s="27">
        <v>46149</v>
      </c>
      <c r="K258" s="26"/>
      <c r="L258" s="26" t="s">
        <v>5</v>
      </c>
      <c r="M258" s="26"/>
      <c r="N258" s="86"/>
      <c r="O258" s="87">
        <f>VLOOKUP(A258,'HIPERQUERATOSE 26'!$A$2:$G$1542,7,1)</f>
        <v>2.5</v>
      </c>
    </row>
    <row r="259" spans="1:15" ht="21" customHeight="1" x14ac:dyDescent="0.25">
      <c r="A259" s="1">
        <v>5129</v>
      </c>
      <c r="B259" s="27">
        <v>46142</v>
      </c>
      <c r="C259" s="26"/>
      <c r="D259" s="4" t="s">
        <v>21</v>
      </c>
      <c r="E259" s="26"/>
      <c r="F259" s="5">
        <v>4</v>
      </c>
      <c r="G259" s="26"/>
      <c r="H259" s="27">
        <v>46145</v>
      </c>
      <c r="I259" s="29">
        <v>9</v>
      </c>
      <c r="J259" s="27">
        <v>46155</v>
      </c>
      <c r="K259" s="26"/>
      <c r="L259" s="26" t="s">
        <v>5</v>
      </c>
      <c r="M259" s="26"/>
      <c r="N259" s="86"/>
      <c r="O259" s="87">
        <f>VLOOKUP(A259,'HIPERQUERATOSE 26'!$A$2:$G$1542,7,1)</f>
        <v>1.5</v>
      </c>
    </row>
    <row r="260" spans="1:15" ht="21" customHeight="1" x14ac:dyDescent="0.25">
      <c r="A260" s="1">
        <v>4699</v>
      </c>
      <c r="B260" s="27">
        <v>46143</v>
      </c>
      <c r="C260" s="26"/>
      <c r="D260" s="4" t="s">
        <v>7</v>
      </c>
      <c r="E260" s="26"/>
      <c r="F260" s="5">
        <v>4</v>
      </c>
      <c r="G260" s="26"/>
      <c r="H260" s="27">
        <v>46146</v>
      </c>
      <c r="I260" s="28">
        <v>3</v>
      </c>
      <c r="J260" s="27">
        <v>46150</v>
      </c>
      <c r="K260" s="26"/>
      <c r="L260" s="26"/>
      <c r="M260" s="26" t="s">
        <v>1</v>
      </c>
      <c r="N260" s="86"/>
      <c r="O260" s="87">
        <f>VLOOKUP(A260,'HIPERQUERATOSE 26'!$A$2:$G$1542,7,1)</f>
        <v>1.5</v>
      </c>
    </row>
    <row r="261" spans="1:15" ht="21" customHeight="1" x14ac:dyDescent="0.25">
      <c r="A261" s="1">
        <v>3759</v>
      </c>
      <c r="B261" s="27">
        <v>46142</v>
      </c>
      <c r="C261" s="26"/>
      <c r="D261" s="4" t="s">
        <v>7</v>
      </c>
      <c r="E261" s="26"/>
      <c r="F261" s="5">
        <v>4</v>
      </c>
      <c r="G261" s="26"/>
      <c r="H261" s="27">
        <v>46145</v>
      </c>
      <c r="I261" s="29">
        <v>3</v>
      </c>
      <c r="J261" s="27">
        <v>46149</v>
      </c>
      <c r="K261" s="26"/>
      <c r="L261" s="26" t="s">
        <v>5</v>
      </c>
      <c r="M261" s="26"/>
      <c r="N261" s="86"/>
      <c r="O261" s="87">
        <f>VLOOKUP(A261,'HIPERQUERATOSE 26'!$A$2:$G$1542,7,1)</f>
        <v>2</v>
      </c>
    </row>
    <row r="262" spans="1:15" ht="21" customHeight="1" x14ac:dyDescent="0.25">
      <c r="A262" s="1">
        <v>3110</v>
      </c>
      <c r="B262" s="27">
        <v>46143</v>
      </c>
      <c r="C262" s="26"/>
      <c r="D262" s="4" t="s">
        <v>21</v>
      </c>
      <c r="E262" s="26"/>
      <c r="F262" s="5">
        <v>4</v>
      </c>
      <c r="G262" s="26"/>
      <c r="H262" s="27">
        <v>46146</v>
      </c>
      <c r="I262" s="28">
        <v>9</v>
      </c>
      <c r="J262" s="27">
        <v>46156</v>
      </c>
      <c r="K262" s="26"/>
      <c r="L262" s="26" t="s">
        <v>5</v>
      </c>
      <c r="M262" s="26"/>
      <c r="N262" s="86"/>
      <c r="O262" s="87">
        <f>VLOOKUP(A262,'HIPERQUERATOSE 26'!$A$2:$G$1542,7,1)</f>
        <v>2</v>
      </c>
    </row>
    <row r="263" spans="1:15" ht="21" customHeight="1" x14ac:dyDescent="0.25">
      <c r="A263" s="1">
        <v>3112</v>
      </c>
      <c r="B263" s="27">
        <v>46144</v>
      </c>
      <c r="C263" s="26"/>
      <c r="D263" s="4" t="s">
        <v>7</v>
      </c>
      <c r="E263" s="26"/>
      <c r="F263" s="5">
        <v>4</v>
      </c>
      <c r="G263" s="26"/>
      <c r="H263" s="27">
        <v>46147</v>
      </c>
      <c r="I263" s="29">
        <v>3</v>
      </c>
      <c r="J263" s="27">
        <v>46151</v>
      </c>
      <c r="K263" s="26" t="s">
        <v>3</v>
      </c>
      <c r="L263" s="26"/>
      <c r="M263" s="26"/>
      <c r="N263" s="86"/>
      <c r="O263" s="87">
        <f>VLOOKUP(A263,'HIPERQUERATOSE 26'!$A$2:$G$1542,7,1)</f>
        <v>2</v>
      </c>
    </row>
    <row r="264" spans="1:15" ht="21" customHeight="1" x14ac:dyDescent="0.25">
      <c r="A264" s="1">
        <v>4184</v>
      </c>
      <c r="B264" s="27">
        <v>46144</v>
      </c>
      <c r="C264" s="26"/>
      <c r="D264" s="4" t="s">
        <v>7</v>
      </c>
      <c r="E264" s="26"/>
      <c r="F264" s="5">
        <v>4</v>
      </c>
      <c r="G264" s="26"/>
      <c r="H264" s="27">
        <v>46147</v>
      </c>
      <c r="I264" s="28">
        <v>3</v>
      </c>
      <c r="J264" s="27">
        <v>46151</v>
      </c>
      <c r="K264" s="26"/>
      <c r="L264" s="26"/>
      <c r="M264" s="26"/>
      <c r="N264" s="86"/>
      <c r="O264" s="87">
        <f>VLOOKUP(A264,'HIPERQUERATOSE 26'!$A$2:$G$1542,7,1)</f>
        <v>2.75</v>
      </c>
    </row>
    <row r="265" spans="1:15" ht="21" customHeight="1" x14ac:dyDescent="0.25">
      <c r="A265" s="1">
        <v>2385</v>
      </c>
      <c r="B265" s="27">
        <v>46145</v>
      </c>
      <c r="C265" s="26"/>
      <c r="D265" s="4" t="s">
        <v>7</v>
      </c>
      <c r="E265" s="26"/>
      <c r="F265" s="5">
        <v>4</v>
      </c>
      <c r="G265" s="26"/>
      <c r="H265" s="27">
        <v>46148</v>
      </c>
      <c r="I265" s="29">
        <v>3</v>
      </c>
      <c r="J265" s="27">
        <v>46152</v>
      </c>
      <c r="K265" s="26" t="s">
        <v>3</v>
      </c>
      <c r="L265" s="26"/>
      <c r="M265" s="26"/>
      <c r="N265" s="86"/>
      <c r="O265" s="87">
        <f>VLOOKUP(A265,'HIPERQUERATOSE 26'!$A$2:$G$1542,7,1)</f>
        <v>1.5</v>
      </c>
    </row>
    <row r="266" spans="1:15" ht="21" customHeight="1" x14ac:dyDescent="0.25">
      <c r="A266" s="1">
        <v>2885</v>
      </c>
      <c r="B266" s="27">
        <v>46145</v>
      </c>
      <c r="C266" s="26"/>
      <c r="D266" s="4" t="s">
        <v>7</v>
      </c>
      <c r="E266" s="26"/>
      <c r="F266" s="5">
        <v>4</v>
      </c>
      <c r="G266" s="26"/>
      <c r="H266" s="27">
        <v>46148</v>
      </c>
      <c r="I266" s="28">
        <v>3</v>
      </c>
      <c r="J266" s="27">
        <v>46152</v>
      </c>
      <c r="K266" s="26"/>
      <c r="L266" s="26"/>
      <c r="M266" s="26" t="s">
        <v>1</v>
      </c>
      <c r="N266" s="86" t="s">
        <v>4</v>
      </c>
      <c r="O266" s="87">
        <f>VLOOKUP(A266,'HIPERQUERATOSE 26'!$A$2:$G$1542,7,1)</f>
        <v>1</v>
      </c>
    </row>
    <row r="267" spans="1:15" ht="21" customHeight="1" x14ac:dyDescent="0.25">
      <c r="A267" s="1">
        <v>4419</v>
      </c>
      <c r="B267" s="27">
        <v>46145</v>
      </c>
      <c r="C267" s="26"/>
      <c r="D267" s="4" t="s">
        <v>7</v>
      </c>
      <c r="E267" s="26"/>
      <c r="F267" s="5">
        <v>4</v>
      </c>
      <c r="G267" s="26"/>
      <c r="H267" s="27">
        <v>46148</v>
      </c>
      <c r="I267" s="29">
        <v>3</v>
      </c>
      <c r="J267" s="27">
        <v>46152</v>
      </c>
      <c r="K267" s="26"/>
      <c r="L267" s="26"/>
      <c r="M267" s="26" t="s">
        <v>1</v>
      </c>
      <c r="N267" s="86"/>
      <c r="O267" s="87">
        <f>VLOOKUP(A267,'HIPERQUERATOSE 26'!$A$2:$G$1542,7,1)</f>
        <v>1.25</v>
      </c>
    </row>
    <row r="268" spans="1:15" ht="21" customHeight="1" x14ac:dyDescent="0.25">
      <c r="A268" s="1">
        <v>4285</v>
      </c>
      <c r="B268" s="27">
        <v>46145</v>
      </c>
      <c r="C268" s="26"/>
      <c r="D268" s="4" t="s">
        <v>7</v>
      </c>
      <c r="E268" s="26"/>
      <c r="F268" s="5">
        <v>4</v>
      </c>
      <c r="G268" s="26"/>
      <c r="H268" s="27">
        <v>46148</v>
      </c>
      <c r="I268" s="28">
        <v>3</v>
      </c>
      <c r="J268" s="27">
        <v>46152</v>
      </c>
      <c r="K268" s="26"/>
      <c r="L268" s="26" t="s">
        <v>5</v>
      </c>
      <c r="M268" s="26"/>
      <c r="N268" s="86"/>
      <c r="O268" s="87">
        <f>VLOOKUP(A268,'HIPERQUERATOSE 26'!$A$2:$G$1542,7,1)</f>
        <v>3</v>
      </c>
    </row>
    <row r="269" spans="1:15" ht="21" customHeight="1" x14ac:dyDescent="0.25">
      <c r="A269" s="1">
        <v>2570</v>
      </c>
      <c r="B269" s="27">
        <v>46145</v>
      </c>
      <c r="C269" s="26"/>
      <c r="D269" s="4" t="s">
        <v>20</v>
      </c>
      <c r="E269" s="26"/>
      <c r="F269" s="5">
        <v>4</v>
      </c>
      <c r="G269" s="26"/>
      <c r="H269" s="27">
        <v>46148</v>
      </c>
      <c r="I269" s="29">
        <v>9</v>
      </c>
      <c r="J269" s="27">
        <v>46158</v>
      </c>
      <c r="K269" s="26"/>
      <c r="L269" s="26"/>
      <c r="M269" s="26" t="s">
        <v>1</v>
      </c>
      <c r="N269" s="86" t="s">
        <v>4</v>
      </c>
      <c r="O269" s="87">
        <f>VLOOKUP(A269,'HIPERQUERATOSE 26'!$A$2:$G$1542,7,1)</f>
        <v>3.25</v>
      </c>
    </row>
    <row r="270" spans="1:15" ht="21" customHeight="1" x14ac:dyDescent="0.25">
      <c r="A270" s="1">
        <v>4325</v>
      </c>
      <c r="B270" s="27">
        <v>46146</v>
      </c>
      <c r="C270" s="26"/>
      <c r="D270" s="4" t="s">
        <v>20</v>
      </c>
      <c r="E270" s="26"/>
      <c r="F270" s="5">
        <v>4</v>
      </c>
      <c r="G270" s="26"/>
      <c r="H270" s="27">
        <v>46149</v>
      </c>
      <c r="I270" s="28">
        <v>9</v>
      </c>
      <c r="J270" s="27">
        <v>46159</v>
      </c>
      <c r="K270" s="26" t="s">
        <v>3</v>
      </c>
      <c r="L270" s="26"/>
      <c r="M270" s="26"/>
      <c r="N270" s="86"/>
      <c r="O270" s="87">
        <f>VLOOKUP(A270,'HIPERQUERATOSE 26'!$A$2:$G$1542,7,1)</f>
        <v>2.75</v>
      </c>
    </row>
    <row r="271" spans="1:15" ht="21" customHeight="1" x14ac:dyDescent="0.25">
      <c r="A271" s="1">
        <v>3334</v>
      </c>
      <c r="B271" s="27">
        <v>46146</v>
      </c>
      <c r="C271" s="26"/>
      <c r="D271" s="4" t="s">
        <v>20</v>
      </c>
      <c r="E271" s="26"/>
      <c r="F271" s="5">
        <v>4</v>
      </c>
      <c r="G271" s="26"/>
      <c r="H271" s="27">
        <v>46149</v>
      </c>
      <c r="I271" s="29">
        <v>9</v>
      </c>
      <c r="J271" s="27">
        <v>46159</v>
      </c>
      <c r="K271" s="26" t="s">
        <v>3</v>
      </c>
      <c r="L271" s="26" t="s">
        <v>5</v>
      </c>
      <c r="M271" s="26"/>
      <c r="N271" s="86"/>
      <c r="O271" s="87">
        <f>VLOOKUP(A271,'HIPERQUERATOSE 26'!$A$2:$G$1542,7,1)</f>
        <v>1.25</v>
      </c>
    </row>
    <row r="272" spans="1:15" ht="21" customHeight="1" x14ac:dyDescent="0.25">
      <c r="A272" s="1">
        <v>3579</v>
      </c>
      <c r="B272" s="27">
        <v>46146</v>
      </c>
      <c r="C272" s="26"/>
      <c r="D272" s="4" t="s">
        <v>7</v>
      </c>
      <c r="E272" s="26"/>
      <c r="F272" s="5">
        <v>4</v>
      </c>
      <c r="G272" s="26"/>
      <c r="H272" s="27">
        <v>46150</v>
      </c>
      <c r="I272" s="28">
        <v>3</v>
      </c>
      <c r="J272" s="27">
        <v>46154</v>
      </c>
      <c r="K272" s="26"/>
      <c r="L272" s="26" t="s">
        <v>5</v>
      </c>
      <c r="M272" s="26" t="s">
        <v>1</v>
      </c>
      <c r="N272" s="86"/>
      <c r="O272" s="87">
        <f>VLOOKUP(A272,'HIPERQUERATOSE 26'!$A$2:$G$1542,7,1)</f>
        <v>2</v>
      </c>
    </row>
    <row r="273" spans="1:15" ht="21" customHeight="1" x14ac:dyDescent="0.25">
      <c r="A273" s="1">
        <v>3881</v>
      </c>
      <c r="B273" s="27">
        <v>46146</v>
      </c>
      <c r="C273" s="26"/>
      <c r="D273" s="4" t="s">
        <v>7</v>
      </c>
      <c r="E273" s="26"/>
      <c r="F273" s="5">
        <v>4</v>
      </c>
      <c r="G273" s="26"/>
      <c r="H273" s="27">
        <v>46150</v>
      </c>
      <c r="I273" s="29">
        <v>3</v>
      </c>
      <c r="J273" s="27">
        <v>46154</v>
      </c>
      <c r="K273" s="26"/>
      <c r="L273" s="26"/>
      <c r="M273" s="26"/>
      <c r="N273" s="86" t="s">
        <v>4</v>
      </c>
      <c r="O273" s="87">
        <f>VLOOKUP(A273,'HIPERQUERATOSE 26'!$A$2:$G$1542,7,1)</f>
        <v>1.25</v>
      </c>
    </row>
    <row r="274" spans="1:15" ht="21" customHeight="1" x14ac:dyDescent="0.25">
      <c r="A274" s="1">
        <v>5569</v>
      </c>
      <c r="B274" s="27">
        <v>46146</v>
      </c>
      <c r="C274" s="26"/>
      <c r="D274" s="4" t="s">
        <v>34</v>
      </c>
      <c r="E274" s="26"/>
      <c r="F274" s="5">
        <v>4</v>
      </c>
      <c r="G274" s="26"/>
      <c r="H274" s="27">
        <v>46150</v>
      </c>
      <c r="I274" s="28">
        <v>3</v>
      </c>
      <c r="J274" s="27">
        <v>46154</v>
      </c>
      <c r="K274" s="26"/>
      <c r="L274" s="26" t="s">
        <v>5</v>
      </c>
      <c r="M274" s="26"/>
      <c r="N274" s="86"/>
      <c r="O274" s="87">
        <f>VLOOKUP(A274,'HIPERQUERATOSE 26'!$A$2:$G$1542,7,1)</f>
        <v>2.25</v>
      </c>
    </row>
    <row r="275" spans="1:15" ht="21" customHeight="1" x14ac:dyDescent="0.25">
      <c r="A275" s="1">
        <v>4385</v>
      </c>
      <c r="B275" s="27">
        <v>46147</v>
      </c>
      <c r="C275" s="26"/>
      <c r="D275" s="4" t="s">
        <v>20</v>
      </c>
      <c r="E275" s="26"/>
      <c r="F275" s="5">
        <v>4</v>
      </c>
      <c r="G275" s="26"/>
      <c r="H275" s="27">
        <v>46151</v>
      </c>
      <c r="I275" s="29">
        <v>9</v>
      </c>
      <c r="J275" s="27">
        <v>46161</v>
      </c>
      <c r="K275" s="26" t="s">
        <v>3</v>
      </c>
      <c r="L275" s="26"/>
      <c r="M275" s="26"/>
      <c r="N275" s="86"/>
      <c r="O275" s="87">
        <f>VLOOKUP(A275,'HIPERQUERATOSE 26'!$A$2:$G$1542,7,1)</f>
        <v>1.25</v>
      </c>
    </row>
    <row r="276" spans="1:15" ht="21" customHeight="1" x14ac:dyDescent="0.25">
      <c r="A276" s="1">
        <v>5108</v>
      </c>
      <c r="B276" s="27">
        <v>46147</v>
      </c>
      <c r="C276" s="26"/>
      <c r="D276" s="4" t="s">
        <v>7</v>
      </c>
      <c r="E276" s="26"/>
      <c r="F276" s="5">
        <v>4</v>
      </c>
      <c r="G276" s="26"/>
      <c r="H276" s="27">
        <v>46151</v>
      </c>
      <c r="I276" s="28">
        <v>3</v>
      </c>
      <c r="J276" s="27">
        <v>46155</v>
      </c>
      <c r="K276" s="26" t="s">
        <v>3</v>
      </c>
      <c r="L276" s="26"/>
      <c r="M276" s="26"/>
      <c r="N276" s="86"/>
      <c r="O276" s="87">
        <f>VLOOKUP(A276,'HIPERQUERATOSE 26'!$A$2:$G$1542,7,1)</f>
        <v>1</v>
      </c>
    </row>
    <row r="277" spans="1:15" ht="21" customHeight="1" x14ac:dyDescent="0.25">
      <c r="A277" s="1">
        <v>4699</v>
      </c>
      <c r="B277" s="27">
        <v>46147</v>
      </c>
      <c r="C277" s="26"/>
      <c r="D277" s="4" t="s">
        <v>34</v>
      </c>
      <c r="E277" s="26"/>
      <c r="F277" s="5">
        <v>4</v>
      </c>
      <c r="G277" s="26"/>
      <c r="H277" s="27">
        <v>46151</v>
      </c>
      <c r="I277" s="29">
        <v>3</v>
      </c>
      <c r="J277" s="27">
        <v>46155</v>
      </c>
      <c r="K277" s="26"/>
      <c r="L277" s="26"/>
      <c r="M277" s="26" t="s">
        <v>1</v>
      </c>
      <c r="N277" s="86"/>
      <c r="O277" s="87">
        <f>VLOOKUP(A277,'HIPERQUERATOSE 26'!$A$2:$G$1542,7,1)</f>
        <v>1.5</v>
      </c>
    </row>
    <row r="278" spans="1:15" ht="21" customHeight="1" x14ac:dyDescent="0.25">
      <c r="A278" s="1">
        <v>2894</v>
      </c>
      <c r="B278" s="27">
        <v>46147</v>
      </c>
      <c r="C278" s="26"/>
      <c r="D278" s="4" t="s">
        <v>34</v>
      </c>
      <c r="E278" s="26"/>
      <c r="F278" s="5">
        <v>4</v>
      </c>
      <c r="G278" s="26"/>
      <c r="H278" s="27">
        <v>46151</v>
      </c>
      <c r="I278" s="28">
        <v>3</v>
      </c>
      <c r="J278" s="27">
        <v>46155</v>
      </c>
      <c r="K278" s="26" t="s">
        <v>3</v>
      </c>
      <c r="L278" s="26"/>
      <c r="M278" s="26"/>
      <c r="N278" s="86"/>
      <c r="O278" s="87">
        <f>VLOOKUP(A278,'HIPERQUERATOSE 26'!$A$2:$G$1542,7,1)</f>
        <v>2.25</v>
      </c>
    </row>
    <row r="279" spans="1:15" ht="21" customHeight="1" x14ac:dyDescent="0.25">
      <c r="A279" s="1">
        <v>4269</v>
      </c>
      <c r="B279" s="27">
        <v>46147</v>
      </c>
      <c r="C279" s="26"/>
      <c r="D279" s="4" t="s">
        <v>7</v>
      </c>
      <c r="E279" s="26"/>
      <c r="F279" s="5">
        <v>4</v>
      </c>
      <c r="G279" s="26"/>
      <c r="H279" s="27">
        <v>46151</v>
      </c>
      <c r="I279" s="29">
        <v>3</v>
      </c>
      <c r="J279" s="27">
        <v>46155</v>
      </c>
      <c r="K279" s="26"/>
      <c r="L279" s="26" t="s">
        <v>5</v>
      </c>
      <c r="M279" s="26"/>
      <c r="N279" s="86"/>
      <c r="O279" s="87">
        <f>VLOOKUP(A279,'HIPERQUERATOSE 26'!$A$2:$G$1542,7,1)</f>
        <v>1.25</v>
      </c>
    </row>
    <row r="280" spans="1:15" ht="21" customHeight="1" x14ac:dyDescent="0.25">
      <c r="A280" s="1">
        <v>3295</v>
      </c>
      <c r="B280" s="27">
        <v>46148</v>
      </c>
      <c r="C280" s="26"/>
      <c r="D280" s="4" t="s">
        <v>7</v>
      </c>
      <c r="E280" s="26"/>
      <c r="F280" s="5">
        <v>4</v>
      </c>
      <c r="G280" s="26"/>
      <c r="H280" s="27">
        <v>46151</v>
      </c>
      <c r="I280" s="28">
        <v>3</v>
      </c>
      <c r="J280" s="27">
        <v>46155</v>
      </c>
      <c r="K280" s="26"/>
      <c r="L280" s="26" t="s">
        <v>5</v>
      </c>
      <c r="M280" s="26"/>
      <c r="N280" s="86"/>
      <c r="O280" s="87">
        <f>VLOOKUP(A280,'HIPERQUERATOSE 26'!$A$2:$G$1542,7,1)</f>
        <v>2.75</v>
      </c>
    </row>
    <row r="281" spans="1:15" ht="21" customHeight="1" x14ac:dyDescent="0.25">
      <c r="A281" s="1">
        <v>3613</v>
      </c>
      <c r="B281" s="27">
        <v>46148</v>
      </c>
      <c r="C281" s="26"/>
      <c r="D281" s="4" t="s">
        <v>7</v>
      </c>
      <c r="E281" s="26"/>
      <c r="F281" s="5">
        <v>4</v>
      </c>
      <c r="G281" s="26"/>
      <c r="H281" s="27">
        <v>46151</v>
      </c>
      <c r="I281" s="29">
        <v>3</v>
      </c>
      <c r="J281" s="27">
        <v>46155</v>
      </c>
      <c r="K281" s="26"/>
      <c r="L281" s="26" t="s">
        <v>5</v>
      </c>
      <c r="M281" s="26"/>
      <c r="N281" s="86"/>
      <c r="O281" s="87">
        <f>VLOOKUP(A281,'HIPERQUERATOSE 26'!$A$2:$G$1542,7,1)</f>
        <v>2.5</v>
      </c>
    </row>
    <row r="282" spans="1:15" ht="21" customHeight="1" x14ac:dyDescent="0.25">
      <c r="A282" s="1">
        <v>4326</v>
      </c>
      <c r="B282" s="27">
        <v>46148</v>
      </c>
      <c r="C282" s="26"/>
      <c r="D282" s="4" t="s">
        <v>34</v>
      </c>
      <c r="E282" s="26"/>
      <c r="F282" s="5">
        <v>4</v>
      </c>
      <c r="G282" s="26"/>
      <c r="H282" s="27">
        <v>46151</v>
      </c>
      <c r="I282" s="28">
        <v>3</v>
      </c>
      <c r="J282" s="27">
        <v>46155</v>
      </c>
      <c r="K282" s="26" t="s">
        <v>3</v>
      </c>
      <c r="L282" s="26"/>
      <c r="M282" s="26"/>
      <c r="N282" s="86"/>
      <c r="O282" s="87">
        <f>VLOOKUP(A282,'HIPERQUERATOSE 26'!$A$2:$G$1542,7,1)</f>
        <v>1.25</v>
      </c>
    </row>
    <row r="283" spans="1:15" ht="21" customHeight="1" x14ac:dyDescent="0.25">
      <c r="A283" s="1">
        <v>4655</v>
      </c>
      <c r="B283" s="27">
        <v>46149</v>
      </c>
      <c r="C283" s="26"/>
      <c r="D283" s="4" t="s">
        <v>7</v>
      </c>
      <c r="E283" s="26"/>
      <c r="F283" s="5">
        <v>4</v>
      </c>
      <c r="G283" s="26"/>
      <c r="H283" s="27">
        <v>46152</v>
      </c>
      <c r="I283" s="29">
        <v>3</v>
      </c>
      <c r="J283" s="27">
        <v>46156</v>
      </c>
      <c r="K283" s="26" t="s">
        <v>3</v>
      </c>
      <c r="L283" s="26"/>
      <c r="M283" s="26"/>
      <c r="N283" s="86"/>
      <c r="O283" s="87">
        <f>VLOOKUP(A283,'HIPERQUERATOSE 26'!$A$2:$G$1542,7,1)</f>
        <v>1.25</v>
      </c>
    </row>
    <row r="284" spans="1:15" ht="21" customHeight="1" x14ac:dyDescent="0.25">
      <c r="A284" s="1">
        <v>3494</v>
      </c>
      <c r="B284" s="27">
        <v>46149</v>
      </c>
      <c r="C284" s="26"/>
      <c r="D284" s="4" t="s">
        <v>21</v>
      </c>
      <c r="E284" s="26"/>
      <c r="F284" s="5">
        <v>4</v>
      </c>
      <c r="G284" s="26"/>
      <c r="H284" s="27">
        <v>46152</v>
      </c>
      <c r="I284" s="28">
        <v>9</v>
      </c>
      <c r="J284" s="27">
        <v>46162</v>
      </c>
      <c r="K284" s="26" t="s">
        <v>3</v>
      </c>
      <c r="L284" s="26" t="s">
        <v>5</v>
      </c>
      <c r="M284" s="26"/>
      <c r="N284" s="86"/>
      <c r="O284" s="87">
        <f>VLOOKUP(A284,'HIPERQUERATOSE 26'!$A$2:$G$1542,7,1)</f>
        <v>3.25</v>
      </c>
    </row>
    <row r="285" spans="1:15" ht="21" customHeight="1" x14ac:dyDescent="0.25">
      <c r="A285" s="1">
        <v>4456</v>
      </c>
      <c r="B285" s="27">
        <v>46149</v>
      </c>
      <c r="C285" s="26"/>
      <c r="D285" s="4" t="s">
        <v>21</v>
      </c>
      <c r="E285" s="26"/>
      <c r="F285" s="5">
        <v>4</v>
      </c>
      <c r="G285" s="26"/>
      <c r="H285" s="27">
        <v>46152</v>
      </c>
      <c r="I285" s="29">
        <v>9</v>
      </c>
      <c r="J285" s="27">
        <v>46162</v>
      </c>
      <c r="K285" s="26" t="s">
        <v>3</v>
      </c>
      <c r="L285" s="26"/>
      <c r="M285" s="26"/>
      <c r="N285" s="86"/>
      <c r="O285" s="87">
        <f>VLOOKUP(A285,'HIPERQUERATOSE 26'!$A$2:$G$1542,7,1)</f>
        <v>1.5</v>
      </c>
    </row>
    <row r="286" spans="1:15" ht="21" customHeight="1" x14ac:dyDescent="0.25">
      <c r="A286" s="1">
        <v>5769</v>
      </c>
      <c r="B286" s="27">
        <v>46149</v>
      </c>
      <c r="C286" s="26"/>
      <c r="D286" s="4" t="s">
        <v>7</v>
      </c>
      <c r="E286" s="26"/>
      <c r="F286" s="5">
        <v>4</v>
      </c>
      <c r="G286" s="26"/>
      <c r="H286" s="27">
        <v>46152</v>
      </c>
      <c r="I286" s="28">
        <v>3</v>
      </c>
      <c r="J286" s="27">
        <v>46156</v>
      </c>
      <c r="K286" s="26"/>
      <c r="L286" s="26"/>
      <c r="M286" s="26"/>
      <c r="N286" s="86" t="s">
        <v>4</v>
      </c>
      <c r="O286" s="87">
        <f>VLOOKUP(A286,'HIPERQUERATOSE 26'!$A$2:$G$1542,7,1)</f>
        <v>1.5</v>
      </c>
    </row>
    <row r="287" spans="1:15" ht="21" customHeight="1" x14ac:dyDescent="0.25">
      <c r="A287" s="1">
        <v>3579</v>
      </c>
      <c r="B287" s="27">
        <v>46150</v>
      </c>
      <c r="C287" s="26"/>
      <c r="D287" s="4" t="s">
        <v>35</v>
      </c>
      <c r="E287" s="26"/>
      <c r="F287" s="5">
        <v>4</v>
      </c>
      <c r="G287" s="26"/>
      <c r="H287" s="27">
        <v>46153</v>
      </c>
      <c r="I287" s="29">
        <v>4</v>
      </c>
      <c r="J287" s="27">
        <v>46158</v>
      </c>
      <c r="K287" s="26"/>
      <c r="L287" s="26" t="s">
        <v>5</v>
      </c>
      <c r="M287" s="26" t="s">
        <v>1</v>
      </c>
      <c r="N287" s="86" t="s">
        <v>4</v>
      </c>
      <c r="O287" s="87">
        <f>VLOOKUP(A287,'HIPERQUERATOSE 26'!$A$2:$G$1542,7,1)</f>
        <v>2</v>
      </c>
    </row>
    <row r="288" spans="1:15" ht="21" customHeight="1" x14ac:dyDescent="0.25">
      <c r="A288" s="1">
        <v>5569</v>
      </c>
      <c r="B288" s="27">
        <v>46150</v>
      </c>
      <c r="C288" s="26"/>
      <c r="D288" s="4" t="s">
        <v>21</v>
      </c>
      <c r="E288" s="26"/>
      <c r="F288" s="5">
        <v>4</v>
      </c>
      <c r="G288" s="26"/>
      <c r="H288" s="27">
        <v>46153</v>
      </c>
      <c r="I288" s="28">
        <v>9</v>
      </c>
      <c r="J288" s="27">
        <v>46163</v>
      </c>
      <c r="K288" s="26"/>
      <c r="L288" s="26" t="s">
        <v>5</v>
      </c>
      <c r="M288" s="26"/>
      <c r="N288" s="86"/>
      <c r="O288" s="87">
        <f>VLOOKUP(A288,'HIPERQUERATOSE 26'!$A$2:$G$1542,7,1)</f>
        <v>2.25</v>
      </c>
    </row>
    <row r="289" spans="1:15" ht="21" customHeight="1" x14ac:dyDescent="0.25">
      <c r="A289" s="1">
        <v>5350</v>
      </c>
      <c r="B289" s="27">
        <v>46150</v>
      </c>
      <c r="C289" s="26"/>
      <c r="D289" s="4" t="s">
        <v>34</v>
      </c>
      <c r="E289" s="26"/>
      <c r="F289" s="5">
        <v>4</v>
      </c>
      <c r="G289" s="26"/>
      <c r="H289" s="27">
        <v>46153</v>
      </c>
      <c r="I289" s="29">
        <v>3</v>
      </c>
      <c r="J289" s="27">
        <v>46157</v>
      </c>
      <c r="K289" s="26"/>
      <c r="L289" s="26"/>
      <c r="M289" s="26" t="s">
        <v>1</v>
      </c>
      <c r="N289" s="86"/>
      <c r="O289" s="87">
        <f>VLOOKUP(A289,'HIPERQUERATOSE 26'!$A$2:$G$1542,7,1)</f>
        <v>1.25</v>
      </c>
    </row>
    <row r="290" spans="1:15" ht="21" customHeight="1" x14ac:dyDescent="0.25">
      <c r="A290" s="1">
        <v>4216</v>
      </c>
      <c r="B290" s="27">
        <v>46150</v>
      </c>
      <c r="C290" s="26"/>
      <c r="D290" s="4" t="s">
        <v>25</v>
      </c>
      <c r="E290" s="26"/>
      <c r="F290" s="5">
        <v>4</v>
      </c>
      <c r="G290" s="26"/>
      <c r="H290" s="27">
        <v>46153</v>
      </c>
      <c r="I290" s="28">
        <v>5</v>
      </c>
      <c r="J290" s="27">
        <v>46159</v>
      </c>
      <c r="K290" s="26"/>
      <c r="L290" s="26" t="s">
        <v>5</v>
      </c>
      <c r="M290" s="26"/>
      <c r="N290" s="86"/>
      <c r="O290" s="87">
        <f>VLOOKUP(A290,'HIPERQUERATOSE 26'!$A$2:$G$1542,7,1)</f>
        <v>3</v>
      </c>
    </row>
    <row r="291" spans="1:15" ht="21" customHeight="1" x14ac:dyDescent="0.25">
      <c r="A291" s="1">
        <v>4006</v>
      </c>
      <c r="B291" s="27">
        <v>46150</v>
      </c>
      <c r="C291" s="26"/>
      <c r="D291" s="4" t="s">
        <v>7</v>
      </c>
      <c r="E291" s="26"/>
      <c r="F291" s="5">
        <v>4</v>
      </c>
      <c r="G291" s="26"/>
      <c r="H291" s="27">
        <v>46153</v>
      </c>
      <c r="I291" s="29">
        <v>3</v>
      </c>
      <c r="J291" s="27">
        <v>46157</v>
      </c>
      <c r="K291" s="26"/>
      <c r="L291" s="26" t="s">
        <v>5</v>
      </c>
      <c r="M291" s="26"/>
      <c r="N291" s="86"/>
      <c r="O291" s="87">
        <f>VLOOKUP(A291,'HIPERQUERATOSE 26'!$A$2:$G$1542,7,1)</f>
        <v>2.75</v>
      </c>
    </row>
    <row r="292" spans="1:15" ht="21" customHeight="1" x14ac:dyDescent="0.25">
      <c r="A292" s="1">
        <v>4205</v>
      </c>
      <c r="B292" s="27">
        <v>46150</v>
      </c>
      <c r="C292" s="26"/>
      <c r="D292" s="4" t="s">
        <v>7</v>
      </c>
      <c r="E292" s="26"/>
      <c r="F292" s="5">
        <v>4</v>
      </c>
      <c r="G292" s="26"/>
      <c r="H292" s="27">
        <v>46153</v>
      </c>
      <c r="I292" s="28">
        <v>3</v>
      </c>
      <c r="J292" s="27">
        <v>46157</v>
      </c>
      <c r="K292" s="26"/>
      <c r="L292" s="26" t="s">
        <v>5</v>
      </c>
      <c r="M292" s="26"/>
      <c r="N292" s="86"/>
      <c r="O292" s="87">
        <f>VLOOKUP(A292,'HIPERQUERATOSE 26'!$A$2:$G$1542,7,1)</f>
        <v>2.25</v>
      </c>
    </row>
    <row r="293" spans="1:15" ht="21" customHeight="1" x14ac:dyDescent="0.25">
      <c r="A293" s="1">
        <v>4578</v>
      </c>
      <c r="B293" s="27">
        <v>46151</v>
      </c>
      <c r="C293" s="26"/>
      <c r="D293" s="4" t="s">
        <v>7</v>
      </c>
      <c r="E293" s="26"/>
      <c r="F293" s="5">
        <v>4</v>
      </c>
      <c r="G293" s="26"/>
      <c r="H293" s="27">
        <v>46154</v>
      </c>
      <c r="I293" s="29">
        <v>3</v>
      </c>
      <c r="J293" s="27">
        <v>46158</v>
      </c>
      <c r="K293" s="26" t="s">
        <v>3</v>
      </c>
      <c r="L293" s="26"/>
      <c r="M293" s="26"/>
      <c r="N293" s="86"/>
      <c r="O293" s="87">
        <f>VLOOKUP(A293,'HIPERQUERATOSE 26'!$A$2:$G$1542,7,1)</f>
        <v>1.25</v>
      </c>
    </row>
    <row r="294" spans="1:15" ht="21" customHeight="1" x14ac:dyDescent="0.25">
      <c r="A294" s="1">
        <v>4289</v>
      </c>
      <c r="B294" s="27">
        <v>46151</v>
      </c>
      <c r="C294" s="26"/>
      <c r="D294" s="4" t="s">
        <v>20</v>
      </c>
      <c r="E294" s="26"/>
      <c r="F294" s="5">
        <v>4</v>
      </c>
      <c r="G294" s="26"/>
      <c r="H294" s="27">
        <v>46154</v>
      </c>
      <c r="I294" s="28">
        <v>9</v>
      </c>
      <c r="J294" s="27">
        <v>46164</v>
      </c>
      <c r="K294" s="26"/>
      <c r="L294" s="26"/>
      <c r="M294" s="26"/>
      <c r="N294" s="86" t="s">
        <v>4</v>
      </c>
      <c r="O294" s="87">
        <f>VLOOKUP(A294,'HIPERQUERATOSE 26'!$A$2:$G$1542,7,1)</f>
        <v>2.25</v>
      </c>
    </row>
    <row r="295" spans="1:15" ht="21" customHeight="1" x14ac:dyDescent="0.25">
      <c r="A295" s="1">
        <v>4476</v>
      </c>
      <c r="B295" s="27">
        <v>46151</v>
      </c>
      <c r="C295" s="26"/>
      <c r="D295" s="4" t="s">
        <v>25</v>
      </c>
      <c r="E295" s="26"/>
      <c r="F295" s="5">
        <v>4</v>
      </c>
      <c r="G295" s="26"/>
      <c r="H295" s="27">
        <v>46154</v>
      </c>
      <c r="I295" s="29">
        <v>5</v>
      </c>
      <c r="J295" s="27">
        <v>46160</v>
      </c>
      <c r="K295" s="26"/>
      <c r="L295" s="26" t="s">
        <v>5</v>
      </c>
      <c r="M295" s="26"/>
      <c r="N295" s="86"/>
      <c r="O295" s="87">
        <f>VLOOKUP(A295,'HIPERQUERATOSE 26'!$A$2:$G$1542,7,1)</f>
        <v>1.5</v>
      </c>
    </row>
    <row r="296" spans="1:15" ht="21" customHeight="1" x14ac:dyDescent="0.25">
      <c r="A296" s="1">
        <v>3341</v>
      </c>
      <c r="B296" s="27">
        <v>46151</v>
      </c>
      <c r="C296" s="26"/>
      <c r="D296" s="4" t="s">
        <v>20</v>
      </c>
      <c r="E296" s="26"/>
      <c r="F296" s="5">
        <v>4</v>
      </c>
      <c r="G296" s="26"/>
      <c r="H296" s="27">
        <v>46154</v>
      </c>
      <c r="I296" s="28">
        <v>9</v>
      </c>
      <c r="J296" s="27">
        <v>46164</v>
      </c>
      <c r="K296" s="26"/>
      <c r="L296" s="26"/>
      <c r="M296" s="26" t="s">
        <v>1</v>
      </c>
      <c r="N296" s="86"/>
      <c r="O296" s="87">
        <f>VLOOKUP(A296,'HIPERQUERATOSE 26'!$A$2:$G$1542,7,1)</f>
        <v>2</v>
      </c>
    </row>
    <row r="297" spans="1:15" ht="21" customHeight="1" x14ac:dyDescent="0.25">
      <c r="A297" s="1">
        <v>3852</v>
      </c>
      <c r="B297" s="27">
        <v>46152</v>
      </c>
      <c r="C297" s="26"/>
      <c r="D297" s="4" t="s">
        <v>7</v>
      </c>
      <c r="E297" s="26"/>
      <c r="F297" s="5">
        <v>4</v>
      </c>
      <c r="G297" s="26"/>
      <c r="H297" s="27">
        <v>46155</v>
      </c>
      <c r="I297" s="29">
        <v>3</v>
      </c>
      <c r="J297" s="27">
        <v>46159</v>
      </c>
      <c r="K297" s="26" t="s">
        <v>3</v>
      </c>
      <c r="L297" s="26"/>
      <c r="M297" s="26"/>
      <c r="N297" s="86"/>
      <c r="O297" s="87">
        <f>VLOOKUP(A297,'HIPERQUERATOSE 26'!$A$2:$G$1542,7,1)</f>
        <v>3.5</v>
      </c>
    </row>
    <row r="298" spans="1:15" ht="21" customHeight="1" x14ac:dyDescent="0.25">
      <c r="A298" s="1">
        <v>5108</v>
      </c>
      <c r="B298" s="27">
        <v>46153</v>
      </c>
      <c r="C298" s="26"/>
      <c r="D298" s="4" t="s">
        <v>34</v>
      </c>
      <c r="E298" s="26"/>
      <c r="F298" s="5">
        <v>4</v>
      </c>
      <c r="G298" s="26"/>
      <c r="H298" s="27">
        <v>46156</v>
      </c>
      <c r="I298" s="28">
        <v>3</v>
      </c>
      <c r="J298" s="27">
        <v>46160</v>
      </c>
      <c r="K298" s="26" t="s">
        <v>3</v>
      </c>
      <c r="L298" s="26"/>
      <c r="M298" s="26"/>
      <c r="N298" s="86"/>
      <c r="O298" s="87">
        <f>VLOOKUP(A298,'HIPERQUERATOSE 26'!$A$2:$G$1542,7,1)</f>
        <v>1</v>
      </c>
    </row>
    <row r="299" spans="1:15" ht="21" customHeight="1" x14ac:dyDescent="0.25">
      <c r="A299" s="88">
        <v>4216</v>
      </c>
      <c r="B299" s="91">
        <v>46153</v>
      </c>
      <c r="C299" s="28"/>
      <c r="D299" s="28" t="s">
        <v>20</v>
      </c>
      <c r="E299" s="28"/>
      <c r="F299" s="28">
        <v>4</v>
      </c>
      <c r="G299" s="28"/>
      <c r="H299" s="89">
        <v>46156</v>
      </c>
      <c r="I299" s="28">
        <v>9</v>
      </c>
      <c r="J299" s="89">
        <v>46166</v>
      </c>
      <c r="K299" s="28"/>
      <c r="L299" s="28" t="s">
        <v>5</v>
      </c>
      <c r="M299" s="28"/>
      <c r="N299" s="90"/>
      <c r="O299" s="87">
        <f>VLOOKUP(A299,'HIPERQUERATOSE 26'!$A$2:$G$1542,7,1)</f>
        <v>3</v>
      </c>
    </row>
    <row r="300" spans="1:15" ht="21" customHeight="1" x14ac:dyDescent="0.25">
      <c r="A300" s="28">
        <v>4699</v>
      </c>
      <c r="B300" s="91">
        <v>46153</v>
      </c>
      <c r="C300" s="28"/>
      <c r="D300" s="28" t="s">
        <v>20</v>
      </c>
      <c r="E300" s="28"/>
      <c r="F300" s="28">
        <v>4</v>
      </c>
      <c r="G300" s="28"/>
      <c r="H300" s="89">
        <v>46156</v>
      </c>
      <c r="I300" s="28">
        <v>9</v>
      </c>
      <c r="J300" s="89">
        <v>46166</v>
      </c>
      <c r="K300" s="28"/>
      <c r="L300" s="28"/>
      <c r="M300" s="28" t="s">
        <v>1</v>
      </c>
      <c r="N300" s="90"/>
      <c r="O300" s="87">
        <f>VLOOKUP(A300,'HIPERQUERATOSE 26'!$A$2:$G$1542,7,1)</f>
        <v>1.5</v>
      </c>
    </row>
    <row r="301" spans="1:15" ht="21" customHeight="1" x14ac:dyDescent="0.25">
      <c r="A301" s="28">
        <v>3579</v>
      </c>
      <c r="B301" s="91">
        <v>46154</v>
      </c>
      <c r="C301" s="28"/>
      <c r="D301" s="28" t="s">
        <v>20</v>
      </c>
      <c r="E301" s="28"/>
      <c r="F301" s="28">
        <v>4</v>
      </c>
      <c r="G301" s="28"/>
      <c r="H301" s="89">
        <v>46157</v>
      </c>
      <c r="I301" s="28">
        <v>9</v>
      </c>
      <c r="J301" s="89">
        <v>46167</v>
      </c>
      <c r="K301" s="28"/>
      <c r="L301" s="28" t="s">
        <v>5</v>
      </c>
      <c r="M301" s="28" t="s">
        <v>1</v>
      </c>
      <c r="N301" s="90" t="s">
        <v>4</v>
      </c>
      <c r="O301" s="87">
        <f>VLOOKUP(A301,'HIPERQUERATOSE 26'!$A$2:$G$1542,7,1)</f>
        <v>2</v>
      </c>
    </row>
    <row r="302" spans="1:15" ht="21" customHeight="1" x14ac:dyDescent="0.25">
      <c r="A302" s="28">
        <v>3767</v>
      </c>
      <c r="B302" s="91">
        <v>46154</v>
      </c>
      <c r="C302" s="28"/>
      <c r="D302" s="28" t="s">
        <v>34</v>
      </c>
      <c r="E302" s="28"/>
      <c r="F302" s="28">
        <v>4</v>
      </c>
      <c r="G302" s="28"/>
      <c r="H302" s="89">
        <v>46157</v>
      </c>
      <c r="I302" s="28">
        <v>3</v>
      </c>
      <c r="J302" s="89">
        <v>46161</v>
      </c>
      <c r="K302" s="28"/>
      <c r="L302" s="28"/>
      <c r="M302" s="28" t="s">
        <v>1</v>
      </c>
      <c r="N302" s="90"/>
      <c r="O302" s="87">
        <f>VLOOKUP(A302,'HIPERQUERATOSE 26'!$A$2:$G$1542,7,1)</f>
        <v>3.5</v>
      </c>
    </row>
    <row r="303" spans="1:15" ht="21" customHeight="1" x14ac:dyDescent="0.25">
      <c r="A303" s="28">
        <v>3613</v>
      </c>
      <c r="B303" s="91">
        <v>46154</v>
      </c>
      <c r="C303" s="28"/>
      <c r="D303" s="28" t="s">
        <v>20</v>
      </c>
      <c r="E303" s="28"/>
      <c r="F303" s="28">
        <v>4</v>
      </c>
      <c r="G303" s="28"/>
      <c r="H303" s="89">
        <v>46157</v>
      </c>
      <c r="I303" s="28">
        <v>9</v>
      </c>
      <c r="J303" s="89">
        <v>46167</v>
      </c>
      <c r="K303" s="28"/>
      <c r="L303" s="28" t="s">
        <v>5</v>
      </c>
      <c r="M303" s="28"/>
      <c r="N303" s="90"/>
      <c r="O303" s="87">
        <f>VLOOKUP(A303,'HIPERQUERATOSE 26'!$A$2:$G$1542,7,1)</f>
        <v>2.5</v>
      </c>
    </row>
    <row r="304" spans="1:15" ht="21" customHeight="1" x14ac:dyDescent="0.25">
      <c r="A304" s="28">
        <v>4055</v>
      </c>
      <c r="B304" s="91">
        <v>46155</v>
      </c>
      <c r="C304" s="28"/>
      <c r="D304" s="28" t="s">
        <v>7</v>
      </c>
      <c r="E304" s="28"/>
      <c r="F304" s="28">
        <v>4</v>
      </c>
      <c r="G304" s="28"/>
      <c r="H304" s="89">
        <v>46158</v>
      </c>
      <c r="I304" s="28">
        <v>3</v>
      </c>
      <c r="J304" s="89">
        <v>46162</v>
      </c>
      <c r="K304" s="28"/>
      <c r="L304" s="28"/>
      <c r="M304" s="28"/>
      <c r="N304" s="90" t="s">
        <v>4</v>
      </c>
      <c r="O304" s="87">
        <f>VLOOKUP(A304,'HIPERQUERATOSE 26'!$A$2:$G$1542,7,1)</f>
        <v>1.5</v>
      </c>
    </row>
    <row r="305" spans="1:15" ht="21" customHeight="1" x14ac:dyDescent="0.25">
      <c r="A305" s="28">
        <v>3160</v>
      </c>
      <c r="B305" s="91">
        <v>46155</v>
      </c>
      <c r="C305" s="28"/>
      <c r="D305" s="28" t="s">
        <v>20</v>
      </c>
      <c r="E305" s="28"/>
      <c r="F305" s="28">
        <v>4</v>
      </c>
      <c r="G305" s="28"/>
      <c r="H305" s="89">
        <v>46158</v>
      </c>
      <c r="I305" s="28">
        <v>9</v>
      </c>
      <c r="J305" s="89">
        <v>46168</v>
      </c>
      <c r="K305" s="28" t="s">
        <v>3</v>
      </c>
      <c r="L305" s="28"/>
      <c r="M305" s="28"/>
      <c r="N305" s="90"/>
      <c r="O305" s="87">
        <f>VLOOKUP(A305,'HIPERQUERATOSE 26'!$A$2:$G$1542,7,1)</f>
        <v>1</v>
      </c>
    </row>
    <row r="306" spans="1:15" ht="21" customHeight="1" x14ac:dyDescent="0.25">
      <c r="A306" s="28">
        <v>3881</v>
      </c>
      <c r="B306" s="91">
        <v>46155</v>
      </c>
      <c r="C306" s="28"/>
      <c r="D306" s="28" t="s">
        <v>20</v>
      </c>
      <c r="E306" s="28"/>
      <c r="F306" s="28">
        <v>4</v>
      </c>
      <c r="G306" s="28"/>
      <c r="H306" s="89">
        <v>46158</v>
      </c>
      <c r="I306" s="28">
        <v>9</v>
      </c>
      <c r="J306" s="89">
        <v>46168</v>
      </c>
      <c r="K306" s="28"/>
      <c r="L306" s="28"/>
      <c r="M306" s="28"/>
      <c r="N306" s="90" t="s">
        <v>4</v>
      </c>
      <c r="O306" s="87">
        <f>VLOOKUP(A306,'HIPERQUERATOSE 26'!$A$2:$G$1542,7,1)</f>
        <v>1.25</v>
      </c>
    </row>
    <row r="307" spans="1:15" ht="21" customHeight="1" x14ac:dyDescent="0.25">
      <c r="A307" s="28">
        <v>4319</v>
      </c>
      <c r="B307" s="91">
        <v>46156</v>
      </c>
      <c r="C307" s="28"/>
      <c r="D307" s="28" t="s">
        <v>7</v>
      </c>
      <c r="E307" s="28"/>
      <c r="F307" s="28">
        <v>4</v>
      </c>
      <c r="G307" s="28"/>
      <c r="H307" s="89">
        <v>46159</v>
      </c>
      <c r="I307" s="28">
        <v>3</v>
      </c>
      <c r="J307" s="89">
        <v>46163</v>
      </c>
      <c r="K307" s="28" t="s">
        <v>3</v>
      </c>
      <c r="L307" s="28"/>
      <c r="M307" s="28"/>
      <c r="N307" s="90"/>
      <c r="O307" s="87">
        <f>VLOOKUP(A307,'HIPERQUERATOSE 26'!$A$2:$G$1542,7,1)</f>
        <v>4</v>
      </c>
    </row>
    <row r="308" spans="1:15" ht="21" customHeight="1" x14ac:dyDescent="0.25">
      <c r="A308" s="28">
        <v>3421</v>
      </c>
      <c r="B308" s="91">
        <v>46157</v>
      </c>
      <c r="C308" s="28"/>
      <c r="D308" s="28" t="s">
        <v>25</v>
      </c>
      <c r="E308" s="28"/>
      <c r="F308" s="28">
        <v>4</v>
      </c>
      <c r="G308" s="28"/>
      <c r="H308" s="89">
        <v>46160</v>
      </c>
      <c r="I308" s="28">
        <v>5</v>
      </c>
      <c r="J308" s="89">
        <v>46166</v>
      </c>
      <c r="K308" s="28"/>
      <c r="L308" s="28" t="s">
        <v>5</v>
      </c>
      <c r="M308" s="28"/>
      <c r="N308" s="90"/>
      <c r="O308" s="87">
        <f>VLOOKUP(A308,'HIPERQUERATOSE 26'!$A$2:$G$1542,7,1)</f>
        <v>3</v>
      </c>
    </row>
    <row r="309" spans="1:15" ht="21" customHeight="1" x14ac:dyDescent="0.25">
      <c r="A309" s="28">
        <v>3149</v>
      </c>
      <c r="B309" s="91">
        <v>46157</v>
      </c>
      <c r="C309" s="28"/>
      <c r="D309" s="28" t="s">
        <v>20</v>
      </c>
      <c r="E309" s="28"/>
      <c r="F309" s="28">
        <v>4</v>
      </c>
      <c r="G309" s="28"/>
      <c r="H309" s="89">
        <v>46160</v>
      </c>
      <c r="I309" s="28">
        <v>9</v>
      </c>
      <c r="J309" s="89">
        <v>46170</v>
      </c>
      <c r="K309" s="28"/>
      <c r="L309" s="28" t="s">
        <v>5</v>
      </c>
      <c r="M309" s="28"/>
      <c r="N309" s="90"/>
      <c r="O309" s="87">
        <f>VLOOKUP(A309,'HIPERQUERATOSE 26'!$A$2:$G$1542,7,1)</f>
        <v>1</v>
      </c>
    </row>
    <row r="310" spans="1:15" ht="21" customHeight="1" x14ac:dyDescent="0.25">
      <c r="A310" s="28">
        <v>3767</v>
      </c>
      <c r="B310" s="91">
        <v>46157</v>
      </c>
      <c r="C310" s="28"/>
      <c r="D310" s="28" t="s">
        <v>20</v>
      </c>
      <c r="E310" s="28"/>
      <c r="F310" s="28">
        <v>4</v>
      </c>
      <c r="G310" s="28"/>
      <c r="H310" s="89">
        <v>46160</v>
      </c>
      <c r="I310" s="28">
        <v>9</v>
      </c>
      <c r="J310" s="89">
        <v>46170</v>
      </c>
      <c r="K310" s="28"/>
      <c r="L310" s="28"/>
      <c r="M310" s="28" t="s">
        <v>1</v>
      </c>
      <c r="N310" s="28"/>
      <c r="O310" s="87">
        <f>VLOOKUP(A310,'HIPERQUERATOSE 26'!$A$2:$G$1542,7,1)</f>
        <v>3.5</v>
      </c>
    </row>
    <row r="311" spans="1:15" ht="21" customHeight="1" x14ac:dyDescent="0.25">
      <c r="A311" s="28">
        <v>4219</v>
      </c>
      <c r="B311" s="91">
        <v>46157</v>
      </c>
      <c r="C311" s="28"/>
      <c r="D311" s="28" t="s">
        <v>20</v>
      </c>
      <c r="E311" s="28"/>
      <c r="F311" s="28">
        <v>4</v>
      </c>
      <c r="G311" s="28"/>
      <c r="H311" s="89">
        <v>46160</v>
      </c>
      <c r="I311" s="28">
        <v>9</v>
      </c>
      <c r="J311" s="89">
        <v>46170</v>
      </c>
      <c r="K311" s="28" t="s">
        <v>3</v>
      </c>
      <c r="L311" s="28"/>
      <c r="M311" s="28"/>
      <c r="N311" s="28"/>
      <c r="O311" s="87">
        <f>VLOOKUP(A311,'HIPERQUERATOSE 26'!$A$2:$G$1542,7,1)</f>
        <v>2.75</v>
      </c>
    </row>
    <row r="312" spans="1:15" ht="21" customHeight="1" x14ac:dyDescent="0.25">
      <c r="A312" s="28">
        <v>2800</v>
      </c>
      <c r="B312" s="91">
        <v>46157</v>
      </c>
      <c r="C312" s="28"/>
      <c r="D312" s="28" t="s">
        <v>25</v>
      </c>
      <c r="E312" s="28"/>
      <c r="F312" s="28">
        <v>4</v>
      </c>
      <c r="G312" s="28"/>
      <c r="H312" s="89">
        <v>46160</v>
      </c>
      <c r="I312" s="28">
        <v>5</v>
      </c>
      <c r="J312" s="89">
        <v>46166</v>
      </c>
      <c r="K312" s="28"/>
      <c r="L312" s="28" t="s">
        <v>5</v>
      </c>
      <c r="M312" s="28"/>
      <c r="N312" s="28"/>
      <c r="O312" s="87">
        <f>VLOOKUP(A312,'HIPERQUERATOSE 26'!$A$2:$G$1542,7,1)</f>
        <v>2.25</v>
      </c>
    </row>
    <row r="313" spans="1:15" ht="21" customHeight="1" x14ac:dyDescent="0.25">
      <c r="A313" s="28">
        <v>5041</v>
      </c>
      <c r="B313" s="91">
        <v>46157</v>
      </c>
      <c r="C313" s="28"/>
      <c r="D313" s="28" t="s">
        <v>34</v>
      </c>
      <c r="E313" s="28"/>
      <c r="F313" s="28">
        <v>4</v>
      </c>
      <c r="G313" s="28"/>
      <c r="H313" s="89">
        <v>46160</v>
      </c>
      <c r="I313" s="28">
        <v>3</v>
      </c>
      <c r="J313" s="89">
        <v>46164</v>
      </c>
      <c r="K313" s="28"/>
      <c r="L313" s="28"/>
      <c r="M313" s="28" t="s">
        <v>1</v>
      </c>
      <c r="N313" s="28"/>
      <c r="O313" s="87">
        <f>VLOOKUP(A313,'HIPERQUERATOSE 26'!$A$2:$G$1542,7,1)</f>
        <v>1.25</v>
      </c>
    </row>
    <row r="314" spans="1:15" ht="21" customHeight="1" x14ac:dyDescent="0.25">
      <c r="A314" s="28">
        <v>4515</v>
      </c>
      <c r="B314" s="91">
        <v>46157</v>
      </c>
      <c r="C314" s="28"/>
      <c r="D314" s="28" t="s">
        <v>7</v>
      </c>
      <c r="E314" s="28"/>
      <c r="F314" s="28">
        <v>4</v>
      </c>
      <c r="G314" s="28"/>
      <c r="H314" s="89">
        <v>46160</v>
      </c>
      <c r="I314" s="28">
        <v>3</v>
      </c>
      <c r="J314" s="89">
        <v>46164</v>
      </c>
      <c r="K314" s="28"/>
      <c r="L314" s="28" t="s">
        <v>5</v>
      </c>
      <c r="M314" s="28"/>
      <c r="N314" s="28"/>
      <c r="O314" s="87">
        <f>VLOOKUP(A314,'HIPERQUERATOSE 26'!$A$2:$G$1542,7,1)</f>
        <v>2.75</v>
      </c>
    </row>
    <row r="315" spans="1:15" ht="21" customHeight="1" x14ac:dyDescent="0.25">
      <c r="A315" s="28">
        <v>3666</v>
      </c>
      <c r="B315" s="91">
        <v>46157</v>
      </c>
      <c r="C315" s="28"/>
      <c r="D315" s="28" t="s">
        <v>7</v>
      </c>
      <c r="E315" s="28"/>
      <c r="F315" s="28">
        <v>4</v>
      </c>
      <c r="G315" s="28"/>
      <c r="H315" s="89">
        <v>46160</v>
      </c>
      <c r="I315" s="28">
        <v>3</v>
      </c>
      <c r="J315" s="89">
        <v>46164</v>
      </c>
      <c r="K315" s="28"/>
      <c r="L315" s="28"/>
      <c r="M315" s="28"/>
      <c r="N315" s="28" t="s">
        <v>4</v>
      </c>
      <c r="O315" s="87">
        <f>VLOOKUP(A315,'HIPERQUERATOSE 26'!$A$2:$G$1542,7,1)</f>
        <v>1</v>
      </c>
    </row>
    <row r="316" spans="1:15" ht="21" customHeight="1" x14ac:dyDescent="0.25">
      <c r="A316" s="28">
        <v>4428</v>
      </c>
      <c r="B316" s="91">
        <v>46157</v>
      </c>
      <c r="C316" s="28"/>
      <c r="D316" s="28" t="s">
        <v>7</v>
      </c>
      <c r="E316" s="28"/>
      <c r="F316" s="28">
        <v>4</v>
      </c>
      <c r="G316" s="28"/>
      <c r="H316" s="89">
        <v>46160</v>
      </c>
      <c r="I316" s="28">
        <v>3</v>
      </c>
      <c r="J316" s="89">
        <v>46164</v>
      </c>
      <c r="K316" s="28" t="s">
        <v>3</v>
      </c>
      <c r="L316" s="28"/>
      <c r="M316" s="28"/>
      <c r="N316" s="28"/>
      <c r="O316" s="87">
        <f>VLOOKUP(A316,'HIPERQUERATOSE 26'!$A$2:$G$1542,7,1)</f>
        <v>4</v>
      </c>
    </row>
    <row r="317" spans="1:15" ht="21" customHeight="1" x14ac:dyDescent="0.25">
      <c r="A317" s="28">
        <v>3402</v>
      </c>
      <c r="B317" s="91">
        <v>46157</v>
      </c>
      <c r="C317" s="28"/>
      <c r="D317" s="28" t="s">
        <v>7</v>
      </c>
      <c r="E317" s="28"/>
      <c r="F317" s="28">
        <v>4</v>
      </c>
      <c r="G317" s="28"/>
      <c r="H317" s="89">
        <v>46160</v>
      </c>
      <c r="I317" s="28">
        <v>3</v>
      </c>
      <c r="J317" s="89">
        <v>46164</v>
      </c>
      <c r="K317" s="28"/>
      <c r="L317" s="28"/>
      <c r="M317" s="28" t="s">
        <v>1</v>
      </c>
      <c r="N317" s="28"/>
      <c r="O317" s="87">
        <f>VLOOKUP(A317,'HIPERQUERATOSE 26'!$A$2:$G$1542,7,1)</f>
        <v>2.25</v>
      </c>
    </row>
    <row r="318" spans="1:15" ht="21" customHeight="1" x14ac:dyDescent="0.25">
      <c r="A318" s="28">
        <v>5037</v>
      </c>
      <c r="B318" s="91">
        <v>46157</v>
      </c>
      <c r="C318" s="28"/>
      <c r="D318" s="28" t="s">
        <v>7</v>
      </c>
      <c r="E318" s="28"/>
      <c r="F318" s="28">
        <v>4</v>
      </c>
      <c r="G318" s="28"/>
      <c r="H318" s="89">
        <v>46160</v>
      </c>
      <c r="I318" s="28">
        <v>3</v>
      </c>
      <c r="J318" s="89">
        <v>46164</v>
      </c>
      <c r="K318" s="28"/>
      <c r="L318" s="28"/>
      <c r="M318" s="28" t="s">
        <v>1</v>
      </c>
      <c r="N318" s="28"/>
      <c r="O318" s="87">
        <f>VLOOKUP(A318,'HIPERQUERATOSE 26'!$A$2:$G$1542,7,1)</f>
        <v>1.5</v>
      </c>
    </row>
    <row r="319" spans="1:15" ht="21" customHeight="1" x14ac:dyDescent="0.25">
      <c r="A319" s="28">
        <v>3691</v>
      </c>
      <c r="B319" s="91">
        <v>46157</v>
      </c>
      <c r="C319" s="28"/>
      <c r="D319" s="28" t="s">
        <v>34</v>
      </c>
      <c r="E319" s="28"/>
      <c r="F319" s="28">
        <v>4</v>
      </c>
      <c r="G319" s="28"/>
      <c r="H319" s="89">
        <v>46160</v>
      </c>
      <c r="I319" s="28">
        <v>3</v>
      </c>
      <c r="J319" s="89">
        <v>46164</v>
      </c>
      <c r="K319" s="28"/>
      <c r="L319" s="28"/>
      <c r="M319" s="28" t="s">
        <v>1</v>
      </c>
      <c r="N319" s="28"/>
      <c r="O319" s="87">
        <f>VLOOKUP(A319,'HIPERQUERATOSE 26'!$A$2:$G$1542,7,1)</f>
        <v>4</v>
      </c>
    </row>
    <row r="320" spans="1:15" ht="21" customHeight="1" x14ac:dyDescent="0.25">
      <c r="A320" s="28">
        <v>4476</v>
      </c>
      <c r="B320" s="91">
        <v>46158</v>
      </c>
      <c r="C320" s="28"/>
      <c r="D320" s="28" t="s">
        <v>20</v>
      </c>
      <c r="E320" s="28"/>
      <c r="F320" s="28">
        <v>4</v>
      </c>
      <c r="G320" s="28"/>
      <c r="H320" s="89">
        <v>46161</v>
      </c>
      <c r="I320" s="28">
        <v>9</v>
      </c>
      <c r="J320" s="89">
        <v>46171</v>
      </c>
      <c r="K320" s="28"/>
      <c r="L320" s="28" t="s">
        <v>5</v>
      </c>
      <c r="M320" s="28"/>
      <c r="N320" s="28"/>
      <c r="O320" s="87">
        <f>VLOOKUP(A320,'HIPERQUERATOSE 26'!$A$2:$G$1542,7,1)</f>
        <v>1.5</v>
      </c>
    </row>
    <row r="321" spans="1:15" ht="21" customHeight="1" x14ac:dyDescent="0.25">
      <c r="A321" s="28">
        <v>3064</v>
      </c>
      <c r="B321" s="91">
        <v>46159</v>
      </c>
      <c r="C321" s="28"/>
      <c r="D321" s="28" t="s">
        <v>7</v>
      </c>
      <c r="E321" s="28"/>
      <c r="F321" s="28">
        <v>4</v>
      </c>
      <c r="G321" s="28"/>
      <c r="H321" s="89">
        <v>46162</v>
      </c>
      <c r="I321" s="28">
        <v>3</v>
      </c>
      <c r="J321" s="89">
        <v>46166</v>
      </c>
      <c r="K321" s="28"/>
      <c r="L321" s="28"/>
      <c r="M321" s="28" t="s">
        <v>1</v>
      </c>
      <c r="N321" s="28"/>
      <c r="O321" s="87">
        <f>VLOOKUP(A321,'HIPERQUERATOSE 26'!$A$2:$G$1542,7,1)</f>
        <v>2.25</v>
      </c>
    </row>
    <row r="322" spans="1:15" ht="21" customHeight="1" x14ac:dyDescent="0.25">
      <c r="A322" s="28">
        <v>5465</v>
      </c>
      <c r="B322" s="91">
        <v>46159</v>
      </c>
      <c r="C322" s="28"/>
      <c r="D322" s="28" t="s">
        <v>7</v>
      </c>
      <c r="E322" s="28"/>
      <c r="F322" s="28">
        <v>4</v>
      </c>
      <c r="G322" s="28"/>
      <c r="H322" s="89">
        <v>46162</v>
      </c>
      <c r="I322" s="28">
        <v>3</v>
      </c>
      <c r="J322" s="89">
        <v>46166</v>
      </c>
      <c r="K322" s="28"/>
      <c r="L322" s="28" t="s">
        <v>5</v>
      </c>
      <c r="M322" s="28"/>
      <c r="N322" s="28"/>
      <c r="O322" s="87">
        <f>VLOOKUP(A322,'HIPERQUERATOSE 26'!$A$2:$G$1542,7,1)</f>
        <v>2</v>
      </c>
    </row>
    <row r="323" spans="1:15" ht="21" customHeight="1" x14ac:dyDescent="0.25">
      <c r="A323" s="28">
        <v>3882</v>
      </c>
      <c r="B323" s="91">
        <v>46159</v>
      </c>
      <c r="C323" s="28"/>
      <c r="D323" s="28" t="s">
        <v>7</v>
      </c>
      <c r="E323" s="28"/>
      <c r="F323" s="28">
        <v>4</v>
      </c>
      <c r="G323" s="28"/>
      <c r="H323" s="89">
        <v>46162</v>
      </c>
      <c r="I323" s="28">
        <v>3</v>
      </c>
      <c r="J323" s="89">
        <v>46166</v>
      </c>
      <c r="K323" s="28"/>
      <c r="L323" s="28"/>
      <c r="M323" s="28"/>
      <c r="N323" s="28" t="s">
        <v>4</v>
      </c>
      <c r="O323" s="87">
        <f>VLOOKUP(A323,'HIPERQUERATOSE 26'!$A$2:$G$1542,7,1)</f>
        <v>1</v>
      </c>
    </row>
    <row r="324" spans="1:15" ht="21" customHeight="1" x14ac:dyDescent="0.25">
      <c r="A324" s="28">
        <v>3826</v>
      </c>
      <c r="B324" s="91">
        <v>46159</v>
      </c>
      <c r="C324" s="28"/>
      <c r="D324" s="28" t="s">
        <v>7</v>
      </c>
      <c r="E324" s="28"/>
      <c r="F324" s="28">
        <v>4</v>
      </c>
      <c r="G324" s="28"/>
      <c r="H324" s="89">
        <v>46162</v>
      </c>
      <c r="I324" s="28">
        <v>3</v>
      </c>
      <c r="J324" s="89">
        <v>46166</v>
      </c>
      <c r="K324" s="28"/>
      <c r="L324" s="28" t="s">
        <v>5</v>
      </c>
      <c r="M324" s="28"/>
      <c r="N324" s="28"/>
      <c r="O324" s="87">
        <f>VLOOKUP(A324,'HIPERQUERATOSE 26'!$A$2:$G$1542,7,1)</f>
        <v>3.25</v>
      </c>
    </row>
    <row r="325" spans="1:15" ht="21" customHeight="1" x14ac:dyDescent="0.25">
      <c r="A325" s="28">
        <v>5393</v>
      </c>
      <c r="B325" s="91">
        <v>46160</v>
      </c>
      <c r="C325" s="28"/>
      <c r="D325" s="28" t="s">
        <v>7</v>
      </c>
      <c r="E325" s="28"/>
      <c r="F325" s="28">
        <v>4</v>
      </c>
      <c r="G325" s="28"/>
      <c r="H325" s="89">
        <v>46163</v>
      </c>
      <c r="I325" s="28">
        <v>3</v>
      </c>
      <c r="J325" s="89">
        <v>46167</v>
      </c>
      <c r="K325" s="28"/>
      <c r="L325" s="28"/>
      <c r="M325" s="28"/>
      <c r="N325" s="28" t="s">
        <v>4</v>
      </c>
      <c r="O325" s="87">
        <f>VLOOKUP(A325,'HIPERQUERATOSE 26'!$A$2:$G$1542,7,1)</f>
        <v>2.5</v>
      </c>
    </row>
    <row r="326" spans="1:15" ht="21" customHeight="1" x14ac:dyDescent="0.25">
      <c r="A326" s="28">
        <v>4362</v>
      </c>
      <c r="B326" s="91">
        <v>46160</v>
      </c>
      <c r="C326" s="28"/>
      <c r="D326" s="28" t="s">
        <v>7</v>
      </c>
      <c r="E326" s="28"/>
      <c r="F326" s="28">
        <v>4</v>
      </c>
      <c r="G326" s="28"/>
      <c r="H326" s="89">
        <v>46163</v>
      </c>
      <c r="I326" s="28">
        <v>3</v>
      </c>
      <c r="J326" s="89">
        <v>46167</v>
      </c>
      <c r="K326" s="28"/>
      <c r="L326" s="28"/>
      <c r="M326" s="28"/>
      <c r="N326" s="28" t="s">
        <v>4</v>
      </c>
      <c r="O326" s="87">
        <f>VLOOKUP(A326,'HIPERQUERATOSE 26'!$A$2:$G$1542,7,1)</f>
        <v>1</v>
      </c>
    </row>
    <row r="327" spans="1:15" ht="21" customHeight="1" x14ac:dyDescent="0.25">
      <c r="A327" s="28">
        <v>3417</v>
      </c>
      <c r="B327" s="91">
        <v>46160</v>
      </c>
      <c r="C327" s="28"/>
      <c r="D327" s="28" t="s">
        <v>7</v>
      </c>
      <c r="E327" s="28"/>
      <c r="F327" s="28">
        <v>4</v>
      </c>
      <c r="G327" s="28"/>
      <c r="H327" s="89">
        <v>46163</v>
      </c>
      <c r="I327" s="28">
        <v>3</v>
      </c>
      <c r="J327" s="89">
        <v>46167</v>
      </c>
      <c r="K327" s="28"/>
      <c r="L327" s="28"/>
      <c r="M327" s="28" t="s">
        <v>1</v>
      </c>
      <c r="N327" s="28"/>
      <c r="O327" s="87">
        <f>VLOOKUP(A327,'HIPERQUERATOSE 26'!$A$2:$G$1542,7,1)</f>
        <v>1.75</v>
      </c>
    </row>
    <row r="328" spans="1:15" ht="21" customHeight="1" x14ac:dyDescent="0.25">
      <c r="A328" s="28">
        <v>5351</v>
      </c>
      <c r="B328" s="91">
        <v>46160</v>
      </c>
      <c r="C328" s="28"/>
      <c r="D328" s="28" t="s">
        <v>20</v>
      </c>
      <c r="E328" s="28"/>
      <c r="F328" s="28">
        <v>4</v>
      </c>
      <c r="G328" s="28"/>
      <c r="H328" s="89">
        <v>46163</v>
      </c>
      <c r="I328" s="28">
        <v>9</v>
      </c>
      <c r="J328" s="89">
        <v>46174</v>
      </c>
      <c r="K328" s="28"/>
      <c r="L328" s="28"/>
      <c r="M328" s="28" t="s">
        <v>1</v>
      </c>
      <c r="N328" s="28"/>
      <c r="O328" s="87">
        <f>VLOOKUP(A328,'HIPERQUERATOSE 26'!$A$2:$G$1542,7,1)</f>
        <v>1.25</v>
      </c>
    </row>
    <row r="329" spans="1:15" ht="21" customHeight="1" x14ac:dyDescent="0.25">
      <c r="A329" s="28">
        <v>3852</v>
      </c>
      <c r="B329" s="91">
        <v>46160</v>
      </c>
      <c r="C329" s="28"/>
      <c r="D329" s="28" t="s">
        <v>20</v>
      </c>
      <c r="E329" s="28"/>
      <c r="F329" s="28">
        <v>4</v>
      </c>
      <c r="G329" s="28"/>
      <c r="H329" s="89">
        <v>46163</v>
      </c>
      <c r="I329" s="28">
        <v>9</v>
      </c>
      <c r="J329" s="89">
        <v>46174</v>
      </c>
      <c r="K329" s="28" t="s">
        <v>3</v>
      </c>
      <c r="L329" s="28"/>
      <c r="M329" s="28"/>
      <c r="N329" s="28"/>
      <c r="O329" s="87">
        <f>VLOOKUP(A329,'HIPERQUERATOSE 26'!$A$2:$G$1542,7,1)</f>
        <v>3.5</v>
      </c>
    </row>
    <row r="330" spans="1:15" ht="21" customHeight="1" x14ac:dyDescent="0.25">
      <c r="A330" s="28">
        <v>3617</v>
      </c>
      <c r="B330" s="91">
        <v>46161</v>
      </c>
      <c r="C330" s="28"/>
      <c r="D330" s="28" t="s">
        <v>7</v>
      </c>
      <c r="E330" s="28"/>
      <c r="F330" s="28">
        <v>4</v>
      </c>
      <c r="G330" s="28"/>
      <c r="H330" s="89">
        <v>46164</v>
      </c>
      <c r="I330" s="28">
        <v>3</v>
      </c>
      <c r="J330" s="89">
        <v>46168</v>
      </c>
      <c r="K330" s="28"/>
      <c r="L330" s="28"/>
      <c r="M330" s="28" t="s">
        <v>1</v>
      </c>
      <c r="N330" s="28"/>
      <c r="O330" s="87">
        <f>VLOOKUP(A330,'HIPERQUERATOSE 26'!$A$2:$G$1542,7,1)</f>
        <v>1</v>
      </c>
    </row>
    <row r="331" spans="1:15" ht="21" customHeight="1" x14ac:dyDescent="0.25">
      <c r="A331" s="28">
        <v>4700</v>
      </c>
      <c r="B331" s="91">
        <v>46162</v>
      </c>
      <c r="C331" s="28"/>
      <c r="D331" s="28" t="s">
        <v>20</v>
      </c>
      <c r="E331" s="28"/>
      <c r="F331" s="28">
        <v>4</v>
      </c>
      <c r="G331" s="28"/>
      <c r="H331" s="89">
        <v>46165</v>
      </c>
      <c r="I331" s="28">
        <v>9</v>
      </c>
      <c r="J331" s="89">
        <v>46176</v>
      </c>
      <c r="K331" s="28"/>
      <c r="L331" s="28"/>
      <c r="M331" s="28"/>
      <c r="N331" s="28" t="s">
        <v>4</v>
      </c>
      <c r="O331" s="87">
        <f>VLOOKUP(A331,'HIPERQUERATOSE 26'!$A$2:$G$1542,7,1)</f>
        <v>2.5</v>
      </c>
    </row>
    <row r="332" spans="1:15" ht="21" customHeight="1" x14ac:dyDescent="0.25">
      <c r="A332" s="28">
        <v>5465</v>
      </c>
      <c r="B332" s="91">
        <v>46162</v>
      </c>
      <c r="C332" s="28"/>
      <c r="D332" s="28" t="s">
        <v>20</v>
      </c>
      <c r="E332" s="28"/>
      <c r="F332" s="28">
        <v>4</v>
      </c>
      <c r="G332" s="28"/>
      <c r="H332" s="89">
        <v>46165</v>
      </c>
      <c r="I332" s="28">
        <v>9</v>
      </c>
      <c r="J332" s="89">
        <v>46176</v>
      </c>
      <c r="K332" s="28"/>
      <c r="L332" s="28"/>
      <c r="M332" s="28" t="s">
        <v>1</v>
      </c>
      <c r="N332" s="28"/>
      <c r="O332" s="87">
        <f>VLOOKUP(A332,'HIPERQUERATOSE 26'!$A$2:$G$1542,7,1)</f>
        <v>2</v>
      </c>
    </row>
    <row r="333" spans="1:15" ht="21" customHeight="1" x14ac:dyDescent="0.25">
      <c r="A333" s="28">
        <v>4825</v>
      </c>
      <c r="B333" s="91">
        <v>46162</v>
      </c>
      <c r="C333" s="28"/>
      <c r="D333" s="28" t="s">
        <v>20</v>
      </c>
      <c r="E333" s="28"/>
      <c r="F333" s="28">
        <v>4</v>
      </c>
      <c r="G333" s="28"/>
      <c r="H333" s="89">
        <v>46165</v>
      </c>
      <c r="I333" s="28">
        <v>9</v>
      </c>
      <c r="J333" s="89">
        <v>46176</v>
      </c>
      <c r="K333" s="28"/>
      <c r="L333" s="28"/>
      <c r="M333" s="28" t="s">
        <v>1</v>
      </c>
      <c r="N333" s="28"/>
      <c r="O333" s="87">
        <f>VLOOKUP(A333,'HIPERQUERATOSE 26'!$A$2:$G$1542,7,1)</f>
        <v>1.75</v>
      </c>
    </row>
    <row r="334" spans="1:15" ht="21" customHeight="1" x14ac:dyDescent="0.25">
      <c r="A334" s="28">
        <v>2889</v>
      </c>
      <c r="B334" s="91">
        <v>46162</v>
      </c>
      <c r="C334" s="28"/>
      <c r="D334" s="28" t="s">
        <v>7</v>
      </c>
      <c r="E334" s="28"/>
      <c r="F334" s="28">
        <v>4</v>
      </c>
      <c r="G334" s="28"/>
      <c r="H334" s="89">
        <v>46165</v>
      </c>
      <c r="I334" s="28">
        <v>3</v>
      </c>
      <c r="J334" s="89">
        <v>46169</v>
      </c>
      <c r="K334" s="28"/>
      <c r="L334" s="28"/>
      <c r="M334" s="28"/>
      <c r="N334" s="28" t="s">
        <v>4</v>
      </c>
      <c r="O334" s="87">
        <f>VLOOKUP(A334,'HIPERQUERATOSE 26'!$A$2:$G$1542,7,1)</f>
        <v>2.75</v>
      </c>
    </row>
    <row r="335" spans="1:15" ht="21" customHeight="1" x14ac:dyDescent="0.25">
      <c r="A335" s="28">
        <v>4880</v>
      </c>
      <c r="B335" s="91">
        <v>46162</v>
      </c>
      <c r="C335" s="28"/>
      <c r="D335" s="28" t="s">
        <v>7</v>
      </c>
      <c r="E335" s="28"/>
      <c r="F335" s="28">
        <v>4</v>
      </c>
      <c r="G335" s="28"/>
      <c r="H335" s="89">
        <v>46165</v>
      </c>
      <c r="I335" s="28">
        <v>3</v>
      </c>
      <c r="J335" s="89">
        <v>46169</v>
      </c>
      <c r="K335" s="28" t="s">
        <v>3</v>
      </c>
      <c r="L335" s="28"/>
      <c r="M335" s="28"/>
      <c r="N335" s="28"/>
      <c r="O335" s="87">
        <f>VLOOKUP(A335,'HIPERQUERATOSE 26'!$A$2:$G$1542,7,1)</f>
        <v>2.5</v>
      </c>
    </row>
    <row r="336" spans="1:15" ht="21" customHeight="1" x14ac:dyDescent="0.25">
      <c r="A336" s="28">
        <v>2760</v>
      </c>
      <c r="B336" s="91">
        <v>46163</v>
      </c>
      <c r="C336" s="28"/>
      <c r="D336" s="28" t="s">
        <v>7</v>
      </c>
      <c r="E336" s="28"/>
      <c r="F336" s="28">
        <v>4</v>
      </c>
      <c r="G336" s="28"/>
      <c r="H336" s="89">
        <v>46166</v>
      </c>
      <c r="I336" s="28">
        <v>3</v>
      </c>
      <c r="J336" s="89">
        <v>46170</v>
      </c>
      <c r="K336" s="28"/>
      <c r="L336" s="28"/>
      <c r="M336" s="28" t="s">
        <v>1</v>
      </c>
      <c r="N336" s="28"/>
      <c r="O336" s="87">
        <f>VLOOKUP(A336,'HIPERQUERATOSE 26'!$A$2:$G$1542,7,1)</f>
        <v>3.25</v>
      </c>
    </row>
    <row r="337" spans="1:15" ht="21" customHeight="1" x14ac:dyDescent="0.25">
      <c r="A337" s="28">
        <v>3372</v>
      </c>
      <c r="B337" s="91">
        <v>46163</v>
      </c>
      <c r="C337" s="28"/>
      <c r="D337" s="28" t="s">
        <v>20</v>
      </c>
      <c r="E337" s="28"/>
      <c r="F337" s="28">
        <v>4</v>
      </c>
      <c r="G337" s="28"/>
      <c r="H337" s="89">
        <v>46166</v>
      </c>
      <c r="I337" s="28">
        <v>9</v>
      </c>
      <c r="J337" s="89">
        <v>46177</v>
      </c>
      <c r="K337" s="28" t="s">
        <v>3</v>
      </c>
      <c r="L337" s="28"/>
      <c r="M337" s="28"/>
      <c r="N337" s="28"/>
      <c r="O337" s="87">
        <f>VLOOKUP(A337,'HIPERQUERATOSE 26'!$A$2:$G$1542,7,1)</f>
        <v>3.5</v>
      </c>
    </row>
    <row r="338" spans="1:15" ht="21" customHeight="1" x14ac:dyDescent="0.25">
      <c r="A338" s="32">
        <v>3575</v>
      </c>
      <c r="B338" s="91">
        <v>46163</v>
      </c>
      <c r="C338" s="26"/>
      <c r="D338" s="32" t="s">
        <v>25</v>
      </c>
      <c r="E338" s="26"/>
      <c r="F338" s="32">
        <v>4</v>
      </c>
      <c r="G338" s="26"/>
      <c r="H338" s="27">
        <v>46166</v>
      </c>
      <c r="I338" s="32">
        <v>5</v>
      </c>
      <c r="J338" s="27">
        <v>46172</v>
      </c>
      <c r="K338" s="26"/>
      <c r="L338" s="26" t="s">
        <v>5</v>
      </c>
      <c r="M338" s="26"/>
      <c r="N338" s="26"/>
      <c r="O338" s="87">
        <f>VLOOKUP(A338,'HIPERQUERATOSE 26'!$A$2:$G$1542,7,1)</f>
        <v>2.25</v>
      </c>
    </row>
    <row r="339" spans="1:15" ht="21" customHeight="1" x14ac:dyDescent="0.25">
      <c r="A339" s="32">
        <v>4746</v>
      </c>
      <c r="B339" s="91">
        <v>46163</v>
      </c>
      <c r="C339" s="26"/>
      <c r="D339" s="32" t="s">
        <v>7</v>
      </c>
      <c r="E339" s="26"/>
      <c r="F339" s="28">
        <v>4</v>
      </c>
      <c r="G339" s="26"/>
      <c r="H339" s="27">
        <v>46166</v>
      </c>
      <c r="I339" s="28">
        <v>3</v>
      </c>
      <c r="J339" s="27">
        <v>46170</v>
      </c>
      <c r="K339" s="26"/>
      <c r="L339" s="26"/>
      <c r="M339" s="26" t="s">
        <v>1</v>
      </c>
      <c r="N339" s="26"/>
      <c r="O339" s="87">
        <f>VLOOKUP(A339,'HIPERQUERATOSE 26'!$A$2:$G$1542,7,1)</f>
        <v>1</v>
      </c>
    </row>
    <row r="340" spans="1:15" ht="21" customHeight="1" x14ac:dyDescent="0.25">
      <c r="A340" s="32">
        <v>4398</v>
      </c>
      <c r="B340" s="91">
        <v>46164</v>
      </c>
      <c r="C340" s="26"/>
      <c r="D340" s="32" t="s">
        <v>25</v>
      </c>
      <c r="E340" s="26"/>
      <c r="F340" s="28">
        <v>4</v>
      </c>
      <c r="G340" s="26"/>
      <c r="H340" s="27">
        <v>46167</v>
      </c>
      <c r="I340" s="28">
        <v>9</v>
      </c>
      <c r="J340" s="27">
        <v>46176</v>
      </c>
      <c r="K340" s="26"/>
      <c r="L340" s="26" t="s">
        <v>5</v>
      </c>
      <c r="M340" s="26"/>
      <c r="N340" s="26"/>
      <c r="O340" s="87">
        <f>VLOOKUP(A340,'HIPERQUERATOSE 26'!$A$2:$G$1542,7,1)</f>
        <v>1.75</v>
      </c>
    </row>
    <row r="341" spans="1:15" ht="21" customHeight="1" x14ac:dyDescent="0.25">
      <c r="A341" s="32">
        <v>3753</v>
      </c>
      <c r="B341" s="91">
        <v>46164</v>
      </c>
      <c r="C341" s="26"/>
      <c r="D341" s="32" t="s">
        <v>7</v>
      </c>
      <c r="E341" s="26"/>
      <c r="F341" s="28">
        <v>4</v>
      </c>
      <c r="G341" s="26"/>
      <c r="H341" s="27">
        <v>46167</v>
      </c>
      <c r="I341" s="28">
        <v>3</v>
      </c>
      <c r="J341" s="27">
        <v>46171</v>
      </c>
      <c r="K341" s="26" t="s">
        <v>3</v>
      </c>
      <c r="L341" s="26"/>
      <c r="M341" s="26"/>
      <c r="N341" s="26"/>
      <c r="O341" s="87">
        <f>VLOOKUP(A341,'HIPERQUERATOSE 26'!$A$2:$G$1542,7,1)</f>
        <v>4</v>
      </c>
    </row>
    <row r="342" spans="1:15" ht="21" customHeight="1" x14ac:dyDescent="0.25">
      <c r="A342" s="32">
        <v>4836</v>
      </c>
      <c r="B342" s="91">
        <v>46164</v>
      </c>
      <c r="C342" s="26"/>
      <c r="D342" s="26" t="s">
        <v>7</v>
      </c>
      <c r="E342" s="26"/>
      <c r="F342" s="28">
        <v>4</v>
      </c>
      <c r="G342" s="26"/>
      <c r="H342" s="27">
        <v>46167</v>
      </c>
      <c r="I342" s="28">
        <v>3</v>
      </c>
      <c r="J342" s="27">
        <v>46171</v>
      </c>
      <c r="K342" s="26" t="s">
        <v>3</v>
      </c>
      <c r="L342" s="26"/>
      <c r="M342" s="26"/>
      <c r="N342" s="26"/>
      <c r="O342" s="87">
        <f>VLOOKUP(A342,'HIPERQUERATOSE 26'!$A$2:$G$1542,7,1)</f>
        <v>3.5</v>
      </c>
    </row>
    <row r="343" spans="1:15" ht="21" customHeight="1" x14ac:dyDescent="0.25">
      <c r="A343" s="32">
        <v>4469</v>
      </c>
      <c r="B343" s="91">
        <v>46164</v>
      </c>
      <c r="C343" s="26"/>
      <c r="D343" s="26" t="s">
        <v>7</v>
      </c>
      <c r="E343" s="26"/>
      <c r="F343" s="28">
        <v>4</v>
      </c>
      <c r="G343" s="26"/>
      <c r="H343" s="27">
        <v>46167</v>
      </c>
      <c r="I343" s="28">
        <v>3</v>
      </c>
      <c r="J343" s="27">
        <v>46171</v>
      </c>
      <c r="K343" s="26"/>
      <c r="L343" s="26" t="s">
        <v>5</v>
      </c>
      <c r="M343" s="26"/>
      <c r="N343" s="26"/>
      <c r="O343" s="87">
        <f>VLOOKUP(A343,'HIPERQUERATOSE 26'!$A$2:$G$1542,7,1)</f>
        <v>1.75</v>
      </c>
    </row>
    <row r="344" spans="1:15" ht="21" customHeight="1" x14ac:dyDescent="0.25">
      <c r="A344" s="28">
        <v>3691</v>
      </c>
      <c r="B344" s="91">
        <v>46165</v>
      </c>
      <c r="C344" s="26"/>
      <c r="D344" s="28" t="s">
        <v>20</v>
      </c>
      <c r="E344" s="26"/>
      <c r="F344" s="28">
        <v>4</v>
      </c>
      <c r="G344" s="26"/>
      <c r="H344" s="27">
        <v>46168</v>
      </c>
      <c r="I344" s="28">
        <v>9</v>
      </c>
      <c r="J344" s="27">
        <v>46178</v>
      </c>
      <c r="K344" s="26"/>
      <c r="L344" s="26" t="s">
        <v>5</v>
      </c>
      <c r="M344" s="26"/>
      <c r="N344" s="26" t="s">
        <v>4</v>
      </c>
      <c r="O344" s="87">
        <f>VLOOKUP(A344,'HIPERQUERATOSE 26'!$A$2:$G$1542,7,1)</f>
        <v>4</v>
      </c>
    </row>
    <row r="345" spans="1:15" ht="21" customHeight="1" x14ac:dyDescent="0.25">
      <c r="A345" s="28">
        <v>1746</v>
      </c>
      <c r="B345" s="91">
        <v>46196</v>
      </c>
      <c r="C345" s="26"/>
      <c r="D345" s="28" t="s">
        <v>20</v>
      </c>
      <c r="E345" s="26"/>
      <c r="F345" s="28">
        <v>4</v>
      </c>
      <c r="G345" s="26"/>
      <c r="H345" s="27">
        <v>46168</v>
      </c>
      <c r="I345" s="28">
        <v>9</v>
      </c>
      <c r="J345" s="27">
        <v>46178</v>
      </c>
      <c r="K345" s="26"/>
      <c r="L345" s="26" t="s">
        <v>5</v>
      </c>
      <c r="M345" s="26"/>
      <c r="N345" s="26" t="s">
        <v>4</v>
      </c>
      <c r="O345" s="87">
        <f>VLOOKUP(A345,'HIPERQUERATOSE 26'!$A$2:$G$1542,7,1)</f>
        <v>2</v>
      </c>
    </row>
    <row r="346" spans="1:15" ht="21" customHeight="1" x14ac:dyDescent="0.25">
      <c r="A346" s="28">
        <v>3852</v>
      </c>
      <c r="B346" s="91">
        <v>46165</v>
      </c>
      <c r="C346" s="26"/>
      <c r="D346" s="28" t="s">
        <v>32</v>
      </c>
      <c r="E346" s="26"/>
      <c r="F346" s="28">
        <v>4</v>
      </c>
      <c r="G346" s="26"/>
      <c r="H346" s="27">
        <v>46168</v>
      </c>
      <c r="I346" s="28">
        <v>3</v>
      </c>
      <c r="J346" s="27">
        <v>46203</v>
      </c>
      <c r="K346" s="26" t="s">
        <v>3</v>
      </c>
      <c r="L346" s="26"/>
      <c r="M346" s="26"/>
      <c r="N346" s="26"/>
      <c r="O346" s="87">
        <f>VLOOKUP(A346,'HIPERQUERATOSE 26'!$A$2:$G$1542,7,1)</f>
        <v>3.5</v>
      </c>
    </row>
    <row r="347" spans="1:15" ht="21" customHeight="1" x14ac:dyDescent="0.25">
      <c r="A347" s="28">
        <v>3064</v>
      </c>
      <c r="B347" s="91">
        <v>46165</v>
      </c>
      <c r="C347" s="26"/>
      <c r="D347" s="28" t="s">
        <v>34</v>
      </c>
      <c r="E347" s="26"/>
      <c r="F347" s="28">
        <v>4</v>
      </c>
      <c r="G347" s="26"/>
      <c r="H347" s="27">
        <v>46168</v>
      </c>
      <c r="I347" s="28">
        <v>3</v>
      </c>
      <c r="J347" s="27">
        <v>46203</v>
      </c>
      <c r="K347" s="26"/>
      <c r="L347" s="26"/>
      <c r="M347" s="26" t="s">
        <v>1</v>
      </c>
      <c r="N347" s="26"/>
      <c r="O347" s="87">
        <f>VLOOKUP(A347,'HIPERQUERATOSE 26'!$A$2:$G$1542,7,1)</f>
        <v>2.25</v>
      </c>
    </row>
    <row r="348" spans="1:15" ht="21" customHeight="1" x14ac:dyDescent="0.25">
      <c r="A348" s="28">
        <v>4978</v>
      </c>
      <c r="B348" s="91">
        <v>46165</v>
      </c>
      <c r="C348" s="26"/>
      <c r="D348" s="28" t="s">
        <v>7</v>
      </c>
      <c r="E348" s="26"/>
      <c r="F348" s="28">
        <v>4</v>
      </c>
      <c r="G348" s="26"/>
      <c r="H348" s="27">
        <v>46168</v>
      </c>
      <c r="I348" s="28">
        <v>3</v>
      </c>
      <c r="J348" s="27">
        <v>46203</v>
      </c>
      <c r="K348" s="26" t="s">
        <v>3</v>
      </c>
      <c r="L348" s="26"/>
      <c r="M348" s="26"/>
      <c r="N348" s="26"/>
      <c r="O348" s="87">
        <f>VLOOKUP(A348,'HIPERQUERATOSE 26'!$A$2:$G$1542,7,1)</f>
        <v>2</v>
      </c>
    </row>
    <row r="349" spans="1:15" ht="21" customHeight="1" x14ac:dyDescent="0.25">
      <c r="A349" s="28">
        <v>4700</v>
      </c>
      <c r="B349" s="91">
        <v>46167</v>
      </c>
      <c r="C349" s="26"/>
      <c r="D349" s="28" t="s">
        <v>32</v>
      </c>
      <c r="E349" s="26"/>
      <c r="F349" s="28">
        <v>4</v>
      </c>
      <c r="G349" s="26"/>
      <c r="H349" s="27">
        <v>46170</v>
      </c>
      <c r="I349" s="28">
        <v>3</v>
      </c>
      <c r="J349" s="27">
        <v>46174</v>
      </c>
      <c r="K349" s="26"/>
      <c r="L349" s="26"/>
      <c r="M349" s="26" t="s">
        <v>1</v>
      </c>
      <c r="N349" s="26"/>
      <c r="O349" s="87">
        <f>VLOOKUP(A349,'HIPERQUERATOSE 26'!$A$2:$G$1542,7,1)</f>
        <v>2.5</v>
      </c>
    </row>
    <row r="350" spans="1:15" ht="21" customHeight="1" x14ac:dyDescent="0.25">
      <c r="A350" s="28">
        <v>4746</v>
      </c>
      <c r="B350" s="91">
        <v>46167</v>
      </c>
      <c r="C350" s="26"/>
      <c r="D350" s="28" t="s">
        <v>32</v>
      </c>
      <c r="E350" s="26"/>
      <c r="F350" s="28">
        <v>4</v>
      </c>
      <c r="G350" s="26"/>
      <c r="H350" s="27">
        <v>46170</v>
      </c>
      <c r="I350" s="28">
        <v>3</v>
      </c>
      <c r="J350" s="27">
        <v>46174</v>
      </c>
      <c r="K350" s="26"/>
      <c r="L350" s="26"/>
      <c r="M350" s="26"/>
      <c r="N350" s="26" t="s">
        <v>4</v>
      </c>
      <c r="O350" s="87">
        <f>VLOOKUP(A350,'HIPERQUERATOSE 26'!$A$2:$G$1542,7,1)</f>
        <v>1</v>
      </c>
    </row>
    <row r="351" spans="1:15" ht="21" customHeight="1" x14ac:dyDescent="0.25">
      <c r="A351" s="28">
        <v>4880</v>
      </c>
      <c r="B351" s="91">
        <v>46167</v>
      </c>
      <c r="C351" s="26"/>
      <c r="D351" s="28" t="s">
        <v>21</v>
      </c>
      <c r="E351" s="26"/>
      <c r="F351" s="28">
        <v>4</v>
      </c>
      <c r="G351" s="26"/>
      <c r="H351" s="27">
        <v>46170</v>
      </c>
      <c r="I351" s="28">
        <v>9</v>
      </c>
      <c r="J351" s="27">
        <v>46180</v>
      </c>
      <c r="K351" s="26"/>
      <c r="L351" s="26" t="s">
        <v>5</v>
      </c>
      <c r="M351" s="26"/>
      <c r="N351" s="26"/>
      <c r="O351" s="87">
        <f>VLOOKUP(A351,'HIPERQUERATOSE 26'!$A$2:$G$1542,7,1)</f>
        <v>2.5</v>
      </c>
    </row>
    <row r="352" spans="1:15" ht="21" customHeight="1" x14ac:dyDescent="0.25">
      <c r="A352" s="28">
        <v>4386</v>
      </c>
      <c r="B352" s="91">
        <v>46167</v>
      </c>
      <c r="C352" s="26"/>
      <c r="D352" s="28" t="s">
        <v>21</v>
      </c>
      <c r="E352" s="26"/>
      <c r="F352" s="28">
        <v>4</v>
      </c>
      <c r="G352" s="26"/>
      <c r="H352" s="27">
        <v>46170</v>
      </c>
      <c r="I352" s="28">
        <v>9</v>
      </c>
      <c r="J352" s="27">
        <v>46180</v>
      </c>
      <c r="K352" s="26"/>
      <c r="L352" s="26" t="s">
        <v>5</v>
      </c>
      <c r="M352" s="26"/>
      <c r="N352" s="26"/>
      <c r="O352" s="87">
        <f>VLOOKUP(A352,'HIPERQUERATOSE 26'!$A$2:$G$1542,7,1)</f>
        <v>1</v>
      </c>
    </row>
    <row r="353" spans="1:15" ht="21" customHeight="1" x14ac:dyDescent="0.25">
      <c r="A353" s="28">
        <v>4205</v>
      </c>
      <c r="B353" s="91">
        <v>46167</v>
      </c>
      <c r="C353" s="26"/>
      <c r="D353" s="28" t="s">
        <v>21</v>
      </c>
      <c r="E353" s="26"/>
      <c r="F353" s="28">
        <v>4</v>
      </c>
      <c r="G353" s="26"/>
      <c r="H353" s="27">
        <v>46170</v>
      </c>
      <c r="I353" s="28">
        <v>9</v>
      </c>
      <c r="J353" s="27">
        <v>46180</v>
      </c>
      <c r="K353" s="26"/>
      <c r="L353" s="26"/>
      <c r="M353" s="26" t="s">
        <v>1</v>
      </c>
      <c r="N353" s="26"/>
      <c r="O353" s="87">
        <f>VLOOKUP(A353,'HIPERQUERATOSE 26'!$A$2:$G$1542,7,1)</f>
        <v>2.25</v>
      </c>
    </row>
    <row r="354" spans="1:15" ht="21" customHeight="1" x14ac:dyDescent="0.25">
      <c r="A354" s="28">
        <v>5115</v>
      </c>
      <c r="B354" s="91">
        <v>46167</v>
      </c>
      <c r="C354" s="26"/>
      <c r="D354" s="28" t="s">
        <v>32</v>
      </c>
      <c r="E354" s="26"/>
      <c r="F354" s="28">
        <v>4</v>
      </c>
      <c r="G354" s="26"/>
      <c r="H354" s="27">
        <v>46170</v>
      </c>
      <c r="I354" s="28">
        <v>3</v>
      </c>
      <c r="J354" s="27">
        <v>46174</v>
      </c>
      <c r="K354" s="26"/>
      <c r="L354" s="26"/>
      <c r="M354" s="26" t="s">
        <v>1</v>
      </c>
      <c r="N354" s="26"/>
      <c r="O354" s="87">
        <f>VLOOKUP(A354,'HIPERQUERATOSE 26'!$A$2:$G$1542,7,1)</f>
        <v>1</v>
      </c>
    </row>
    <row r="355" spans="1:15" ht="21" customHeight="1" x14ac:dyDescent="0.25">
      <c r="A355" s="28">
        <v>4340</v>
      </c>
      <c r="B355" s="91">
        <v>46167</v>
      </c>
      <c r="C355" s="26"/>
      <c r="D355" s="28" t="s">
        <v>7</v>
      </c>
      <c r="E355" s="26"/>
      <c r="F355" s="28">
        <v>4</v>
      </c>
      <c r="G355" s="26"/>
      <c r="H355" s="27">
        <v>46170</v>
      </c>
      <c r="I355" s="28">
        <v>3</v>
      </c>
      <c r="J355" s="27">
        <v>46174</v>
      </c>
      <c r="K355" s="26" t="s">
        <v>3</v>
      </c>
      <c r="L355" s="26"/>
      <c r="M355" s="26"/>
      <c r="N355" s="26"/>
      <c r="O355" s="87">
        <f>VLOOKUP(A355,'HIPERQUERATOSE 26'!$A$2:$G$1542,7,1)</f>
        <v>3.5</v>
      </c>
    </row>
    <row r="356" spans="1:15" ht="21" customHeight="1" x14ac:dyDescent="0.25">
      <c r="A356" s="28">
        <v>4499</v>
      </c>
      <c r="B356" s="91">
        <v>46167</v>
      </c>
      <c r="C356" s="26"/>
      <c r="D356" s="28" t="s">
        <v>7</v>
      </c>
      <c r="E356" s="26"/>
      <c r="F356" s="28">
        <v>4</v>
      </c>
      <c r="G356" s="26"/>
      <c r="H356" s="27">
        <v>46170</v>
      </c>
      <c r="I356" s="28">
        <v>3</v>
      </c>
      <c r="J356" s="27">
        <v>46174</v>
      </c>
      <c r="K356" s="26" t="s">
        <v>3</v>
      </c>
      <c r="L356" s="26"/>
      <c r="M356" s="26"/>
      <c r="N356" s="26"/>
      <c r="O356" s="87">
        <f>VLOOKUP(A356,'HIPERQUERATOSE 26'!$A$2:$G$1542,7,1)</f>
        <v>3.5</v>
      </c>
    </row>
    <row r="357" spans="1:15" ht="21" customHeight="1" x14ac:dyDescent="0.25">
      <c r="A357" s="28">
        <v>5246</v>
      </c>
      <c r="B357" s="91">
        <v>46167</v>
      </c>
      <c r="C357" s="26"/>
      <c r="D357" s="28" t="s">
        <v>7</v>
      </c>
      <c r="E357" s="26"/>
      <c r="F357" s="28">
        <v>4</v>
      </c>
      <c r="G357" s="26"/>
      <c r="H357" s="27">
        <v>46170</v>
      </c>
      <c r="I357" s="28">
        <v>3</v>
      </c>
      <c r="J357" s="27">
        <v>46174</v>
      </c>
      <c r="K357" s="26"/>
      <c r="L357" s="26"/>
      <c r="M357" s="26"/>
      <c r="N357" s="26" t="s">
        <v>4</v>
      </c>
      <c r="O357" s="87">
        <f>VLOOKUP(A357,'HIPERQUERATOSE 26'!$A$2:$G$1542,7,1)</f>
        <v>2</v>
      </c>
    </row>
    <row r="358" spans="1:15" ht="21" customHeight="1" x14ac:dyDescent="0.25">
      <c r="A358" s="28">
        <v>2760</v>
      </c>
      <c r="B358" s="91">
        <v>46168</v>
      </c>
      <c r="C358" s="26"/>
      <c r="D358" s="28" t="s">
        <v>21</v>
      </c>
      <c r="E358" s="26"/>
      <c r="F358" s="28">
        <v>4</v>
      </c>
      <c r="G358" s="26"/>
      <c r="H358" s="27">
        <v>46171</v>
      </c>
      <c r="I358" s="28">
        <v>9</v>
      </c>
      <c r="J358" s="27">
        <v>46181</v>
      </c>
      <c r="K358" s="26"/>
      <c r="L358" s="26" t="s">
        <v>5</v>
      </c>
      <c r="M358" s="26" t="s">
        <v>1</v>
      </c>
      <c r="N358" s="26"/>
      <c r="O358" s="87">
        <f>VLOOKUP(A358,'HIPERQUERATOSE 26'!$A$2:$G$1542,7,1)</f>
        <v>3.25</v>
      </c>
    </row>
    <row r="359" spans="1:15" ht="21" customHeight="1" x14ac:dyDescent="0.25">
      <c r="A359" s="28">
        <v>3169</v>
      </c>
      <c r="B359" s="91">
        <v>46168</v>
      </c>
      <c r="C359" s="26"/>
      <c r="D359" s="28" t="s">
        <v>21</v>
      </c>
      <c r="E359" s="26"/>
      <c r="F359" s="28">
        <v>4</v>
      </c>
      <c r="G359" s="26"/>
      <c r="H359" s="27">
        <v>46171</v>
      </c>
      <c r="I359" s="28">
        <v>9</v>
      </c>
      <c r="J359" s="27">
        <v>46181</v>
      </c>
      <c r="K359" s="26"/>
      <c r="L359" s="26" t="s">
        <v>5</v>
      </c>
      <c r="M359" s="26"/>
      <c r="N359" s="26"/>
      <c r="O359" s="87">
        <f>VLOOKUP(A359,'HIPERQUERATOSE 26'!$A$2:$G$1542,7,1)</f>
        <v>2</v>
      </c>
    </row>
    <row r="360" spans="1:15" ht="21" customHeight="1" x14ac:dyDescent="0.25">
      <c r="A360" s="28">
        <v>3385</v>
      </c>
      <c r="B360" s="91">
        <v>46168</v>
      </c>
      <c r="C360" s="26"/>
      <c r="D360" s="28" t="s">
        <v>7</v>
      </c>
      <c r="E360" s="26"/>
      <c r="F360" s="28">
        <v>4</v>
      </c>
      <c r="G360" s="26"/>
      <c r="H360" s="27">
        <v>46171</v>
      </c>
      <c r="I360" s="28">
        <v>3</v>
      </c>
      <c r="J360" s="27">
        <v>46175</v>
      </c>
      <c r="K360" s="26" t="s">
        <v>3</v>
      </c>
      <c r="L360" s="26"/>
      <c r="M360" s="26"/>
      <c r="N360" s="26"/>
      <c r="O360" s="87">
        <f>VLOOKUP(A360,'HIPERQUERATOSE 26'!$A$2:$G$1542,7,1)</f>
        <v>3</v>
      </c>
    </row>
    <row r="361" spans="1:15" ht="21" customHeight="1" x14ac:dyDescent="0.25">
      <c r="A361" s="28">
        <v>5037</v>
      </c>
      <c r="B361" s="91">
        <v>46168</v>
      </c>
      <c r="C361" s="26"/>
      <c r="D361" s="28" t="s">
        <v>21</v>
      </c>
      <c r="E361" s="26"/>
      <c r="F361" s="28">
        <v>4</v>
      </c>
      <c r="G361" s="26"/>
      <c r="H361" s="27">
        <v>46171</v>
      </c>
      <c r="I361" s="28">
        <v>9</v>
      </c>
      <c r="J361" s="27">
        <v>46181</v>
      </c>
      <c r="K361" s="26"/>
      <c r="L361" s="26"/>
      <c r="M361" s="26" t="s">
        <v>1</v>
      </c>
      <c r="N361" s="26"/>
      <c r="O361" s="87">
        <f>VLOOKUP(A361,'HIPERQUERATOSE 26'!$A$2:$G$1542,7,1)</f>
        <v>1.5</v>
      </c>
    </row>
    <row r="362" spans="1:15" ht="21" customHeight="1" x14ac:dyDescent="0.25">
      <c r="A362" s="28">
        <v>5115</v>
      </c>
      <c r="B362" s="91">
        <v>46169</v>
      </c>
      <c r="C362" s="26"/>
      <c r="D362" s="28" t="s">
        <v>21</v>
      </c>
      <c r="E362" s="26"/>
      <c r="F362" s="28">
        <v>4</v>
      </c>
      <c r="G362" s="26"/>
      <c r="H362" s="27">
        <v>46172</v>
      </c>
      <c r="I362" s="28">
        <v>9</v>
      </c>
      <c r="J362" s="27">
        <v>46182</v>
      </c>
      <c r="K362" s="26"/>
      <c r="L362" s="26"/>
      <c r="M362" s="26" t="s">
        <v>1</v>
      </c>
      <c r="N362" s="26"/>
      <c r="O362" s="87">
        <f>VLOOKUP(A362,'HIPERQUERATOSE 26'!$A$2:$G$1542,7,1)</f>
        <v>1</v>
      </c>
    </row>
    <row r="363" spans="1:15" ht="21" customHeight="1" x14ac:dyDescent="0.25">
      <c r="A363" s="28">
        <v>3852</v>
      </c>
      <c r="B363" s="91">
        <v>46169</v>
      </c>
      <c r="C363" s="26"/>
      <c r="D363" s="28" t="s">
        <v>21</v>
      </c>
      <c r="E363" s="26"/>
      <c r="F363" s="28">
        <v>4</v>
      </c>
      <c r="G363" s="26"/>
      <c r="H363" s="27">
        <v>46172</v>
      </c>
      <c r="I363" s="28">
        <v>9</v>
      </c>
      <c r="J363" s="27">
        <v>46182</v>
      </c>
      <c r="K363" s="26" t="s">
        <v>3</v>
      </c>
      <c r="L363" s="26"/>
      <c r="M363" s="26"/>
      <c r="N363" s="26"/>
      <c r="O363" s="87">
        <f>VLOOKUP(A363,'HIPERQUERATOSE 26'!$A$2:$G$1542,7,1)</f>
        <v>3.5</v>
      </c>
    </row>
    <row r="364" spans="1:15" ht="21" customHeight="1" x14ac:dyDescent="0.25">
      <c r="A364" s="28">
        <v>5569</v>
      </c>
      <c r="B364" s="91">
        <v>46170</v>
      </c>
      <c r="C364" s="26"/>
      <c r="D364" s="28" t="s">
        <v>20</v>
      </c>
      <c r="E364" s="26"/>
      <c r="F364" s="28">
        <v>4</v>
      </c>
      <c r="G364" s="26"/>
      <c r="H364" s="27">
        <v>46173</v>
      </c>
      <c r="I364" s="28">
        <v>9</v>
      </c>
      <c r="J364" s="27">
        <v>46183</v>
      </c>
      <c r="K364" s="26"/>
      <c r="L364" s="26"/>
      <c r="M364" s="26"/>
      <c r="N364" s="26" t="s">
        <v>4</v>
      </c>
      <c r="O364" s="87">
        <f>VLOOKUP(A364,'HIPERQUERATOSE 26'!$A$2:$G$1542,7,1)</f>
        <v>2.25</v>
      </c>
    </row>
    <row r="365" spans="1:15" ht="21" customHeight="1" x14ac:dyDescent="0.25">
      <c r="A365" s="32">
        <v>5490</v>
      </c>
      <c r="B365" s="91">
        <v>46170</v>
      </c>
      <c r="C365" s="26"/>
      <c r="D365" s="28" t="s">
        <v>7</v>
      </c>
      <c r="E365" s="26"/>
      <c r="F365" s="28">
        <v>4</v>
      </c>
      <c r="G365" s="26"/>
      <c r="H365" s="27">
        <v>46173</v>
      </c>
      <c r="I365" s="28">
        <v>3</v>
      </c>
      <c r="J365" s="27">
        <v>46177</v>
      </c>
      <c r="K365" s="26"/>
      <c r="L365" s="26"/>
      <c r="M365" s="26" t="s">
        <v>1</v>
      </c>
      <c r="N365" s="26"/>
      <c r="O365" s="87">
        <f>VLOOKUP(A365,'HIPERQUERATOSE 26'!$A$2:$G$1542,7,1)</f>
        <v>2.5</v>
      </c>
    </row>
    <row r="366" spans="1:15" ht="21" customHeight="1" x14ac:dyDescent="0.25">
      <c r="A366" s="32">
        <v>3020</v>
      </c>
      <c r="B366" s="91">
        <v>46169</v>
      </c>
      <c r="C366" s="26"/>
      <c r="D366" s="26" t="s">
        <v>7</v>
      </c>
      <c r="E366" s="26"/>
      <c r="F366" s="28">
        <v>4</v>
      </c>
      <c r="G366" s="26"/>
      <c r="H366" s="27">
        <v>46173</v>
      </c>
      <c r="I366" s="28">
        <v>3</v>
      </c>
      <c r="J366" s="27">
        <v>46177</v>
      </c>
      <c r="K366" s="26"/>
      <c r="L366" s="26"/>
      <c r="M366" s="26"/>
      <c r="N366" s="26"/>
      <c r="O366" s="87">
        <f>VLOOKUP(A366,'HIPERQUERATOSE 26'!$A$2:$G$1542,7,1)</f>
        <v>2</v>
      </c>
    </row>
    <row r="367" spans="1:15" ht="21" customHeight="1" x14ac:dyDescent="0.25">
      <c r="A367" s="32">
        <v>4836</v>
      </c>
      <c r="B367" s="91">
        <v>46170</v>
      </c>
      <c r="C367" s="26"/>
      <c r="D367" s="26" t="s">
        <v>34</v>
      </c>
      <c r="E367" s="26"/>
      <c r="F367" s="28">
        <v>4</v>
      </c>
      <c r="G367" s="26"/>
      <c r="H367" s="27">
        <v>46173</v>
      </c>
      <c r="I367" s="28">
        <v>3</v>
      </c>
      <c r="J367" s="27">
        <v>46177</v>
      </c>
      <c r="K367" s="26" t="s">
        <v>3</v>
      </c>
      <c r="L367" s="26"/>
      <c r="M367" s="26"/>
      <c r="N367" s="26"/>
      <c r="O367" s="87">
        <f>VLOOKUP(A367,'HIPERQUERATOSE 26'!$A$2:$G$1542,7,1)</f>
        <v>3.5</v>
      </c>
    </row>
    <row r="368" spans="1:15" ht="21" customHeight="1" x14ac:dyDescent="0.25">
      <c r="A368" s="32">
        <v>4953</v>
      </c>
      <c r="B368" s="91">
        <v>46170</v>
      </c>
      <c r="C368" s="26"/>
      <c r="D368" s="26" t="s">
        <v>7</v>
      </c>
      <c r="E368" s="26"/>
      <c r="F368" s="28">
        <v>4</v>
      </c>
      <c r="G368" s="26"/>
      <c r="H368" s="27">
        <v>46173</v>
      </c>
      <c r="I368" s="28">
        <v>3</v>
      </c>
      <c r="J368" s="27">
        <v>46177</v>
      </c>
      <c r="K368" s="26"/>
      <c r="L368" s="26" t="s">
        <v>5</v>
      </c>
      <c r="M368" s="26"/>
      <c r="N368" s="26"/>
      <c r="O368" s="87">
        <f>VLOOKUP(A368,'HIPERQUERATOSE 26'!$A$2:$G$1542,7,1)</f>
        <v>3.5</v>
      </c>
    </row>
    <row r="369" spans="1:15" ht="21" customHeight="1" x14ac:dyDescent="0.25">
      <c r="A369" s="32">
        <v>3262</v>
      </c>
      <c r="B369" s="91">
        <v>46170</v>
      </c>
      <c r="C369" s="26"/>
      <c r="D369" s="26" t="s">
        <v>7</v>
      </c>
      <c r="E369" s="26"/>
      <c r="F369" s="28">
        <v>4</v>
      </c>
      <c r="G369" s="26"/>
      <c r="H369" s="27">
        <v>46173</v>
      </c>
      <c r="I369" s="28">
        <v>3</v>
      </c>
      <c r="J369" s="27">
        <v>46177</v>
      </c>
      <c r="K369" s="26"/>
      <c r="L369" s="26"/>
      <c r="M369" s="26" t="s">
        <v>1</v>
      </c>
      <c r="N369" s="26"/>
      <c r="O369" s="87">
        <f>VLOOKUP(A369,'HIPERQUERATOSE 26'!$A$2:$G$1542,7,1)</f>
        <v>3.5</v>
      </c>
    </row>
    <row r="370" spans="1:15" ht="21" customHeight="1" x14ac:dyDescent="0.25">
      <c r="A370" s="32">
        <v>4340</v>
      </c>
      <c r="B370" s="91">
        <v>46171</v>
      </c>
      <c r="C370" s="26"/>
      <c r="D370" s="26" t="s">
        <v>34</v>
      </c>
      <c r="E370" s="26"/>
      <c r="F370" s="28">
        <v>4</v>
      </c>
      <c r="G370" s="26"/>
      <c r="H370" s="27">
        <v>46174</v>
      </c>
      <c r="I370" s="28">
        <v>3</v>
      </c>
      <c r="J370" s="27">
        <v>46178</v>
      </c>
      <c r="K370" s="26" t="s">
        <v>3</v>
      </c>
      <c r="L370" s="26"/>
      <c r="M370" s="26"/>
      <c r="N370" s="26"/>
      <c r="O370" s="87">
        <f>VLOOKUP(A370,'HIPERQUERATOSE 26'!$A$2:$G$1542,7,1)</f>
        <v>3.5</v>
      </c>
    </row>
    <row r="371" spans="1:15" ht="21" customHeight="1" x14ac:dyDescent="0.25">
      <c r="A371" s="32">
        <v>3385</v>
      </c>
      <c r="B371" s="91">
        <v>46171</v>
      </c>
      <c r="C371" s="26"/>
      <c r="D371" s="26" t="s">
        <v>34</v>
      </c>
      <c r="E371" s="26"/>
      <c r="F371" s="28">
        <v>4</v>
      </c>
      <c r="G371" s="26"/>
      <c r="H371" s="27">
        <v>46174</v>
      </c>
      <c r="I371" s="28">
        <v>3</v>
      </c>
      <c r="J371" s="27">
        <v>46178</v>
      </c>
      <c r="K371" s="26" t="s">
        <v>3</v>
      </c>
      <c r="L371" s="26"/>
      <c r="M371" s="26"/>
      <c r="N371" s="26"/>
      <c r="O371" s="87">
        <f>VLOOKUP(A371,'HIPERQUERATOSE 26'!$A$2:$G$1542,7,1)</f>
        <v>3</v>
      </c>
    </row>
    <row r="372" spans="1:15" ht="21" customHeight="1" x14ac:dyDescent="0.25">
      <c r="A372" s="32">
        <v>4271</v>
      </c>
      <c r="B372" s="27">
        <v>46171</v>
      </c>
      <c r="C372" s="26"/>
      <c r="D372" s="26" t="s">
        <v>7</v>
      </c>
      <c r="E372" s="26"/>
      <c r="F372" s="28">
        <v>4</v>
      </c>
      <c r="G372" s="26"/>
      <c r="H372" s="27">
        <v>46174</v>
      </c>
      <c r="I372" s="28">
        <v>3</v>
      </c>
      <c r="J372" s="27">
        <v>46178</v>
      </c>
      <c r="K372" s="26" t="s">
        <v>3</v>
      </c>
      <c r="L372" s="26"/>
      <c r="M372" s="26"/>
      <c r="N372" s="26"/>
      <c r="O372" s="87">
        <f>VLOOKUP(A372,'HIPERQUERATOSE 26'!$A$2:$G$1542,7,1)</f>
        <v>4</v>
      </c>
    </row>
    <row r="373" spans="1:15" ht="21" customHeight="1" x14ac:dyDescent="0.25">
      <c r="A373" s="32">
        <v>5347</v>
      </c>
      <c r="B373" s="27">
        <v>46172</v>
      </c>
      <c r="C373" s="26"/>
      <c r="D373" s="26" t="s">
        <v>7</v>
      </c>
      <c r="E373" s="26"/>
      <c r="F373" s="28">
        <v>4</v>
      </c>
      <c r="G373" s="26"/>
      <c r="H373" s="27">
        <v>46174</v>
      </c>
      <c r="I373" s="28">
        <v>3</v>
      </c>
      <c r="J373" s="27">
        <v>46178</v>
      </c>
      <c r="K373" s="26" t="s">
        <v>3</v>
      </c>
      <c r="L373" s="26"/>
      <c r="M373" s="26"/>
      <c r="N373" s="26"/>
      <c r="O373" s="87">
        <f>VLOOKUP(A373,'HIPERQUERATOSE 26'!$A$2:$G$1542,7,1)</f>
        <v>3.5</v>
      </c>
    </row>
    <row r="374" spans="1:15" ht="21" customHeight="1" x14ac:dyDescent="0.25">
      <c r="A374" s="32">
        <v>5126</v>
      </c>
      <c r="B374" s="27">
        <v>46173</v>
      </c>
      <c r="C374" s="26"/>
      <c r="D374" s="26" t="s">
        <v>7</v>
      </c>
      <c r="E374" s="26"/>
      <c r="F374" s="28">
        <v>4</v>
      </c>
      <c r="G374" s="26"/>
      <c r="H374" s="27">
        <v>46176</v>
      </c>
      <c r="I374" s="28">
        <v>3</v>
      </c>
      <c r="J374" s="27">
        <v>46180</v>
      </c>
      <c r="K374" s="26"/>
      <c r="L374" s="26"/>
      <c r="M374" s="26" t="s">
        <v>1</v>
      </c>
      <c r="N374" s="26"/>
      <c r="O374" s="87">
        <f>VLOOKUP(A374,'HIPERQUERATOSE 26'!$A$2:$G$1542,7,1)</f>
        <v>1.25</v>
      </c>
    </row>
    <row r="375" spans="1:15" ht="21" customHeight="1" x14ac:dyDescent="0.25">
      <c r="A375" s="32">
        <v>5829</v>
      </c>
      <c r="B375" s="27">
        <v>46173</v>
      </c>
      <c r="C375" s="26"/>
      <c r="D375" s="26" t="s">
        <v>7</v>
      </c>
      <c r="E375" s="26"/>
      <c r="F375" s="28">
        <v>4</v>
      </c>
      <c r="G375" s="26"/>
      <c r="H375" s="27">
        <v>46176</v>
      </c>
      <c r="I375" s="28">
        <v>3</v>
      </c>
      <c r="J375" s="27">
        <v>46180</v>
      </c>
      <c r="K375" s="26"/>
      <c r="L375" s="26"/>
      <c r="M375" s="26" t="s">
        <v>1</v>
      </c>
      <c r="N375" s="26"/>
      <c r="O375" s="87">
        <f>VLOOKUP(A375,'HIPERQUERATOSE 26'!$A$2:$G$1542,7,1)</f>
        <v>1.5</v>
      </c>
    </row>
    <row r="376" spans="1:15" ht="21" customHeight="1" x14ac:dyDescent="0.25">
      <c r="A376" s="32">
        <v>4182</v>
      </c>
      <c r="B376" s="27">
        <v>46174</v>
      </c>
      <c r="C376" s="26"/>
      <c r="D376" s="26" t="s">
        <v>7</v>
      </c>
      <c r="E376" s="26"/>
      <c r="F376" s="28">
        <v>4</v>
      </c>
      <c r="G376" s="26"/>
      <c r="H376" s="27">
        <v>46177</v>
      </c>
      <c r="I376" s="28">
        <v>3</v>
      </c>
      <c r="J376" s="27">
        <v>46181</v>
      </c>
      <c r="K376" s="26"/>
      <c r="L376" s="26" t="s">
        <v>5</v>
      </c>
      <c r="M376" s="26"/>
      <c r="N376" s="26"/>
      <c r="O376" s="87">
        <f>VLOOKUP(A376,'HIPERQUERATOSE 26'!$A$2:$G$1542,7,1)</f>
        <v>2.75</v>
      </c>
    </row>
    <row r="377" spans="1:15" ht="21" customHeight="1" x14ac:dyDescent="0.25">
      <c r="A377" s="28">
        <v>3402</v>
      </c>
      <c r="B377" s="91">
        <v>46174</v>
      </c>
      <c r="C377" s="28"/>
      <c r="D377" s="28" t="s">
        <v>34</v>
      </c>
      <c r="E377" s="28"/>
      <c r="F377" s="28">
        <v>4</v>
      </c>
      <c r="G377" s="28"/>
      <c r="H377" s="89">
        <v>46177</v>
      </c>
      <c r="I377" s="28">
        <v>3</v>
      </c>
      <c r="J377" s="89">
        <v>46181</v>
      </c>
      <c r="K377" s="28"/>
      <c r="L377" s="28"/>
      <c r="M377" s="28" t="s">
        <v>1</v>
      </c>
      <c r="N377" s="28"/>
      <c r="O377" s="87">
        <f>VLOOKUP(A377,'HIPERQUERATOSE 26'!$A$2:$G$1542,7,1)</f>
        <v>2.25</v>
      </c>
    </row>
    <row r="378" spans="1:15" ht="21" customHeight="1" x14ac:dyDescent="0.25">
      <c r="A378" s="28">
        <v>4373</v>
      </c>
      <c r="B378" s="91">
        <v>46174</v>
      </c>
      <c r="C378" s="28"/>
      <c r="D378" s="28" t="s">
        <v>21</v>
      </c>
      <c r="E378" s="28"/>
      <c r="F378" s="28">
        <v>4</v>
      </c>
      <c r="G378" s="28"/>
      <c r="H378" s="89">
        <v>46177</v>
      </c>
      <c r="I378" s="28">
        <v>9</v>
      </c>
      <c r="J378" s="89">
        <v>46187</v>
      </c>
      <c r="K378" s="28"/>
      <c r="L378" s="28"/>
      <c r="M378" s="28"/>
      <c r="N378" s="28" t="s">
        <v>4</v>
      </c>
      <c r="O378" s="87">
        <f>VLOOKUP(A378,'HIPERQUERATOSE 26'!$A$2:$G$1542,7,1)</f>
        <v>4</v>
      </c>
    </row>
    <row r="379" spans="1:15" ht="21" customHeight="1" x14ac:dyDescent="0.25">
      <c r="A379" s="28">
        <v>5302</v>
      </c>
      <c r="B379" s="91">
        <v>46174</v>
      </c>
      <c r="C379" s="28"/>
      <c r="D379" s="28" t="s">
        <v>7</v>
      </c>
      <c r="E379" s="28"/>
      <c r="F379" s="28">
        <v>4</v>
      </c>
      <c r="G379" s="28"/>
      <c r="H379" s="89">
        <v>46177</v>
      </c>
      <c r="I379" s="28">
        <v>3</v>
      </c>
      <c r="J379" s="89">
        <v>46181</v>
      </c>
      <c r="K379" s="28" t="s">
        <v>3</v>
      </c>
      <c r="L379" s="28"/>
      <c r="M379" s="28"/>
      <c r="N379" s="28"/>
      <c r="O379" s="87">
        <f>VLOOKUP(A379,'HIPERQUERATOSE 26'!$A$2:$G$1542,7,1)</f>
        <v>1</v>
      </c>
    </row>
    <row r="380" spans="1:15" ht="21" customHeight="1" x14ac:dyDescent="0.25">
      <c r="A380" s="28">
        <v>4759</v>
      </c>
      <c r="B380" s="91">
        <v>46174</v>
      </c>
      <c r="C380" s="28"/>
      <c r="D380" s="28" t="s">
        <v>7</v>
      </c>
      <c r="E380" s="28"/>
      <c r="F380" s="28">
        <v>4</v>
      </c>
      <c r="G380" s="28"/>
      <c r="H380" s="89">
        <v>46177</v>
      </c>
      <c r="I380" s="28">
        <v>3</v>
      </c>
      <c r="J380" s="89">
        <v>46181</v>
      </c>
      <c r="K380" s="28"/>
      <c r="L380" s="28"/>
      <c r="M380" s="28"/>
      <c r="N380" s="28" t="s">
        <v>4</v>
      </c>
      <c r="O380" s="87">
        <f>VLOOKUP(A380,'HIPERQUERATOSE 26'!$A$2:$G$1542,7,1)</f>
        <v>1.75</v>
      </c>
    </row>
    <row r="381" spans="1:15" ht="21" customHeight="1" x14ac:dyDescent="0.25">
      <c r="A381" s="28">
        <v>4941</v>
      </c>
      <c r="B381" s="91">
        <v>46174</v>
      </c>
      <c r="C381" s="28"/>
      <c r="D381" s="28" t="s">
        <v>7</v>
      </c>
      <c r="E381" s="28"/>
      <c r="F381" s="28">
        <v>4</v>
      </c>
      <c r="G381" s="28"/>
      <c r="H381" s="89">
        <v>46177</v>
      </c>
      <c r="I381" s="28">
        <v>3</v>
      </c>
      <c r="J381" s="89">
        <v>46181</v>
      </c>
      <c r="K381" s="28" t="s">
        <v>3</v>
      </c>
      <c r="L381" s="28"/>
      <c r="M381" s="28"/>
      <c r="N381" s="28"/>
      <c r="O381" s="87">
        <f>VLOOKUP(A381,'HIPERQUERATOSE 26'!$A$2:$G$1542,7,1)</f>
        <v>1.5</v>
      </c>
    </row>
    <row r="382" spans="1:15" ht="21" customHeight="1" x14ac:dyDescent="0.25">
      <c r="A382" s="28">
        <v>2800</v>
      </c>
      <c r="B382" s="91">
        <v>46175</v>
      </c>
      <c r="C382" s="28"/>
      <c r="D382" s="28" t="s">
        <v>21</v>
      </c>
      <c r="E382" s="28"/>
      <c r="F382" s="28">
        <v>4</v>
      </c>
      <c r="G382" s="28"/>
      <c r="H382" s="89">
        <v>46178</v>
      </c>
      <c r="I382" s="28">
        <v>9</v>
      </c>
      <c r="J382" s="89">
        <v>46188</v>
      </c>
      <c r="K382" s="28"/>
      <c r="L382" s="28" t="s">
        <v>5</v>
      </c>
      <c r="M382" s="28"/>
      <c r="N382" s="28"/>
      <c r="O382" s="87">
        <f>VLOOKUP(A382,'HIPERQUERATOSE 26'!$A$2:$G$1542,7,1)</f>
        <v>2.25</v>
      </c>
    </row>
    <row r="383" spans="1:15" ht="21" customHeight="1" x14ac:dyDescent="0.25">
      <c r="A383" s="28">
        <v>3501</v>
      </c>
      <c r="B383" s="91">
        <v>46175</v>
      </c>
      <c r="C383" s="28"/>
      <c r="D383" s="28" t="s">
        <v>7</v>
      </c>
      <c r="E383" s="28"/>
      <c r="F383" s="28">
        <v>4</v>
      </c>
      <c r="G383" s="28"/>
      <c r="H383" s="89">
        <v>46178</v>
      </c>
      <c r="I383" s="28">
        <v>3</v>
      </c>
      <c r="J383" s="89">
        <v>46182</v>
      </c>
      <c r="K383" s="28" t="s">
        <v>3</v>
      </c>
      <c r="L383" s="28"/>
      <c r="M383" s="28"/>
      <c r="N383" s="28"/>
      <c r="O383" s="87">
        <f>VLOOKUP(A383,'HIPERQUERATOSE 26'!$A$2:$G$1542,7,1)</f>
        <v>3.25</v>
      </c>
    </row>
    <row r="384" spans="1:15" ht="21" customHeight="1" x14ac:dyDescent="0.25">
      <c r="A384" s="28">
        <v>4953</v>
      </c>
      <c r="B384" s="91">
        <v>46175</v>
      </c>
      <c r="C384" s="28"/>
      <c r="D384" s="28" t="s">
        <v>34</v>
      </c>
      <c r="E384" s="28"/>
      <c r="F384" s="28">
        <v>4</v>
      </c>
      <c r="G384" s="28"/>
      <c r="H384" s="89">
        <v>46178</v>
      </c>
      <c r="I384" s="28">
        <v>3</v>
      </c>
      <c r="J384" s="89">
        <v>46182</v>
      </c>
      <c r="K384" s="28"/>
      <c r="L384" s="28" t="s">
        <v>5</v>
      </c>
      <c r="M384" s="28"/>
      <c r="N384" s="28"/>
      <c r="O384" s="87">
        <f>VLOOKUP(A384,'HIPERQUERATOSE 26'!$A$2:$G$1542,7,1)</f>
        <v>3.5</v>
      </c>
    </row>
    <row r="385" spans="1:15" ht="21" customHeight="1" x14ac:dyDescent="0.25">
      <c r="A385" s="28">
        <v>3020</v>
      </c>
      <c r="B385" s="91">
        <v>46175</v>
      </c>
      <c r="C385" s="28"/>
      <c r="D385" s="28" t="s">
        <v>34</v>
      </c>
      <c r="E385" s="28"/>
      <c r="F385" s="28">
        <v>4</v>
      </c>
      <c r="G385" s="28"/>
      <c r="H385" s="89">
        <v>46178</v>
      </c>
      <c r="I385" s="28">
        <v>3</v>
      </c>
      <c r="J385" s="89">
        <v>46182</v>
      </c>
      <c r="K385" s="28" t="s">
        <v>3</v>
      </c>
      <c r="L385" s="28"/>
      <c r="M385" s="28"/>
      <c r="N385" s="28"/>
      <c r="O385" s="87">
        <f>VLOOKUP(A385,'HIPERQUERATOSE 26'!$A$2:$G$1542,7,1)</f>
        <v>2</v>
      </c>
    </row>
    <row r="386" spans="1:15" ht="21" customHeight="1" x14ac:dyDescent="0.25">
      <c r="A386" s="28">
        <v>3834</v>
      </c>
      <c r="B386" s="91">
        <v>46175</v>
      </c>
      <c r="C386" s="28"/>
      <c r="D386" s="28" t="s">
        <v>21</v>
      </c>
      <c r="E386" s="28"/>
      <c r="F386" s="28">
        <v>4</v>
      </c>
      <c r="G386" s="28"/>
      <c r="H386" s="89">
        <v>46178</v>
      </c>
      <c r="I386" s="28">
        <v>9</v>
      </c>
      <c r="J386" s="89">
        <v>46188</v>
      </c>
      <c r="K386" s="28" t="s">
        <v>3</v>
      </c>
      <c r="L386" s="28"/>
      <c r="M386" s="28"/>
      <c r="N386" s="28"/>
      <c r="O386" s="87">
        <f>VLOOKUP(A386,'HIPERQUERATOSE 26'!$A$2:$G$1542,7,1)</f>
        <v>2.25</v>
      </c>
    </row>
    <row r="387" spans="1:15" ht="21" customHeight="1" x14ac:dyDescent="0.25">
      <c r="A387" s="28">
        <v>4817</v>
      </c>
      <c r="B387" s="91">
        <v>46176</v>
      </c>
      <c r="C387" s="28"/>
      <c r="D387" s="28" t="s">
        <v>21</v>
      </c>
      <c r="E387" s="28"/>
      <c r="F387" s="28">
        <v>4</v>
      </c>
      <c r="G387" s="28"/>
      <c r="H387" s="89">
        <v>46179</v>
      </c>
      <c r="I387" s="28">
        <v>9</v>
      </c>
      <c r="J387" s="89">
        <v>46189</v>
      </c>
      <c r="K387" s="28"/>
      <c r="L387" s="28"/>
      <c r="M387" s="28"/>
      <c r="N387" s="28" t="s">
        <v>4</v>
      </c>
      <c r="O387" s="87">
        <f>VLOOKUP(A387,'HIPERQUERATOSE 26'!$A$2:$G$1542,7,1)</f>
        <v>1</v>
      </c>
    </row>
    <row r="388" spans="1:15" ht="21" customHeight="1" x14ac:dyDescent="0.25">
      <c r="A388" s="28">
        <v>4746</v>
      </c>
      <c r="B388" s="91">
        <v>46176</v>
      </c>
      <c r="C388" s="28"/>
      <c r="D388" s="28" t="s">
        <v>21</v>
      </c>
      <c r="E388" s="28"/>
      <c r="F388" s="28">
        <v>4</v>
      </c>
      <c r="G388" s="28"/>
      <c r="H388" s="89">
        <v>46179</v>
      </c>
      <c r="I388" s="28">
        <v>9</v>
      </c>
      <c r="J388" s="89">
        <v>46189</v>
      </c>
      <c r="K388" s="28"/>
      <c r="L388" s="28"/>
      <c r="M388" s="28"/>
      <c r="N388" s="28" t="s">
        <v>4</v>
      </c>
      <c r="O388" s="87">
        <f>VLOOKUP(A388,'HIPERQUERATOSE 26'!$A$2:$G$1542,7,1)</f>
        <v>1</v>
      </c>
    </row>
    <row r="389" spans="1:15" ht="21" customHeight="1" x14ac:dyDescent="0.25">
      <c r="A389" s="28">
        <v>5221</v>
      </c>
      <c r="B389" s="91">
        <v>46177</v>
      </c>
      <c r="C389" s="28"/>
      <c r="D389" s="28" t="s">
        <v>7</v>
      </c>
      <c r="E389" s="28"/>
      <c r="F389" s="28">
        <v>4</v>
      </c>
      <c r="G389" s="28"/>
      <c r="H389" s="89">
        <v>46180</v>
      </c>
      <c r="I389" s="28">
        <v>3</v>
      </c>
      <c r="J389" s="89">
        <v>46184</v>
      </c>
      <c r="K389" s="28" t="s">
        <v>3</v>
      </c>
      <c r="L389" s="28"/>
      <c r="M389" s="28"/>
      <c r="N389" s="28"/>
      <c r="O389" s="87">
        <f>VLOOKUP(A389,'HIPERQUERATOSE 26'!$A$2:$G$1542,7,1)</f>
        <v>1.25</v>
      </c>
    </row>
    <row r="390" spans="1:15" ht="21" customHeight="1" x14ac:dyDescent="0.25">
      <c r="A390" s="28">
        <v>3146</v>
      </c>
      <c r="B390" s="91">
        <v>46177</v>
      </c>
      <c r="C390" s="28"/>
      <c r="D390" s="28" t="s">
        <v>20</v>
      </c>
      <c r="E390" s="28"/>
      <c r="F390" s="28">
        <v>4</v>
      </c>
      <c r="G390" s="28"/>
      <c r="H390" s="89">
        <v>46180</v>
      </c>
      <c r="I390" s="28">
        <v>9</v>
      </c>
      <c r="J390" s="89">
        <v>46190</v>
      </c>
      <c r="K390" s="28"/>
      <c r="L390" s="28" t="s">
        <v>5</v>
      </c>
      <c r="M390" s="28"/>
      <c r="N390" s="28"/>
      <c r="O390" s="87">
        <f>VLOOKUP(A390,'HIPERQUERATOSE 26'!$A$2:$G$1542,7,1)</f>
        <v>1</v>
      </c>
    </row>
    <row r="391" spans="1:15" ht="21" customHeight="1" x14ac:dyDescent="0.25">
      <c r="A391" s="28">
        <v>4821</v>
      </c>
      <c r="B391" s="91">
        <v>46177</v>
      </c>
      <c r="C391" s="28"/>
      <c r="D391" s="28" t="s">
        <v>20</v>
      </c>
      <c r="E391" s="28"/>
      <c r="F391" s="28">
        <v>4</v>
      </c>
      <c r="G391" s="28"/>
      <c r="H391" s="89">
        <v>46180</v>
      </c>
      <c r="I391" s="28">
        <v>9</v>
      </c>
      <c r="J391" s="89">
        <v>46190</v>
      </c>
      <c r="K391" s="28"/>
      <c r="L391" s="28"/>
      <c r="M391" s="28" t="s">
        <v>1</v>
      </c>
      <c r="N391" s="28"/>
      <c r="O391" s="87">
        <f>VLOOKUP(A391,'HIPERQUERATOSE 26'!$A$2:$G$1542,7,1)</f>
        <v>1.75</v>
      </c>
    </row>
    <row r="392" spans="1:15" ht="21" customHeight="1" x14ac:dyDescent="0.25">
      <c r="A392" s="28">
        <v>3825</v>
      </c>
      <c r="B392" s="91">
        <v>46177</v>
      </c>
      <c r="C392" s="28"/>
      <c r="D392" s="28" t="s">
        <v>20</v>
      </c>
      <c r="E392" s="28"/>
      <c r="F392" s="28">
        <v>4</v>
      </c>
      <c r="G392" s="28"/>
      <c r="H392" s="89">
        <v>46180</v>
      </c>
      <c r="I392" s="28">
        <v>9</v>
      </c>
      <c r="J392" s="89">
        <v>46190</v>
      </c>
      <c r="K392" s="28"/>
      <c r="L392" s="28"/>
      <c r="M392" s="28"/>
      <c r="N392" s="28" t="s">
        <v>4</v>
      </c>
      <c r="O392" s="87">
        <f>VLOOKUP(A392,'HIPERQUERATOSE 26'!$A$2:$G$1542,7,1)</f>
        <v>3.75</v>
      </c>
    </row>
    <row r="393" spans="1:15" ht="21" customHeight="1" x14ac:dyDescent="0.25">
      <c r="A393" s="28">
        <v>4212</v>
      </c>
      <c r="B393" s="91">
        <v>46177</v>
      </c>
      <c r="C393" s="28"/>
      <c r="D393" s="28" t="s">
        <v>20</v>
      </c>
      <c r="E393" s="28"/>
      <c r="F393" s="28">
        <v>4</v>
      </c>
      <c r="G393" s="28"/>
      <c r="H393" s="89">
        <v>46180</v>
      </c>
      <c r="I393" s="28">
        <v>9</v>
      </c>
      <c r="J393" s="89">
        <v>46190</v>
      </c>
      <c r="K393" s="28"/>
      <c r="L393" s="28"/>
      <c r="M393" s="28" t="s">
        <v>1</v>
      </c>
      <c r="N393" s="28"/>
      <c r="O393" s="87">
        <f>VLOOKUP(A393,'HIPERQUERATOSE 26'!$A$2:$G$1542,7,1)</f>
        <v>1.25</v>
      </c>
    </row>
    <row r="394" spans="1:15" ht="21" customHeight="1" x14ac:dyDescent="0.25">
      <c r="A394" s="28">
        <v>5081</v>
      </c>
      <c r="B394" s="91">
        <v>46178</v>
      </c>
      <c r="C394" s="28"/>
      <c r="D394" s="28" t="s">
        <v>34</v>
      </c>
      <c r="E394" s="28"/>
      <c r="F394" s="28">
        <v>4</v>
      </c>
      <c r="G394" s="28"/>
      <c r="H394" s="89">
        <v>46181</v>
      </c>
      <c r="I394" s="28">
        <v>3</v>
      </c>
      <c r="J394" s="89">
        <v>46185</v>
      </c>
      <c r="K394" s="28"/>
      <c r="L394" s="28" t="s">
        <v>5</v>
      </c>
      <c r="M394" s="28"/>
      <c r="N394" s="28"/>
      <c r="O394" s="87">
        <f>VLOOKUP(A394,'HIPERQUERATOSE 26'!$A$2:$G$1542,7,1)</f>
        <v>1</v>
      </c>
    </row>
    <row r="395" spans="1:15" ht="21" customHeight="1" x14ac:dyDescent="0.25">
      <c r="A395" s="28">
        <v>3841</v>
      </c>
      <c r="B395" s="91">
        <v>46178</v>
      </c>
      <c r="C395" s="28"/>
      <c r="D395" s="28" t="s">
        <v>7</v>
      </c>
      <c r="E395" s="28"/>
      <c r="F395" s="28">
        <v>4</v>
      </c>
      <c r="G395" s="28"/>
      <c r="H395" s="89">
        <v>46181</v>
      </c>
      <c r="I395" s="28">
        <v>3</v>
      </c>
      <c r="J395" s="89">
        <v>46185</v>
      </c>
      <c r="K395" s="28" t="s">
        <v>3</v>
      </c>
      <c r="L395" s="28"/>
      <c r="M395" s="28"/>
      <c r="N395" s="28"/>
      <c r="O395" s="87">
        <f>VLOOKUP(A395,'HIPERQUERATOSE 26'!$A$2:$G$1542,7,1)</f>
        <v>3.5</v>
      </c>
    </row>
    <row r="396" spans="1:15" ht="21" customHeight="1" x14ac:dyDescent="0.25">
      <c r="A396" s="28">
        <v>2892</v>
      </c>
      <c r="B396" s="91">
        <v>46178</v>
      </c>
      <c r="C396" s="28"/>
      <c r="D396" s="28" t="s">
        <v>7</v>
      </c>
      <c r="E396" s="28"/>
      <c r="F396" s="28">
        <v>4</v>
      </c>
      <c r="G396" s="28"/>
      <c r="H396" s="89">
        <v>46181</v>
      </c>
      <c r="I396" s="28">
        <v>3</v>
      </c>
      <c r="J396" s="89">
        <v>46185</v>
      </c>
      <c r="K396" s="28"/>
      <c r="L396" s="28"/>
      <c r="M396" s="28"/>
      <c r="N396" s="28" t="s">
        <v>4</v>
      </c>
      <c r="O396" s="87">
        <f>VLOOKUP(A396,'HIPERQUERATOSE 26'!$A$2:$G$1542,7,1)</f>
        <v>2.25</v>
      </c>
    </row>
    <row r="397" spans="1:15" ht="21" customHeight="1" x14ac:dyDescent="0.25">
      <c r="A397" s="28">
        <v>5147</v>
      </c>
      <c r="B397" s="91">
        <v>46178</v>
      </c>
      <c r="C397" s="28"/>
      <c r="D397" s="28" t="s">
        <v>7</v>
      </c>
      <c r="E397" s="28"/>
      <c r="F397" s="28">
        <v>4</v>
      </c>
      <c r="G397" s="28"/>
      <c r="H397" s="89">
        <v>46181</v>
      </c>
      <c r="I397" s="28">
        <v>3</v>
      </c>
      <c r="J397" s="89">
        <v>46185</v>
      </c>
      <c r="K397" s="28"/>
      <c r="L397" s="28" t="s">
        <v>5</v>
      </c>
      <c r="M397" s="28"/>
      <c r="N397" s="28"/>
      <c r="O397" s="87">
        <f>VLOOKUP(A397,'HIPERQUERATOSE 26'!$A$2:$G$1542,7,1)</f>
        <v>2.25</v>
      </c>
    </row>
    <row r="398" spans="1:15" ht="21" customHeight="1" x14ac:dyDescent="0.25">
      <c r="A398" s="28">
        <v>5221</v>
      </c>
      <c r="B398" s="91">
        <v>46179</v>
      </c>
      <c r="C398" s="28"/>
      <c r="D398" s="28" t="s">
        <v>34</v>
      </c>
      <c r="E398" s="28"/>
      <c r="F398" s="28">
        <v>4</v>
      </c>
      <c r="G398" s="28"/>
      <c r="H398" s="89">
        <v>46182</v>
      </c>
      <c r="I398" s="28">
        <v>3</v>
      </c>
      <c r="J398" s="89">
        <v>46186</v>
      </c>
      <c r="K398" s="28" t="s">
        <v>3</v>
      </c>
      <c r="L398" s="28"/>
      <c r="M398" s="28"/>
      <c r="N398" s="28"/>
      <c r="O398" s="87">
        <f>VLOOKUP(A398,'HIPERQUERATOSE 26'!$A$2:$G$1542,7,1)</f>
        <v>1.25</v>
      </c>
    </row>
    <row r="399" spans="1:15" ht="21" customHeight="1" x14ac:dyDescent="0.25">
      <c r="A399" s="28">
        <v>5400</v>
      </c>
      <c r="B399" s="91">
        <v>46179</v>
      </c>
      <c r="C399" s="28"/>
      <c r="D399" s="28" t="s">
        <v>7</v>
      </c>
      <c r="E399" s="28"/>
      <c r="F399" s="28">
        <v>4</v>
      </c>
      <c r="G399" s="28"/>
      <c r="H399" s="89">
        <v>46182</v>
      </c>
      <c r="I399" s="28">
        <v>3</v>
      </c>
      <c r="J399" s="89">
        <v>46186</v>
      </c>
      <c r="K399" s="28"/>
      <c r="L399" s="28"/>
      <c r="M399" s="28" t="s">
        <v>1</v>
      </c>
      <c r="N399" s="28"/>
      <c r="O399" s="87">
        <f>VLOOKUP(A399,'HIPERQUERATOSE 26'!$A$2:$G$1542,7,1)</f>
        <v>2.75</v>
      </c>
    </row>
    <row r="400" spans="1:15" ht="21" customHeight="1" x14ac:dyDescent="0.25">
      <c r="A400" s="28">
        <v>5487</v>
      </c>
      <c r="B400" s="91">
        <v>46179</v>
      </c>
      <c r="C400" s="28"/>
      <c r="D400" s="28" t="s">
        <v>32</v>
      </c>
      <c r="E400" s="28"/>
      <c r="F400" s="28">
        <v>4</v>
      </c>
      <c r="G400" s="28"/>
      <c r="H400" s="89">
        <v>46182</v>
      </c>
      <c r="I400" s="28">
        <v>3</v>
      </c>
      <c r="J400" s="89">
        <v>46186</v>
      </c>
      <c r="K400" s="28"/>
      <c r="L400" s="28"/>
      <c r="M400" s="28" t="s">
        <v>1</v>
      </c>
      <c r="N400" s="28"/>
      <c r="O400" s="87">
        <f>VLOOKUP(A400,'HIPERQUERATOSE 26'!$A$2:$G$1542,7,1)</f>
        <v>2.5</v>
      </c>
    </row>
    <row r="401" spans="1:15" ht="21" customHeight="1" x14ac:dyDescent="0.25">
      <c r="A401" s="28">
        <v>4347</v>
      </c>
      <c r="B401" s="91">
        <v>46180</v>
      </c>
      <c r="C401" s="28"/>
      <c r="D401" s="28" t="s">
        <v>32</v>
      </c>
      <c r="E401" s="28"/>
      <c r="F401" s="28">
        <v>4</v>
      </c>
      <c r="G401" s="28"/>
      <c r="H401" s="89">
        <v>46183</v>
      </c>
      <c r="I401" s="28">
        <v>3</v>
      </c>
      <c r="J401" s="89">
        <v>46187</v>
      </c>
      <c r="K401" s="28" t="s">
        <v>3</v>
      </c>
      <c r="L401" s="28"/>
      <c r="M401" s="28"/>
      <c r="N401" s="28"/>
      <c r="O401" s="87">
        <f>VLOOKUP(A401,'HIPERQUERATOSE 26'!$A$2:$G$1542,7,1)</f>
        <v>2.25</v>
      </c>
    </row>
    <row r="402" spans="1:15" ht="21" customHeight="1" x14ac:dyDescent="0.25">
      <c r="A402" s="28">
        <v>4941</v>
      </c>
      <c r="B402" s="91">
        <v>46181</v>
      </c>
      <c r="C402" s="28"/>
      <c r="D402" s="28" t="s">
        <v>20</v>
      </c>
      <c r="E402" s="28"/>
      <c r="F402" s="28">
        <v>4</v>
      </c>
      <c r="G402" s="28"/>
      <c r="H402" s="89">
        <v>46184</v>
      </c>
      <c r="I402" s="28">
        <v>9</v>
      </c>
      <c r="J402" s="89">
        <v>46194</v>
      </c>
      <c r="K402" s="28"/>
      <c r="L402" s="28"/>
      <c r="M402" s="28" t="s">
        <v>1</v>
      </c>
      <c r="N402" s="28"/>
      <c r="O402" s="87">
        <f>VLOOKUP(A402,'HIPERQUERATOSE 26'!$A$2:$G$1542,7,1)</f>
        <v>1.5</v>
      </c>
    </row>
    <row r="403" spans="1:15" ht="21" customHeight="1" x14ac:dyDescent="0.25">
      <c r="A403" s="28">
        <v>4285</v>
      </c>
      <c r="B403" s="91">
        <v>46181</v>
      </c>
      <c r="C403" s="28"/>
      <c r="D403" s="28" t="s">
        <v>20</v>
      </c>
      <c r="E403" s="28"/>
      <c r="F403" s="28">
        <v>4</v>
      </c>
      <c r="G403" s="28"/>
      <c r="H403" s="89">
        <v>46184</v>
      </c>
      <c r="I403" s="28">
        <v>9</v>
      </c>
      <c r="J403" s="89">
        <v>46194</v>
      </c>
      <c r="K403" s="28"/>
      <c r="L403" s="28" t="s">
        <v>5</v>
      </c>
      <c r="M403" s="28"/>
      <c r="N403" s="28"/>
      <c r="O403" s="87">
        <f>VLOOKUP(A403,'HIPERQUERATOSE 26'!$A$2:$G$1542,7,1)</f>
        <v>3</v>
      </c>
    </row>
    <row r="404" spans="1:15" ht="21" customHeight="1" x14ac:dyDescent="0.25">
      <c r="A404" s="28">
        <v>4700</v>
      </c>
      <c r="B404" s="91">
        <v>46181</v>
      </c>
      <c r="C404" s="28"/>
      <c r="D404" s="28" t="s">
        <v>20</v>
      </c>
      <c r="E404" s="28"/>
      <c r="F404" s="28">
        <v>4</v>
      </c>
      <c r="G404" s="28"/>
      <c r="H404" s="89">
        <v>46184</v>
      </c>
      <c r="I404" s="28">
        <v>9</v>
      </c>
      <c r="J404" s="89">
        <v>46194</v>
      </c>
      <c r="K404" s="28"/>
      <c r="L404" s="28"/>
      <c r="M404" s="28"/>
      <c r="N404" s="28" t="s">
        <v>4</v>
      </c>
      <c r="O404" s="87">
        <f>VLOOKUP(A404,'HIPERQUERATOSE 26'!$A$2:$G$1542,7,1)</f>
        <v>2.5</v>
      </c>
    </row>
    <row r="405" spans="1:15" ht="21" customHeight="1" x14ac:dyDescent="0.25">
      <c r="A405" s="28">
        <v>4488</v>
      </c>
      <c r="B405" s="91">
        <v>46181</v>
      </c>
      <c r="C405" s="28"/>
      <c r="D405" s="28" t="s">
        <v>7</v>
      </c>
      <c r="E405" s="28"/>
      <c r="F405" s="28">
        <v>4</v>
      </c>
      <c r="G405" s="28"/>
      <c r="H405" s="89">
        <v>46184</v>
      </c>
      <c r="I405" s="28">
        <v>3</v>
      </c>
      <c r="J405" s="89">
        <v>46188</v>
      </c>
      <c r="K405" s="28"/>
      <c r="L405" s="28"/>
      <c r="M405" s="28" t="s">
        <v>1</v>
      </c>
      <c r="N405" s="28"/>
      <c r="O405" s="87">
        <f>VLOOKUP(A405,'HIPERQUERATOSE 26'!$A$2:$G$1542,7,1)</f>
        <v>2.25</v>
      </c>
    </row>
    <row r="406" spans="1:15" ht="21" customHeight="1" x14ac:dyDescent="0.25">
      <c r="A406" s="28">
        <v>2904</v>
      </c>
      <c r="B406" s="91">
        <v>46181</v>
      </c>
      <c r="C406" s="28"/>
      <c r="D406" s="28" t="s">
        <v>7</v>
      </c>
      <c r="E406" s="28"/>
      <c r="F406" s="28">
        <v>4</v>
      </c>
      <c r="G406" s="28"/>
      <c r="H406" s="89">
        <v>46184</v>
      </c>
      <c r="I406" s="28">
        <v>3</v>
      </c>
      <c r="J406" s="89">
        <v>46188</v>
      </c>
      <c r="K406" s="28"/>
      <c r="L406" s="28"/>
      <c r="M406" s="28" t="s">
        <v>1</v>
      </c>
      <c r="N406" s="28"/>
      <c r="O406" s="87">
        <f>VLOOKUP(A406,'HIPERQUERATOSE 26'!$A$2:$G$1542,7,1)</f>
        <v>2.75</v>
      </c>
    </row>
    <row r="407" spans="1:15" ht="21" customHeight="1" x14ac:dyDescent="0.25">
      <c r="A407" s="28">
        <v>3177</v>
      </c>
      <c r="B407" s="91">
        <v>46181</v>
      </c>
      <c r="C407" s="28"/>
      <c r="D407" s="28" t="s">
        <v>7</v>
      </c>
      <c r="E407" s="28"/>
      <c r="F407" s="28">
        <v>4</v>
      </c>
      <c r="G407" s="28"/>
      <c r="H407" s="89">
        <v>46184</v>
      </c>
      <c r="I407" s="28">
        <v>3</v>
      </c>
      <c r="J407" s="89">
        <v>46188</v>
      </c>
      <c r="K407" s="28"/>
      <c r="L407" s="28"/>
      <c r="M407" s="28"/>
      <c r="N407" s="28" t="s">
        <v>4</v>
      </c>
      <c r="O407" s="87">
        <f>VLOOKUP(A407,'HIPERQUERATOSE 26'!$A$2:$G$1542,7,1)</f>
        <v>2.25</v>
      </c>
    </row>
    <row r="408" spans="1:15" ht="21" customHeight="1" x14ac:dyDescent="0.25">
      <c r="A408" s="28">
        <v>5410</v>
      </c>
      <c r="B408" s="91">
        <v>46182</v>
      </c>
      <c r="C408" s="28"/>
      <c r="D408" s="28" t="s">
        <v>7</v>
      </c>
      <c r="E408" s="28"/>
      <c r="F408" s="28">
        <v>4</v>
      </c>
      <c r="G408" s="28"/>
      <c r="H408" s="89">
        <v>46185</v>
      </c>
      <c r="I408" s="28">
        <v>3</v>
      </c>
      <c r="J408" s="89">
        <v>46189</v>
      </c>
      <c r="K408" s="28" t="s">
        <v>3</v>
      </c>
      <c r="L408" s="28"/>
      <c r="M408" s="28"/>
      <c r="N408" s="28"/>
      <c r="O408" s="87">
        <f>VLOOKUP(A408,'HIPERQUERATOSE 26'!$A$2:$G$1542,7,1)</f>
        <v>1.75</v>
      </c>
    </row>
    <row r="409" spans="1:15" ht="21" customHeight="1" x14ac:dyDescent="0.25">
      <c r="A409" s="28">
        <v>4514</v>
      </c>
      <c r="B409" s="91">
        <v>46183</v>
      </c>
      <c r="C409" s="28"/>
      <c r="D409" s="28" t="s">
        <v>20</v>
      </c>
      <c r="E409" s="28"/>
      <c r="F409" s="28">
        <v>4</v>
      </c>
      <c r="G409" s="28"/>
      <c r="H409" s="89">
        <v>46186</v>
      </c>
      <c r="I409" s="28">
        <v>9</v>
      </c>
      <c r="J409" s="89">
        <v>46196</v>
      </c>
      <c r="K409" s="28"/>
      <c r="L409" s="28" t="s">
        <v>5</v>
      </c>
      <c r="M409" s="28"/>
      <c r="N409" s="28"/>
      <c r="O409" s="87">
        <f>VLOOKUP(A409,'HIPERQUERATOSE 26'!$A$2:$G$1542,7,1)</f>
        <v>1</v>
      </c>
    </row>
    <row r="410" spans="1:15" ht="21" customHeight="1" x14ac:dyDescent="0.25">
      <c r="A410" s="28">
        <v>4653</v>
      </c>
      <c r="B410" s="91">
        <v>46183</v>
      </c>
      <c r="C410" s="28"/>
      <c r="D410" s="28" t="s">
        <v>20</v>
      </c>
      <c r="E410" s="28"/>
      <c r="F410" s="28">
        <v>4</v>
      </c>
      <c r="G410" s="28"/>
      <c r="H410" s="89">
        <v>46186</v>
      </c>
      <c r="I410" s="28">
        <v>9</v>
      </c>
      <c r="J410" s="89">
        <v>46196</v>
      </c>
      <c r="K410" s="28"/>
      <c r="L410" s="28" t="s">
        <v>5</v>
      </c>
      <c r="M410" s="28"/>
      <c r="N410" s="28"/>
      <c r="O410" s="87">
        <f>VLOOKUP(A410,'HIPERQUERATOSE 26'!$A$2:$G$1542,7,1)</f>
        <v>1</v>
      </c>
    </row>
    <row r="411" spans="1:15" ht="21" customHeight="1" x14ac:dyDescent="0.25">
      <c r="A411" s="28">
        <v>5147</v>
      </c>
      <c r="B411" s="91">
        <v>46185</v>
      </c>
      <c r="C411" s="28"/>
      <c r="D411" s="28" t="s">
        <v>20</v>
      </c>
      <c r="E411" s="28"/>
      <c r="F411" s="28">
        <v>4</v>
      </c>
      <c r="G411" s="28"/>
      <c r="H411" s="89">
        <v>46188</v>
      </c>
      <c r="I411" s="28">
        <v>9</v>
      </c>
      <c r="J411" s="89">
        <v>46198</v>
      </c>
      <c r="K411" s="28"/>
      <c r="L411" s="28" t="s">
        <v>5</v>
      </c>
      <c r="M411" s="28"/>
      <c r="N411" s="28"/>
      <c r="O411" s="87">
        <f>VLOOKUP(A411,'HIPERQUERATOSE 26'!$A$2:$G$1542,7,1)</f>
        <v>2.25</v>
      </c>
    </row>
    <row r="412" spans="1:15" ht="21" customHeight="1" x14ac:dyDescent="0.25">
      <c r="A412" s="28">
        <v>2892</v>
      </c>
      <c r="B412" s="91">
        <v>46185</v>
      </c>
      <c r="C412" s="28"/>
      <c r="D412" s="28" t="s">
        <v>20</v>
      </c>
      <c r="E412" s="28"/>
      <c r="F412" s="28">
        <v>4</v>
      </c>
      <c r="G412" s="28"/>
      <c r="H412" s="89">
        <v>46188</v>
      </c>
      <c r="I412" s="28">
        <v>9</v>
      </c>
      <c r="J412" s="89">
        <v>46198</v>
      </c>
      <c r="K412" s="28"/>
      <c r="L412" s="28"/>
      <c r="M412" s="28"/>
      <c r="N412" s="28" t="s">
        <v>4</v>
      </c>
      <c r="O412" s="87">
        <f>VLOOKUP(A412,'HIPERQUERATOSE 26'!$A$2:$G$1542,7,1)</f>
        <v>2.25</v>
      </c>
    </row>
    <row r="413" spans="1:15" ht="21" customHeight="1" x14ac:dyDescent="0.25">
      <c r="A413" s="28">
        <v>4993</v>
      </c>
      <c r="B413" s="91">
        <v>46185</v>
      </c>
      <c r="C413" s="28"/>
      <c r="D413" s="28" t="s">
        <v>7</v>
      </c>
      <c r="E413" s="28"/>
      <c r="F413" s="28">
        <v>4</v>
      </c>
      <c r="G413" s="28"/>
      <c r="H413" s="89">
        <v>46188</v>
      </c>
      <c r="I413" s="28">
        <v>3</v>
      </c>
      <c r="J413" s="89">
        <v>46192</v>
      </c>
      <c r="K413" s="28"/>
      <c r="L413" s="28" t="s">
        <v>5</v>
      </c>
      <c r="M413" s="28"/>
      <c r="N413" s="28" t="s">
        <v>4</v>
      </c>
      <c r="O413" s="87">
        <f>VLOOKUP(A413,'HIPERQUERATOSE 26'!$A$2:$G$1542,7,1)</f>
        <v>1</v>
      </c>
    </row>
    <row r="414" spans="1:15" ht="21" customHeight="1" x14ac:dyDescent="0.25">
      <c r="A414" s="28">
        <v>2904</v>
      </c>
      <c r="B414" s="91">
        <v>46186</v>
      </c>
      <c r="C414" s="28"/>
      <c r="D414" s="28" t="s">
        <v>34</v>
      </c>
      <c r="E414" s="28"/>
      <c r="F414" s="28">
        <v>4</v>
      </c>
      <c r="G414" s="28"/>
      <c r="H414" s="89">
        <v>46189</v>
      </c>
      <c r="I414" s="28">
        <v>3</v>
      </c>
      <c r="J414" s="89">
        <v>46193</v>
      </c>
      <c r="K414" s="28"/>
      <c r="L414" s="28"/>
      <c r="M414" s="28" t="s">
        <v>1</v>
      </c>
      <c r="N414" s="28"/>
      <c r="O414" s="87">
        <f>VLOOKUP(A414,'HIPERQUERATOSE 26'!$A$2:$G$1542,7,1)</f>
        <v>2.75</v>
      </c>
    </row>
    <row r="415" spans="1:15" ht="21" customHeight="1" x14ac:dyDescent="0.25">
      <c r="A415" s="28">
        <v>3691</v>
      </c>
      <c r="B415" s="91">
        <v>46186</v>
      </c>
      <c r="C415" s="28"/>
      <c r="D415" s="28" t="s">
        <v>34</v>
      </c>
      <c r="E415" s="28"/>
      <c r="F415" s="28">
        <v>4</v>
      </c>
      <c r="G415" s="28"/>
      <c r="H415" s="89">
        <v>46189</v>
      </c>
      <c r="I415" s="28">
        <v>3</v>
      </c>
      <c r="J415" s="89">
        <v>46193</v>
      </c>
      <c r="K415" s="28" t="s">
        <v>3</v>
      </c>
      <c r="L415" s="28"/>
      <c r="M415" s="28"/>
      <c r="N415" s="28"/>
      <c r="O415" s="87">
        <f>VLOOKUP(A415,'HIPERQUERATOSE 26'!$A$2:$G$1542,7,1)</f>
        <v>4</v>
      </c>
    </row>
    <row r="416" spans="1:15" ht="21" customHeight="1" x14ac:dyDescent="0.25">
      <c r="A416" s="28">
        <v>3930</v>
      </c>
      <c r="B416" s="91">
        <v>46187</v>
      </c>
      <c r="C416" s="28"/>
      <c r="D416" s="28" t="s">
        <v>20</v>
      </c>
      <c r="E416" s="28"/>
      <c r="F416" s="28">
        <v>4</v>
      </c>
      <c r="G416" s="28"/>
      <c r="H416" s="89">
        <v>46190</v>
      </c>
      <c r="I416" s="28">
        <v>9</v>
      </c>
      <c r="J416" s="89">
        <v>46200</v>
      </c>
      <c r="K416" s="28"/>
      <c r="L416" s="28"/>
      <c r="M416" s="28" t="s">
        <v>1</v>
      </c>
      <c r="N416" s="28"/>
      <c r="O416" s="87">
        <f>VLOOKUP(A416,'HIPERQUERATOSE 26'!$A$2:$G$1542,7,1)</f>
        <v>1.25</v>
      </c>
    </row>
    <row r="417" spans="1:15" ht="21" customHeight="1" x14ac:dyDescent="0.25">
      <c r="A417" s="28">
        <v>5338</v>
      </c>
      <c r="B417" s="91">
        <v>46187</v>
      </c>
      <c r="C417" s="28"/>
      <c r="D417" s="28" t="s">
        <v>20</v>
      </c>
      <c r="E417" s="28"/>
      <c r="F417" s="28">
        <v>4</v>
      </c>
      <c r="G417" s="28"/>
      <c r="H417" s="89">
        <v>46190</v>
      </c>
      <c r="I417" s="28">
        <v>9</v>
      </c>
      <c r="J417" s="89">
        <v>46200</v>
      </c>
      <c r="K417" s="28" t="s">
        <v>3</v>
      </c>
      <c r="L417" s="28"/>
      <c r="M417" s="28"/>
      <c r="N417" s="28"/>
      <c r="O417" s="87">
        <f>VLOOKUP(A417,'HIPERQUERATOSE 26'!$A$2:$G$1542,7,1)</f>
        <v>2</v>
      </c>
    </row>
    <row r="418" spans="1:15" ht="21" customHeight="1" x14ac:dyDescent="0.25">
      <c r="A418" s="28">
        <v>649</v>
      </c>
      <c r="B418" s="91">
        <v>46187</v>
      </c>
      <c r="C418" s="28"/>
      <c r="D418" s="28" t="s">
        <v>20</v>
      </c>
      <c r="E418" s="28"/>
      <c r="F418" s="28">
        <v>4</v>
      </c>
      <c r="G418" s="28"/>
      <c r="H418" s="89">
        <v>46190</v>
      </c>
      <c r="I418" s="28">
        <v>9</v>
      </c>
      <c r="J418" s="89">
        <v>46200</v>
      </c>
      <c r="K418" s="28"/>
      <c r="L418" s="28" t="s">
        <v>5</v>
      </c>
      <c r="M418" s="28"/>
      <c r="N418" s="28"/>
      <c r="O418" s="87">
        <f>VLOOKUP(A418,'HIPERQUERATOSE 26'!$A$2:$G$1542,7,1)</f>
        <v>2.25</v>
      </c>
    </row>
    <row r="419" spans="1:15" ht="21" customHeight="1" x14ac:dyDescent="0.25">
      <c r="A419" s="28">
        <v>4418</v>
      </c>
      <c r="B419" s="91">
        <v>46187</v>
      </c>
      <c r="C419" s="26"/>
      <c r="D419" s="28" t="s">
        <v>20</v>
      </c>
      <c r="E419" s="26"/>
      <c r="F419" s="28">
        <v>4</v>
      </c>
      <c r="G419" s="26"/>
      <c r="H419" s="27">
        <v>46190</v>
      </c>
      <c r="I419" s="28">
        <v>9</v>
      </c>
      <c r="J419" s="27">
        <v>46200</v>
      </c>
      <c r="K419" s="26"/>
      <c r="L419" s="26"/>
      <c r="M419" s="26" t="s">
        <v>1</v>
      </c>
      <c r="N419" s="26"/>
      <c r="O419" s="87">
        <f>VLOOKUP(A419,'HIPERQUERATOSE 26'!$A$2:$G$1542,7,1)</f>
        <v>1.25</v>
      </c>
    </row>
    <row r="420" spans="1:15" ht="21" customHeight="1" x14ac:dyDescent="0.25">
      <c r="A420" s="28">
        <v>5700</v>
      </c>
      <c r="B420" s="91">
        <v>46187</v>
      </c>
      <c r="C420" s="26"/>
      <c r="D420" s="28" t="s">
        <v>7</v>
      </c>
      <c r="E420" s="26"/>
      <c r="F420" s="28">
        <v>4</v>
      </c>
      <c r="G420" s="26"/>
      <c r="H420" s="27">
        <v>46190</v>
      </c>
      <c r="I420" s="28">
        <v>3</v>
      </c>
      <c r="J420" s="27">
        <v>46194</v>
      </c>
      <c r="K420" s="26"/>
      <c r="L420" s="26"/>
      <c r="M420" s="26" t="s">
        <v>1</v>
      </c>
      <c r="N420" s="26"/>
      <c r="O420" s="87">
        <f>VLOOKUP(A420,'HIPERQUERATOSE 26'!$A$2:$G$1542,7,1)</f>
        <v>1.5</v>
      </c>
    </row>
    <row r="421" spans="1:15" ht="21" customHeight="1" x14ac:dyDescent="0.25">
      <c r="A421" s="28">
        <v>4232</v>
      </c>
      <c r="B421" s="91">
        <v>46188</v>
      </c>
      <c r="C421" s="26"/>
      <c r="D421" s="28" t="s">
        <v>7</v>
      </c>
      <c r="E421" s="26"/>
      <c r="F421" s="28">
        <v>4</v>
      </c>
      <c r="G421" s="26"/>
      <c r="H421" s="27">
        <v>46191</v>
      </c>
      <c r="I421" s="28">
        <v>3</v>
      </c>
      <c r="J421" s="27">
        <v>46195</v>
      </c>
      <c r="K421" s="26"/>
      <c r="L421" s="26" t="s">
        <v>5</v>
      </c>
      <c r="M421" s="26"/>
      <c r="N421" s="26"/>
      <c r="O421" s="87">
        <f>VLOOKUP(A421,'HIPERQUERATOSE 26'!$A$2:$G$1542,7,1)</f>
        <v>2.75</v>
      </c>
    </row>
    <row r="422" spans="1:15" ht="21" customHeight="1" x14ac:dyDescent="0.25">
      <c r="A422" s="28">
        <v>850</v>
      </c>
      <c r="B422" s="91">
        <v>46189</v>
      </c>
      <c r="C422" s="26"/>
      <c r="D422" s="28" t="s">
        <v>7</v>
      </c>
      <c r="E422" s="26"/>
      <c r="F422" s="28">
        <v>4</v>
      </c>
      <c r="G422" s="26"/>
      <c r="H422" s="27">
        <v>46192</v>
      </c>
      <c r="I422" s="28">
        <v>3</v>
      </c>
      <c r="J422" s="27">
        <v>46196</v>
      </c>
      <c r="K422" s="26" t="s">
        <v>3</v>
      </c>
      <c r="L422" s="26"/>
      <c r="M422" s="26"/>
      <c r="N422" s="26"/>
      <c r="O422" s="87">
        <f>VLOOKUP(A422,'HIPERQUERATOSE 26'!$A$2:$G$1542,7,1)</f>
        <v>1</v>
      </c>
    </row>
    <row r="423" spans="1:15" ht="21" customHeight="1" x14ac:dyDescent="0.25">
      <c r="A423" s="28">
        <v>4520</v>
      </c>
      <c r="B423" s="91">
        <v>46189</v>
      </c>
      <c r="C423" s="26"/>
      <c r="D423" s="28" t="s">
        <v>7</v>
      </c>
      <c r="E423" s="26"/>
      <c r="F423" s="28">
        <v>4</v>
      </c>
      <c r="G423" s="26"/>
      <c r="H423" s="27">
        <v>46192</v>
      </c>
      <c r="I423" s="28">
        <v>3</v>
      </c>
      <c r="J423" s="27">
        <v>46196</v>
      </c>
      <c r="K423" s="26"/>
      <c r="L423" s="26"/>
      <c r="M423" s="26" t="s">
        <v>1</v>
      </c>
      <c r="N423" s="26"/>
      <c r="O423" s="87">
        <f>VLOOKUP(A423,'HIPERQUERATOSE 26'!$A$2:$G$1542,7,1)</f>
        <v>1.25</v>
      </c>
    </row>
    <row r="424" spans="1:15" ht="21" customHeight="1" x14ac:dyDescent="0.25">
      <c r="A424" s="28">
        <v>4653</v>
      </c>
      <c r="B424" s="91">
        <v>46189</v>
      </c>
      <c r="C424" s="26"/>
      <c r="D424" s="28" t="s">
        <v>20</v>
      </c>
      <c r="E424" s="26"/>
      <c r="F424" s="28">
        <v>4</v>
      </c>
      <c r="G424" s="26"/>
      <c r="H424" s="27">
        <v>46192</v>
      </c>
      <c r="I424" s="28">
        <v>3</v>
      </c>
      <c r="J424" s="27">
        <v>46196</v>
      </c>
      <c r="K424" s="26"/>
      <c r="L424" s="26" t="s">
        <v>5</v>
      </c>
      <c r="M424" s="26"/>
      <c r="N424" s="26"/>
      <c r="O424" s="87">
        <f>VLOOKUP(A424,'HIPERQUERATOSE 26'!$A$2:$G$1542,7,1)</f>
        <v>1</v>
      </c>
    </row>
    <row r="425" spans="1:15" ht="21" customHeight="1" x14ac:dyDescent="0.25">
      <c r="A425" s="28">
        <v>3989</v>
      </c>
      <c r="B425" s="91">
        <v>46189</v>
      </c>
      <c r="C425" s="26"/>
      <c r="D425" s="28" t="s">
        <v>20</v>
      </c>
      <c r="E425" s="26"/>
      <c r="F425" s="28">
        <v>4</v>
      </c>
      <c r="G425" s="26"/>
      <c r="H425" s="27">
        <v>46192</v>
      </c>
      <c r="I425" s="28">
        <v>9</v>
      </c>
      <c r="J425" s="27">
        <v>46202</v>
      </c>
      <c r="K425" s="26" t="s">
        <v>3</v>
      </c>
      <c r="L425" s="26" t="s">
        <v>5</v>
      </c>
      <c r="M425" s="26"/>
      <c r="N425" s="26" t="s">
        <v>4</v>
      </c>
      <c r="O425" s="87">
        <f>VLOOKUP(A425,'HIPERQUERATOSE 26'!$A$2:$G$1542,7,1)</f>
        <v>2.75</v>
      </c>
    </row>
    <row r="426" spans="1:15" ht="21" customHeight="1" x14ac:dyDescent="0.25">
      <c r="A426" s="28">
        <v>4712</v>
      </c>
      <c r="B426" s="91">
        <v>46189</v>
      </c>
      <c r="C426" s="26"/>
      <c r="D426" s="28" t="s">
        <v>7</v>
      </c>
      <c r="E426" s="26"/>
      <c r="F426" s="28">
        <v>4</v>
      </c>
      <c r="G426" s="26"/>
      <c r="H426" s="27">
        <v>46192</v>
      </c>
      <c r="I426" s="28">
        <v>3</v>
      </c>
      <c r="J426" s="27">
        <v>46196</v>
      </c>
      <c r="K426" s="26"/>
      <c r="L426" s="26"/>
      <c r="M426" s="26" t="s">
        <v>1</v>
      </c>
      <c r="N426" s="26"/>
      <c r="O426" s="87">
        <f>VLOOKUP(A426,'HIPERQUERATOSE 26'!$A$2:$G$1542,7,1)</f>
        <v>1</v>
      </c>
    </row>
    <row r="427" spans="1:15" ht="21" customHeight="1" x14ac:dyDescent="0.25">
      <c r="A427" s="28">
        <v>4346</v>
      </c>
      <c r="B427" s="91">
        <v>46189</v>
      </c>
      <c r="C427" s="26"/>
      <c r="D427" s="28" t="s">
        <v>20</v>
      </c>
      <c r="E427" s="26"/>
      <c r="F427" s="28">
        <v>4</v>
      </c>
      <c r="G427" s="26"/>
      <c r="H427" s="27">
        <v>46192</v>
      </c>
      <c r="I427" s="28">
        <v>9</v>
      </c>
      <c r="J427" s="27">
        <v>46202</v>
      </c>
      <c r="K427" s="26"/>
      <c r="L427" s="26" t="s">
        <v>5</v>
      </c>
      <c r="M427" s="26"/>
      <c r="N427" s="26"/>
      <c r="O427" s="87">
        <f>VLOOKUP(A427,'HIPERQUERATOSE 26'!$A$2:$G$1542,7,1)</f>
        <v>4</v>
      </c>
    </row>
    <row r="428" spans="1:15" ht="21" customHeight="1" x14ac:dyDescent="0.25">
      <c r="A428" s="28">
        <v>3193</v>
      </c>
      <c r="B428" s="91">
        <v>46189</v>
      </c>
      <c r="C428" s="26"/>
      <c r="D428" s="28" t="s">
        <v>7</v>
      </c>
      <c r="E428" s="26"/>
      <c r="F428" s="28">
        <v>4</v>
      </c>
      <c r="G428" s="26"/>
      <c r="H428" s="27">
        <v>46192</v>
      </c>
      <c r="I428" s="28">
        <v>3</v>
      </c>
      <c r="J428" s="27">
        <v>46196</v>
      </c>
      <c r="K428" s="26"/>
      <c r="L428" s="26"/>
      <c r="M428" s="26"/>
      <c r="N428" s="26" t="s">
        <v>4</v>
      </c>
      <c r="O428" s="87">
        <f>VLOOKUP(A428,'HIPERQUERATOSE 26'!$A$2:$G$1542,7,1)</f>
        <v>2.25</v>
      </c>
    </row>
    <row r="429" spans="1:15" ht="21" customHeight="1" x14ac:dyDescent="0.25">
      <c r="A429" s="28">
        <v>4194</v>
      </c>
      <c r="B429" s="91">
        <v>46189</v>
      </c>
      <c r="C429" s="26"/>
      <c r="D429" s="28" t="s">
        <v>7</v>
      </c>
      <c r="E429" s="26"/>
      <c r="F429" s="28">
        <v>4</v>
      </c>
      <c r="G429" s="26"/>
      <c r="H429" s="27">
        <v>46192</v>
      </c>
      <c r="I429" s="28">
        <v>3</v>
      </c>
      <c r="J429" s="27">
        <v>46196</v>
      </c>
      <c r="K429" s="26"/>
      <c r="L429" s="26"/>
      <c r="M429" s="26"/>
      <c r="N429" s="26" t="s">
        <v>4</v>
      </c>
      <c r="O429" s="87">
        <f>VLOOKUP(A429,'HIPERQUERATOSE 26'!$A$2:$G$1542,7,1)</f>
        <v>2.75</v>
      </c>
    </row>
    <row r="430" spans="1:15" ht="21" customHeight="1" x14ac:dyDescent="0.25">
      <c r="A430" s="28">
        <v>3923</v>
      </c>
      <c r="B430" s="91">
        <v>46190</v>
      </c>
      <c r="C430" s="26"/>
      <c r="D430" s="28" t="s">
        <v>7</v>
      </c>
      <c r="E430" s="26"/>
      <c r="F430" s="28">
        <v>4</v>
      </c>
      <c r="G430" s="26"/>
      <c r="H430" s="27">
        <v>46193</v>
      </c>
      <c r="I430" s="28">
        <v>3</v>
      </c>
      <c r="J430" s="27">
        <v>46197</v>
      </c>
      <c r="K430" s="26"/>
      <c r="L430" s="26"/>
      <c r="M430" s="26" t="s">
        <v>1</v>
      </c>
      <c r="N430" s="26"/>
      <c r="O430" s="87">
        <f>VLOOKUP(A430,'HIPERQUERATOSE 26'!$A$2:$G$1542,7,1)</f>
        <v>3.75</v>
      </c>
    </row>
    <row r="431" spans="1:15" ht="21" customHeight="1" x14ac:dyDescent="0.25">
      <c r="A431" s="28">
        <v>3637</v>
      </c>
      <c r="B431" s="91">
        <v>46190</v>
      </c>
      <c r="C431" s="26"/>
      <c r="D431" s="28" t="s">
        <v>7</v>
      </c>
      <c r="E431" s="26"/>
      <c r="F431" s="28">
        <v>4</v>
      </c>
      <c r="G431" s="26"/>
      <c r="H431" s="27">
        <v>46193</v>
      </c>
      <c r="I431" s="28">
        <v>3</v>
      </c>
      <c r="J431" s="27">
        <v>46197</v>
      </c>
      <c r="K431" s="26"/>
      <c r="L431" s="26" t="s">
        <v>5</v>
      </c>
      <c r="M431" s="26"/>
      <c r="N431" s="26"/>
      <c r="O431" s="87">
        <f>VLOOKUP(A431,'HIPERQUERATOSE 26'!$A$2:$G$1542,7,1)</f>
        <v>4</v>
      </c>
    </row>
    <row r="432" spans="1:15" ht="21" customHeight="1" x14ac:dyDescent="0.25">
      <c r="A432" s="28">
        <v>4506</v>
      </c>
      <c r="B432" s="91">
        <v>46190</v>
      </c>
      <c r="C432" s="26"/>
      <c r="D432" s="28" t="s">
        <v>7</v>
      </c>
      <c r="E432" s="26"/>
      <c r="F432" s="28">
        <v>4</v>
      </c>
      <c r="G432" s="26"/>
      <c r="H432" s="27">
        <v>46193</v>
      </c>
      <c r="I432" s="28">
        <v>3</v>
      </c>
      <c r="J432" s="27">
        <v>46197</v>
      </c>
      <c r="K432" s="26" t="s">
        <v>3</v>
      </c>
      <c r="L432" s="26"/>
      <c r="M432" s="26"/>
      <c r="N432" s="26"/>
      <c r="O432" s="87">
        <f>VLOOKUP(A432,'HIPERQUERATOSE 26'!$A$2:$G$1542,7,1)</f>
        <v>1</v>
      </c>
    </row>
    <row r="433" spans="1:15" ht="21" customHeight="1" x14ac:dyDescent="0.25">
      <c r="A433" s="28">
        <v>4868</v>
      </c>
      <c r="B433" s="91">
        <v>46191</v>
      </c>
      <c r="C433" s="26"/>
      <c r="D433" s="28" t="s">
        <v>7</v>
      </c>
      <c r="E433" s="26"/>
      <c r="F433" s="28">
        <v>4</v>
      </c>
      <c r="G433" s="26"/>
      <c r="H433" s="27">
        <v>46194</v>
      </c>
      <c r="I433" s="28">
        <v>3</v>
      </c>
      <c r="J433" s="27">
        <v>46198</v>
      </c>
      <c r="K433" s="26" t="s">
        <v>3</v>
      </c>
      <c r="L433" s="26"/>
      <c r="M433" s="26"/>
      <c r="N433" s="26"/>
      <c r="O433" s="87">
        <f>VLOOKUP(A433,'HIPERQUERATOSE 26'!$A$2:$G$1542,7,1)</f>
        <v>1.25</v>
      </c>
    </row>
    <row r="434" spans="1:15" ht="21" customHeight="1" x14ac:dyDescent="0.25">
      <c r="A434" s="28">
        <v>5347</v>
      </c>
      <c r="B434" s="91">
        <v>46191</v>
      </c>
      <c r="C434" s="26"/>
      <c r="D434" s="28" t="s">
        <v>7</v>
      </c>
      <c r="E434" s="26"/>
      <c r="F434" s="28">
        <v>4</v>
      </c>
      <c r="G434" s="26"/>
      <c r="H434" s="27">
        <v>46194</v>
      </c>
      <c r="I434" s="28">
        <v>3</v>
      </c>
      <c r="J434" s="27">
        <v>46198</v>
      </c>
      <c r="K434" s="26"/>
      <c r="L434" s="26" t="s">
        <v>5</v>
      </c>
      <c r="M434" s="26"/>
      <c r="N434" s="26"/>
      <c r="O434" s="87">
        <f>VLOOKUP(A434,'HIPERQUERATOSE 26'!$A$2:$G$1542,7,1)</f>
        <v>3.5</v>
      </c>
    </row>
    <row r="435" spans="1:15" ht="21" customHeight="1" x14ac:dyDescent="0.25">
      <c r="A435" s="28">
        <v>4871</v>
      </c>
      <c r="B435" s="91">
        <v>46192</v>
      </c>
      <c r="C435" s="26"/>
      <c r="D435" s="28" t="s">
        <v>7</v>
      </c>
      <c r="E435" s="26"/>
      <c r="F435" s="28">
        <v>4</v>
      </c>
      <c r="G435" s="26"/>
      <c r="H435" s="27">
        <v>46195</v>
      </c>
      <c r="I435" s="28">
        <v>3</v>
      </c>
      <c r="J435" s="27">
        <v>46199</v>
      </c>
      <c r="K435" s="26" t="s">
        <v>3</v>
      </c>
      <c r="L435" s="26"/>
      <c r="M435" s="26" t="s">
        <v>1</v>
      </c>
      <c r="N435" s="26"/>
      <c r="O435" s="87">
        <f>VLOOKUP(A435,'HIPERQUERATOSE 26'!$A$2:$G$1542,7,1)</f>
        <v>2.25</v>
      </c>
    </row>
    <row r="436" spans="1:15" ht="21" customHeight="1" x14ac:dyDescent="0.25">
      <c r="A436" s="28">
        <v>3870</v>
      </c>
      <c r="B436" s="91">
        <v>46192</v>
      </c>
      <c r="C436" s="26"/>
      <c r="D436" s="28" t="s">
        <v>7</v>
      </c>
      <c r="E436" s="26"/>
      <c r="F436" s="28">
        <v>4</v>
      </c>
      <c r="G436" s="26"/>
      <c r="H436" s="27">
        <v>46195</v>
      </c>
      <c r="I436" s="28">
        <v>3</v>
      </c>
      <c r="J436" s="27">
        <v>46199</v>
      </c>
      <c r="K436" s="26" t="s">
        <v>3</v>
      </c>
      <c r="L436" s="26"/>
      <c r="M436" s="26"/>
      <c r="N436" s="26"/>
      <c r="O436" s="87">
        <f>VLOOKUP(A436,'HIPERQUERATOSE 26'!$A$2:$G$1542,7,1)</f>
        <v>3.5</v>
      </c>
    </row>
    <row r="437" spans="1:15" ht="21" customHeight="1" x14ac:dyDescent="0.25">
      <c r="A437" s="28">
        <v>3896</v>
      </c>
      <c r="B437" s="91">
        <v>46192</v>
      </c>
      <c r="C437" s="26"/>
      <c r="D437" s="28" t="s">
        <v>7</v>
      </c>
      <c r="E437" s="26"/>
      <c r="F437" s="28">
        <v>4</v>
      </c>
      <c r="G437" s="26"/>
      <c r="H437" s="27">
        <v>46195</v>
      </c>
      <c r="I437" s="28">
        <v>3</v>
      </c>
      <c r="J437" s="27">
        <v>46199</v>
      </c>
      <c r="K437" s="26"/>
      <c r="L437" s="26"/>
      <c r="M437" s="26"/>
      <c r="N437" s="26" t="s">
        <v>4</v>
      </c>
      <c r="O437" s="87">
        <f>VLOOKUP(A437,'HIPERQUERATOSE 26'!$A$2:$G$1542,7,1)</f>
        <v>2.5</v>
      </c>
    </row>
    <row r="438" spans="1:15" ht="21" customHeight="1" x14ac:dyDescent="0.25">
      <c r="A438" s="28">
        <v>4653</v>
      </c>
      <c r="B438" s="91">
        <v>46192</v>
      </c>
      <c r="C438" s="26"/>
      <c r="D438" s="28" t="s">
        <v>25</v>
      </c>
      <c r="E438" s="26"/>
      <c r="F438" s="28">
        <v>4</v>
      </c>
      <c r="G438" s="26"/>
      <c r="H438" s="27">
        <v>46195</v>
      </c>
      <c r="I438" s="28">
        <v>5</v>
      </c>
      <c r="J438" s="27">
        <v>46201</v>
      </c>
      <c r="K438" s="26"/>
      <c r="L438" s="26" t="s">
        <v>5</v>
      </c>
      <c r="M438" s="26"/>
      <c r="N438" s="26"/>
      <c r="O438" s="87">
        <f>VLOOKUP(A438,'HIPERQUERATOSE 26'!$A$2:$G$1542,7,1)</f>
        <v>1</v>
      </c>
    </row>
    <row r="439" spans="1:15" ht="21" customHeight="1" x14ac:dyDescent="0.25">
      <c r="A439" s="28">
        <v>4520</v>
      </c>
      <c r="B439" s="91">
        <v>46192</v>
      </c>
      <c r="C439" s="26"/>
      <c r="D439" s="28" t="s">
        <v>25</v>
      </c>
      <c r="E439" s="26"/>
      <c r="F439" s="28">
        <v>4</v>
      </c>
      <c r="G439" s="26"/>
      <c r="H439" s="27">
        <v>46195</v>
      </c>
      <c r="I439" s="28">
        <v>5</v>
      </c>
      <c r="J439" s="27">
        <v>46201</v>
      </c>
      <c r="K439" s="26"/>
      <c r="L439" s="26"/>
      <c r="M439" s="26" t="s">
        <v>1</v>
      </c>
      <c r="N439" s="26"/>
      <c r="O439" s="87">
        <f>VLOOKUP(A439,'HIPERQUERATOSE 26'!$A$2:$G$1542,7,1)</f>
        <v>1.25</v>
      </c>
    </row>
    <row r="440" spans="1:15" ht="21" customHeight="1" x14ac:dyDescent="0.25">
      <c r="A440" s="28">
        <v>3254</v>
      </c>
      <c r="B440" s="91">
        <v>46193</v>
      </c>
      <c r="C440" s="26"/>
      <c r="D440" s="28" t="s">
        <v>7</v>
      </c>
      <c r="E440" s="26"/>
      <c r="F440" s="28">
        <v>4</v>
      </c>
      <c r="G440" s="26"/>
      <c r="H440" s="27">
        <v>46196</v>
      </c>
      <c r="I440" s="28">
        <v>3</v>
      </c>
      <c r="J440" s="27">
        <v>46200</v>
      </c>
      <c r="K440" s="26" t="s">
        <v>3</v>
      </c>
      <c r="L440" s="26"/>
      <c r="M440" s="26"/>
      <c r="N440" s="26"/>
      <c r="O440" s="87">
        <f>VLOOKUP(A440,'HIPERQUERATOSE 26'!$A$2:$G$1542,7,1)</f>
        <v>3.5</v>
      </c>
    </row>
    <row r="441" spans="1:15" ht="21" customHeight="1" x14ac:dyDescent="0.25">
      <c r="A441" s="28">
        <v>5369</v>
      </c>
      <c r="B441" s="91">
        <v>46193</v>
      </c>
      <c r="C441" s="26"/>
      <c r="D441" s="28" t="s">
        <v>20</v>
      </c>
      <c r="E441" s="26"/>
      <c r="F441" s="28">
        <v>4</v>
      </c>
      <c r="G441" s="26"/>
      <c r="H441" s="27">
        <v>46196</v>
      </c>
      <c r="I441" s="28">
        <v>9</v>
      </c>
      <c r="J441" s="27">
        <v>46176</v>
      </c>
      <c r="K441" s="26"/>
      <c r="L441" s="26" t="s">
        <v>5</v>
      </c>
      <c r="M441" s="26"/>
      <c r="N441" s="26"/>
      <c r="O441" s="87">
        <f>VLOOKUP(A441,'HIPERQUERATOSE 26'!$A$2:$G$1542,7,1)</f>
        <v>2.5</v>
      </c>
    </row>
    <row r="442" spans="1:15" ht="21" customHeight="1" x14ac:dyDescent="0.25">
      <c r="A442" s="28">
        <v>4993</v>
      </c>
      <c r="B442" s="91">
        <v>46193</v>
      </c>
      <c r="C442" s="26"/>
      <c r="D442" s="28" t="s">
        <v>20</v>
      </c>
      <c r="E442" s="26"/>
      <c r="F442" s="28">
        <v>4</v>
      </c>
      <c r="G442" s="26"/>
      <c r="H442" s="27">
        <v>46196</v>
      </c>
      <c r="I442" s="28">
        <v>9</v>
      </c>
      <c r="J442" s="27">
        <v>46176</v>
      </c>
      <c r="K442" s="26"/>
      <c r="L442" s="26" t="s">
        <v>5</v>
      </c>
      <c r="M442" s="26"/>
      <c r="N442" s="26"/>
      <c r="O442" s="87">
        <f>VLOOKUP(A442,'HIPERQUERATOSE 26'!$A$2:$G$1542,7,1)</f>
        <v>1</v>
      </c>
    </row>
    <row r="443" spans="1:15" ht="21" customHeight="1" x14ac:dyDescent="0.25">
      <c r="A443" s="28">
        <v>5307</v>
      </c>
      <c r="B443" s="91">
        <v>46193</v>
      </c>
      <c r="C443" s="26"/>
      <c r="D443" s="28" t="s">
        <v>7</v>
      </c>
      <c r="E443" s="26"/>
      <c r="F443" s="28">
        <v>4</v>
      </c>
      <c r="G443" s="26"/>
      <c r="H443" s="27">
        <v>46196</v>
      </c>
      <c r="I443" s="28">
        <v>3</v>
      </c>
      <c r="J443" s="27">
        <v>46200</v>
      </c>
      <c r="K443" s="26" t="s">
        <v>3</v>
      </c>
      <c r="L443" s="26"/>
      <c r="M443" s="26"/>
      <c r="N443" s="26"/>
      <c r="O443" s="87">
        <f>VLOOKUP(A443,'HIPERQUERATOSE 26'!$A$2:$G$1542,7,1)</f>
        <v>1</v>
      </c>
    </row>
    <row r="444" spans="1:15" ht="21" customHeight="1" x14ac:dyDescent="0.25">
      <c r="A444" s="28">
        <v>1945</v>
      </c>
      <c r="B444" s="91">
        <v>46195</v>
      </c>
      <c r="C444" s="26"/>
      <c r="D444" s="28" t="s">
        <v>7</v>
      </c>
      <c r="E444" s="26"/>
      <c r="F444" s="28">
        <v>4</v>
      </c>
      <c r="G444" s="26"/>
      <c r="H444" s="27">
        <v>46198</v>
      </c>
      <c r="I444" s="28">
        <v>3</v>
      </c>
      <c r="J444" s="27">
        <v>46202</v>
      </c>
      <c r="K444" s="26"/>
      <c r="L444" s="26" t="s">
        <v>5</v>
      </c>
      <c r="M444" s="26"/>
      <c r="N444" s="26"/>
      <c r="O444" s="87">
        <f>VLOOKUP(A444,'HIPERQUERATOSE 26'!$A$2:$G$1542,7,1)</f>
        <v>2.5</v>
      </c>
    </row>
    <row r="445" spans="1:15" ht="21" customHeight="1" x14ac:dyDescent="0.25">
      <c r="A445" s="28">
        <v>4229</v>
      </c>
      <c r="B445" s="91">
        <v>46195</v>
      </c>
      <c r="C445" s="26"/>
      <c r="D445" s="28" t="s">
        <v>25</v>
      </c>
      <c r="E445" s="26"/>
      <c r="F445" s="28">
        <v>4</v>
      </c>
      <c r="G445" s="26"/>
      <c r="H445" s="27">
        <v>46198</v>
      </c>
      <c r="I445" s="28">
        <v>5</v>
      </c>
      <c r="J445" s="27">
        <v>46204</v>
      </c>
      <c r="K445" s="26"/>
      <c r="L445" s="26" t="s">
        <v>5</v>
      </c>
      <c r="M445" s="26"/>
      <c r="N445" s="26"/>
      <c r="O445" s="87">
        <f>VLOOKUP(A445,'HIPERQUERATOSE 26'!$A$2:$G$1542,7,1)</f>
        <v>2.5</v>
      </c>
    </row>
    <row r="446" spans="1:15" ht="21" customHeight="1" x14ac:dyDescent="0.25">
      <c r="A446" s="28">
        <v>4506</v>
      </c>
      <c r="B446" s="91">
        <v>46195</v>
      </c>
      <c r="C446" s="26"/>
      <c r="D446" s="28" t="s">
        <v>20</v>
      </c>
      <c r="E446" s="26"/>
      <c r="F446" s="28">
        <v>4</v>
      </c>
      <c r="G446" s="26"/>
      <c r="H446" s="27">
        <v>46198</v>
      </c>
      <c r="I446" s="28">
        <v>9</v>
      </c>
      <c r="J446" s="27">
        <v>46178</v>
      </c>
      <c r="K446" s="26" t="s">
        <v>3</v>
      </c>
      <c r="L446" s="26"/>
      <c r="M446" s="26"/>
      <c r="N446" s="26"/>
      <c r="O446" s="87">
        <f>VLOOKUP(A446,'HIPERQUERATOSE 26'!$A$2:$G$1542,7,1)</f>
        <v>1</v>
      </c>
    </row>
    <row r="447" spans="1:15" ht="21" customHeight="1" x14ac:dyDescent="0.25">
      <c r="A447" s="28">
        <v>3923</v>
      </c>
      <c r="B447" s="91">
        <v>46195</v>
      </c>
      <c r="C447" s="26"/>
      <c r="D447" s="28" t="s">
        <v>25</v>
      </c>
      <c r="E447" s="26"/>
      <c r="F447" s="28">
        <v>4</v>
      </c>
      <c r="G447" s="26"/>
      <c r="H447" s="27">
        <v>46198</v>
      </c>
      <c r="I447" s="28">
        <v>5</v>
      </c>
      <c r="J447" s="27">
        <v>46204</v>
      </c>
      <c r="K447" s="26"/>
      <c r="L447" s="26"/>
      <c r="M447" s="26" t="s">
        <v>1</v>
      </c>
      <c r="N447" s="26"/>
      <c r="O447" s="87">
        <f>VLOOKUP(A447,'HIPERQUERATOSE 26'!$A$2:$G$1542,7,1)</f>
        <v>3.75</v>
      </c>
    </row>
    <row r="448" spans="1:15" ht="21" customHeight="1" x14ac:dyDescent="0.25">
      <c r="A448" s="28">
        <v>4418</v>
      </c>
      <c r="B448" s="91">
        <v>46195</v>
      </c>
      <c r="C448" s="26"/>
      <c r="D448" s="28" t="s">
        <v>25</v>
      </c>
      <c r="E448" s="26"/>
      <c r="F448" s="28">
        <v>4</v>
      </c>
      <c r="G448" s="26"/>
      <c r="H448" s="27">
        <v>46198</v>
      </c>
      <c r="I448" s="28">
        <v>5</v>
      </c>
      <c r="J448" s="27">
        <v>46204</v>
      </c>
      <c r="K448" s="26" t="s">
        <v>3</v>
      </c>
      <c r="L448" s="26"/>
      <c r="M448" s="26" t="s">
        <v>1</v>
      </c>
      <c r="N448" s="26"/>
      <c r="O448" s="87">
        <f>VLOOKUP(A448,'HIPERQUERATOSE 26'!$A$2:$G$1542,7,1)</f>
        <v>1.25</v>
      </c>
    </row>
    <row r="449" spans="1:15" ht="21" customHeight="1" x14ac:dyDescent="0.25">
      <c r="A449" s="28">
        <v>3637</v>
      </c>
      <c r="B449" s="91">
        <v>46195</v>
      </c>
      <c r="C449" s="26"/>
      <c r="D449" s="28" t="s">
        <v>25</v>
      </c>
      <c r="E449" s="26"/>
      <c r="F449" s="28">
        <v>4</v>
      </c>
      <c r="G449" s="26"/>
      <c r="H449" s="27">
        <v>46198</v>
      </c>
      <c r="I449" s="28">
        <v>5</v>
      </c>
      <c r="J449" s="27">
        <v>46204</v>
      </c>
      <c r="K449" s="26"/>
      <c r="L449" s="26"/>
      <c r="M449" s="26"/>
      <c r="N449" s="26" t="s">
        <v>4</v>
      </c>
      <c r="O449" s="87">
        <f>VLOOKUP(A449,'HIPERQUERATOSE 26'!$A$2:$G$1542,7,1)</f>
        <v>4</v>
      </c>
    </row>
    <row r="450" spans="1:15" ht="21" customHeight="1" x14ac:dyDescent="0.25">
      <c r="A450" s="28">
        <v>4690</v>
      </c>
      <c r="B450" s="91">
        <v>46195</v>
      </c>
      <c r="C450" s="26"/>
      <c r="D450" s="28" t="s">
        <v>25</v>
      </c>
      <c r="E450" s="26"/>
      <c r="F450" s="28">
        <v>4</v>
      </c>
      <c r="G450" s="26"/>
      <c r="H450" s="27">
        <v>46198</v>
      </c>
      <c r="I450" s="28">
        <v>5</v>
      </c>
      <c r="J450" s="27">
        <v>46204</v>
      </c>
      <c r="K450" s="26"/>
      <c r="L450" s="26"/>
      <c r="M450" s="26"/>
      <c r="N450" s="26" t="s">
        <v>4</v>
      </c>
      <c r="O450" s="87">
        <f>VLOOKUP(A450,'HIPERQUERATOSE 26'!$A$2:$G$1542,7,1)</f>
        <v>0.75</v>
      </c>
    </row>
    <row r="451" spans="1:15" ht="21" customHeight="1" x14ac:dyDescent="0.25">
      <c r="A451" s="28">
        <v>3472</v>
      </c>
      <c r="B451" s="91">
        <v>46196</v>
      </c>
      <c r="C451" s="26"/>
      <c r="D451" s="28" t="s">
        <v>21</v>
      </c>
      <c r="E451" s="26"/>
      <c r="F451" s="28">
        <v>4</v>
      </c>
      <c r="G451" s="26"/>
      <c r="H451" s="27">
        <v>46199</v>
      </c>
      <c r="I451" s="28">
        <v>9</v>
      </c>
      <c r="J451" s="27">
        <v>46209</v>
      </c>
      <c r="K451" s="26"/>
      <c r="L451" s="26"/>
      <c r="M451" s="26"/>
      <c r="N451" s="26" t="s">
        <v>4</v>
      </c>
      <c r="O451" s="87">
        <f>VLOOKUP(A451,'HIPERQUERATOSE 26'!$A$2:$G$1542,7,1)</f>
        <v>1.5</v>
      </c>
    </row>
    <row r="452" spans="1:15" ht="21" customHeight="1" x14ac:dyDescent="0.25">
      <c r="A452" s="28">
        <v>5302</v>
      </c>
      <c r="B452" s="91">
        <v>46196</v>
      </c>
      <c r="C452" s="26"/>
      <c r="D452" s="28" t="s">
        <v>34</v>
      </c>
      <c r="E452" s="26"/>
      <c r="F452" s="28">
        <v>4</v>
      </c>
      <c r="G452" s="26"/>
      <c r="H452" s="27">
        <v>46199</v>
      </c>
      <c r="I452" s="28">
        <v>3</v>
      </c>
      <c r="J452" s="27">
        <v>46203</v>
      </c>
      <c r="K452" s="26"/>
      <c r="L452" s="26" t="s">
        <v>5</v>
      </c>
      <c r="M452" s="26"/>
      <c r="N452" s="26"/>
      <c r="O452" s="87">
        <f>VLOOKUP(A452,'HIPERQUERATOSE 26'!$A$2:$G$1542,7,1)</f>
        <v>1</v>
      </c>
    </row>
    <row r="453" spans="1:15" ht="21" customHeight="1" x14ac:dyDescent="0.25">
      <c r="A453" s="28">
        <v>4871</v>
      </c>
      <c r="B453" s="91">
        <v>46196</v>
      </c>
      <c r="C453" s="26"/>
      <c r="D453" s="28" t="s">
        <v>34</v>
      </c>
      <c r="E453" s="26"/>
      <c r="F453" s="28">
        <v>4</v>
      </c>
      <c r="G453" s="26"/>
      <c r="H453" s="27">
        <v>46199</v>
      </c>
      <c r="I453" s="28">
        <v>3</v>
      </c>
      <c r="J453" s="27">
        <v>46203</v>
      </c>
      <c r="K453" s="26" t="s">
        <v>3</v>
      </c>
      <c r="L453" s="26"/>
      <c r="M453" s="26"/>
      <c r="N453" s="26"/>
      <c r="O453" s="87">
        <f>VLOOKUP(A453,'HIPERQUERATOSE 26'!$A$2:$G$1542,7,1)</f>
        <v>2.25</v>
      </c>
    </row>
    <row r="454" spans="1:15" ht="21" customHeight="1" x14ac:dyDescent="0.25">
      <c r="A454" s="28">
        <v>4444</v>
      </c>
      <c r="B454" s="91">
        <v>46197</v>
      </c>
      <c r="C454" s="26"/>
      <c r="D454" s="28" t="s">
        <v>21</v>
      </c>
      <c r="E454" s="26"/>
      <c r="F454" s="28">
        <v>4</v>
      </c>
      <c r="G454" s="26"/>
      <c r="H454" s="27">
        <v>46200</v>
      </c>
      <c r="I454" s="28">
        <v>9</v>
      </c>
      <c r="J454" s="27">
        <v>46210</v>
      </c>
      <c r="K454" s="26"/>
      <c r="L454" s="26"/>
      <c r="M454" s="26"/>
      <c r="N454" s="26" t="s">
        <v>4</v>
      </c>
      <c r="O454" s="87">
        <f>VLOOKUP(A454,'HIPERQUERATOSE 26'!$A$2:$G$1542,7,1)</f>
        <v>1.25</v>
      </c>
    </row>
    <row r="455" spans="1:15" ht="21" customHeight="1" x14ac:dyDescent="0.25">
      <c r="A455" s="28">
        <v>4124</v>
      </c>
      <c r="B455" s="91">
        <v>46198</v>
      </c>
      <c r="C455" s="26"/>
      <c r="D455" s="28" t="s">
        <v>21</v>
      </c>
      <c r="E455" s="26"/>
      <c r="F455" s="28">
        <v>4</v>
      </c>
      <c r="G455" s="26"/>
      <c r="H455" s="27">
        <v>46200</v>
      </c>
      <c r="I455" s="28">
        <v>9</v>
      </c>
      <c r="J455" s="30">
        <v>46210</v>
      </c>
      <c r="K455" s="26"/>
      <c r="L455" s="26"/>
      <c r="M455" s="26" t="s">
        <v>1</v>
      </c>
      <c r="N455" s="26"/>
      <c r="O455" s="87">
        <f>VLOOKUP(A455,'HIPERQUERATOSE 26'!$A$2:$G$1542,7,1)</f>
        <v>2</v>
      </c>
    </row>
    <row r="456" spans="1:15" ht="21" customHeight="1" x14ac:dyDescent="0.25">
      <c r="A456" s="28">
        <v>5005</v>
      </c>
      <c r="B456" s="91">
        <v>46197</v>
      </c>
      <c r="C456" s="26"/>
      <c r="D456" s="28" t="s">
        <v>7</v>
      </c>
      <c r="E456" s="26"/>
      <c r="F456" s="28">
        <v>4</v>
      </c>
      <c r="G456" s="26"/>
      <c r="H456" s="27">
        <v>46200</v>
      </c>
      <c r="I456" s="28">
        <v>3</v>
      </c>
      <c r="J456" s="27">
        <v>46204</v>
      </c>
      <c r="K456" s="26"/>
      <c r="L456" s="26" t="s">
        <v>5</v>
      </c>
      <c r="M456" s="26"/>
      <c r="N456" s="26"/>
      <c r="O456" s="87">
        <f>VLOOKUP(A456,'HIPERQUERATOSE 26'!$A$2:$G$1542,7,1)</f>
        <v>1.75</v>
      </c>
    </row>
    <row r="457" spans="1:15" ht="21" customHeight="1" x14ac:dyDescent="0.25">
      <c r="A457" s="28">
        <v>5347</v>
      </c>
      <c r="B457" s="91">
        <v>46198</v>
      </c>
      <c r="C457" s="26"/>
      <c r="D457" s="28" t="s">
        <v>34</v>
      </c>
      <c r="E457" s="26"/>
      <c r="F457" s="28">
        <v>4</v>
      </c>
      <c r="G457" s="26"/>
      <c r="H457" s="27">
        <v>46201</v>
      </c>
      <c r="I457" s="28">
        <v>3</v>
      </c>
      <c r="J457" s="27">
        <v>46205</v>
      </c>
      <c r="K457" s="26"/>
      <c r="L457" s="26" t="s">
        <v>5</v>
      </c>
      <c r="M457" s="26"/>
      <c r="N457" s="26"/>
      <c r="O457" s="87">
        <f>VLOOKUP(A457,'HIPERQUERATOSE 26'!$A$2:$G$1542,7,1)</f>
        <v>3.5</v>
      </c>
    </row>
    <row r="458" spans="1:15" ht="21" customHeight="1" x14ac:dyDescent="0.25">
      <c r="A458" s="28">
        <v>3803</v>
      </c>
      <c r="B458" s="91">
        <v>46198</v>
      </c>
      <c r="C458" s="26"/>
      <c r="D458" s="28" t="s">
        <v>21</v>
      </c>
      <c r="E458" s="26"/>
      <c r="F458" s="28">
        <v>4</v>
      </c>
      <c r="G458" s="26"/>
      <c r="H458" s="27">
        <v>46201</v>
      </c>
      <c r="I458" s="28">
        <v>9</v>
      </c>
      <c r="J458" s="27">
        <v>46211</v>
      </c>
      <c r="K458" s="26"/>
      <c r="L458" s="26" t="s">
        <v>5</v>
      </c>
      <c r="M458" s="26"/>
      <c r="N458" s="26" t="s">
        <v>4</v>
      </c>
      <c r="O458" s="87">
        <f>VLOOKUP(A458,'HIPERQUERATOSE 26'!$A$2:$G$1542,7,1)</f>
        <v>1.5</v>
      </c>
    </row>
    <row r="459" spans="1:15" ht="21" customHeight="1" x14ac:dyDescent="0.25">
      <c r="A459" s="28">
        <v>5302</v>
      </c>
      <c r="B459" s="91">
        <v>46198</v>
      </c>
      <c r="C459" s="26"/>
      <c r="D459" s="28" t="s">
        <v>21</v>
      </c>
      <c r="E459" s="26"/>
      <c r="F459" s="28">
        <v>4</v>
      </c>
      <c r="G459" s="26"/>
      <c r="H459" s="27">
        <v>46201</v>
      </c>
      <c r="I459" s="28">
        <v>9</v>
      </c>
      <c r="J459" s="27">
        <v>46211</v>
      </c>
      <c r="K459" s="26" t="s">
        <v>3</v>
      </c>
      <c r="L459" s="26"/>
      <c r="M459" s="26"/>
      <c r="N459" s="26"/>
      <c r="O459" s="87">
        <f>VLOOKUP(A459,'HIPERQUERATOSE 26'!$A$2:$G$1542,7,1)</f>
        <v>1</v>
      </c>
    </row>
    <row r="460" spans="1:15" ht="21" customHeight="1" x14ac:dyDescent="0.25">
      <c r="A460" s="28">
        <v>3008</v>
      </c>
      <c r="B460" s="91">
        <v>46199</v>
      </c>
      <c r="C460" s="26"/>
      <c r="D460" s="28" t="s">
        <v>25</v>
      </c>
      <c r="E460" s="26"/>
      <c r="F460" s="28">
        <v>4</v>
      </c>
      <c r="G460" s="26"/>
      <c r="H460" s="27">
        <v>46202</v>
      </c>
      <c r="I460" s="28">
        <v>5</v>
      </c>
      <c r="J460" s="27">
        <v>46207</v>
      </c>
      <c r="K460" s="26" t="s">
        <v>3</v>
      </c>
      <c r="L460" s="26" t="s">
        <v>5</v>
      </c>
      <c r="M460" s="26"/>
      <c r="N460" s="26" t="s">
        <v>4</v>
      </c>
      <c r="O460" s="87">
        <f>VLOOKUP(A460,'HIPERQUERATOSE 26'!$A$2:$G$1542,7,1)</f>
        <v>1</v>
      </c>
    </row>
    <row r="461" spans="1:15" ht="21" customHeight="1" x14ac:dyDescent="0.25">
      <c r="A461" s="28">
        <v>4353</v>
      </c>
      <c r="B461" s="91">
        <v>46199</v>
      </c>
      <c r="C461" s="26"/>
      <c r="D461" s="28" t="s">
        <v>7</v>
      </c>
      <c r="E461" s="26"/>
      <c r="F461" s="28">
        <v>4</v>
      </c>
      <c r="G461" s="26"/>
      <c r="H461" s="27">
        <v>46202</v>
      </c>
      <c r="I461" s="28">
        <v>3</v>
      </c>
      <c r="J461" s="27">
        <v>46206</v>
      </c>
      <c r="K461" s="26"/>
      <c r="L461" s="26"/>
      <c r="M461" s="26" t="s">
        <v>1</v>
      </c>
      <c r="N461" s="26"/>
      <c r="O461" s="87">
        <f>VLOOKUP(A461,'HIPERQUERATOSE 26'!$A$2:$G$1542,7,1)</f>
        <v>3.5</v>
      </c>
    </row>
    <row r="462" spans="1:15" ht="21" customHeight="1" x14ac:dyDescent="0.25">
      <c r="A462" s="28">
        <v>4222</v>
      </c>
      <c r="B462" s="91">
        <v>46199</v>
      </c>
      <c r="C462" s="26"/>
      <c r="D462" s="28" t="s">
        <v>34</v>
      </c>
      <c r="E462" s="26"/>
      <c r="F462" s="28">
        <v>4</v>
      </c>
      <c r="G462" s="28"/>
      <c r="H462" s="27">
        <v>46202</v>
      </c>
      <c r="I462" s="28">
        <v>3</v>
      </c>
      <c r="J462" s="27">
        <v>46206</v>
      </c>
      <c r="K462" s="26" t="s">
        <v>3</v>
      </c>
      <c r="L462" s="26" t="s">
        <v>5</v>
      </c>
      <c r="M462" s="26" t="s">
        <v>1</v>
      </c>
      <c r="N462" s="26" t="s">
        <v>4</v>
      </c>
      <c r="O462" s="87">
        <f>VLOOKUP(A462,'HIPERQUERATOSE 26'!$A$2:$G$1542,7,1)</f>
        <v>2</v>
      </c>
    </row>
    <row r="463" spans="1:15" ht="21" customHeight="1" x14ac:dyDescent="0.25">
      <c r="A463" s="28">
        <v>4716</v>
      </c>
      <c r="B463" s="91">
        <v>46199</v>
      </c>
      <c r="C463" s="26"/>
      <c r="D463" s="28" t="s">
        <v>34</v>
      </c>
      <c r="E463" s="26"/>
      <c r="F463" s="28">
        <v>4</v>
      </c>
      <c r="G463" s="28"/>
      <c r="H463" s="27">
        <v>46202</v>
      </c>
      <c r="I463" s="28">
        <v>3</v>
      </c>
      <c r="J463" s="27">
        <v>46206</v>
      </c>
      <c r="K463" s="26"/>
      <c r="L463" s="26"/>
      <c r="M463" s="26" t="s">
        <v>1</v>
      </c>
      <c r="N463" s="26" t="s">
        <v>4</v>
      </c>
      <c r="O463" s="87">
        <f>VLOOKUP(A463,'HIPERQUERATOSE 26'!$A$2:$G$1542,7,1)</f>
        <v>1.25</v>
      </c>
    </row>
    <row r="464" spans="1:15" ht="21" customHeight="1" x14ac:dyDescent="0.25">
      <c r="A464" s="28">
        <v>4101</v>
      </c>
      <c r="B464" s="91">
        <v>46199</v>
      </c>
      <c r="C464" s="26"/>
      <c r="D464" s="28" t="s">
        <v>34</v>
      </c>
      <c r="E464" s="26"/>
      <c r="F464" s="28">
        <v>4</v>
      </c>
      <c r="G464" s="28"/>
      <c r="H464" s="27">
        <v>46202</v>
      </c>
      <c r="I464" s="28">
        <v>3</v>
      </c>
      <c r="J464" s="27">
        <v>46206</v>
      </c>
      <c r="K464" s="26"/>
      <c r="L464" s="26" t="s">
        <v>5</v>
      </c>
      <c r="M464" s="26"/>
      <c r="N464" s="26"/>
      <c r="O464" s="87">
        <f>VLOOKUP(A464,'HIPERQUERATOSE 26'!$A$2:$G$1542,7,1)</f>
        <v>1.5</v>
      </c>
    </row>
    <row r="465" spans="1:15" ht="21" customHeight="1" x14ac:dyDescent="0.25">
      <c r="A465" s="28">
        <v>4319</v>
      </c>
      <c r="B465" s="91">
        <v>46199</v>
      </c>
      <c r="C465" s="26"/>
      <c r="D465" s="28" t="s">
        <v>20</v>
      </c>
      <c r="E465" s="26"/>
      <c r="F465" s="28">
        <v>4</v>
      </c>
      <c r="G465" s="28"/>
      <c r="H465" s="27">
        <v>46202</v>
      </c>
      <c r="I465" s="28">
        <v>9</v>
      </c>
      <c r="J465" s="27">
        <v>46212</v>
      </c>
      <c r="K465" s="26"/>
      <c r="L465" s="26" t="s">
        <v>5</v>
      </c>
      <c r="M465" s="26"/>
      <c r="N465" s="26"/>
      <c r="O465" s="87">
        <f>VLOOKUP(A465,'HIPERQUERATOSE 26'!$A$2:$G$1542,7,1)</f>
        <v>4</v>
      </c>
    </row>
    <row r="466" spans="1:15" ht="21" customHeight="1" x14ac:dyDescent="0.25">
      <c r="A466" s="28">
        <v>4690</v>
      </c>
      <c r="B466" s="91">
        <v>46199</v>
      </c>
      <c r="C466" s="26"/>
      <c r="D466" s="28" t="s">
        <v>21</v>
      </c>
      <c r="E466" s="26"/>
      <c r="F466" s="28">
        <v>4</v>
      </c>
      <c r="G466" s="28"/>
      <c r="H466" s="27">
        <v>46202</v>
      </c>
      <c r="I466" s="28">
        <v>9</v>
      </c>
      <c r="J466" s="27">
        <v>46212</v>
      </c>
      <c r="K466" s="26"/>
      <c r="L466" s="26"/>
      <c r="M466" s="26"/>
      <c r="N466" s="26" t="s">
        <v>4</v>
      </c>
      <c r="O466" s="87">
        <f>VLOOKUP(A466,'HIPERQUERATOSE 26'!$A$2:$G$1542,7,1)</f>
        <v>0.75</v>
      </c>
    </row>
    <row r="467" spans="1:15" ht="21" customHeight="1" x14ac:dyDescent="0.25">
      <c r="A467" s="28">
        <v>4072</v>
      </c>
      <c r="B467" s="91">
        <v>46199</v>
      </c>
      <c r="C467" s="26"/>
      <c r="D467" s="28" t="s">
        <v>25</v>
      </c>
      <c r="E467" s="26"/>
      <c r="F467" s="28">
        <v>4</v>
      </c>
      <c r="G467" s="28"/>
      <c r="H467" s="27">
        <v>46202</v>
      </c>
      <c r="I467" s="28">
        <v>5</v>
      </c>
      <c r="J467" s="27">
        <v>46208</v>
      </c>
      <c r="K467" s="26" t="s">
        <v>3</v>
      </c>
      <c r="L467" s="26"/>
      <c r="M467" s="26"/>
      <c r="N467" s="26"/>
      <c r="O467" s="87">
        <f>VLOOKUP(A467,'HIPERQUERATOSE 26'!$A$2:$G$1542,7,1)</f>
        <v>3</v>
      </c>
    </row>
    <row r="468" spans="1:15" ht="21" customHeight="1" x14ac:dyDescent="0.25">
      <c r="A468" s="28">
        <v>5813</v>
      </c>
      <c r="B468" s="91">
        <v>46199</v>
      </c>
      <c r="C468" s="26"/>
      <c r="D468" s="28" t="s">
        <v>7</v>
      </c>
      <c r="E468" s="26"/>
      <c r="F468" s="28">
        <v>4</v>
      </c>
      <c r="G468" s="28"/>
      <c r="H468" s="27">
        <v>46202</v>
      </c>
      <c r="I468" s="28">
        <v>3</v>
      </c>
      <c r="J468" s="27">
        <v>46206</v>
      </c>
      <c r="K468" s="26"/>
      <c r="L468" s="26"/>
      <c r="M468" s="26" t="s">
        <v>1</v>
      </c>
      <c r="N468" s="26"/>
      <c r="O468" s="87">
        <f>VLOOKUP(A468,'HIPERQUERATOSE 26'!$A$2:$G$1542,7,1)</f>
        <v>2.5</v>
      </c>
    </row>
    <row r="469" spans="1:15" ht="21" customHeight="1" x14ac:dyDescent="0.25">
      <c r="A469" s="28">
        <v>5260</v>
      </c>
      <c r="B469" s="91">
        <v>46200</v>
      </c>
      <c r="C469" s="26"/>
      <c r="D469" s="28" t="s">
        <v>34</v>
      </c>
      <c r="E469" s="26"/>
      <c r="F469" s="28">
        <v>4</v>
      </c>
      <c r="G469" s="28"/>
      <c r="H469" s="27">
        <v>46203</v>
      </c>
      <c r="I469" s="28">
        <v>3</v>
      </c>
      <c r="J469" s="27">
        <v>46207</v>
      </c>
      <c r="K469" s="26"/>
      <c r="L469" s="26"/>
      <c r="M469" s="26"/>
      <c r="N469" s="26" t="s">
        <v>4</v>
      </c>
      <c r="O469" s="87">
        <f>VLOOKUP(A469,'HIPERQUERATOSE 26'!$A$2:$G$1542,7,1)</f>
        <v>3.25</v>
      </c>
    </row>
    <row r="470" spans="1:15" ht="21" customHeight="1" x14ac:dyDescent="0.25">
      <c r="A470" s="28">
        <v>3472</v>
      </c>
      <c r="B470" s="91">
        <v>46200</v>
      </c>
      <c r="C470" s="26"/>
      <c r="D470" s="28" t="s">
        <v>25</v>
      </c>
      <c r="E470" s="26"/>
      <c r="F470" s="28">
        <v>4</v>
      </c>
      <c r="G470" s="28"/>
      <c r="H470" s="27">
        <v>46203</v>
      </c>
      <c r="I470" s="28">
        <v>5</v>
      </c>
      <c r="J470" s="27">
        <v>46209</v>
      </c>
      <c r="K470" s="26"/>
      <c r="L470" s="26"/>
      <c r="M470" s="26" t="s">
        <v>1</v>
      </c>
      <c r="N470" s="26" t="s">
        <v>4</v>
      </c>
      <c r="O470" s="87">
        <f>VLOOKUP(A470,'HIPERQUERATOSE 26'!$A$2:$G$1542,7,1)</f>
        <v>1.5</v>
      </c>
    </row>
    <row r="471" spans="1:15" ht="21" customHeight="1" x14ac:dyDescent="0.25">
      <c r="A471" s="28">
        <v>3008</v>
      </c>
      <c r="B471" s="91">
        <v>46202</v>
      </c>
      <c r="C471" s="26"/>
      <c r="D471" s="28" t="s">
        <v>21</v>
      </c>
      <c r="E471" s="26"/>
      <c r="F471" s="28">
        <v>4</v>
      </c>
      <c r="G471" s="28"/>
      <c r="H471" s="27">
        <v>46205</v>
      </c>
      <c r="I471" s="28">
        <v>9</v>
      </c>
      <c r="J471" s="27">
        <v>46215</v>
      </c>
      <c r="K471" s="26"/>
      <c r="L471" s="26"/>
      <c r="M471" s="26" t="s">
        <v>1</v>
      </c>
      <c r="N471" s="26"/>
      <c r="O471" s="87">
        <f>VLOOKUP(A471,'HIPERQUERATOSE 26'!$A$2:$G$1542,7,1)</f>
        <v>1</v>
      </c>
    </row>
    <row r="472" spans="1:15" ht="21" customHeight="1" x14ac:dyDescent="0.25">
      <c r="A472" s="28">
        <v>3520</v>
      </c>
      <c r="B472" s="91">
        <v>46202</v>
      </c>
      <c r="C472" s="26"/>
      <c r="D472" s="28" t="s">
        <v>21</v>
      </c>
      <c r="E472" s="26"/>
      <c r="F472" s="28">
        <v>4</v>
      </c>
      <c r="G472" s="28"/>
      <c r="H472" s="27">
        <v>46205</v>
      </c>
      <c r="I472" s="28">
        <v>9</v>
      </c>
      <c r="J472" s="27">
        <v>46215</v>
      </c>
      <c r="K472" s="26"/>
      <c r="L472" s="26" t="s">
        <v>5</v>
      </c>
      <c r="M472" s="26"/>
      <c r="N472" s="26"/>
      <c r="O472" s="87">
        <f>VLOOKUP(A472,'HIPERQUERATOSE 26'!$A$2:$G$1542,7,1)</f>
        <v>1.25</v>
      </c>
    </row>
    <row r="473" spans="1:15" ht="21" customHeight="1" x14ac:dyDescent="0.25">
      <c r="A473" s="28">
        <v>4101</v>
      </c>
      <c r="B473" s="91">
        <v>46202</v>
      </c>
      <c r="C473" s="26"/>
      <c r="D473" s="28" t="s">
        <v>21</v>
      </c>
      <c r="E473" s="26"/>
      <c r="F473" s="28">
        <v>4</v>
      </c>
      <c r="G473" s="28"/>
      <c r="H473" s="27">
        <v>46205</v>
      </c>
      <c r="I473" s="28">
        <v>9</v>
      </c>
      <c r="J473" s="27">
        <v>46215</v>
      </c>
      <c r="K473" s="26"/>
      <c r="L473" s="26" t="s">
        <v>5</v>
      </c>
      <c r="M473" s="26"/>
      <c r="N473" s="26"/>
      <c r="O473" s="87">
        <f>VLOOKUP(A473,'HIPERQUERATOSE 26'!$A$2:$G$1542,7,1)</f>
        <v>1.5</v>
      </c>
    </row>
    <row r="474" spans="1:15" ht="21" customHeight="1" x14ac:dyDescent="0.25">
      <c r="A474" s="28">
        <v>2997</v>
      </c>
      <c r="B474" s="91">
        <v>46202</v>
      </c>
      <c r="C474" s="26"/>
      <c r="D474" s="28" t="s">
        <v>106</v>
      </c>
      <c r="E474" s="26"/>
      <c r="F474" s="28">
        <v>4</v>
      </c>
      <c r="G474" s="28"/>
      <c r="H474" s="27">
        <v>46205</v>
      </c>
      <c r="I474" s="28">
        <v>9</v>
      </c>
      <c r="J474" s="27">
        <v>46215</v>
      </c>
      <c r="K474" s="26"/>
      <c r="L474" s="26" t="s">
        <v>5</v>
      </c>
      <c r="M474" s="26"/>
      <c r="N474" s="26"/>
      <c r="O474" s="87">
        <f>VLOOKUP(A474,'HIPERQUERATOSE 26'!$A$2:$G$1542,7,1)</f>
        <v>2.75</v>
      </c>
    </row>
    <row r="475" spans="1:15" ht="21" customHeight="1" x14ac:dyDescent="0.25">
      <c r="A475" s="28">
        <v>3034</v>
      </c>
      <c r="B475" s="91">
        <v>46202</v>
      </c>
      <c r="C475" s="26"/>
      <c r="D475" s="28" t="s">
        <v>7</v>
      </c>
      <c r="E475" s="26"/>
      <c r="F475" s="28">
        <v>4</v>
      </c>
      <c r="G475" s="28"/>
      <c r="H475" s="27">
        <v>46205</v>
      </c>
      <c r="I475" s="28">
        <v>3</v>
      </c>
      <c r="J475" s="27">
        <v>46209</v>
      </c>
      <c r="K475" s="26"/>
      <c r="L475" s="26" t="s">
        <v>5</v>
      </c>
      <c r="M475" s="26"/>
      <c r="N475" s="26"/>
      <c r="O475" s="87">
        <f>VLOOKUP(A475,'HIPERQUERATOSE 26'!$A$2:$G$1542,7,1)</f>
        <v>3</v>
      </c>
    </row>
    <row r="476" spans="1:15" ht="21" customHeight="1" x14ac:dyDescent="0.25">
      <c r="A476" s="28">
        <v>5659</v>
      </c>
      <c r="B476" s="91">
        <v>46203</v>
      </c>
      <c r="C476" s="26"/>
      <c r="D476" s="28" t="s">
        <v>7</v>
      </c>
      <c r="E476" s="26"/>
      <c r="F476" s="28">
        <v>4</v>
      </c>
      <c r="G476" s="28"/>
      <c r="H476" s="27">
        <v>46206</v>
      </c>
      <c r="I476" s="28">
        <v>3</v>
      </c>
      <c r="J476" s="27">
        <v>46210</v>
      </c>
      <c r="K476" s="26"/>
      <c r="L476" s="26"/>
      <c r="M476" s="26" t="s">
        <v>1</v>
      </c>
      <c r="N476" s="26"/>
      <c r="O476" s="87">
        <f>VLOOKUP(A476,'HIPERQUERATOSE 26'!$A$2:$G$1542,7,1)</f>
        <v>1.5</v>
      </c>
    </row>
    <row r="477" spans="1:15" ht="21" customHeight="1" x14ac:dyDescent="0.25">
      <c r="A477" s="28">
        <v>2954</v>
      </c>
      <c r="B477" s="27">
        <v>46203</v>
      </c>
      <c r="C477" s="26"/>
      <c r="D477" s="28" t="s">
        <v>25</v>
      </c>
      <c r="E477" s="26"/>
      <c r="F477" s="28">
        <v>4</v>
      </c>
      <c r="G477" s="28"/>
      <c r="H477" s="27">
        <v>46206</v>
      </c>
      <c r="I477" s="28">
        <v>5</v>
      </c>
      <c r="J477" s="27">
        <v>46212</v>
      </c>
      <c r="K477" s="26"/>
      <c r="L477" s="26"/>
      <c r="M477" s="26"/>
      <c r="N477" s="26" t="s">
        <v>4</v>
      </c>
      <c r="O477" s="87">
        <f>VLOOKUP(A477,'HIPERQUERATOSE 26'!$A$2:$G$1542,7,1)</f>
        <v>3</v>
      </c>
    </row>
    <row r="478" spans="1:15" ht="21" customHeight="1" x14ac:dyDescent="0.25">
      <c r="A478" s="28">
        <v>3551</v>
      </c>
      <c r="B478" s="27">
        <v>46203</v>
      </c>
      <c r="C478" s="26"/>
      <c r="D478" s="28" t="s">
        <v>20</v>
      </c>
      <c r="E478" s="26"/>
      <c r="F478" s="28">
        <v>4</v>
      </c>
      <c r="G478" s="28"/>
      <c r="H478" s="27">
        <v>46206</v>
      </c>
      <c r="I478" s="28">
        <v>9</v>
      </c>
      <c r="J478" s="27">
        <v>46216</v>
      </c>
      <c r="K478" s="26"/>
      <c r="L478" s="26" t="s">
        <v>5</v>
      </c>
      <c r="M478" s="26"/>
      <c r="N478" s="26"/>
      <c r="O478" s="87">
        <f>VLOOKUP(A478,'HIPERQUERATOSE 26'!$A$2:$G$1542,7,1)</f>
        <v>2</v>
      </c>
    </row>
    <row r="479" spans="1:15" ht="21" customHeight="1" x14ac:dyDescent="0.25">
      <c r="A479" s="28">
        <v>4059</v>
      </c>
      <c r="B479" s="27">
        <v>46203</v>
      </c>
      <c r="C479" s="26"/>
      <c r="D479" s="28" t="s">
        <v>34</v>
      </c>
      <c r="E479" s="26"/>
      <c r="F479" s="28">
        <v>4</v>
      </c>
      <c r="G479" s="28"/>
      <c r="H479" s="27">
        <v>46206</v>
      </c>
      <c r="I479" s="28">
        <v>3</v>
      </c>
      <c r="J479" s="27">
        <v>46210</v>
      </c>
      <c r="K479" s="26" t="s">
        <v>3</v>
      </c>
      <c r="L479" s="26"/>
      <c r="M479" s="26"/>
      <c r="N479" s="26"/>
      <c r="O479" s="87">
        <f>VLOOKUP(A479,'HIPERQUERATOSE 26'!$A$2:$G$1542,7,1)</f>
        <v>1.5</v>
      </c>
    </row>
    <row r="480" spans="1:15" ht="21" customHeight="1" x14ac:dyDescent="0.25">
      <c r="A480" s="28">
        <v>4278</v>
      </c>
      <c r="B480" s="27">
        <v>46204</v>
      </c>
      <c r="C480" s="26"/>
      <c r="D480" s="28" t="s">
        <v>25</v>
      </c>
      <c r="E480" s="26"/>
      <c r="F480" s="28">
        <v>4</v>
      </c>
      <c r="G480" s="28"/>
      <c r="H480" s="27">
        <v>46207</v>
      </c>
      <c r="I480" s="28">
        <v>5</v>
      </c>
      <c r="J480" s="27">
        <v>46213</v>
      </c>
      <c r="K480" s="26"/>
      <c r="L480" s="26"/>
      <c r="M480" s="26" t="s">
        <v>1</v>
      </c>
      <c r="N480" s="26"/>
      <c r="O480" s="87">
        <f>VLOOKUP(A480,'HIPERQUERATOSE 26'!$A$2:$G$1542,7,1)</f>
        <v>2.75</v>
      </c>
    </row>
    <row r="481" spans="1:15" ht="21" customHeight="1" x14ac:dyDescent="0.25">
      <c r="A481" s="28">
        <v>4303</v>
      </c>
      <c r="B481" s="27">
        <v>46204</v>
      </c>
      <c r="C481" s="26"/>
      <c r="D481" s="28" t="s">
        <v>25</v>
      </c>
      <c r="E481" s="26"/>
      <c r="F481" s="28">
        <v>4</v>
      </c>
      <c r="G481" s="28"/>
      <c r="H481" s="27">
        <v>46207</v>
      </c>
      <c r="I481" s="28">
        <v>5</v>
      </c>
      <c r="J481" s="27">
        <v>46213</v>
      </c>
      <c r="K481" s="26"/>
      <c r="L481" s="26"/>
      <c r="M481" s="26" t="s">
        <v>1</v>
      </c>
      <c r="N481" s="26"/>
      <c r="O481" s="87">
        <f>VLOOKUP(A481,'HIPERQUERATOSE 26'!$A$2:$G$1542,7,1)</f>
        <v>2.75</v>
      </c>
    </row>
    <row r="482" spans="1:15" ht="21" customHeight="1" x14ac:dyDescent="0.25">
      <c r="A482" s="28">
        <v>4871</v>
      </c>
      <c r="B482" s="27">
        <v>46204</v>
      </c>
      <c r="C482" s="26"/>
      <c r="D482" s="28" t="s">
        <v>25</v>
      </c>
      <c r="E482" s="26"/>
      <c r="F482" s="28">
        <v>4</v>
      </c>
      <c r="G482" s="28"/>
      <c r="H482" s="27">
        <v>46207</v>
      </c>
      <c r="I482" s="28">
        <v>5</v>
      </c>
      <c r="J482" s="27">
        <v>46213</v>
      </c>
      <c r="K482" s="26"/>
      <c r="L482" s="26"/>
      <c r="M482" s="26"/>
      <c r="N482" s="26" t="s">
        <v>4</v>
      </c>
      <c r="O482" s="87">
        <f>VLOOKUP(A482,'HIPERQUERATOSE 26'!$A$2:$G$1542,7,1)</f>
        <v>2.25</v>
      </c>
    </row>
    <row r="483" spans="1:15" ht="21" customHeight="1" x14ac:dyDescent="0.25">
      <c r="A483" s="28">
        <v>5566</v>
      </c>
      <c r="B483" s="27">
        <v>46204</v>
      </c>
      <c r="C483" s="26"/>
      <c r="D483" s="28" t="s">
        <v>21</v>
      </c>
      <c r="E483" s="26"/>
      <c r="F483" s="28">
        <v>4</v>
      </c>
      <c r="G483" s="28"/>
      <c r="H483" s="27">
        <v>46207</v>
      </c>
      <c r="I483" s="28">
        <v>9</v>
      </c>
      <c r="J483" s="27">
        <v>46217</v>
      </c>
      <c r="K483" s="26" t="s">
        <v>3</v>
      </c>
      <c r="L483" s="26"/>
      <c r="M483" s="26"/>
      <c r="N483" s="26"/>
      <c r="O483" s="87">
        <f>VLOOKUP(A483,'HIPERQUERATOSE 26'!$A$2:$G$1542,7,1)</f>
        <v>2</v>
      </c>
    </row>
    <row r="484" spans="1:15" ht="21" customHeight="1" x14ac:dyDescent="0.25">
      <c r="A484" s="28">
        <v>5842</v>
      </c>
      <c r="B484" s="27">
        <v>46204</v>
      </c>
      <c r="C484" s="26"/>
      <c r="D484" s="28" t="s">
        <v>25</v>
      </c>
      <c r="E484" s="26"/>
      <c r="F484" s="28">
        <v>4</v>
      </c>
      <c r="G484" s="28"/>
      <c r="H484" s="27">
        <v>46208</v>
      </c>
      <c r="I484" s="28">
        <v>5</v>
      </c>
      <c r="J484" s="27">
        <v>46214</v>
      </c>
      <c r="K484" s="26"/>
      <c r="L484" s="26" t="s">
        <v>5</v>
      </c>
      <c r="M484" s="26"/>
      <c r="N484" s="26"/>
      <c r="O484" s="87">
        <f>VLOOKUP(A484,'HIPERQUERATOSE 26'!$A$2:$G$1542,7,1)</f>
        <v>1.5</v>
      </c>
    </row>
    <row r="485" spans="1:15" ht="21" customHeight="1" x14ac:dyDescent="0.25">
      <c r="A485" s="28">
        <v>1160</v>
      </c>
      <c r="B485" s="27">
        <v>46205</v>
      </c>
      <c r="C485" s="26"/>
      <c r="D485" s="28" t="s">
        <v>7</v>
      </c>
      <c r="E485" s="26"/>
      <c r="F485" s="28">
        <v>4</v>
      </c>
      <c r="G485" s="28"/>
      <c r="H485" s="27">
        <v>46207</v>
      </c>
      <c r="I485" s="28">
        <v>3</v>
      </c>
      <c r="J485" s="27">
        <v>46211</v>
      </c>
      <c r="K485" s="26"/>
      <c r="L485" s="26" t="s">
        <v>5</v>
      </c>
      <c r="M485" s="26"/>
      <c r="N485" s="26"/>
      <c r="O485" s="87">
        <f>VLOOKUP(A485,'HIPERQUERATOSE 26'!$A$2:$G$1542,7,1)</f>
        <v>1.5</v>
      </c>
    </row>
    <row r="486" spans="1:15" ht="21" customHeight="1" x14ac:dyDescent="0.25">
      <c r="A486" s="28">
        <v>2927</v>
      </c>
      <c r="B486" s="27">
        <v>46205</v>
      </c>
      <c r="C486" s="26"/>
      <c r="D486" s="28" t="s">
        <v>7</v>
      </c>
      <c r="E486" s="26"/>
      <c r="F486" s="28">
        <v>4</v>
      </c>
      <c r="G486" s="28"/>
      <c r="H486" s="27">
        <v>46208</v>
      </c>
      <c r="I486" s="28">
        <v>3</v>
      </c>
      <c r="J486" s="27">
        <v>46212</v>
      </c>
      <c r="K486" s="26"/>
      <c r="L486" s="26"/>
      <c r="M486" s="26" t="s">
        <v>1</v>
      </c>
      <c r="N486" s="26"/>
      <c r="O486" s="87">
        <f>VLOOKUP(A486,'HIPERQUERATOSE 26'!$A$2:$G$1542,7,1)</f>
        <v>3.75</v>
      </c>
    </row>
    <row r="487" spans="1:15" ht="21" customHeight="1" x14ac:dyDescent="0.25">
      <c r="A487" s="28">
        <v>2936</v>
      </c>
      <c r="B487" s="27">
        <v>46205</v>
      </c>
      <c r="C487" s="26"/>
      <c r="D487" s="28" t="s">
        <v>7</v>
      </c>
      <c r="E487" s="26"/>
      <c r="F487" s="28">
        <v>4</v>
      </c>
      <c r="G487" s="28"/>
      <c r="H487" s="27">
        <v>46208</v>
      </c>
      <c r="I487" s="28">
        <v>3</v>
      </c>
      <c r="J487" s="27">
        <v>46212</v>
      </c>
      <c r="K487" s="26"/>
      <c r="L487" s="26"/>
      <c r="M487" s="26"/>
      <c r="N487" s="26" t="s">
        <v>4</v>
      </c>
      <c r="O487" s="87">
        <f>VLOOKUP(A487,'HIPERQUERATOSE 26'!$A$2:$G$1542,7,1)</f>
        <v>1</v>
      </c>
    </row>
    <row r="488" spans="1:15" ht="21" customHeight="1" x14ac:dyDescent="0.25">
      <c r="A488" s="28">
        <v>4038</v>
      </c>
      <c r="B488" s="27">
        <v>46205</v>
      </c>
      <c r="C488" s="26"/>
      <c r="D488" s="28" t="s">
        <v>7</v>
      </c>
      <c r="E488" s="26"/>
      <c r="F488" s="28">
        <v>4</v>
      </c>
      <c r="G488" s="28"/>
      <c r="H488" s="27">
        <v>46208</v>
      </c>
      <c r="I488" s="28">
        <v>3</v>
      </c>
      <c r="J488" s="27">
        <v>46212</v>
      </c>
      <c r="K488" s="26"/>
      <c r="L488" s="26"/>
      <c r="M488" s="26" t="s">
        <v>1</v>
      </c>
      <c r="N488" s="26"/>
      <c r="O488" s="87">
        <f>VLOOKUP(A488,'HIPERQUERATOSE 26'!$A$2:$G$1542,7,1)</f>
        <v>0.75</v>
      </c>
    </row>
    <row r="489" spans="1:15" ht="21" customHeight="1" x14ac:dyDescent="0.25">
      <c r="A489" s="28">
        <v>4346</v>
      </c>
      <c r="B489" s="27">
        <v>46205</v>
      </c>
      <c r="C489" s="26"/>
      <c r="D489" s="28" t="s">
        <v>7</v>
      </c>
      <c r="E489" s="26"/>
      <c r="F489" s="28">
        <v>4</v>
      </c>
      <c r="G489" s="28"/>
      <c r="H489" s="27">
        <v>46208</v>
      </c>
      <c r="I489" s="28">
        <v>3</v>
      </c>
      <c r="J489" s="27">
        <v>46212</v>
      </c>
      <c r="K489" s="26"/>
      <c r="L489" s="26"/>
      <c r="M489" s="26"/>
      <c r="N489" s="26" t="s">
        <v>4</v>
      </c>
      <c r="O489" s="87">
        <f>VLOOKUP(A489,'HIPERQUERATOSE 26'!$A$2:$G$1542,7,1)</f>
        <v>4</v>
      </c>
    </row>
    <row r="490" spans="1:15" ht="21" customHeight="1" x14ac:dyDescent="0.25">
      <c r="A490" s="28">
        <v>5340</v>
      </c>
      <c r="B490" s="27">
        <v>46205</v>
      </c>
      <c r="C490" s="26"/>
      <c r="D490" s="28" t="s">
        <v>7</v>
      </c>
      <c r="E490" s="26"/>
      <c r="F490" s="28">
        <v>4</v>
      </c>
      <c r="G490" s="28"/>
      <c r="H490" s="27">
        <v>46208</v>
      </c>
      <c r="I490" s="28">
        <v>3</v>
      </c>
      <c r="J490" s="27">
        <v>46212</v>
      </c>
      <c r="K490" s="26"/>
      <c r="L490" s="26"/>
      <c r="M490" s="26" t="s">
        <v>1</v>
      </c>
      <c r="N490" s="26"/>
      <c r="O490" s="87">
        <f>VLOOKUP(A490,'HIPERQUERATOSE 26'!$A$2:$G$1542,7,1)</f>
        <v>2</v>
      </c>
    </row>
    <row r="491" spans="1:15" ht="21" customHeight="1" x14ac:dyDescent="0.25">
      <c r="A491" s="28">
        <v>4278</v>
      </c>
      <c r="B491" s="27">
        <v>46206</v>
      </c>
      <c r="C491" s="26"/>
      <c r="D491" s="28" t="s">
        <v>34</v>
      </c>
      <c r="E491" s="26"/>
      <c r="F491" s="28">
        <v>4</v>
      </c>
      <c r="G491" s="28"/>
      <c r="H491" s="27">
        <v>46209</v>
      </c>
      <c r="I491" s="28">
        <v>3</v>
      </c>
      <c r="J491" s="27">
        <v>46213</v>
      </c>
      <c r="K491" s="26"/>
      <c r="L491" s="26"/>
      <c r="M491" s="26" t="s">
        <v>1</v>
      </c>
      <c r="N491" s="26"/>
      <c r="O491" s="87">
        <f>VLOOKUP(A491,'HIPERQUERATOSE 26'!$A$2:$G$1542,7,1)</f>
        <v>2.75</v>
      </c>
    </row>
    <row r="492" spans="1:15" ht="21" customHeight="1" x14ac:dyDescent="0.25">
      <c r="A492" s="28">
        <v>4418</v>
      </c>
      <c r="B492" s="27">
        <v>46206</v>
      </c>
      <c r="C492" s="26"/>
      <c r="D492" s="28" t="s">
        <v>20</v>
      </c>
      <c r="E492" s="26"/>
      <c r="F492" s="28">
        <v>4</v>
      </c>
      <c r="G492" s="28"/>
      <c r="H492" s="27">
        <v>46209</v>
      </c>
      <c r="I492" s="28">
        <v>9</v>
      </c>
      <c r="J492" s="27">
        <v>46219</v>
      </c>
      <c r="K492" s="26"/>
      <c r="L492" s="26"/>
      <c r="M492" s="26" t="s">
        <v>1</v>
      </c>
      <c r="N492" s="26"/>
      <c r="O492" s="87">
        <f>VLOOKUP(A492,'HIPERQUERATOSE 26'!$A$2:$G$1542,7,1)</f>
        <v>1.25</v>
      </c>
    </row>
    <row r="493" spans="1:15" ht="21" customHeight="1" x14ac:dyDescent="0.25">
      <c r="A493" s="28">
        <v>2981</v>
      </c>
      <c r="B493" s="27">
        <v>46207</v>
      </c>
      <c r="C493" s="26"/>
      <c r="D493" s="28" t="s">
        <v>25</v>
      </c>
      <c r="E493" s="26"/>
      <c r="F493" s="28">
        <v>4</v>
      </c>
      <c r="G493" s="28"/>
      <c r="H493" s="27">
        <v>46210</v>
      </c>
      <c r="I493" s="28">
        <v>5</v>
      </c>
      <c r="J493" s="27">
        <v>46216</v>
      </c>
      <c r="K493" s="26"/>
      <c r="L493" s="26" t="s">
        <v>5</v>
      </c>
      <c r="M493" s="26"/>
      <c r="N493" s="26"/>
      <c r="O493" s="87">
        <f>VLOOKUP(A493,'HIPERQUERATOSE 26'!$A$2:$G$1542,7,1)</f>
        <v>2.25</v>
      </c>
    </row>
    <row r="494" spans="1:15" ht="21" customHeight="1" x14ac:dyDescent="0.25">
      <c r="A494" s="28">
        <v>3008</v>
      </c>
      <c r="B494" s="27">
        <v>46207</v>
      </c>
      <c r="C494" s="26"/>
      <c r="D494" s="28" t="s">
        <v>25</v>
      </c>
      <c r="E494" s="26"/>
      <c r="F494" s="28">
        <v>4</v>
      </c>
      <c r="G494" s="28"/>
      <c r="H494" s="27">
        <v>46210</v>
      </c>
      <c r="I494" s="28">
        <v>5</v>
      </c>
      <c r="J494" s="27">
        <v>46216</v>
      </c>
      <c r="K494" s="26"/>
      <c r="L494" s="26" t="s">
        <v>5</v>
      </c>
      <c r="M494" s="26"/>
      <c r="N494" s="26"/>
      <c r="O494" s="87">
        <f>VLOOKUP(A494,'HIPERQUERATOSE 26'!$A$2:$G$1542,7,1)</f>
        <v>1</v>
      </c>
    </row>
    <row r="495" spans="1:15" ht="21" customHeight="1" x14ac:dyDescent="0.25">
      <c r="A495" s="28">
        <v>3194</v>
      </c>
      <c r="B495" s="27">
        <v>46207</v>
      </c>
      <c r="C495" s="26"/>
      <c r="D495" s="28" t="s">
        <v>25</v>
      </c>
      <c r="E495" s="26"/>
      <c r="F495" s="28">
        <v>4</v>
      </c>
      <c r="G495" s="28"/>
      <c r="H495" s="27">
        <v>46210</v>
      </c>
      <c r="I495" s="28">
        <v>5</v>
      </c>
      <c r="J495" s="27">
        <v>46216</v>
      </c>
      <c r="K495" s="26"/>
      <c r="L495" s="26"/>
      <c r="M495" s="26"/>
      <c r="N495" s="26" t="s">
        <v>4</v>
      </c>
      <c r="O495" s="87">
        <f>VLOOKUP(A495,'HIPERQUERATOSE 26'!$A$2:$G$1542,7,1)</f>
        <v>2.25</v>
      </c>
    </row>
    <row r="496" spans="1:15" ht="21" customHeight="1" x14ac:dyDescent="0.25">
      <c r="A496" s="28">
        <v>4394</v>
      </c>
      <c r="B496" s="27">
        <v>46207</v>
      </c>
      <c r="C496" s="26"/>
      <c r="D496" s="28" t="s">
        <v>34</v>
      </c>
      <c r="E496" s="26"/>
      <c r="F496" s="28">
        <v>4</v>
      </c>
      <c r="G496" s="28"/>
      <c r="H496" s="27">
        <v>46210</v>
      </c>
      <c r="I496" s="28">
        <v>3</v>
      </c>
      <c r="J496" s="27">
        <v>46214</v>
      </c>
      <c r="K496" s="26"/>
      <c r="L496" s="26"/>
      <c r="M496" s="26" t="s">
        <v>1</v>
      </c>
      <c r="N496" s="26"/>
      <c r="O496" s="87">
        <f>VLOOKUP(A496,'HIPERQUERATOSE 26'!$A$2:$G$1542,7,1)</f>
        <v>3</v>
      </c>
    </row>
    <row r="497" spans="1:15" ht="21" customHeight="1" x14ac:dyDescent="0.25">
      <c r="A497" s="28">
        <v>5232</v>
      </c>
      <c r="B497" s="27">
        <v>46207</v>
      </c>
      <c r="C497" s="26"/>
      <c r="D497" s="28" t="s">
        <v>20</v>
      </c>
      <c r="E497" s="26"/>
      <c r="F497" s="28">
        <v>4</v>
      </c>
      <c r="G497" s="28"/>
      <c r="H497" s="27">
        <v>46210</v>
      </c>
      <c r="I497" s="28">
        <v>9</v>
      </c>
      <c r="J497" s="27">
        <v>46220</v>
      </c>
      <c r="K497" s="26"/>
      <c r="L497" s="26"/>
      <c r="M497" s="26"/>
      <c r="N497" s="26" t="s">
        <v>4</v>
      </c>
      <c r="O497" s="87">
        <f>VLOOKUP(A497,'HIPERQUERATOSE 26'!$A$2:$G$1542,7,1)</f>
        <v>3</v>
      </c>
    </row>
    <row r="498" spans="1:15" ht="21" customHeight="1" x14ac:dyDescent="0.25">
      <c r="A498" s="28">
        <v>5347</v>
      </c>
      <c r="B498" s="27">
        <v>46207</v>
      </c>
      <c r="C498" s="26"/>
      <c r="D498" s="28" t="s">
        <v>25</v>
      </c>
      <c r="E498" s="26"/>
      <c r="F498" s="28">
        <v>4</v>
      </c>
      <c r="G498" s="28"/>
      <c r="H498" s="27">
        <v>46211</v>
      </c>
      <c r="I498" s="28">
        <v>5</v>
      </c>
      <c r="J498" s="27">
        <v>46217</v>
      </c>
      <c r="K498" s="26"/>
      <c r="L498" s="26"/>
      <c r="M498" s="26" t="s">
        <v>1</v>
      </c>
      <c r="N498" s="26"/>
      <c r="O498" s="87">
        <f>VLOOKUP(A498,'HIPERQUERATOSE 26'!$A$2:$G$1542,7,1)</f>
        <v>3.5</v>
      </c>
    </row>
    <row r="499" spans="1:15" ht="21" customHeight="1" x14ac:dyDescent="0.25">
      <c r="A499" s="28">
        <v>4383</v>
      </c>
      <c r="B499" s="27">
        <v>46208</v>
      </c>
      <c r="C499" s="26"/>
      <c r="D499" s="28" t="s">
        <v>25</v>
      </c>
      <c r="E499" s="26"/>
      <c r="F499" s="28">
        <v>4</v>
      </c>
      <c r="G499" s="28"/>
      <c r="H499" s="27">
        <v>46211</v>
      </c>
      <c r="I499" s="28">
        <v>5</v>
      </c>
      <c r="J499" s="27">
        <v>46217</v>
      </c>
      <c r="K499" s="26"/>
      <c r="L499" s="26"/>
      <c r="M499" s="26" t="s">
        <v>1</v>
      </c>
      <c r="N499" s="26"/>
      <c r="O499" s="87">
        <f>VLOOKUP(A499,'HIPERQUERATOSE 26'!$A$2:$G$1542,7,1)</f>
        <v>1.25</v>
      </c>
    </row>
    <row r="500" spans="1:15" ht="21" customHeight="1" x14ac:dyDescent="0.25">
      <c r="A500" s="28">
        <v>4417</v>
      </c>
      <c r="B500" s="27">
        <v>46208</v>
      </c>
      <c r="C500" s="26"/>
      <c r="D500" s="28" t="s">
        <v>34</v>
      </c>
      <c r="E500" s="26"/>
      <c r="F500" s="28">
        <v>4</v>
      </c>
      <c r="G500" s="28"/>
      <c r="H500" s="27">
        <v>46210</v>
      </c>
      <c r="I500" s="28">
        <v>3</v>
      </c>
      <c r="J500" s="27">
        <v>46214</v>
      </c>
      <c r="K500" s="26"/>
      <c r="L500" s="26"/>
      <c r="M500" s="26"/>
      <c r="N500" s="26" t="s">
        <v>4</v>
      </c>
      <c r="O500" s="87">
        <f>VLOOKUP(A500,'HIPERQUERATOSE 26'!$A$2:$G$1542,7,1)</f>
        <v>1.25</v>
      </c>
    </row>
    <row r="501" spans="1:15" ht="21" customHeight="1" x14ac:dyDescent="0.25">
      <c r="A501" s="28">
        <v>4538</v>
      </c>
      <c r="B501" s="27">
        <v>46208</v>
      </c>
      <c r="C501" s="26"/>
      <c r="D501" s="28" t="s">
        <v>7</v>
      </c>
      <c r="E501" s="26"/>
      <c r="F501" s="28">
        <v>4</v>
      </c>
      <c r="G501" s="28"/>
      <c r="H501" s="27">
        <v>46211</v>
      </c>
      <c r="I501" s="28">
        <v>3</v>
      </c>
      <c r="J501" s="27">
        <v>46215</v>
      </c>
      <c r="K501" s="26"/>
      <c r="L501" s="26"/>
      <c r="M501" s="26"/>
      <c r="N501" s="26" t="s">
        <v>4</v>
      </c>
      <c r="O501" s="87">
        <f>VLOOKUP(A501,'HIPERQUERATOSE 26'!$A$2:$G$1542,7,1)</f>
        <v>3</v>
      </c>
    </row>
    <row r="502" spans="1:15" ht="21" customHeight="1" x14ac:dyDescent="0.25">
      <c r="A502" s="28">
        <v>5050</v>
      </c>
      <c r="B502" s="27">
        <v>46208</v>
      </c>
      <c r="C502" s="26"/>
      <c r="D502" s="28" t="s">
        <v>34</v>
      </c>
      <c r="E502" s="26"/>
      <c r="F502" s="28">
        <v>4</v>
      </c>
      <c r="G502" s="28"/>
      <c r="H502" s="27">
        <v>46211</v>
      </c>
      <c r="I502" s="28">
        <v>3</v>
      </c>
      <c r="J502" s="27">
        <v>46215</v>
      </c>
      <c r="K502" s="26"/>
      <c r="L502" s="26"/>
      <c r="M502" s="26" t="s">
        <v>1</v>
      </c>
      <c r="N502" s="26"/>
      <c r="O502" s="87">
        <f>VLOOKUP(A502,'HIPERQUERATOSE 26'!$A$2:$G$1542,7,1)</f>
        <v>2.75</v>
      </c>
    </row>
    <row r="503" spans="1:15" ht="21" customHeight="1" x14ac:dyDescent="0.25">
      <c r="A503" s="28">
        <v>5399</v>
      </c>
      <c r="B503" s="27">
        <v>46208</v>
      </c>
      <c r="C503" s="26"/>
      <c r="D503" s="28" t="s">
        <v>34</v>
      </c>
      <c r="E503" s="26"/>
      <c r="F503" s="28">
        <v>4</v>
      </c>
      <c r="G503" s="28"/>
      <c r="H503" s="27">
        <v>46211</v>
      </c>
      <c r="I503" s="28">
        <v>3</v>
      </c>
      <c r="J503" s="27">
        <v>46215</v>
      </c>
      <c r="K503" s="26"/>
      <c r="L503" s="26"/>
      <c r="M503" s="26"/>
      <c r="N503" s="26" t="s">
        <v>4</v>
      </c>
      <c r="O503" s="87">
        <f>VLOOKUP(A503,'HIPERQUERATOSE 26'!$A$2:$G$1542,7,1)</f>
        <v>1.5</v>
      </c>
    </row>
    <row r="504" spans="1:15" ht="21" customHeight="1" x14ac:dyDescent="0.25">
      <c r="A504" s="28">
        <v>2927</v>
      </c>
      <c r="B504" s="27">
        <v>46209</v>
      </c>
      <c r="C504" s="26"/>
      <c r="D504" s="28" t="s">
        <v>25</v>
      </c>
      <c r="E504" s="26"/>
      <c r="F504" s="28">
        <v>4</v>
      </c>
      <c r="G504" s="28"/>
      <c r="H504" s="27">
        <v>46212</v>
      </c>
      <c r="I504" s="28">
        <v>5</v>
      </c>
      <c r="J504" s="27">
        <v>46218</v>
      </c>
      <c r="K504" s="26"/>
      <c r="L504" s="26" t="s">
        <v>5</v>
      </c>
      <c r="M504" s="26"/>
      <c r="N504" s="26"/>
      <c r="O504" s="87">
        <f>VLOOKUP(A504,'HIPERQUERATOSE 26'!$A$2:$G$1542,7,1)</f>
        <v>3.75</v>
      </c>
    </row>
    <row r="505" spans="1:15" ht="21" customHeight="1" x14ac:dyDescent="0.25">
      <c r="A505" s="28">
        <v>3560</v>
      </c>
      <c r="B505" s="27">
        <v>46209</v>
      </c>
      <c r="C505" s="26"/>
      <c r="D505" s="28" t="s">
        <v>25</v>
      </c>
      <c r="E505" s="26"/>
      <c r="F505" s="28">
        <v>4</v>
      </c>
      <c r="G505" s="28"/>
      <c r="H505" s="27">
        <v>46212</v>
      </c>
      <c r="I505" s="28">
        <v>5</v>
      </c>
      <c r="J505" s="27">
        <v>46218</v>
      </c>
      <c r="K505" s="26"/>
      <c r="L505" s="26" t="s">
        <v>5</v>
      </c>
      <c r="M505" s="26"/>
      <c r="N505" s="26"/>
      <c r="O505" s="87">
        <f>VLOOKUP(A505,'HIPERQUERATOSE 26'!$A$2:$G$1542,7,1)</f>
        <v>3.75</v>
      </c>
    </row>
    <row r="506" spans="1:15" ht="21" customHeight="1" x14ac:dyDescent="0.25">
      <c r="A506" s="28">
        <v>3743</v>
      </c>
      <c r="B506" s="27">
        <v>46209</v>
      </c>
      <c r="C506" s="26"/>
      <c r="D506" s="28" t="s">
        <v>25</v>
      </c>
      <c r="E506" s="26"/>
      <c r="F506" s="28">
        <v>4</v>
      </c>
      <c r="G506" s="26"/>
      <c r="H506" s="27">
        <v>46212</v>
      </c>
      <c r="I506" s="28">
        <v>5</v>
      </c>
      <c r="J506" s="27">
        <v>46218</v>
      </c>
      <c r="K506" s="26" t="s">
        <v>3</v>
      </c>
      <c r="L506" s="26"/>
      <c r="M506" s="26"/>
      <c r="N506" s="26"/>
      <c r="O506" s="87">
        <f>VLOOKUP(A506,'HIPERQUERATOSE 26'!$A$2:$G$1542,7,1)</f>
        <v>2.25</v>
      </c>
    </row>
    <row r="507" spans="1:15" ht="21" customHeight="1" x14ac:dyDescent="0.25">
      <c r="A507" s="28">
        <v>4059</v>
      </c>
      <c r="B507" s="27">
        <v>46209</v>
      </c>
      <c r="C507" s="26"/>
      <c r="D507" s="28" t="s">
        <v>25</v>
      </c>
      <c r="E507" s="26"/>
      <c r="F507" s="28">
        <v>4</v>
      </c>
      <c r="G507" s="26"/>
      <c r="H507" s="27">
        <v>46212</v>
      </c>
      <c r="I507" s="28">
        <v>5</v>
      </c>
      <c r="J507" s="27">
        <v>46218</v>
      </c>
      <c r="K507" s="26"/>
      <c r="L507" s="26" t="s">
        <v>5</v>
      </c>
      <c r="M507" s="26"/>
      <c r="N507" s="26"/>
      <c r="O507" s="87">
        <f>VLOOKUP(A507,'HIPERQUERATOSE 26'!$A$2:$G$1542,7,1)</f>
        <v>1.5</v>
      </c>
    </row>
    <row r="508" spans="1:15" ht="21" customHeight="1" x14ac:dyDescent="0.25">
      <c r="A508" s="28">
        <v>4271</v>
      </c>
      <c r="B508" s="27">
        <v>46209</v>
      </c>
      <c r="C508" s="26"/>
      <c r="D508" s="28" t="s">
        <v>20</v>
      </c>
      <c r="E508" s="26"/>
      <c r="F508" s="28">
        <v>4</v>
      </c>
      <c r="G508" s="26"/>
      <c r="H508" s="27">
        <v>46212</v>
      </c>
      <c r="I508" s="28">
        <v>9</v>
      </c>
      <c r="J508" s="27">
        <v>46222</v>
      </c>
      <c r="K508" s="26"/>
      <c r="L508" s="26"/>
      <c r="M508" s="26" t="s">
        <v>1</v>
      </c>
      <c r="N508" s="26"/>
      <c r="O508" s="87">
        <f>VLOOKUP(A508,'HIPERQUERATOSE 26'!$A$2:$G$1542,7,1)</f>
        <v>4</v>
      </c>
    </row>
    <row r="509" spans="1:15" ht="21" customHeight="1" x14ac:dyDescent="0.25">
      <c r="A509" s="28">
        <v>4769</v>
      </c>
      <c r="B509" s="27">
        <v>46209</v>
      </c>
      <c r="C509" s="26"/>
      <c r="D509" s="28" t="s">
        <v>7</v>
      </c>
      <c r="E509" s="26"/>
      <c r="F509" s="28">
        <v>4</v>
      </c>
      <c r="G509" s="26"/>
      <c r="H509" s="27">
        <v>46212</v>
      </c>
      <c r="I509" s="28">
        <v>3</v>
      </c>
      <c r="J509" s="27">
        <v>46216</v>
      </c>
      <c r="K509" s="26"/>
      <c r="L509" s="26"/>
      <c r="M509" s="26" t="s">
        <v>1</v>
      </c>
      <c r="N509" s="26"/>
      <c r="O509" s="87">
        <f>VLOOKUP(A509,'HIPERQUERATOSE 26'!$A$2:$G$1542,7,1)</f>
        <v>1</v>
      </c>
    </row>
    <row r="510" spans="1:15" ht="21" customHeight="1" x14ac:dyDescent="0.25">
      <c r="A510" s="28">
        <v>5369</v>
      </c>
      <c r="B510" s="27">
        <v>46209</v>
      </c>
      <c r="C510" s="26"/>
      <c r="D510" s="28" t="s">
        <v>7</v>
      </c>
      <c r="E510" s="26"/>
      <c r="F510" s="28">
        <v>4</v>
      </c>
      <c r="G510" s="26"/>
      <c r="H510" s="27">
        <v>46212</v>
      </c>
      <c r="I510" s="28">
        <v>3</v>
      </c>
      <c r="J510" s="27">
        <v>46216</v>
      </c>
      <c r="K510" s="26" t="s">
        <v>3</v>
      </c>
      <c r="L510" s="26"/>
      <c r="M510" s="26"/>
      <c r="N510" s="26"/>
      <c r="O510" s="87">
        <f>VLOOKUP(A510,'HIPERQUERATOSE 26'!$A$2:$G$1542,7,1)</f>
        <v>2.5</v>
      </c>
    </row>
    <row r="511" spans="1:15" ht="21" customHeight="1" x14ac:dyDescent="0.25">
      <c r="A511" s="28">
        <v>1160</v>
      </c>
      <c r="B511" s="27">
        <v>46210</v>
      </c>
      <c r="C511" s="26"/>
      <c r="D511" s="28" t="s">
        <v>20</v>
      </c>
      <c r="E511" s="26"/>
      <c r="F511" s="28">
        <v>4</v>
      </c>
      <c r="G511" s="26"/>
      <c r="H511" s="27">
        <v>46213</v>
      </c>
      <c r="I511" s="28">
        <v>9</v>
      </c>
      <c r="J511" s="27">
        <v>46223</v>
      </c>
      <c r="K511" s="26"/>
      <c r="L511" s="26" t="s">
        <v>5</v>
      </c>
      <c r="M511" s="26"/>
      <c r="N511" s="26"/>
      <c r="O511" s="87">
        <f>VLOOKUP(A511,'HIPERQUERATOSE 26'!$A$2:$G$1542,7,1)</f>
        <v>1.5</v>
      </c>
    </row>
    <row r="512" spans="1:15" ht="21" customHeight="1" x14ac:dyDescent="0.25">
      <c r="A512" s="28">
        <v>2822</v>
      </c>
      <c r="B512" s="27">
        <v>46210</v>
      </c>
      <c r="C512" s="26"/>
      <c r="D512" s="28" t="s">
        <v>20</v>
      </c>
      <c r="E512" s="26"/>
      <c r="F512" s="28">
        <v>4</v>
      </c>
      <c r="G512" s="26"/>
      <c r="H512" s="27">
        <v>46213</v>
      </c>
      <c r="I512" s="28">
        <v>9</v>
      </c>
      <c r="J512" s="27">
        <v>46223</v>
      </c>
      <c r="K512" s="26"/>
      <c r="L512" s="26"/>
      <c r="M512" s="26" t="s">
        <v>1</v>
      </c>
      <c r="N512" s="26"/>
      <c r="O512" s="87">
        <f>VLOOKUP(A512,'HIPERQUERATOSE 26'!$A$2:$G$1542,7,1)</f>
        <v>2.75</v>
      </c>
    </row>
    <row r="513" spans="1:15" ht="21" customHeight="1" x14ac:dyDescent="0.25">
      <c r="A513" s="28">
        <v>2892</v>
      </c>
      <c r="B513" s="27">
        <v>46210</v>
      </c>
      <c r="C513" s="26"/>
      <c r="D513" s="28" t="s">
        <v>25</v>
      </c>
      <c r="E513" s="26"/>
      <c r="F513" s="28">
        <v>4</v>
      </c>
      <c r="G513" s="26"/>
      <c r="H513" s="27">
        <v>46213</v>
      </c>
      <c r="I513" s="28">
        <v>5</v>
      </c>
      <c r="J513" s="27">
        <v>46219</v>
      </c>
      <c r="K513" s="26"/>
      <c r="L513" s="26"/>
      <c r="M513" s="26" t="s">
        <v>1</v>
      </c>
      <c r="N513" s="26"/>
      <c r="O513" s="87">
        <f>VLOOKUP(A513,'HIPERQUERATOSE 26'!$A$2:$G$1542,7,1)</f>
        <v>2.25</v>
      </c>
    </row>
    <row r="514" spans="1:15" ht="21" customHeight="1" x14ac:dyDescent="0.25">
      <c r="A514" s="28">
        <v>3159</v>
      </c>
      <c r="B514" s="27">
        <v>46210</v>
      </c>
      <c r="C514" s="26"/>
      <c r="D514" s="28" t="s">
        <v>25</v>
      </c>
      <c r="E514" s="26"/>
      <c r="F514" s="28">
        <v>4</v>
      </c>
      <c r="G514" s="26"/>
      <c r="H514" s="27">
        <v>46213</v>
      </c>
      <c r="I514" s="28">
        <v>5</v>
      </c>
      <c r="J514" s="27">
        <v>46219</v>
      </c>
      <c r="K514" s="26"/>
      <c r="L514" s="26"/>
      <c r="M514" s="26"/>
      <c r="N514" s="26"/>
      <c r="O514" s="87">
        <f>VLOOKUP(A514,'HIPERQUERATOSE 26'!$A$2:$G$1542,7,1)</f>
        <v>3.5</v>
      </c>
    </row>
    <row r="515" spans="1:15" ht="21" customHeight="1" x14ac:dyDescent="0.25">
      <c r="A515" s="28">
        <v>5285</v>
      </c>
      <c r="B515" s="27">
        <v>46210</v>
      </c>
      <c r="C515" s="26"/>
      <c r="D515" s="28" t="s">
        <v>34</v>
      </c>
      <c r="E515" s="26"/>
      <c r="F515" s="28">
        <v>4</v>
      </c>
      <c r="G515" s="26"/>
      <c r="H515" s="27">
        <v>46213</v>
      </c>
      <c r="I515" s="28">
        <v>3</v>
      </c>
      <c r="J515" s="27">
        <v>46217</v>
      </c>
      <c r="K515" s="26" t="s">
        <v>3</v>
      </c>
      <c r="L515" s="26"/>
      <c r="M515" s="26" t="s">
        <v>1</v>
      </c>
      <c r="N515" s="26"/>
      <c r="O515" s="87">
        <f>VLOOKUP(A515,'HIPERQUERATOSE 26'!$A$2:$G$1542,7,1)</f>
        <v>1</v>
      </c>
    </row>
    <row r="516" spans="1:15" ht="21" customHeight="1" x14ac:dyDescent="0.25">
      <c r="A516" s="28">
        <v>3025</v>
      </c>
      <c r="B516" s="27">
        <v>46211</v>
      </c>
      <c r="C516" s="26"/>
      <c r="D516" s="28" t="s">
        <v>25</v>
      </c>
      <c r="E516" s="26"/>
      <c r="F516" s="28">
        <v>4</v>
      </c>
      <c r="G516" s="26"/>
      <c r="H516" s="27">
        <v>46214</v>
      </c>
      <c r="I516" s="28">
        <v>5</v>
      </c>
      <c r="J516" s="27">
        <v>46220</v>
      </c>
      <c r="K516" s="26"/>
      <c r="L516" s="26" t="s">
        <v>5</v>
      </c>
      <c r="M516" s="26"/>
      <c r="N516" s="26"/>
      <c r="O516" s="87">
        <f>VLOOKUP(A516,'HIPERQUERATOSE 26'!$A$2:$G$1542,7,1)</f>
        <v>3.25</v>
      </c>
    </row>
    <row r="517" spans="1:15" ht="21" customHeight="1" x14ac:dyDescent="0.25">
      <c r="A517" s="28">
        <v>3515</v>
      </c>
      <c r="B517" s="27">
        <v>46211</v>
      </c>
      <c r="C517" s="26"/>
      <c r="D517" s="28" t="s">
        <v>7</v>
      </c>
      <c r="E517" s="26"/>
      <c r="F517" s="28">
        <v>4</v>
      </c>
      <c r="G517" s="26"/>
      <c r="H517" s="27">
        <v>46214</v>
      </c>
      <c r="I517" s="28">
        <v>3</v>
      </c>
      <c r="J517" s="27">
        <v>46218</v>
      </c>
      <c r="K517" s="26"/>
      <c r="L517" s="26" t="s">
        <v>5</v>
      </c>
      <c r="M517" s="26"/>
      <c r="N517" s="26"/>
      <c r="O517" s="87">
        <f>VLOOKUP(A517,'HIPERQUERATOSE 26'!$A$2:$G$1542,7,1)</f>
        <v>3.25</v>
      </c>
    </row>
    <row r="518" spans="1:15" ht="21" customHeight="1" x14ac:dyDescent="0.25">
      <c r="A518" s="28">
        <v>3573</v>
      </c>
      <c r="B518" s="27">
        <v>46211</v>
      </c>
      <c r="C518" s="26"/>
      <c r="D518" s="28" t="s">
        <v>7</v>
      </c>
      <c r="E518" s="26"/>
      <c r="F518" s="28">
        <v>4</v>
      </c>
      <c r="G518" s="26"/>
      <c r="H518" s="27">
        <v>46214</v>
      </c>
      <c r="I518" s="28">
        <v>3</v>
      </c>
      <c r="J518" s="27">
        <v>46218</v>
      </c>
      <c r="K518" s="26"/>
      <c r="L518" s="26" t="s">
        <v>5</v>
      </c>
      <c r="M518" s="26"/>
      <c r="N518" s="26"/>
      <c r="O518" s="87">
        <f>VLOOKUP(A518,'HIPERQUERATOSE 26'!$A$2:$G$1542,7,1)</f>
        <v>1.25</v>
      </c>
    </row>
    <row r="519" spans="1:15" ht="21" customHeight="1" x14ac:dyDescent="0.25">
      <c r="A519" s="28">
        <v>3728</v>
      </c>
      <c r="B519" s="27">
        <v>46211</v>
      </c>
      <c r="C519" s="26"/>
      <c r="D519" s="28" t="s">
        <v>7</v>
      </c>
      <c r="E519" s="26"/>
      <c r="F519" s="28">
        <v>4</v>
      </c>
      <c r="G519" s="26"/>
      <c r="H519" s="27">
        <v>46214</v>
      </c>
      <c r="I519" s="28">
        <v>3</v>
      </c>
      <c r="J519" s="27">
        <v>46218</v>
      </c>
      <c r="K519" s="26"/>
      <c r="L519" s="26" t="s">
        <v>5</v>
      </c>
      <c r="M519" s="26"/>
      <c r="N519" s="26"/>
      <c r="O519" s="87">
        <f>VLOOKUP(A519,'HIPERQUERATOSE 26'!$A$2:$G$1542,7,1)</f>
        <v>2.5</v>
      </c>
    </row>
    <row r="520" spans="1:15" ht="21" customHeight="1" x14ac:dyDescent="0.25">
      <c r="A520" s="28">
        <v>4108</v>
      </c>
      <c r="B520" s="27">
        <v>46211</v>
      </c>
      <c r="C520" s="26"/>
      <c r="D520" s="28" t="s">
        <v>20</v>
      </c>
      <c r="E520" s="26"/>
      <c r="F520" s="28">
        <v>4</v>
      </c>
      <c r="G520" s="26"/>
      <c r="H520" s="27">
        <v>46214</v>
      </c>
      <c r="I520" s="28">
        <v>9</v>
      </c>
      <c r="J520" s="27">
        <v>46224</v>
      </c>
      <c r="K520" s="26"/>
      <c r="L520" s="26"/>
      <c r="M520" s="26" t="s">
        <v>1</v>
      </c>
      <c r="N520" s="26" t="s">
        <v>4</v>
      </c>
      <c r="O520" s="87">
        <f>VLOOKUP(A520,'HIPERQUERATOSE 26'!$A$2:$G$1542,7,1)</f>
        <v>2</v>
      </c>
    </row>
    <row r="521" spans="1:15" ht="21" customHeight="1" x14ac:dyDescent="0.25">
      <c r="A521" s="28">
        <v>4469</v>
      </c>
      <c r="B521" s="27">
        <v>46211</v>
      </c>
      <c r="C521" s="26"/>
      <c r="D521" s="28" t="s">
        <v>20</v>
      </c>
      <c r="E521" s="26"/>
      <c r="F521" s="28">
        <v>4</v>
      </c>
      <c r="G521" s="26"/>
      <c r="H521" s="27">
        <v>46214</v>
      </c>
      <c r="I521" s="28">
        <v>9</v>
      </c>
      <c r="J521" s="27">
        <v>46224</v>
      </c>
      <c r="K521" s="26"/>
      <c r="L521" s="26"/>
      <c r="M521" s="26" t="s">
        <v>1</v>
      </c>
      <c r="N521" s="26"/>
      <c r="O521" s="87">
        <f>VLOOKUP(A521,'HIPERQUERATOSE 26'!$A$2:$G$1542,7,1)</f>
        <v>1.75</v>
      </c>
    </row>
    <row r="522" spans="1:15" ht="21" customHeight="1" x14ac:dyDescent="0.25">
      <c r="A522" s="28">
        <v>4483</v>
      </c>
      <c r="B522" s="27">
        <v>46211</v>
      </c>
      <c r="C522" s="26"/>
      <c r="D522" s="28" t="s">
        <v>20</v>
      </c>
      <c r="E522" s="26"/>
      <c r="F522" s="28">
        <v>4</v>
      </c>
      <c r="G522" s="26"/>
      <c r="H522" s="27">
        <v>46214</v>
      </c>
      <c r="I522" s="28">
        <v>9</v>
      </c>
      <c r="J522" s="27">
        <v>46224</v>
      </c>
      <c r="K522" s="26" t="s">
        <v>3</v>
      </c>
      <c r="L522" s="26" t="s">
        <v>5</v>
      </c>
      <c r="M522" s="26" t="s">
        <v>1</v>
      </c>
      <c r="N522" s="26" t="s">
        <v>4</v>
      </c>
      <c r="O522" s="87">
        <f>VLOOKUP(A522,'HIPERQUERATOSE 26'!$A$2:$G$1542,7,1)</f>
        <v>2.25</v>
      </c>
    </row>
    <row r="523" spans="1:15" ht="21" customHeight="1" x14ac:dyDescent="0.25">
      <c r="A523" s="28">
        <v>4538</v>
      </c>
      <c r="B523" s="27">
        <v>46211</v>
      </c>
      <c r="C523" s="26"/>
      <c r="D523" s="28" t="s">
        <v>34</v>
      </c>
      <c r="E523" s="26"/>
      <c r="F523" s="28">
        <v>4</v>
      </c>
      <c r="G523" s="26"/>
      <c r="H523" s="27">
        <v>46214</v>
      </c>
      <c r="I523" s="28">
        <v>3</v>
      </c>
      <c r="J523" s="27">
        <v>46218</v>
      </c>
      <c r="K523" s="26"/>
      <c r="L523" s="26" t="s">
        <v>5</v>
      </c>
      <c r="M523" s="26"/>
      <c r="N523" s="26"/>
      <c r="O523" s="87">
        <f>VLOOKUP(A523,'HIPERQUERATOSE 26'!$A$2:$G$1542,7,1)</f>
        <v>3</v>
      </c>
    </row>
    <row r="524" spans="1:15" ht="21" customHeight="1" x14ac:dyDescent="0.25">
      <c r="A524" s="28">
        <v>4642</v>
      </c>
      <c r="B524" s="27">
        <v>46211</v>
      </c>
      <c r="C524" s="26"/>
      <c r="D524" s="28" t="s">
        <v>34</v>
      </c>
      <c r="E524" s="26"/>
      <c r="F524" s="28">
        <v>4</v>
      </c>
      <c r="G524" s="26"/>
      <c r="H524" s="27">
        <v>46214</v>
      </c>
      <c r="I524" s="28">
        <v>3</v>
      </c>
      <c r="J524" s="27">
        <v>46218</v>
      </c>
      <c r="K524" s="26" t="s">
        <v>3</v>
      </c>
      <c r="L524" s="26"/>
      <c r="M524" s="26"/>
      <c r="N524" s="26"/>
      <c r="O524" s="87">
        <f>VLOOKUP(A524,'HIPERQUERATOSE 26'!$A$2:$G$1542,7,1)</f>
        <v>2</v>
      </c>
    </row>
    <row r="525" spans="1:15" ht="21" customHeight="1" x14ac:dyDescent="0.25">
      <c r="A525" s="28">
        <v>4759</v>
      </c>
      <c r="B525" s="27">
        <v>46211</v>
      </c>
      <c r="C525" s="26"/>
      <c r="D525" s="28" t="s">
        <v>7</v>
      </c>
      <c r="E525" s="26"/>
      <c r="F525" s="28">
        <v>4</v>
      </c>
      <c r="G525" s="26"/>
      <c r="H525" s="27">
        <v>46214</v>
      </c>
      <c r="I525" s="28">
        <v>3</v>
      </c>
      <c r="J525" s="27">
        <v>46218</v>
      </c>
      <c r="K525" s="26"/>
      <c r="L525" s="26"/>
      <c r="M525" s="26" t="s">
        <v>1</v>
      </c>
      <c r="N525" s="26"/>
      <c r="O525" s="87">
        <f>VLOOKUP(A525,'HIPERQUERATOSE 26'!$A$2:$G$1542,7,1)</f>
        <v>1.75</v>
      </c>
    </row>
    <row r="526" spans="1:15" ht="21" customHeight="1" x14ac:dyDescent="0.25">
      <c r="A526" s="28">
        <v>5056</v>
      </c>
      <c r="B526" s="27">
        <v>46211</v>
      </c>
      <c r="C526" s="26"/>
      <c r="D526" s="28" t="s">
        <v>7</v>
      </c>
      <c r="E526" s="26"/>
      <c r="F526" s="28">
        <v>4</v>
      </c>
      <c r="G526" s="26"/>
      <c r="H526" s="27">
        <v>46214</v>
      </c>
      <c r="I526" s="28">
        <v>3</v>
      </c>
      <c r="J526" s="27">
        <v>46218</v>
      </c>
      <c r="K526" s="26"/>
      <c r="L526" s="26"/>
      <c r="M526" s="26" t="s">
        <v>1</v>
      </c>
      <c r="N526" s="26"/>
      <c r="O526" s="87">
        <f>VLOOKUP(A526,'HIPERQUERATOSE 26'!$A$2:$G$1542,7,1)</f>
        <v>1</v>
      </c>
    </row>
    <row r="527" spans="1:15" ht="21" customHeight="1" x14ac:dyDescent="0.25">
      <c r="A527" s="28">
        <v>3210</v>
      </c>
      <c r="B527" s="27">
        <v>46212</v>
      </c>
      <c r="C527" s="26"/>
      <c r="D527" s="28" t="s">
        <v>34</v>
      </c>
      <c r="E527" s="26"/>
      <c r="F527" s="28">
        <v>4</v>
      </c>
      <c r="G527" s="26"/>
      <c r="H527" s="27">
        <v>46215</v>
      </c>
      <c r="I527" s="28">
        <v>3</v>
      </c>
      <c r="J527" s="27">
        <v>46219</v>
      </c>
      <c r="K527" s="26"/>
      <c r="L527" s="26" t="s">
        <v>5</v>
      </c>
      <c r="M527" s="26"/>
      <c r="N527" s="26"/>
      <c r="O527" s="87">
        <f>VLOOKUP(A527,'HIPERQUERATOSE 26'!$A$2:$G$1542,7,1)</f>
        <v>2.5</v>
      </c>
    </row>
    <row r="528" spans="1:15" ht="21" customHeight="1" x14ac:dyDescent="0.25">
      <c r="A528" s="28">
        <v>4394</v>
      </c>
      <c r="B528" s="27">
        <v>46212</v>
      </c>
      <c r="C528" s="26"/>
      <c r="D528" s="28" t="s">
        <v>20</v>
      </c>
      <c r="E528" s="26"/>
      <c r="F528" s="28">
        <v>4</v>
      </c>
      <c r="G528" s="26"/>
      <c r="H528" s="27">
        <v>46215</v>
      </c>
      <c r="I528" s="28">
        <v>9</v>
      </c>
      <c r="J528" s="27">
        <v>46225</v>
      </c>
      <c r="K528" s="26"/>
      <c r="L528" s="26" t="s">
        <v>5</v>
      </c>
      <c r="M528" s="26"/>
      <c r="N528" s="26" t="s">
        <v>4</v>
      </c>
      <c r="O528" s="87">
        <f>VLOOKUP(A528,'HIPERQUERATOSE 26'!$A$2:$G$1542,7,1)</f>
        <v>3</v>
      </c>
    </row>
    <row r="529" spans="1:15" ht="21" customHeight="1" x14ac:dyDescent="0.25">
      <c r="A529" s="28">
        <v>4900</v>
      </c>
      <c r="B529" s="27">
        <v>46212</v>
      </c>
      <c r="C529" s="26"/>
      <c r="D529" s="28" t="s">
        <v>20</v>
      </c>
      <c r="E529" s="26"/>
      <c r="F529" s="28">
        <v>4</v>
      </c>
      <c r="G529" s="26"/>
      <c r="H529" s="27">
        <v>46215</v>
      </c>
      <c r="I529" s="28">
        <v>9</v>
      </c>
      <c r="J529" s="27">
        <v>46225</v>
      </c>
      <c r="K529" s="26"/>
      <c r="L529" s="26"/>
      <c r="M529" s="26" t="s">
        <v>1</v>
      </c>
      <c r="N529" s="26"/>
      <c r="O529" s="87">
        <f>VLOOKUP(A529,'HIPERQUERATOSE 26'!$A$2:$G$1542,7,1)</f>
        <v>1</v>
      </c>
    </row>
    <row r="530" spans="1:15" ht="21" customHeight="1" x14ac:dyDescent="0.25">
      <c r="A530" s="28">
        <v>5596</v>
      </c>
      <c r="B530" s="27">
        <v>46212</v>
      </c>
      <c r="C530" s="26"/>
      <c r="D530" s="28" t="s">
        <v>7</v>
      </c>
      <c r="E530" s="26"/>
      <c r="F530" s="28">
        <v>4</v>
      </c>
      <c r="G530" s="26"/>
      <c r="H530" s="27">
        <v>46215</v>
      </c>
      <c r="I530" s="28">
        <v>3</v>
      </c>
      <c r="J530" s="27">
        <v>46219</v>
      </c>
      <c r="K530" s="26" t="s">
        <v>3</v>
      </c>
      <c r="L530" s="26" t="s">
        <v>5</v>
      </c>
      <c r="M530" s="26"/>
      <c r="N530" s="26"/>
      <c r="O530" s="87">
        <f>VLOOKUP(A530,'HIPERQUERATOSE 26'!$A$2:$G$1542,7,1)</f>
        <v>1</v>
      </c>
    </row>
    <row r="531" spans="1:15" ht="21" customHeight="1" x14ac:dyDescent="0.25">
      <c r="A531" s="28">
        <v>3478</v>
      </c>
      <c r="B531" s="27">
        <v>46213</v>
      </c>
      <c r="C531" s="26"/>
      <c r="D531" s="28" t="s">
        <v>7</v>
      </c>
      <c r="E531" s="26"/>
      <c r="F531" s="28">
        <v>4</v>
      </c>
      <c r="G531" s="26"/>
      <c r="H531" s="27">
        <v>46216</v>
      </c>
      <c r="I531" s="28">
        <v>3</v>
      </c>
      <c r="J531" s="27">
        <v>46220</v>
      </c>
      <c r="K531" s="26"/>
      <c r="L531" s="26"/>
      <c r="M531" s="26" t="s">
        <v>1</v>
      </c>
      <c r="N531" s="26"/>
      <c r="O531" s="87">
        <f>VLOOKUP(A531,'HIPERQUERATOSE 26'!$A$2:$G$1542,7,1)</f>
        <v>1</v>
      </c>
    </row>
    <row r="532" spans="1:15" ht="21" customHeight="1" x14ac:dyDescent="0.25">
      <c r="A532" s="28">
        <v>4173</v>
      </c>
      <c r="B532" s="27">
        <v>46213</v>
      </c>
      <c r="C532" s="26"/>
      <c r="D532" s="28" t="s">
        <v>7</v>
      </c>
      <c r="E532" s="26"/>
      <c r="F532" s="28">
        <v>4</v>
      </c>
      <c r="G532" s="26"/>
      <c r="H532" s="27">
        <v>46216</v>
      </c>
      <c r="I532" s="28">
        <v>3</v>
      </c>
      <c r="J532" s="27">
        <v>46220</v>
      </c>
      <c r="K532" s="26"/>
      <c r="L532" s="26" t="s">
        <v>5</v>
      </c>
      <c r="M532" s="26"/>
      <c r="N532" s="26"/>
      <c r="O532" s="87">
        <f>VLOOKUP(A532,'HIPERQUERATOSE 26'!$A$2:$G$1542,7,1)</f>
        <v>2.75</v>
      </c>
    </row>
    <row r="533" spans="1:15" ht="21" customHeight="1" x14ac:dyDescent="0.25">
      <c r="A533" s="28">
        <v>4298</v>
      </c>
      <c r="B533" s="27">
        <v>46213</v>
      </c>
      <c r="C533" s="26"/>
      <c r="D533" s="28" t="s">
        <v>7</v>
      </c>
      <c r="E533" s="26"/>
      <c r="F533" s="28">
        <v>4</v>
      </c>
      <c r="G533" s="26"/>
      <c r="H533" s="27">
        <v>46216</v>
      </c>
      <c r="I533" s="28">
        <v>3</v>
      </c>
      <c r="J533" s="27">
        <v>46220</v>
      </c>
      <c r="K533" s="26"/>
      <c r="L533" s="26"/>
      <c r="M533" s="26"/>
      <c r="N533" s="26" t="s">
        <v>4</v>
      </c>
      <c r="O533" s="87">
        <f>VLOOKUP(A533,'HIPERQUERATOSE 26'!$A$2:$G$1542,7,1)</f>
        <v>3.5</v>
      </c>
    </row>
    <row r="534" spans="1:15" ht="21" customHeight="1" x14ac:dyDescent="0.25">
      <c r="A534" s="28">
        <v>4303</v>
      </c>
      <c r="B534" s="27">
        <v>46213</v>
      </c>
      <c r="C534" s="26"/>
      <c r="D534" s="28" t="s">
        <v>20</v>
      </c>
      <c r="E534" s="26"/>
      <c r="F534" s="28">
        <v>4</v>
      </c>
      <c r="G534" s="26"/>
      <c r="H534" s="27">
        <v>46216</v>
      </c>
      <c r="I534" s="28">
        <v>9</v>
      </c>
      <c r="J534" s="27">
        <v>46226</v>
      </c>
      <c r="K534" s="26"/>
      <c r="L534" s="26"/>
      <c r="M534" s="26" t="s">
        <v>1</v>
      </c>
      <c r="N534" s="26"/>
      <c r="O534" s="87">
        <f>VLOOKUP(A534,'HIPERQUERATOSE 26'!$A$2:$G$1542,7,1)</f>
        <v>2.75</v>
      </c>
    </row>
    <row r="535" spans="1:15" ht="21" customHeight="1" x14ac:dyDescent="0.25">
      <c r="A535" s="28">
        <v>4372</v>
      </c>
      <c r="B535" s="27">
        <v>46213</v>
      </c>
      <c r="C535" s="26"/>
      <c r="D535" s="28" t="s">
        <v>7</v>
      </c>
      <c r="E535" s="26"/>
      <c r="F535" s="28">
        <v>4</v>
      </c>
      <c r="G535" s="26"/>
      <c r="H535" s="27">
        <v>46216</v>
      </c>
      <c r="I535" s="28">
        <v>3</v>
      </c>
      <c r="J535" s="27">
        <v>46220</v>
      </c>
      <c r="K535" s="26"/>
      <c r="L535" s="26"/>
      <c r="M535" s="26" t="s">
        <v>1</v>
      </c>
      <c r="N535" s="26"/>
      <c r="O535" s="87">
        <f>VLOOKUP(A535,'HIPERQUERATOSE 26'!$A$2:$G$1542,7,1)</f>
        <v>4</v>
      </c>
    </row>
    <row r="536" spans="1:15" ht="21" customHeight="1" x14ac:dyDescent="0.25">
      <c r="A536" s="28">
        <v>4446</v>
      </c>
      <c r="B536" s="27">
        <v>46213</v>
      </c>
      <c r="C536" s="26"/>
      <c r="D536" s="28" t="s">
        <v>34</v>
      </c>
      <c r="E536" s="26"/>
      <c r="F536" s="28">
        <v>4</v>
      </c>
      <c r="G536" s="26"/>
      <c r="H536" s="27">
        <v>46216</v>
      </c>
      <c r="I536" s="28">
        <v>3</v>
      </c>
      <c r="J536" s="27">
        <v>46220</v>
      </c>
      <c r="K536" s="26"/>
      <c r="L536" s="26" t="s">
        <v>5</v>
      </c>
      <c r="M536" s="26"/>
      <c r="N536" s="26"/>
      <c r="O536" s="87">
        <f>VLOOKUP(A536,'HIPERQUERATOSE 26'!$A$2:$G$1542,7,1)</f>
        <v>1.5</v>
      </c>
    </row>
    <row r="537" spans="1:15" ht="21" customHeight="1" x14ac:dyDescent="0.25">
      <c r="A537" s="28">
        <v>5008</v>
      </c>
      <c r="B537" s="27">
        <v>46213</v>
      </c>
      <c r="C537" s="26"/>
      <c r="D537" s="28" t="s">
        <v>34</v>
      </c>
      <c r="E537" s="26"/>
      <c r="F537" s="28">
        <v>4</v>
      </c>
      <c r="G537" s="26"/>
      <c r="H537" s="27">
        <v>46216</v>
      </c>
      <c r="I537" s="28">
        <v>3</v>
      </c>
      <c r="J537" s="27">
        <v>46220</v>
      </c>
      <c r="K537" s="26" t="s">
        <v>3</v>
      </c>
      <c r="L537" s="26"/>
      <c r="M537" s="26"/>
      <c r="N537" s="26"/>
      <c r="O537" s="87">
        <f>VLOOKUP(A537,'HIPERQUERATOSE 26'!$A$2:$G$1542,7,1)</f>
        <v>1</v>
      </c>
    </row>
    <row r="538" spans="1:15" ht="21" customHeight="1" x14ac:dyDescent="0.25">
      <c r="A538" s="28">
        <v>5370</v>
      </c>
      <c r="B538" s="27">
        <v>46213</v>
      </c>
      <c r="C538" s="26"/>
      <c r="D538" s="28" t="s">
        <v>7</v>
      </c>
      <c r="E538" s="26"/>
      <c r="F538" s="28">
        <v>4</v>
      </c>
      <c r="G538" s="26"/>
      <c r="H538" s="27">
        <v>46216</v>
      </c>
      <c r="I538" s="28">
        <v>3</v>
      </c>
      <c r="J538" s="27">
        <v>46220</v>
      </c>
      <c r="K538" s="26"/>
      <c r="L538" s="26" t="s">
        <v>5</v>
      </c>
      <c r="M538" s="26"/>
      <c r="N538" s="26"/>
      <c r="O538" s="87">
        <f>VLOOKUP(A538,'HIPERQUERATOSE 26'!$A$2:$G$1542,7,1)</f>
        <v>1.5</v>
      </c>
    </row>
    <row r="539" spans="1:15" ht="21" customHeight="1" x14ac:dyDescent="0.25">
      <c r="A539" s="28">
        <v>4054</v>
      </c>
      <c r="B539" s="27">
        <v>46214</v>
      </c>
      <c r="C539" s="26"/>
      <c r="D539" s="28" t="s">
        <v>25</v>
      </c>
      <c r="E539" s="26"/>
      <c r="F539" s="28">
        <v>4</v>
      </c>
      <c r="G539" s="26"/>
      <c r="H539" s="27">
        <v>46217</v>
      </c>
      <c r="I539" s="28">
        <v>5</v>
      </c>
      <c r="J539" s="27">
        <v>46223</v>
      </c>
      <c r="K539" s="26" t="s">
        <v>3</v>
      </c>
      <c r="L539" s="26"/>
      <c r="M539" s="26" t="s">
        <v>1</v>
      </c>
      <c r="N539" s="26"/>
      <c r="O539" s="87">
        <f>VLOOKUP(A539,'HIPERQUERATOSE 26'!$A$2:$G$1542,7,1)</f>
        <v>1.75</v>
      </c>
    </row>
    <row r="540" spans="1:15" ht="21" customHeight="1" x14ac:dyDescent="0.25">
      <c r="A540" s="28">
        <v>4166</v>
      </c>
      <c r="B540" s="27">
        <v>46214</v>
      </c>
      <c r="C540" s="26"/>
      <c r="D540" s="28" t="s">
        <v>20</v>
      </c>
      <c r="E540" s="26"/>
      <c r="F540" s="28">
        <v>4</v>
      </c>
      <c r="G540" s="26"/>
      <c r="H540" s="27">
        <v>46217</v>
      </c>
      <c r="I540" s="28">
        <v>9</v>
      </c>
      <c r="J540" s="27">
        <v>46227</v>
      </c>
      <c r="K540" s="26" t="s">
        <v>3</v>
      </c>
      <c r="L540" s="26"/>
      <c r="M540" s="26" t="s">
        <v>1</v>
      </c>
      <c r="N540" s="26"/>
      <c r="O540" s="87">
        <f>VLOOKUP(A540,'HIPERQUERATOSE 26'!$A$2:$G$1542,7,1)</f>
        <v>2.5</v>
      </c>
    </row>
    <row r="541" spans="1:15" ht="21" customHeight="1" x14ac:dyDescent="0.25">
      <c r="A541" s="28">
        <v>4196</v>
      </c>
      <c r="B541" s="27">
        <v>46214</v>
      </c>
      <c r="C541" s="26"/>
      <c r="D541" s="28" t="s">
        <v>25</v>
      </c>
      <c r="E541" s="26"/>
      <c r="F541" s="28">
        <v>4</v>
      </c>
      <c r="G541" s="26"/>
      <c r="H541" s="27">
        <v>46217</v>
      </c>
      <c r="I541" s="28">
        <v>5</v>
      </c>
      <c r="J541" s="27">
        <v>46223</v>
      </c>
      <c r="K541" s="26"/>
      <c r="L541" s="26"/>
      <c r="M541" s="26" t="s">
        <v>1</v>
      </c>
      <c r="N541" s="26"/>
      <c r="O541" s="87">
        <f>VLOOKUP(A541,'HIPERQUERATOSE 26'!$A$2:$G$1542,7,1)</f>
        <v>2.75</v>
      </c>
    </row>
    <row r="542" spans="1:15" ht="21" customHeight="1" x14ac:dyDescent="0.25">
      <c r="A542" s="28">
        <v>4508</v>
      </c>
      <c r="B542" s="27">
        <v>46214</v>
      </c>
      <c r="C542" s="26"/>
      <c r="D542" s="28" t="s">
        <v>7</v>
      </c>
      <c r="E542" s="26"/>
      <c r="F542" s="28">
        <v>4</v>
      </c>
      <c r="G542" s="26"/>
      <c r="H542" s="27">
        <v>46217</v>
      </c>
      <c r="I542" s="28">
        <v>3</v>
      </c>
      <c r="J542" s="27">
        <v>46221</v>
      </c>
      <c r="K542" s="26"/>
      <c r="L542" s="26" t="s">
        <v>5</v>
      </c>
      <c r="M542" s="26"/>
      <c r="N542" s="26"/>
      <c r="O542" s="87">
        <f>VLOOKUP(A542,'HIPERQUERATOSE 26'!$A$2:$G$1542,7,1)</f>
        <v>3.5</v>
      </c>
    </row>
    <row r="543" spans="1:15" ht="21" customHeight="1" x14ac:dyDescent="0.25">
      <c r="A543" s="28">
        <v>4518</v>
      </c>
      <c r="B543" s="27">
        <v>46215</v>
      </c>
      <c r="C543" s="26"/>
      <c r="D543" s="28" t="s">
        <v>20</v>
      </c>
      <c r="E543" s="26"/>
      <c r="F543" s="28">
        <v>4</v>
      </c>
      <c r="G543" s="26"/>
      <c r="H543" s="27">
        <v>46218</v>
      </c>
      <c r="I543" s="28">
        <v>9</v>
      </c>
      <c r="J543" s="27">
        <v>46228</v>
      </c>
      <c r="K543" s="26"/>
      <c r="L543" s="26"/>
      <c r="M543" s="26" t="s">
        <v>1</v>
      </c>
      <c r="N543" s="26"/>
      <c r="O543" s="87">
        <f>VLOOKUP(A543,'HIPERQUERATOSE 26'!$A$2:$G$1542,7,1)</f>
        <v>1</v>
      </c>
    </row>
    <row r="544" spans="1:15" ht="21" customHeight="1" x14ac:dyDescent="0.25">
      <c r="A544" s="28">
        <v>3146</v>
      </c>
      <c r="B544" s="27">
        <v>46216</v>
      </c>
      <c r="C544" s="26"/>
      <c r="D544" s="28" t="s">
        <v>34</v>
      </c>
      <c r="E544" s="26"/>
      <c r="F544" s="28">
        <v>4</v>
      </c>
      <c r="G544" s="26"/>
      <c r="H544" s="27">
        <v>46219</v>
      </c>
      <c r="I544" s="28">
        <v>3</v>
      </c>
      <c r="J544" s="27">
        <v>46223</v>
      </c>
      <c r="K544" s="26" t="s">
        <v>3</v>
      </c>
      <c r="L544" s="26"/>
      <c r="M544" s="26"/>
      <c r="N544" s="26"/>
      <c r="O544" s="87">
        <f>VLOOKUP(A544,'HIPERQUERATOSE 26'!$A$2:$G$1542,7,1)</f>
        <v>1</v>
      </c>
    </row>
    <row r="545" spans="1:16" ht="21" customHeight="1" x14ac:dyDescent="0.25">
      <c r="A545" s="28">
        <v>3193</v>
      </c>
      <c r="B545" s="27">
        <v>46216</v>
      </c>
      <c r="C545" s="26"/>
      <c r="D545" s="28" t="s">
        <v>25</v>
      </c>
      <c r="E545" s="26"/>
      <c r="F545" s="28">
        <v>4</v>
      </c>
      <c r="G545" s="26"/>
      <c r="H545" s="27">
        <v>46219</v>
      </c>
      <c r="I545" s="28">
        <v>5</v>
      </c>
      <c r="J545" s="27">
        <v>46224</v>
      </c>
      <c r="K545" s="26"/>
      <c r="L545" s="26"/>
      <c r="M545" s="26"/>
      <c r="N545" s="26" t="s">
        <v>4</v>
      </c>
      <c r="O545" s="87">
        <f>VLOOKUP(A545,'HIPERQUERATOSE 26'!$A$2:$G$1542,7,1)</f>
        <v>2.25</v>
      </c>
    </row>
    <row r="546" spans="1:16" ht="21" customHeight="1" x14ac:dyDescent="0.25">
      <c r="A546" s="28">
        <v>6000</v>
      </c>
      <c r="B546" s="27">
        <v>46216</v>
      </c>
      <c r="C546" s="26"/>
      <c r="D546" s="28" t="s">
        <v>20</v>
      </c>
      <c r="E546" s="26"/>
      <c r="F546" s="28">
        <v>4</v>
      </c>
      <c r="G546" s="26"/>
      <c r="H546" s="27">
        <v>46219</v>
      </c>
      <c r="I546" s="28">
        <v>9</v>
      </c>
      <c r="J546" s="27">
        <v>46229</v>
      </c>
      <c r="K546" s="26"/>
      <c r="L546" s="26"/>
      <c r="M546" s="26" t="s">
        <v>1</v>
      </c>
      <c r="N546" s="26"/>
      <c r="O546" s="87">
        <f>VLOOKUP(A546,'HIPERQUERATOSE 26'!$A$2:$G$1542,7,1)</f>
        <v>1.5</v>
      </c>
      <c r="P546" t="s">
        <v>107</v>
      </c>
    </row>
    <row r="547" spans="1:16" ht="21" customHeight="1" x14ac:dyDescent="0.25">
      <c r="A547" s="28">
        <v>3122</v>
      </c>
      <c r="B547" s="27">
        <v>46218</v>
      </c>
      <c r="C547" s="26"/>
      <c r="D547" s="28" t="s">
        <v>7</v>
      </c>
      <c r="E547" s="26"/>
      <c r="F547" s="28">
        <v>4</v>
      </c>
      <c r="G547" s="26"/>
      <c r="H547" s="27">
        <v>46221</v>
      </c>
      <c r="I547" s="28">
        <v>3</v>
      </c>
      <c r="J547" s="27">
        <v>46225</v>
      </c>
      <c r="K547" s="26"/>
      <c r="L547" s="26"/>
      <c r="M547" s="26"/>
      <c r="N547" s="26" t="s">
        <v>4</v>
      </c>
      <c r="O547" s="87">
        <f>VLOOKUP(A547,'HIPERQUERATOSE 26'!$A$2:$G$1542,7,1)</f>
        <v>3</v>
      </c>
    </row>
    <row r="548" spans="1:16" ht="21" customHeight="1" x14ac:dyDescent="0.25">
      <c r="A548" s="28">
        <v>3754</v>
      </c>
      <c r="B548" s="27">
        <v>46218</v>
      </c>
      <c r="C548" s="26"/>
      <c r="D548" s="28" t="s">
        <v>21</v>
      </c>
      <c r="E548" s="26"/>
      <c r="F548" s="28">
        <v>4</v>
      </c>
      <c r="G548" s="26"/>
      <c r="H548" s="27">
        <v>46221</v>
      </c>
      <c r="I548" s="28">
        <v>9</v>
      </c>
      <c r="J548" s="27">
        <v>46231</v>
      </c>
      <c r="K548" s="26"/>
      <c r="L548" s="26"/>
      <c r="M548" s="26" t="s">
        <v>1</v>
      </c>
      <c r="N548" s="26"/>
      <c r="O548" s="87">
        <f>VLOOKUP(A548,'HIPERQUERATOSE 26'!$A$2:$G$1542,7,1)</f>
        <v>2</v>
      </c>
    </row>
    <row r="549" spans="1:16" ht="21" customHeight="1" x14ac:dyDescent="0.25">
      <c r="A549" s="28">
        <v>4680</v>
      </c>
      <c r="B549" s="27">
        <v>46218</v>
      </c>
      <c r="C549" s="26"/>
      <c r="D549" s="28" t="s">
        <v>21</v>
      </c>
      <c r="E549" s="26"/>
      <c r="F549" s="28">
        <v>4</v>
      </c>
      <c r="G549" s="26"/>
      <c r="H549" s="27">
        <v>46221</v>
      </c>
      <c r="I549" s="28">
        <v>9</v>
      </c>
      <c r="J549" s="27">
        <v>46231</v>
      </c>
      <c r="K549" s="26" t="s">
        <v>3</v>
      </c>
      <c r="L549" s="26"/>
      <c r="M549" s="26" t="s">
        <v>1</v>
      </c>
      <c r="N549" s="26"/>
      <c r="O549" s="87">
        <f>VLOOKUP(A549,'HIPERQUERATOSE 26'!$A$2:$G$1542,7,1)</f>
        <v>1</v>
      </c>
    </row>
    <row r="550" spans="1:16" ht="21" customHeight="1" x14ac:dyDescent="0.25">
      <c r="A550" s="28">
        <v>4941</v>
      </c>
      <c r="B550" s="27">
        <v>46218</v>
      </c>
      <c r="C550" s="26"/>
      <c r="D550" s="28" t="s">
        <v>21</v>
      </c>
      <c r="E550" s="26"/>
      <c r="F550" s="28">
        <v>4</v>
      </c>
      <c r="G550" s="26"/>
      <c r="H550" s="27">
        <v>46221</v>
      </c>
      <c r="I550" s="28">
        <v>9</v>
      </c>
      <c r="J550" s="27">
        <v>46231</v>
      </c>
      <c r="K550" s="26"/>
      <c r="L550" s="26"/>
      <c r="M550" s="26"/>
      <c r="N550" s="26" t="s">
        <v>4</v>
      </c>
      <c r="O550" s="87">
        <f>VLOOKUP(A550,'HIPERQUERATOSE 26'!$A$2:$G$1542,7,1)</f>
        <v>1.5</v>
      </c>
    </row>
    <row r="551" spans="1:16" ht="21" customHeight="1" x14ac:dyDescent="0.25">
      <c r="A551" s="28">
        <v>5566</v>
      </c>
      <c r="B551" s="27">
        <v>46218</v>
      </c>
      <c r="C551" s="26"/>
      <c r="D551" s="28" t="s">
        <v>25</v>
      </c>
      <c r="E551" s="26"/>
      <c r="F551" s="28">
        <v>4</v>
      </c>
      <c r="G551" s="26"/>
      <c r="H551" s="27">
        <v>46221</v>
      </c>
      <c r="I551" s="28">
        <v>5</v>
      </c>
      <c r="J551" s="27">
        <v>46227</v>
      </c>
      <c r="K551" s="26" t="s">
        <v>3</v>
      </c>
      <c r="L551" s="26"/>
      <c r="M551" s="26"/>
      <c r="N551" s="26"/>
      <c r="O551" s="87">
        <f>VLOOKUP(A551,'HIPERQUERATOSE 26'!$A$2:$G$1542,7,1)</f>
        <v>2</v>
      </c>
    </row>
    <row r="552" spans="1:16" ht="21" customHeight="1" x14ac:dyDescent="0.25">
      <c r="A552" s="28">
        <v>3251</v>
      </c>
      <c r="B552" s="27">
        <v>46219</v>
      </c>
      <c r="C552" s="26"/>
      <c r="D552" s="28" t="s">
        <v>7</v>
      </c>
      <c r="E552" s="26"/>
      <c r="F552" s="28">
        <v>4</v>
      </c>
      <c r="G552" s="26"/>
      <c r="H552" s="27">
        <v>46222</v>
      </c>
      <c r="I552" s="28">
        <v>3</v>
      </c>
      <c r="J552" s="27">
        <v>46226</v>
      </c>
      <c r="K552" s="26"/>
      <c r="L552" s="26" t="s">
        <v>5</v>
      </c>
      <c r="M552" s="26"/>
      <c r="N552" s="26"/>
      <c r="O552" s="87">
        <f>VLOOKUP(A552,'HIPERQUERATOSE 26'!$A$2:$G$1542,7,1)</f>
        <v>2.75</v>
      </c>
    </row>
    <row r="553" spans="1:16" ht="21" customHeight="1" x14ac:dyDescent="0.25">
      <c r="A553" s="28">
        <v>3372</v>
      </c>
      <c r="B553" s="27">
        <v>46219</v>
      </c>
      <c r="C553" s="26"/>
      <c r="D553" s="28" t="s">
        <v>25</v>
      </c>
      <c r="E553" s="26"/>
      <c r="F553" s="28">
        <v>4</v>
      </c>
      <c r="G553" s="26"/>
      <c r="H553" s="27">
        <v>46222</v>
      </c>
      <c r="I553" s="28">
        <v>5</v>
      </c>
      <c r="J553" s="27">
        <v>46228</v>
      </c>
      <c r="K553" s="26" t="s">
        <v>3</v>
      </c>
      <c r="L553" s="26"/>
      <c r="M553" s="26"/>
      <c r="N553" s="26"/>
      <c r="O553" s="87">
        <f>VLOOKUP(A553,'HIPERQUERATOSE 26'!$A$2:$G$1542,7,1)</f>
        <v>3.5</v>
      </c>
    </row>
    <row r="554" spans="1:16" ht="21" customHeight="1" x14ac:dyDescent="0.25">
      <c r="A554" s="28">
        <v>3528</v>
      </c>
      <c r="B554" s="27">
        <v>46219</v>
      </c>
      <c r="C554" s="26"/>
      <c r="D554" s="28" t="s">
        <v>25</v>
      </c>
      <c r="E554" s="26"/>
      <c r="F554" s="28">
        <v>4</v>
      </c>
      <c r="G554" s="26"/>
      <c r="H554" s="27">
        <v>46222</v>
      </c>
      <c r="I554" s="28">
        <v>5</v>
      </c>
      <c r="J554" s="27">
        <v>46228</v>
      </c>
      <c r="K554" s="26"/>
      <c r="L554" s="26"/>
      <c r="M554" s="26" t="s">
        <v>1</v>
      </c>
      <c r="N554" s="26"/>
      <c r="O554" s="87">
        <f>VLOOKUP(A554,'HIPERQUERATOSE 26'!$A$2:$G$1542,7,1)</f>
        <v>1</v>
      </c>
    </row>
    <row r="555" spans="1:16" ht="21" customHeight="1" x14ac:dyDescent="0.25">
      <c r="A555" s="28">
        <v>4002</v>
      </c>
      <c r="B555" s="27">
        <v>46219</v>
      </c>
      <c r="C555" s="26"/>
      <c r="D555" s="28" t="s">
        <v>25</v>
      </c>
      <c r="E555" s="26"/>
      <c r="F555" s="28">
        <v>4</v>
      </c>
      <c r="G555" s="26"/>
      <c r="H555" s="27">
        <v>46222</v>
      </c>
      <c r="I555" s="28">
        <v>5</v>
      </c>
      <c r="J555" s="27">
        <v>46228</v>
      </c>
      <c r="K555" s="26"/>
      <c r="L555" s="26"/>
      <c r="M555" s="26"/>
      <c r="N555" s="26" t="s">
        <v>4</v>
      </c>
      <c r="O555" s="87">
        <f>VLOOKUP(A555,'HIPERQUERATOSE 26'!$A$2:$G$1542,7,1)</f>
        <v>2.25</v>
      </c>
    </row>
    <row r="556" spans="1:16" ht="21" customHeight="1" x14ac:dyDescent="0.25">
      <c r="A556" s="28">
        <v>4759</v>
      </c>
      <c r="B556" s="27">
        <v>46219</v>
      </c>
      <c r="C556" s="26"/>
      <c r="D556" s="28" t="s">
        <v>25</v>
      </c>
      <c r="E556" s="26"/>
      <c r="F556" s="28">
        <v>4</v>
      </c>
      <c r="G556" s="26"/>
      <c r="H556" s="27">
        <v>46222</v>
      </c>
      <c r="I556" s="28">
        <v>5</v>
      </c>
      <c r="J556" s="27">
        <v>46228</v>
      </c>
      <c r="K556" s="26" t="s">
        <v>3</v>
      </c>
      <c r="L556" s="26"/>
      <c r="M556" s="26"/>
      <c r="N556" s="26"/>
      <c r="O556" s="87">
        <f>VLOOKUP(A556,'HIPERQUERATOSE 26'!$A$2:$G$1542,7,1)</f>
        <v>1.75</v>
      </c>
    </row>
    <row r="557" spans="1:16" ht="21" customHeight="1" x14ac:dyDescent="0.25">
      <c r="A557" s="28">
        <v>4879</v>
      </c>
      <c r="B557" s="27">
        <v>46219</v>
      </c>
      <c r="C557" s="26"/>
      <c r="D557" s="28" t="s">
        <v>21</v>
      </c>
      <c r="E557" s="26"/>
      <c r="F557" s="28">
        <v>4</v>
      </c>
      <c r="G557" s="26"/>
      <c r="H557" s="27">
        <v>46222</v>
      </c>
      <c r="I557" s="28">
        <v>9</v>
      </c>
      <c r="J557" s="27">
        <v>46233</v>
      </c>
      <c r="K557" s="26"/>
      <c r="L557" s="26" t="s">
        <v>5</v>
      </c>
      <c r="M557" s="26"/>
      <c r="N557" s="26"/>
      <c r="O557" s="87">
        <f>VLOOKUP(A557,'HIPERQUERATOSE 26'!$A$2:$G$1542,7,1)</f>
        <v>1.5</v>
      </c>
    </row>
    <row r="558" spans="1:16" ht="21" customHeight="1" x14ac:dyDescent="0.25">
      <c r="A558" s="28">
        <v>2863</v>
      </c>
      <c r="B558" s="27">
        <v>46220</v>
      </c>
      <c r="C558" s="26"/>
      <c r="D558" s="28" t="s">
        <v>21</v>
      </c>
      <c r="E558" s="26"/>
      <c r="F558" s="28">
        <v>4</v>
      </c>
      <c r="G558" s="26"/>
      <c r="H558" s="27">
        <v>46223</v>
      </c>
      <c r="I558" s="28">
        <v>9</v>
      </c>
      <c r="J558" s="27">
        <v>46233</v>
      </c>
      <c r="K558" s="26"/>
      <c r="L558" s="26"/>
      <c r="M558" s="26" t="s">
        <v>1</v>
      </c>
      <c r="N558" s="26"/>
      <c r="O558" s="87">
        <f>VLOOKUP(A558,'HIPERQUERATOSE 26'!$A$2:$G$1542,7,1)</f>
        <v>1</v>
      </c>
    </row>
    <row r="559" spans="1:16" ht="21" customHeight="1" x14ac:dyDescent="0.25">
      <c r="A559" s="28">
        <v>3122</v>
      </c>
      <c r="B559" s="27">
        <v>46220</v>
      </c>
      <c r="C559" s="26"/>
      <c r="D559" s="28" t="s">
        <v>21</v>
      </c>
      <c r="E559" s="26"/>
      <c r="F559" s="28">
        <v>4</v>
      </c>
      <c r="G559" s="26"/>
      <c r="H559" s="27">
        <v>46223</v>
      </c>
      <c r="I559" s="28">
        <v>9</v>
      </c>
      <c r="J559" s="27">
        <v>46233</v>
      </c>
      <c r="K559" s="26" t="s">
        <v>3</v>
      </c>
      <c r="L559" s="26"/>
      <c r="M559" s="26"/>
      <c r="N559" s="26"/>
      <c r="O559" s="87">
        <f>VLOOKUP(A559,'HIPERQUERATOSE 26'!$A$2:$G$1542,7,1)</f>
        <v>3</v>
      </c>
    </row>
    <row r="560" spans="1:16" ht="21" customHeight="1" x14ac:dyDescent="0.25">
      <c r="A560" s="28">
        <v>3471</v>
      </c>
      <c r="B560" s="27">
        <v>46220</v>
      </c>
      <c r="C560" s="26"/>
      <c r="D560" s="28" t="s">
        <v>21</v>
      </c>
      <c r="E560" s="26"/>
      <c r="F560" s="28">
        <v>4</v>
      </c>
      <c r="G560" s="26"/>
      <c r="H560" s="27">
        <v>46223</v>
      </c>
      <c r="I560" s="28">
        <v>9</v>
      </c>
      <c r="J560" s="27">
        <v>46233</v>
      </c>
      <c r="K560" s="26"/>
      <c r="L560" s="26"/>
      <c r="M560" s="26" t="s">
        <v>1</v>
      </c>
      <c r="N560" s="26"/>
      <c r="O560" s="87">
        <f>VLOOKUP(A560,'HIPERQUERATOSE 26'!$A$2:$G$1542,7,1)</f>
        <v>1.5</v>
      </c>
    </row>
    <row r="561" spans="1:15" ht="21" customHeight="1" x14ac:dyDescent="0.25">
      <c r="A561" s="28">
        <v>4028</v>
      </c>
      <c r="B561" s="27">
        <v>46220</v>
      </c>
      <c r="C561" s="26"/>
      <c r="D561" s="28" t="s">
        <v>25</v>
      </c>
      <c r="E561" s="26"/>
      <c r="F561" s="28">
        <v>4</v>
      </c>
      <c r="G561" s="26"/>
      <c r="H561" s="27">
        <v>46223</v>
      </c>
      <c r="I561" s="28">
        <v>5</v>
      </c>
      <c r="J561" s="27">
        <v>46229</v>
      </c>
      <c r="K561" s="26"/>
      <c r="L561" s="26"/>
      <c r="M561" s="26"/>
      <c r="N561" s="26" t="s">
        <v>4</v>
      </c>
      <c r="O561" s="87">
        <f>VLOOKUP(A561,'HIPERQUERATOSE 26'!$A$2:$G$1542,7,1)</f>
        <v>2.25</v>
      </c>
    </row>
    <row r="562" spans="1:15" ht="21" customHeight="1" x14ac:dyDescent="0.25">
      <c r="A562" s="28">
        <v>4117</v>
      </c>
      <c r="B562" s="27">
        <v>46220</v>
      </c>
      <c r="C562" s="26"/>
      <c r="D562" s="28" t="s">
        <v>25</v>
      </c>
      <c r="E562" s="26"/>
      <c r="F562" s="28">
        <v>4</v>
      </c>
      <c r="G562" s="26"/>
      <c r="H562" s="27">
        <v>46223</v>
      </c>
      <c r="I562" s="28">
        <v>5</v>
      </c>
      <c r="J562" s="27">
        <v>46229</v>
      </c>
      <c r="K562" s="26"/>
      <c r="L562" s="26" t="s">
        <v>5</v>
      </c>
      <c r="M562" s="26"/>
      <c r="N562" s="26"/>
      <c r="O562" s="87">
        <f>VLOOKUP(A562,'HIPERQUERATOSE 26'!$A$2:$G$1542,7,1)</f>
        <v>1.25</v>
      </c>
    </row>
    <row r="563" spans="1:15" ht="21" customHeight="1" x14ac:dyDescent="0.25">
      <c r="A563" s="28">
        <v>4748</v>
      </c>
      <c r="B563" s="27">
        <v>46220</v>
      </c>
      <c r="C563" s="26"/>
      <c r="D563" s="28" t="s">
        <v>25</v>
      </c>
      <c r="E563" s="26"/>
      <c r="F563" s="28">
        <v>4</v>
      </c>
      <c r="G563" s="26"/>
      <c r="H563" s="27">
        <v>46223</v>
      </c>
      <c r="I563" s="28">
        <v>5</v>
      </c>
      <c r="J563" s="27">
        <v>46229</v>
      </c>
      <c r="K563" s="26"/>
      <c r="L563" s="26"/>
      <c r="M563" s="26" t="s">
        <v>1</v>
      </c>
      <c r="N563" s="26"/>
      <c r="O563" s="87">
        <f>VLOOKUP(A563,'HIPERQUERATOSE 26'!$A$2:$G$1542,7,1)</f>
        <v>3</v>
      </c>
    </row>
    <row r="564" spans="1:15" ht="21" customHeight="1" x14ac:dyDescent="0.25">
      <c r="A564" s="28">
        <v>5260</v>
      </c>
      <c r="B564" s="27">
        <v>46221</v>
      </c>
      <c r="C564" s="26"/>
      <c r="D564" s="28" t="s">
        <v>7</v>
      </c>
      <c r="E564" s="26"/>
      <c r="F564" s="28">
        <v>4</v>
      </c>
      <c r="G564" s="26"/>
      <c r="H564" s="27">
        <v>46224</v>
      </c>
      <c r="I564" s="28">
        <v>3</v>
      </c>
      <c r="J564" s="27">
        <v>46228</v>
      </c>
      <c r="K564" s="26"/>
      <c r="L564" s="26"/>
      <c r="M564" s="26"/>
      <c r="N564" s="26" t="s">
        <v>4</v>
      </c>
      <c r="O564" s="87">
        <f>VLOOKUP(A564,'HIPERQUERATOSE 26'!$A$2:$G$1542,7,1)</f>
        <v>3.25</v>
      </c>
    </row>
    <row r="565" spans="1:15" ht="21" customHeight="1" x14ac:dyDescent="0.25">
      <c r="A565" s="28">
        <v>2988</v>
      </c>
      <c r="B565" s="27">
        <v>46223</v>
      </c>
      <c r="C565" s="26"/>
      <c r="D565" s="28" t="s">
        <v>20</v>
      </c>
      <c r="E565" s="26"/>
      <c r="F565" s="28">
        <v>4</v>
      </c>
      <c r="G565" s="26"/>
      <c r="H565" s="27">
        <v>46226</v>
      </c>
      <c r="I565" s="28">
        <v>9</v>
      </c>
      <c r="J565" s="27">
        <v>46236</v>
      </c>
      <c r="K565" s="26" t="s">
        <v>3</v>
      </c>
      <c r="L565" s="26"/>
      <c r="M565" s="26" t="s">
        <v>1</v>
      </c>
      <c r="N565" s="26"/>
      <c r="O565" s="87">
        <f>VLOOKUP(A565,'HIPERQUERATOSE 26'!$A$2:$G$1542,7,1)</f>
        <v>2.75</v>
      </c>
    </row>
    <row r="566" spans="1:15" ht="21" customHeight="1" x14ac:dyDescent="0.25">
      <c r="A566" s="28">
        <v>3146</v>
      </c>
      <c r="B566" s="27">
        <v>46223</v>
      </c>
      <c r="C566" s="26"/>
      <c r="D566" s="28" t="s">
        <v>7</v>
      </c>
      <c r="E566" s="26"/>
      <c r="F566" s="28">
        <v>4</v>
      </c>
      <c r="G566" s="26"/>
      <c r="H566" s="27">
        <v>46226</v>
      </c>
      <c r="I566" s="28">
        <v>3</v>
      </c>
      <c r="J566" s="27">
        <v>46230</v>
      </c>
      <c r="K566" s="26"/>
      <c r="L566" s="26"/>
      <c r="M566" s="26" t="s">
        <v>1</v>
      </c>
      <c r="N566" s="26"/>
      <c r="O566" s="87">
        <f>VLOOKUP(A566,'HIPERQUERATOSE 26'!$A$2:$G$1542,7,1)</f>
        <v>1</v>
      </c>
    </row>
    <row r="567" spans="1:15" ht="21" customHeight="1" x14ac:dyDescent="0.25">
      <c r="A567" s="28">
        <v>4910</v>
      </c>
      <c r="B567" s="27">
        <v>46223</v>
      </c>
      <c r="C567" s="26"/>
      <c r="D567" s="28" t="s">
        <v>25</v>
      </c>
      <c r="E567" s="26"/>
      <c r="F567" s="28">
        <v>4</v>
      </c>
      <c r="G567" s="26"/>
      <c r="H567" s="27">
        <v>46226</v>
      </c>
      <c r="I567" s="28">
        <v>5</v>
      </c>
      <c r="J567" s="27">
        <v>46232</v>
      </c>
      <c r="K567" s="26"/>
      <c r="L567" s="26" t="s">
        <v>5</v>
      </c>
      <c r="M567" s="26"/>
      <c r="N567" s="26"/>
      <c r="O567" s="87">
        <f>VLOOKUP(A567,'HIPERQUERATOSE 26'!$A$2:$G$1542,7,1)</f>
        <v>1.5</v>
      </c>
    </row>
    <row r="568" spans="1:15" ht="21" customHeight="1" x14ac:dyDescent="0.25">
      <c r="A568" s="28">
        <v>2761</v>
      </c>
      <c r="B568" s="27">
        <v>46224</v>
      </c>
      <c r="C568" s="26"/>
      <c r="D568" s="28" t="s">
        <v>7</v>
      </c>
      <c r="E568" s="26"/>
      <c r="F568" s="28">
        <v>4</v>
      </c>
      <c r="G568" s="26"/>
      <c r="H568" s="27">
        <v>46227</v>
      </c>
      <c r="I568" s="28">
        <v>3</v>
      </c>
      <c r="J568" s="27">
        <v>46231</v>
      </c>
      <c r="K568" s="26"/>
      <c r="L568" s="26"/>
      <c r="M568" s="26"/>
      <c r="N568" s="26" t="s">
        <v>4</v>
      </c>
      <c r="O568" s="87">
        <f>VLOOKUP(A568,'HIPERQUERATOSE 26'!$A$2:$G$1542,7,1)</f>
        <v>2</v>
      </c>
    </row>
    <row r="569" spans="1:15" ht="21" customHeight="1" x14ac:dyDescent="0.25">
      <c r="A569" s="28">
        <v>2763</v>
      </c>
      <c r="B569" s="27">
        <v>46224</v>
      </c>
      <c r="C569" s="26"/>
      <c r="D569" s="28" t="s">
        <v>7</v>
      </c>
      <c r="E569" s="26"/>
      <c r="F569" s="28">
        <v>4</v>
      </c>
      <c r="G569" s="26"/>
      <c r="H569" s="27">
        <v>46227</v>
      </c>
      <c r="I569" s="28">
        <v>3</v>
      </c>
      <c r="J569" s="27">
        <v>46231</v>
      </c>
      <c r="K569" s="26"/>
      <c r="L569" s="26"/>
      <c r="M569" s="26"/>
      <c r="N569" s="26" t="s">
        <v>4</v>
      </c>
      <c r="O569" s="87">
        <f>VLOOKUP(A569,'HIPERQUERATOSE 26'!$A$2:$G$1542,7,1)</f>
        <v>2</v>
      </c>
    </row>
    <row r="570" spans="1:15" ht="21" customHeight="1" x14ac:dyDescent="0.25">
      <c r="A570" s="28">
        <v>4263</v>
      </c>
      <c r="B570" s="27">
        <v>46224</v>
      </c>
      <c r="C570" s="26"/>
      <c r="D570" s="28" t="s">
        <v>25</v>
      </c>
      <c r="E570" s="26"/>
      <c r="F570" s="28">
        <v>4</v>
      </c>
      <c r="G570" s="26"/>
      <c r="H570" s="27">
        <v>46227</v>
      </c>
      <c r="I570" s="28">
        <v>5</v>
      </c>
      <c r="J570" s="27">
        <v>46233</v>
      </c>
      <c r="K570" s="26"/>
      <c r="L570" s="26" t="s">
        <v>1</v>
      </c>
      <c r="M570" s="26"/>
      <c r="N570" s="26"/>
      <c r="O570" s="87">
        <f>VLOOKUP(A570,'HIPERQUERATOSE 26'!$A$2:$G$1542,7,1)</f>
        <v>3.25</v>
      </c>
    </row>
    <row r="571" spans="1:15" ht="21" customHeight="1" x14ac:dyDescent="0.25">
      <c r="A571" s="28">
        <v>4428</v>
      </c>
      <c r="B571" s="27">
        <v>46224</v>
      </c>
      <c r="C571" s="26"/>
      <c r="D571" s="28" t="s">
        <v>25</v>
      </c>
      <c r="E571" s="26"/>
      <c r="F571" s="28">
        <v>4</v>
      </c>
      <c r="G571" s="26"/>
      <c r="H571" s="27">
        <v>46227</v>
      </c>
      <c r="I571" s="28">
        <v>5</v>
      </c>
      <c r="J571" s="27">
        <v>46233</v>
      </c>
      <c r="K571" s="26"/>
      <c r="L571" s="26" t="s">
        <v>5</v>
      </c>
      <c r="M571" s="26"/>
      <c r="N571" s="26"/>
      <c r="O571" s="87">
        <f>VLOOKUP(A571,'HIPERQUERATOSE 26'!$A$2:$G$1542,7,1)</f>
        <v>4</v>
      </c>
    </row>
    <row r="572" spans="1:15" ht="21" customHeight="1" x14ac:dyDescent="0.25">
      <c r="A572" s="28">
        <v>4825</v>
      </c>
      <c r="B572" s="27">
        <v>46224</v>
      </c>
      <c r="C572" s="26"/>
      <c r="D572" s="28" t="s">
        <v>21</v>
      </c>
      <c r="E572" s="26"/>
      <c r="F572" s="28">
        <v>4</v>
      </c>
      <c r="G572" s="26"/>
      <c r="H572" s="27">
        <v>46227</v>
      </c>
      <c r="I572" s="28">
        <v>9</v>
      </c>
      <c r="J572" s="27">
        <v>46237</v>
      </c>
      <c r="K572" s="26"/>
      <c r="L572" s="26" t="s">
        <v>5</v>
      </c>
      <c r="M572" s="26"/>
      <c r="N572" s="26"/>
      <c r="O572" s="87">
        <f>VLOOKUP(A572,'HIPERQUERATOSE 26'!$A$2:$G$1542,7,1)</f>
        <v>1.75</v>
      </c>
    </row>
    <row r="573" spans="1:15" ht="21" customHeight="1" x14ac:dyDescent="0.25">
      <c r="A573" s="28">
        <v>4456</v>
      </c>
      <c r="B573" s="27">
        <v>46225</v>
      </c>
      <c r="C573" s="26"/>
      <c r="D573" s="28" t="s">
        <v>21</v>
      </c>
      <c r="E573" s="26"/>
      <c r="F573" s="28">
        <v>4</v>
      </c>
      <c r="G573" s="26"/>
      <c r="H573" s="27">
        <v>46228</v>
      </c>
      <c r="I573" s="28">
        <v>9</v>
      </c>
      <c r="J573" s="27">
        <v>46238</v>
      </c>
      <c r="K573" s="26"/>
      <c r="L573" s="26" t="s">
        <v>5</v>
      </c>
      <c r="M573" s="26"/>
      <c r="N573" s="26"/>
      <c r="O573" s="87">
        <f>VLOOKUP(A573,'HIPERQUERATOSE 26'!$A$2:$G$1542,7,1)</f>
        <v>1.5</v>
      </c>
    </row>
    <row r="574" spans="1:15" ht="21" customHeight="1" x14ac:dyDescent="0.25">
      <c r="A574" s="28">
        <v>4900</v>
      </c>
      <c r="B574" s="27">
        <v>46225</v>
      </c>
      <c r="C574" s="26"/>
      <c r="D574" s="28" t="s">
        <v>25</v>
      </c>
      <c r="E574" s="26"/>
      <c r="F574" s="28">
        <v>4</v>
      </c>
      <c r="G574" s="26"/>
      <c r="H574" s="27">
        <v>46228</v>
      </c>
      <c r="I574" s="28">
        <v>5</v>
      </c>
      <c r="J574" s="27">
        <v>46235</v>
      </c>
      <c r="K574" s="26"/>
      <c r="L574" s="26"/>
      <c r="M574" s="26" t="s">
        <v>1</v>
      </c>
      <c r="N574" s="26"/>
      <c r="O574" s="87">
        <f>VLOOKUP(A574,'HIPERQUERATOSE 26'!$A$2:$G$1542,7,1)</f>
        <v>1</v>
      </c>
    </row>
    <row r="575" spans="1:15" ht="21" customHeight="1" x14ac:dyDescent="0.25">
      <c r="A575" s="28">
        <v>5093</v>
      </c>
      <c r="B575" s="27">
        <v>46225</v>
      </c>
      <c r="C575" s="26"/>
      <c r="D575" s="28" t="s">
        <v>108</v>
      </c>
      <c r="E575" s="26"/>
      <c r="F575" s="28">
        <v>4</v>
      </c>
      <c r="G575" s="26"/>
      <c r="H575" s="27">
        <v>46228</v>
      </c>
      <c r="I575" s="28">
        <v>3</v>
      </c>
      <c r="J575" s="26" t="s">
        <v>109</v>
      </c>
      <c r="K575" s="26" t="s">
        <v>3</v>
      </c>
      <c r="L575" s="26"/>
      <c r="M575" s="26"/>
      <c r="N575" s="26"/>
      <c r="O575" s="87">
        <f>VLOOKUP(A575,'HIPERQUERATOSE 26'!$A$2:$G$1542,7,1)</f>
        <v>1</v>
      </c>
    </row>
    <row r="576" spans="1:15" ht="21" customHeight="1" x14ac:dyDescent="0.25">
      <c r="A576" s="28">
        <v>3950</v>
      </c>
      <c r="B576" s="27">
        <v>46226</v>
      </c>
      <c r="C576" s="26"/>
      <c r="D576" s="28" t="s">
        <v>7</v>
      </c>
      <c r="E576" s="26"/>
      <c r="F576" s="32">
        <v>4</v>
      </c>
      <c r="G576" s="26"/>
      <c r="H576" s="27">
        <v>46229</v>
      </c>
      <c r="I576" s="28">
        <v>3</v>
      </c>
      <c r="J576" s="27">
        <v>46233</v>
      </c>
      <c r="K576" s="26"/>
      <c r="L576" s="26"/>
      <c r="M576" s="26"/>
      <c r="N576" s="26" t="s">
        <v>4</v>
      </c>
      <c r="O576" s="87">
        <f>VLOOKUP(A576,'HIPERQUERATOSE 26'!$A$2:$G$1542,7,1)</f>
        <v>1</v>
      </c>
    </row>
    <row r="577" spans="1:15" ht="21" customHeight="1" x14ac:dyDescent="0.25">
      <c r="A577" s="28">
        <v>4456</v>
      </c>
      <c r="B577" s="27">
        <v>46227</v>
      </c>
      <c r="C577" s="26"/>
      <c r="D577" s="28" t="s">
        <v>7</v>
      </c>
      <c r="E577" s="26"/>
      <c r="F577" s="32">
        <v>4</v>
      </c>
      <c r="G577" s="26"/>
      <c r="H577" s="27">
        <v>46230</v>
      </c>
      <c r="I577" s="28">
        <v>3</v>
      </c>
      <c r="J577" s="27">
        <v>46234</v>
      </c>
      <c r="K577" s="26"/>
      <c r="L577" s="26"/>
      <c r="M577" s="26" t="s">
        <v>1</v>
      </c>
      <c r="N577" s="26"/>
      <c r="O577" s="87">
        <f>VLOOKUP(A577,'HIPERQUERATOSE 26'!$A$2:$G$1542,7,1)</f>
        <v>1.5</v>
      </c>
    </row>
    <row r="578" spans="1:15" ht="21" customHeight="1" x14ac:dyDescent="0.25">
      <c r="A578" s="28">
        <v>4502</v>
      </c>
      <c r="B578" s="27">
        <v>46227</v>
      </c>
      <c r="C578" s="26"/>
      <c r="D578" s="28" t="s">
        <v>25</v>
      </c>
      <c r="E578" s="26"/>
      <c r="F578" s="32">
        <v>4</v>
      </c>
      <c r="G578" s="26"/>
      <c r="H578" s="27">
        <v>46230</v>
      </c>
      <c r="I578" s="28">
        <v>5</v>
      </c>
      <c r="J578" s="27">
        <v>46236</v>
      </c>
      <c r="K578" s="26" t="s">
        <v>3</v>
      </c>
      <c r="L578" s="26"/>
      <c r="M578" s="26"/>
      <c r="N578" s="26"/>
      <c r="O578" s="87">
        <f>VLOOKUP(A578,'HIPERQUERATOSE 26'!$A$2:$G$1542,7,1)</f>
        <v>2.75</v>
      </c>
    </row>
    <row r="579" spans="1:15" ht="21" customHeight="1" x14ac:dyDescent="0.25">
      <c r="A579" s="28">
        <v>4646</v>
      </c>
      <c r="B579" s="27">
        <v>46227</v>
      </c>
      <c r="C579" s="26"/>
      <c r="D579" s="28" t="s">
        <v>20</v>
      </c>
      <c r="E579" s="26"/>
      <c r="F579" s="32">
        <v>4</v>
      </c>
      <c r="G579" s="26"/>
      <c r="H579" s="27">
        <v>46230</v>
      </c>
      <c r="I579" s="28">
        <v>9</v>
      </c>
      <c r="J579" s="27">
        <v>46240</v>
      </c>
      <c r="K579" s="26" t="s">
        <v>3</v>
      </c>
      <c r="L579" s="26" t="s">
        <v>5</v>
      </c>
      <c r="M579" s="26" t="s">
        <v>1</v>
      </c>
      <c r="N579" s="26" t="s">
        <v>4</v>
      </c>
      <c r="O579" s="87">
        <f>VLOOKUP(A579,'HIPERQUERATOSE 26'!$A$2:$G$1542,7,1)</f>
        <v>2.25</v>
      </c>
    </row>
    <row r="580" spans="1:15" ht="21" customHeight="1" x14ac:dyDescent="0.25">
      <c r="A580" s="28">
        <v>4028</v>
      </c>
      <c r="B580" s="27">
        <v>46228</v>
      </c>
      <c r="C580" s="26"/>
      <c r="D580" s="28" t="s">
        <v>34</v>
      </c>
      <c r="E580" s="26"/>
      <c r="F580" s="32">
        <v>4</v>
      </c>
      <c r="G580" s="26"/>
      <c r="H580" s="27">
        <v>46231</v>
      </c>
      <c r="I580" s="28">
        <v>3</v>
      </c>
      <c r="J580" s="27">
        <v>46235</v>
      </c>
      <c r="K580" s="26" t="s">
        <v>3</v>
      </c>
      <c r="L580" s="26"/>
      <c r="M580" s="26"/>
      <c r="N580" s="26"/>
      <c r="O580" s="87">
        <f>VLOOKUP(A580,'HIPERQUERATOSE 26'!$A$2:$G$1542,7,1)</f>
        <v>2.25</v>
      </c>
    </row>
    <row r="581" spans="1:15" ht="21" customHeight="1" x14ac:dyDescent="0.25">
      <c r="A581" s="28">
        <v>218</v>
      </c>
      <c r="B581" s="27">
        <v>46229</v>
      </c>
      <c r="C581" s="26"/>
      <c r="D581" s="28" t="s">
        <v>25</v>
      </c>
      <c r="E581" s="26"/>
      <c r="F581" s="32">
        <v>4</v>
      </c>
      <c r="G581" s="26"/>
      <c r="H581" s="27">
        <v>46232</v>
      </c>
      <c r="I581" s="28">
        <v>5</v>
      </c>
      <c r="J581" s="27">
        <v>46238</v>
      </c>
      <c r="K581" s="26" t="s">
        <v>3</v>
      </c>
      <c r="L581" s="26"/>
      <c r="M581" s="26"/>
      <c r="N581" s="26"/>
      <c r="O581" s="87">
        <f>VLOOKUP(A581,'HIPERQUERATOSE 26'!$A$2:$G$1542,7,1)</f>
        <v>1.75</v>
      </c>
    </row>
    <row r="582" spans="1:15" ht="21" customHeight="1" x14ac:dyDescent="0.25">
      <c r="A582" s="28">
        <v>3306</v>
      </c>
      <c r="B582" s="27">
        <v>46229</v>
      </c>
      <c r="C582" s="26"/>
      <c r="D582" s="28" t="s">
        <v>25</v>
      </c>
      <c r="E582" s="26"/>
      <c r="F582" s="32">
        <v>4</v>
      </c>
      <c r="G582" s="26"/>
      <c r="H582" s="27">
        <v>46232</v>
      </c>
      <c r="I582" s="28">
        <v>5</v>
      </c>
      <c r="J582" s="27">
        <v>46238</v>
      </c>
      <c r="K582" s="26" t="s">
        <v>3</v>
      </c>
      <c r="L582" s="26"/>
      <c r="M582" s="26"/>
      <c r="N582" s="26"/>
      <c r="O582" s="87">
        <f>VLOOKUP(A582,'HIPERQUERATOSE 26'!$A$2:$G$1542,7,1)</f>
        <v>1.25</v>
      </c>
    </row>
    <row r="583" spans="1:15" ht="21" customHeight="1" x14ac:dyDescent="0.25">
      <c r="A583" s="28">
        <v>4263</v>
      </c>
      <c r="B583" s="27">
        <v>46229</v>
      </c>
      <c r="C583" s="26"/>
      <c r="D583" s="28" t="s">
        <v>21</v>
      </c>
      <c r="E583" s="26"/>
      <c r="F583" s="32">
        <v>4</v>
      </c>
      <c r="G583" s="26"/>
      <c r="H583" s="27">
        <v>46232</v>
      </c>
      <c r="I583" s="28">
        <v>9</v>
      </c>
      <c r="J583" s="27">
        <v>46242</v>
      </c>
      <c r="K583" s="26"/>
      <c r="L583" s="26"/>
      <c r="M583" s="26"/>
      <c r="N583" s="26" t="s">
        <v>4</v>
      </c>
      <c r="O583" s="87">
        <f>VLOOKUP(A583,'HIPERQUERATOSE 26'!$A$2:$G$1542,7,1)</f>
        <v>3.25</v>
      </c>
    </row>
    <row r="584" spans="1:15" ht="21" customHeight="1" x14ac:dyDescent="0.25">
      <c r="A584" s="28">
        <v>4734</v>
      </c>
      <c r="B584" s="27">
        <v>46229</v>
      </c>
      <c r="C584" s="26"/>
      <c r="D584" s="28" t="s">
        <v>25</v>
      </c>
      <c r="E584" s="26"/>
      <c r="F584" s="32">
        <v>4</v>
      </c>
      <c r="G584" s="26"/>
      <c r="H584" s="27">
        <v>46232</v>
      </c>
      <c r="I584" s="28">
        <v>5</v>
      </c>
      <c r="J584" s="27">
        <v>46239</v>
      </c>
      <c r="K584" s="26"/>
      <c r="L584" s="26"/>
      <c r="M584" s="26" t="s">
        <v>1</v>
      </c>
      <c r="N584" s="26"/>
      <c r="O584" s="87">
        <f>VLOOKUP(A584,'HIPERQUERATOSE 26'!$A$2:$G$1542,7,1)</f>
        <v>2.25</v>
      </c>
    </row>
    <row r="585" spans="1:15" ht="21" customHeight="1" x14ac:dyDescent="0.25">
      <c r="A585" s="28">
        <v>5064</v>
      </c>
      <c r="B585" s="27">
        <v>46229</v>
      </c>
      <c r="C585" s="26"/>
      <c r="D585" s="28" t="s">
        <v>34</v>
      </c>
      <c r="E585" s="26"/>
      <c r="F585" s="32">
        <v>4</v>
      </c>
      <c r="G585" s="26"/>
      <c r="H585" s="27">
        <v>46232</v>
      </c>
      <c r="I585" s="28">
        <v>3</v>
      </c>
      <c r="J585" s="27">
        <v>46236</v>
      </c>
      <c r="K585" s="26" t="s">
        <v>3</v>
      </c>
      <c r="L585" s="26"/>
      <c r="M585" s="26"/>
      <c r="N585" s="26"/>
      <c r="O585" s="87">
        <f>VLOOKUP(A585,'HIPERQUERATOSE 26'!$A$2:$G$1542,7,1)</f>
        <v>1.25</v>
      </c>
    </row>
    <row r="586" spans="1:15" ht="21" customHeight="1" x14ac:dyDescent="0.25">
      <c r="A586" s="28">
        <v>5260</v>
      </c>
      <c r="B586" s="27">
        <v>46229</v>
      </c>
      <c r="C586" s="26"/>
      <c r="D586" s="28" t="s">
        <v>20</v>
      </c>
      <c r="E586" s="26"/>
      <c r="F586" s="32">
        <v>4</v>
      </c>
      <c r="G586" s="26"/>
      <c r="H586" s="27">
        <v>46232</v>
      </c>
      <c r="I586" s="28">
        <v>9</v>
      </c>
      <c r="J586" s="27">
        <v>46242</v>
      </c>
      <c r="K586" s="26" t="s">
        <v>3</v>
      </c>
      <c r="L586" s="26" t="s">
        <v>5</v>
      </c>
      <c r="M586" s="26" t="s">
        <v>1</v>
      </c>
      <c r="N586" s="26"/>
      <c r="O586" s="87">
        <f>VLOOKUP(A586,'HIPERQUERATOSE 26'!$A$2:$G$1542,7,1)</f>
        <v>3.25</v>
      </c>
    </row>
    <row r="587" spans="1:15" ht="21" customHeight="1" x14ac:dyDescent="0.25">
      <c r="A587" s="28">
        <v>2761</v>
      </c>
      <c r="B587" s="27">
        <v>46230</v>
      </c>
      <c r="C587" s="26"/>
      <c r="D587" s="28" t="s">
        <v>25</v>
      </c>
      <c r="E587" s="26"/>
      <c r="F587" s="32">
        <v>4</v>
      </c>
      <c r="G587" s="26"/>
      <c r="H587" s="27">
        <v>46233</v>
      </c>
      <c r="I587" s="28">
        <v>5</v>
      </c>
      <c r="J587" s="27">
        <v>46239</v>
      </c>
      <c r="K587" s="26"/>
      <c r="L587" s="26"/>
      <c r="M587" s="26"/>
      <c r="N587" s="26" t="s">
        <v>4</v>
      </c>
      <c r="O587" s="87">
        <f>VLOOKUP(A587,'HIPERQUERATOSE 26'!$A$2:$G$1542,7,1)</f>
        <v>2</v>
      </c>
    </row>
    <row r="588" spans="1:15" ht="21" customHeight="1" x14ac:dyDescent="0.25">
      <c r="A588" s="28">
        <v>3456</v>
      </c>
      <c r="B588" s="27">
        <v>46230</v>
      </c>
      <c r="C588" s="26"/>
      <c r="D588" s="28" t="s">
        <v>25</v>
      </c>
      <c r="E588" s="26"/>
      <c r="F588" s="32">
        <v>4</v>
      </c>
      <c r="G588" s="26"/>
      <c r="H588" s="27">
        <v>46233</v>
      </c>
      <c r="I588" s="28">
        <v>5</v>
      </c>
      <c r="J588" s="27">
        <v>46239</v>
      </c>
      <c r="K588" s="26"/>
      <c r="L588" s="26" t="s">
        <v>5</v>
      </c>
      <c r="M588" s="26"/>
      <c r="N588" s="26"/>
      <c r="O588" s="87">
        <f>VLOOKUP(A588,'HIPERQUERATOSE 26'!$A$2:$G$1542,7,1)</f>
        <v>1</v>
      </c>
    </row>
    <row r="589" spans="1:15" ht="21" customHeight="1" x14ac:dyDescent="0.25">
      <c r="A589" s="28">
        <v>3804</v>
      </c>
      <c r="B589" s="27">
        <v>46230</v>
      </c>
      <c r="C589" s="26"/>
      <c r="D589" s="28" t="s">
        <v>20</v>
      </c>
      <c r="E589" s="26"/>
      <c r="F589" s="32">
        <v>4</v>
      </c>
      <c r="G589" s="26"/>
      <c r="H589" s="27">
        <v>46233</v>
      </c>
      <c r="I589" s="28">
        <v>9</v>
      </c>
      <c r="J589" s="27">
        <v>46243</v>
      </c>
      <c r="K589" s="26" t="s">
        <v>3</v>
      </c>
      <c r="L589" s="26"/>
      <c r="M589" s="26" t="s">
        <v>1</v>
      </c>
      <c r="N589" s="26"/>
      <c r="O589" s="87">
        <f>VLOOKUP(A589,'HIPERQUERATOSE 26'!$A$2:$G$1542,7,1)</f>
        <v>1</v>
      </c>
    </row>
    <row r="590" spans="1:15" ht="21" customHeight="1" x14ac:dyDescent="0.25">
      <c r="A590" s="28">
        <v>3950</v>
      </c>
      <c r="B590" s="27">
        <v>46230</v>
      </c>
      <c r="C590" s="26"/>
      <c r="D590" s="28" t="s">
        <v>34</v>
      </c>
      <c r="E590" s="26"/>
      <c r="F590" s="32">
        <v>4</v>
      </c>
      <c r="G590" s="26"/>
      <c r="H590" s="27">
        <v>46233</v>
      </c>
      <c r="I590" s="28">
        <v>3</v>
      </c>
      <c r="J590" s="27">
        <v>46238</v>
      </c>
      <c r="K590" s="26"/>
      <c r="L590" s="26"/>
      <c r="M590" s="26" t="s">
        <v>1</v>
      </c>
      <c r="N590" s="26"/>
      <c r="O590" s="87">
        <f>VLOOKUP(A590,'HIPERQUERATOSE 26'!$A$2:$G$1542,7,1)</f>
        <v>1</v>
      </c>
    </row>
    <row r="591" spans="1:15" ht="21" customHeight="1" x14ac:dyDescent="0.25">
      <c r="A591" s="28">
        <v>4428</v>
      </c>
      <c r="B591" s="27">
        <v>46230</v>
      </c>
      <c r="C591" s="26"/>
      <c r="D591" s="28" t="s">
        <v>25</v>
      </c>
      <c r="E591" s="26"/>
      <c r="F591" s="32">
        <v>4</v>
      </c>
      <c r="G591" s="26"/>
      <c r="H591" s="27">
        <v>46233</v>
      </c>
      <c r="I591" s="28">
        <v>5</v>
      </c>
      <c r="J591" s="27">
        <v>46239</v>
      </c>
      <c r="K591" s="26"/>
      <c r="L591" s="26" t="s">
        <v>5</v>
      </c>
      <c r="M591" s="26"/>
      <c r="N591" s="26" t="s">
        <v>4</v>
      </c>
      <c r="O591" s="87">
        <f>VLOOKUP(A591,'HIPERQUERATOSE 26'!$A$2:$G$1542,7,1)</f>
        <v>4</v>
      </c>
    </row>
    <row r="592" spans="1:15" ht="21" customHeight="1" x14ac:dyDescent="0.25">
      <c r="A592" s="28">
        <v>5656</v>
      </c>
      <c r="B592" s="27">
        <v>46230</v>
      </c>
      <c r="C592" s="26"/>
      <c r="D592" s="28" t="s">
        <v>25</v>
      </c>
      <c r="E592" s="26"/>
      <c r="F592" s="32">
        <v>4</v>
      </c>
      <c r="G592" s="26"/>
      <c r="H592" s="27">
        <v>46233</v>
      </c>
      <c r="I592" s="28">
        <v>5</v>
      </c>
      <c r="J592" s="27">
        <v>46239</v>
      </c>
      <c r="K592" s="26"/>
      <c r="L592" s="26" t="s">
        <v>5</v>
      </c>
      <c r="M592" s="26"/>
      <c r="N592" s="26" t="s">
        <v>4</v>
      </c>
      <c r="O592" s="87">
        <f>VLOOKUP(A592,'HIPERQUERATOSE 26'!$A$2:$G$1542,7,1)</f>
        <v>2</v>
      </c>
    </row>
    <row r="593" spans="1:15" ht="21" customHeight="1" x14ac:dyDescent="0.25">
      <c r="A593" s="28">
        <v>2892</v>
      </c>
      <c r="B593" s="27">
        <v>46231</v>
      </c>
      <c r="C593" s="26"/>
      <c r="D593" s="28" t="s">
        <v>25</v>
      </c>
      <c r="E593" s="26"/>
      <c r="F593" s="32">
        <v>4</v>
      </c>
      <c r="G593" s="26"/>
      <c r="H593" s="27">
        <v>46234</v>
      </c>
      <c r="I593" s="28">
        <v>5</v>
      </c>
      <c r="J593" s="27">
        <v>46240</v>
      </c>
      <c r="K593" s="26" t="s">
        <v>3</v>
      </c>
      <c r="L593" s="26"/>
      <c r="M593" s="26"/>
      <c r="N593" s="26"/>
      <c r="O593" s="87">
        <f>VLOOKUP(A593,'HIPERQUERATOSE 26'!$A$2:$G$1542,7,1)</f>
        <v>2.25</v>
      </c>
    </row>
    <row r="594" spans="1:15" ht="21" customHeight="1" x14ac:dyDescent="0.25">
      <c r="A594" s="28">
        <v>3927</v>
      </c>
      <c r="B594" s="27">
        <v>46231</v>
      </c>
      <c r="C594" s="26"/>
      <c r="D594" s="28" t="s">
        <v>20</v>
      </c>
      <c r="E594" s="26"/>
      <c r="F594" s="32">
        <v>4</v>
      </c>
      <c r="G594" s="26"/>
      <c r="H594" s="27">
        <v>46234</v>
      </c>
      <c r="I594" s="28">
        <v>9</v>
      </c>
      <c r="J594" s="27">
        <v>46244</v>
      </c>
      <c r="K594" s="26" t="s">
        <v>3</v>
      </c>
      <c r="L594" s="26" t="s">
        <v>5</v>
      </c>
      <c r="M594" s="26"/>
      <c r="N594" s="26"/>
      <c r="O594" s="87">
        <f>VLOOKUP(A594,'HIPERQUERATOSE 26'!$A$2:$G$1542,7,1)</f>
        <v>1</v>
      </c>
    </row>
    <row r="595" spans="1:15" ht="21" customHeight="1" x14ac:dyDescent="0.25">
      <c r="A595" s="28">
        <v>4944</v>
      </c>
      <c r="B595" s="27">
        <v>46231</v>
      </c>
      <c r="C595" s="26"/>
      <c r="D595" s="28" t="s">
        <v>25</v>
      </c>
      <c r="E595" s="26"/>
      <c r="F595" s="32">
        <v>4</v>
      </c>
      <c r="G595" s="26"/>
      <c r="H595" s="27">
        <v>46234</v>
      </c>
      <c r="I595" s="28">
        <v>5</v>
      </c>
      <c r="J595" s="27">
        <v>46240</v>
      </c>
      <c r="K595" s="26"/>
      <c r="L595" s="26" t="s">
        <v>5</v>
      </c>
      <c r="M595" s="26"/>
      <c r="N595" s="26"/>
      <c r="O595" s="87">
        <f>VLOOKUP(A595,'HIPERQUERATOSE 26'!$A$2:$G$1542,7,1)</f>
        <v>0.75</v>
      </c>
    </row>
    <row r="596" spans="1:15" ht="21" customHeight="1" x14ac:dyDescent="0.25">
      <c r="A596" s="28">
        <v>4488</v>
      </c>
      <c r="B596" s="27">
        <v>46232</v>
      </c>
      <c r="C596" s="26"/>
      <c r="D596" s="28" t="s">
        <v>25</v>
      </c>
      <c r="E596" s="26"/>
      <c r="F596" s="32">
        <v>4</v>
      </c>
      <c r="G596" s="26"/>
      <c r="H596" s="27">
        <v>46235</v>
      </c>
      <c r="I596" s="28">
        <v>5</v>
      </c>
      <c r="J596" s="27">
        <v>46241</v>
      </c>
      <c r="K596" s="26"/>
      <c r="L596" s="26"/>
      <c r="M596" s="26" t="s">
        <v>1</v>
      </c>
      <c r="N596" s="26"/>
      <c r="O596" s="87">
        <f>VLOOKUP(A596,'HIPERQUERATOSE 26'!$A$2:$G$1542,7,1)</f>
        <v>2.25</v>
      </c>
    </row>
    <row r="597" spans="1:15" ht="21" customHeight="1" x14ac:dyDescent="0.25">
      <c r="A597" s="28">
        <v>5141</v>
      </c>
      <c r="B597" s="27">
        <v>46232</v>
      </c>
      <c r="C597" s="26"/>
      <c r="D597" s="28" t="s">
        <v>25</v>
      </c>
      <c r="E597" s="26"/>
      <c r="F597" s="32">
        <v>4</v>
      </c>
      <c r="G597" s="26"/>
      <c r="H597" s="27">
        <v>46235</v>
      </c>
      <c r="I597" s="28">
        <v>5</v>
      </c>
      <c r="J597" s="27">
        <v>46241</v>
      </c>
      <c r="K597" s="26" t="s">
        <v>3</v>
      </c>
      <c r="L597" s="26"/>
      <c r="M597" s="26"/>
      <c r="N597" s="26"/>
      <c r="O597" s="87">
        <f>VLOOKUP(A597,'HIPERQUERATOSE 26'!$A$2:$G$1542,7,1)</f>
        <v>1.25</v>
      </c>
    </row>
    <row r="598" spans="1:15" ht="21" customHeight="1" x14ac:dyDescent="0.25">
      <c r="A598" s="28">
        <v>2643</v>
      </c>
      <c r="B598" s="27">
        <v>46233</v>
      </c>
      <c r="C598" s="26"/>
      <c r="D598" s="28" t="s">
        <v>20</v>
      </c>
      <c r="E598" s="26"/>
      <c r="F598" s="32">
        <v>4</v>
      </c>
      <c r="G598" s="26"/>
      <c r="H598" s="27">
        <v>46236</v>
      </c>
      <c r="I598" s="28">
        <v>9</v>
      </c>
      <c r="J598" s="27">
        <v>46246</v>
      </c>
      <c r="K598" s="26"/>
      <c r="L598" s="26" t="s">
        <v>5</v>
      </c>
      <c r="M598" s="26"/>
      <c r="N598" s="26"/>
      <c r="O598" s="87">
        <f>VLOOKUP(A598,'HIPERQUERATOSE 26'!$A$2:$G$1542,7,1)</f>
        <v>1.25</v>
      </c>
    </row>
    <row r="599" spans="1:15" ht="21" customHeight="1" x14ac:dyDescent="0.25">
      <c r="A599" s="28">
        <v>3905</v>
      </c>
      <c r="B599" s="27">
        <v>46233</v>
      </c>
      <c r="C599" s="26"/>
      <c r="D599" s="28" t="s">
        <v>20</v>
      </c>
      <c r="E599" s="26"/>
      <c r="F599" s="32">
        <v>4</v>
      </c>
      <c r="G599" s="26"/>
      <c r="H599" s="27">
        <v>46236</v>
      </c>
      <c r="I599" s="28">
        <v>9</v>
      </c>
      <c r="J599" s="27">
        <v>46246</v>
      </c>
      <c r="K599" s="26"/>
      <c r="L599" s="26"/>
      <c r="M599" s="26"/>
      <c r="N599" s="26" t="s">
        <v>4</v>
      </c>
      <c r="O599" s="87">
        <f>VLOOKUP(A599,'HIPERQUERATOSE 26'!$A$2:$G$1542,7,1)</f>
        <v>2</v>
      </c>
    </row>
    <row r="600" spans="1:15" ht="21" customHeight="1" x14ac:dyDescent="0.25">
      <c r="A600" s="28">
        <v>4971</v>
      </c>
      <c r="B600" s="27">
        <v>46233</v>
      </c>
      <c r="C600" s="26"/>
      <c r="D600" s="28" t="s">
        <v>25</v>
      </c>
      <c r="E600" s="26"/>
      <c r="F600" s="32">
        <v>4</v>
      </c>
      <c r="G600" s="26"/>
      <c r="H600" s="27">
        <v>46236</v>
      </c>
      <c r="I600" s="28">
        <v>5</v>
      </c>
      <c r="J600" s="27">
        <v>46242</v>
      </c>
      <c r="K600" s="26"/>
      <c r="L600" s="26" t="s">
        <v>5</v>
      </c>
      <c r="M600" s="26"/>
      <c r="N600" s="26"/>
      <c r="O600" s="87">
        <f>VLOOKUP(A600,'HIPERQUERATOSE 26'!$A$2:$G$1542,7,1)</f>
        <v>2.5</v>
      </c>
    </row>
    <row r="601" spans="1:15" ht="21" customHeight="1" x14ac:dyDescent="0.25">
      <c r="A601" s="28">
        <v>2761</v>
      </c>
      <c r="B601" s="27">
        <v>46234</v>
      </c>
      <c r="C601" s="26"/>
      <c r="D601" s="28" t="s">
        <v>20</v>
      </c>
      <c r="E601" s="26"/>
      <c r="F601" s="32">
        <v>4</v>
      </c>
      <c r="G601" s="26"/>
      <c r="H601" s="27">
        <v>46237</v>
      </c>
      <c r="I601" s="28">
        <v>9</v>
      </c>
      <c r="J601" s="27">
        <v>46247</v>
      </c>
      <c r="K601" s="26"/>
      <c r="L601" s="26" t="s">
        <v>5</v>
      </c>
      <c r="M601" s="26"/>
      <c r="N601" s="26" t="s">
        <v>4</v>
      </c>
      <c r="O601" s="87">
        <f>VLOOKUP(A601,'HIPERQUERATOSE 26'!$A$2:$G$1542,7,1)</f>
        <v>2</v>
      </c>
    </row>
    <row r="602" spans="1:15" ht="21" customHeight="1" x14ac:dyDescent="0.25">
      <c r="A602" s="28">
        <v>4596</v>
      </c>
      <c r="B602" s="27">
        <v>46234</v>
      </c>
      <c r="C602" s="26"/>
      <c r="D602" s="28" t="s">
        <v>20</v>
      </c>
      <c r="E602" s="26"/>
      <c r="F602" s="32">
        <v>4</v>
      </c>
      <c r="G602" s="26"/>
      <c r="H602" s="27">
        <v>46237</v>
      </c>
      <c r="I602" s="28">
        <v>9</v>
      </c>
      <c r="J602" s="27">
        <v>46247</v>
      </c>
      <c r="K602" s="26"/>
      <c r="L602" s="26"/>
      <c r="M602" s="26"/>
      <c r="N602" s="26" t="s">
        <v>4</v>
      </c>
      <c r="O602" s="87">
        <f>VLOOKUP(A602,'HIPERQUERATOSE 26'!$A$2:$G$1542,7,1)</f>
        <v>2</v>
      </c>
    </row>
    <row r="603" spans="1:15" ht="21" customHeight="1" x14ac:dyDescent="0.25">
      <c r="A603" s="28">
        <v>4601</v>
      </c>
      <c r="B603" s="27">
        <v>46234</v>
      </c>
      <c r="C603" s="26"/>
      <c r="D603" s="28" t="s">
        <v>25</v>
      </c>
      <c r="E603" s="26"/>
      <c r="F603" s="32">
        <v>4</v>
      </c>
      <c r="G603" s="26"/>
      <c r="H603" s="27">
        <v>46237</v>
      </c>
      <c r="I603" s="28">
        <v>5</v>
      </c>
      <c r="J603" s="27">
        <v>46243</v>
      </c>
      <c r="K603" s="26"/>
      <c r="L603" s="26" t="s">
        <v>5</v>
      </c>
      <c r="M603" s="26"/>
      <c r="N603" s="26"/>
      <c r="O603" s="87">
        <f>VLOOKUP(A603,'HIPERQUERATOSE 26'!$A$2:$G$1542,7,1)</f>
        <v>1</v>
      </c>
    </row>
    <row r="604" spans="1:15" ht="21" customHeight="1" x14ac:dyDescent="0.25">
      <c r="A604" s="28">
        <v>5452</v>
      </c>
      <c r="B604" s="27">
        <v>46234</v>
      </c>
      <c r="C604" s="26"/>
      <c r="D604" s="28" t="s">
        <v>25</v>
      </c>
      <c r="E604" s="26"/>
      <c r="F604" s="32">
        <v>4</v>
      </c>
      <c r="G604" s="26"/>
      <c r="H604" s="27">
        <v>46237</v>
      </c>
      <c r="I604" s="28">
        <v>5</v>
      </c>
      <c r="J604" s="27">
        <v>46243</v>
      </c>
      <c r="K604" s="26" t="s">
        <v>3</v>
      </c>
      <c r="L604" s="26"/>
      <c r="M604" s="26"/>
      <c r="N604" s="26"/>
      <c r="O604" s="87">
        <f>VLOOKUP(A604,'HIPERQUERATOSE 26'!$A$2:$G$1542,7,1)</f>
        <v>1</v>
      </c>
    </row>
    <row r="605" spans="1:15" ht="21" customHeight="1" x14ac:dyDescent="0.25">
      <c r="A605" s="28">
        <v>4126</v>
      </c>
      <c r="B605" s="27">
        <v>46235</v>
      </c>
      <c r="C605" s="26"/>
      <c r="D605" s="28" t="s">
        <v>20</v>
      </c>
      <c r="E605" s="26"/>
      <c r="F605" s="32">
        <v>4</v>
      </c>
      <c r="G605" s="26"/>
      <c r="H605" s="27">
        <v>46238</v>
      </c>
      <c r="I605" s="28">
        <v>9</v>
      </c>
      <c r="J605" s="27">
        <v>46248</v>
      </c>
      <c r="K605" s="26"/>
      <c r="L605" s="26" t="s">
        <v>5</v>
      </c>
      <c r="M605" s="26"/>
      <c r="N605" s="26"/>
      <c r="O605" s="87">
        <f>VLOOKUP(A605,'HIPERQUERATOSE 26'!$A$2:$G$1542,7,1)</f>
        <v>1</v>
      </c>
    </row>
    <row r="606" spans="1:15" ht="21" customHeight="1" x14ac:dyDescent="0.25">
      <c r="A606" s="28">
        <v>4760</v>
      </c>
      <c r="B606" s="27">
        <v>46235</v>
      </c>
      <c r="C606" s="26"/>
      <c r="D606" s="28" t="s">
        <v>7</v>
      </c>
      <c r="E606" s="26"/>
      <c r="F606" s="32">
        <v>4</v>
      </c>
      <c r="G606" s="26"/>
      <c r="H606" s="27">
        <v>46238</v>
      </c>
      <c r="I606" s="28">
        <v>3</v>
      </c>
      <c r="J606" s="27">
        <v>46242</v>
      </c>
      <c r="K606" s="26"/>
      <c r="L606" s="26"/>
      <c r="M606" s="26" t="s">
        <v>1</v>
      </c>
      <c r="N606" s="26"/>
      <c r="O606" s="87">
        <f>VLOOKUP(A606,'HIPERQUERATOSE 26'!$A$2:$G$1542,7,1)</f>
        <v>1.5</v>
      </c>
    </row>
    <row r="607" spans="1:15" ht="21" customHeight="1" x14ac:dyDescent="0.25">
      <c r="A607" s="28">
        <v>5141</v>
      </c>
      <c r="B607" s="27">
        <v>46235</v>
      </c>
      <c r="C607" s="26"/>
      <c r="D607" s="28" t="s">
        <v>25</v>
      </c>
      <c r="E607" s="26"/>
      <c r="F607" s="32">
        <v>4</v>
      </c>
      <c r="G607" s="26"/>
      <c r="H607" s="27">
        <v>46238</v>
      </c>
      <c r="I607" s="28">
        <v>5</v>
      </c>
      <c r="J607" s="27">
        <v>46244</v>
      </c>
      <c r="K607" s="26"/>
      <c r="L607" s="26"/>
      <c r="M607" s="26"/>
      <c r="N607" s="26" t="s">
        <v>4</v>
      </c>
      <c r="O607" s="87">
        <f>VLOOKUP(A607,'HIPERQUERATOSE 26'!$A$2:$G$1542,7,1)</f>
        <v>1.25</v>
      </c>
    </row>
    <row r="608" spans="1:15" ht="21" customHeight="1" x14ac:dyDescent="0.25">
      <c r="A608" s="28">
        <v>5656</v>
      </c>
      <c r="B608" s="27">
        <v>46235</v>
      </c>
      <c r="C608" s="26"/>
      <c r="D608" s="28" t="s">
        <v>20</v>
      </c>
      <c r="E608" s="26"/>
      <c r="F608" s="32">
        <v>4</v>
      </c>
      <c r="G608" s="26"/>
      <c r="H608" s="27">
        <v>46238</v>
      </c>
      <c r="I608" s="28">
        <v>9</v>
      </c>
      <c r="J608" s="27">
        <v>46248</v>
      </c>
      <c r="K608" s="26" t="s">
        <v>3</v>
      </c>
      <c r="L608" s="26"/>
      <c r="M608" s="26"/>
      <c r="N608" s="26"/>
      <c r="O608" s="87">
        <f>VLOOKUP(A608,'HIPERQUERATOSE 26'!$A$2:$G$1542,7,1)</f>
        <v>2</v>
      </c>
    </row>
    <row r="609" spans="1:15" ht="21" customHeight="1" x14ac:dyDescent="0.25">
      <c r="A609" s="28">
        <v>3627</v>
      </c>
      <c r="B609" s="27">
        <v>46236</v>
      </c>
      <c r="C609" s="26"/>
      <c r="D609" s="28" t="s">
        <v>25</v>
      </c>
      <c r="E609" s="26"/>
      <c r="F609" s="32">
        <v>4</v>
      </c>
      <c r="G609" s="26"/>
      <c r="H609" s="27">
        <v>46239</v>
      </c>
      <c r="I609" s="28">
        <v>5</v>
      </c>
      <c r="J609" s="27">
        <v>46245</v>
      </c>
      <c r="K609" s="26"/>
      <c r="L609" s="26" t="s">
        <v>5</v>
      </c>
      <c r="M609" s="26"/>
      <c r="N609" s="26"/>
      <c r="O609" s="87">
        <f>VLOOKUP(A609,'HIPERQUERATOSE 26'!$A$2:$G$1542,7,1)</f>
        <v>1.5</v>
      </c>
    </row>
    <row r="610" spans="1:15" ht="21" customHeight="1" x14ac:dyDescent="0.25">
      <c r="A610" s="28">
        <v>4646</v>
      </c>
      <c r="B610" s="27">
        <v>46236</v>
      </c>
      <c r="C610" s="26"/>
      <c r="D610" s="28" t="s">
        <v>20</v>
      </c>
      <c r="E610" s="26"/>
      <c r="F610" s="32">
        <v>4</v>
      </c>
      <c r="G610" s="26"/>
      <c r="H610" s="27">
        <v>46239</v>
      </c>
      <c r="I610" s="28">
        <v>9</v>
      </c>
      <c r="J610" s="27">
        <v>46249</v>
      </c>
      <c r="K610" s="26" t="s">
        <v>3</v>
      </c>
      <c r="L610" s="26"/>
      <c r="M610" s="26"/>
      <c r="N610" s="26"/>
      <c r="O610" s="87">
        <f>VLOOKUP(A610,'HIPERQUERATOSE 26'!$A$2:$G$1542,7,1)</f>
        <v>2.25</v>
      </c>
    </row>
    <row r="611" spans="1:15" ht="21" customHeight="1" x14ac:dyDescent="0.25">
      <c r="A611" s="28">
        <v>4044</v>
      </c>
      <c r="B611" s="27">
        <v>46237</v>
      </c>
      <c r="C611" s="26"/>
      <c r="D611" s="28" t="s">
        <v>25</v>
      </c>
      <c r="E611" s="26"/>
      <c r="F611" s="32">
        <v>4</v>
      </c>
      <c r="G611" s="26"/>
      <c r="H611" s="27">
        <v>46240</v>
      </c>
      <c r="I611" s="28">
        <v>5</v>
      </c>
      <c r="J611" s="27">
        <v>46246</v>
      </c>
      <c r="K611" s="26"/>
      <c r="L611" s="26"/>
      <c r="M611" s="26" t="s">
        <v>1</v>
      </c>
      <c r="N611" s="26"/>
      <c r="O611" s="87">
        <f>VLOOKUP(A611,'HIPERQUERATOSE 26'!$A$2:$G$1542,7,1)</f>
        <v>1.25</v>
      </c>
    </row>
    <row r="612" spans="1:15" ht="21" customHeight="1" x14ac:dyDescent="0.25">
      <c r="A612" s="28">
        <v>4435</v>
      </c>
      <c r="B612" s="27">
        <v>46237</v>
      </c>
      <c r="C612" s="26"/>
      <c r="D612" s="28" t="s">
        <v>20</v>
      </c>
      <c r="E612" s="26"/>
      <c r="F612" s="32">
        <v>4</v>
      </c>
      <c r="G612" s="26"/>
      <c r="H612" s="27">
        <v>46240</v>
      </c>
      <c r="I612" s="28">
        <v>9</v>
      </c>
      <c r="J612" s="27">
        <v>46250</v>
      </c>
      <c r="K612" s="26"/>
      <c r="L612" s="26" t="s">
        <v>5</v>
      </c>
      <c r="M612" s="26"/>
      <c r="N612" s="26"/>
      <c r="O612" s="87">
        <f>VLOOKUP(A612,'HIPERQUERATOSE 26'!$A$2:$G$1542,7,1)</f>
        <v>2.75</v>
      </c>
    </row>
    <row r="613" spans="1:15" ht="21" customHeight="1" x14ac:dyDescent="0.25">
      <c r="A613" s="28">
        <v>5361</v>
      </c>
      <c r="B613" s="27">
        <v>46237</v>
      </c>
      <c r="C613" s="26"/>
      <c r="D613" s="28" t="s">
        <v>7</v>
      </c>
      <c r="E613" s="26"/>
      <c r="F613" s="28">
        <v>4</v>
      </c>
      <c r="G613" s="26"/>
      <c r="H613" s="27">
        <v>46240</v>
      </c>
      <c r="I613" s="32">
        <v>3</v>
      </c>
      <c r="J613" s="27">
        <v>46244</v>
      </c>
      <c r="K613" s="26"/>
      <c r="L613" s="26"/>
      <c r="M613" s="26" t="s">
        <v>1</v>
      </c>
      <c r="N613" s="26"/>
      <c r="O613" s="87">
        <f>VLOOKUP(A613,'HIPERQUERATOSE 26'!$A$2:$G$1542,7,1)</f>
        <v>1.75</v>
      </c>
    </row>
    <row r="614" spans="1:15" ht="21" customHeight="1" x14ac:dyDescent="0.25">
      <c r="A614" s="28">
        <v>3740</v>
      </c>
      <c r="B614" s="27">
        <v>46238</v>
      </c>
      <c r="C614" s="26"/>
      <c r="D614" s="28" t="s">
        <v>20</v>
      </c>
      <c r="E614" s="26"/>
      <c r="F614" s="28">
        <v>4</v>
      </c>
      <c r="G614" s="26"/>
      <c r="H614" s="27">
        <v>46241</v>
      </c>
      <c r="I614" s="32">
        <v>9</v>
      </c>
      <c r="J614" s="27">
        <v>46251</v>
      </c>
      <c r="K614" s="26" t="s">
        <v>3</v>
      </c>
      <c r="L614" s="26"/>
      <c r="M614" s="26"/>
      <c r="N614" s="26"/>
      <c r="O614" s="87">
        <f>VLOOKUP(A614,'HIPERQUERATOSE 26'!$A$2:$G$1542,7,1)</f>
        <v>1.5</v>
      </c>
    </row>
    <row r="615" spans="1:15" ht="21" customHeight="1" x14ac:dyDescent="0.25">
      <c r="A615" s="28">
        <v>4002</v>
      </c>
      <c r="B615" s="27">
        <v>46239</v>
      </c>
      <c r="C615" s="26"/>
      <c r="D615" s="28" t="s">
        <v>25</v>
      </c>
      <c r="F615" s="28">
        <v>4</v>
      </c>
      <c r="G615" s="26"/>
      <c r="H615" s="27">
        <v>46242</v>
      </c>
      <c r="I615" s="32">
        <v>5</v>
      </c>
      <c r="J615" s="27">
        <v>46248</v>
      </c>
      <c r="K615" s="26" t="s">
        <v>3</v>
      </c>
      <c r="L615" s="26"/>
      <c r="M615" s="26"/>
      <c r="N615" s="26"/>
      <c r="O615" s="87">
        <f>VLOOKUP(A615,'HIPERQUERATOSE 26'!$A$2:$G$1542,7,1)</f>
        <v>2.25</v>
      </c>
    </row>
    <row r="616" spans="1:15" ht="21" customHeight="1" x14ac:dyDescent="0.25">
      <c r="A616" s="28">
        <v>4028</v>
      </c>
      <c r="B616" s="27">
        <v>46239</v>
      </c>
      <c r="C616" s="26"/>
      <c r="D616" s="28" t="s">
        <v>25</v>
      </c>
      <c r="E616" s="26"/>
      <c r="F616" s="28">
        <v>4</v>
      </c>
      <c r="G616" s="26"/>
      <c r="H616" s="27">
        <v>46242</v>
      </c>
      <c r="I616" s="32">
        <v>5</v>
      </c>
      <c r="J616" s="27">
        <v>46248</v>
      </c>
      <c r="K616" s="26"/>
      <c r="L616" s="26" t="s">
        <v>5</v>
      </c>
      <c r="M616" s="26"/>
      <c r="N616" s="26"/>
      <c r="O616" s="87">
        <f>VLOOKUP(A616,'HIPERQUERATOSE 26'!$A$2:$G$1542,7,1)</f>
        <v>2.25</v>
      </c>
    </row>
    <row r="617" spans="1:15" ht="21" customHeight="1" x14ac:dyDescent="0.25">
      <c r="A617" s="28">
        <v>4860</v>
      </c>
      <c r="B617" s="27">
        <v>46240</v>
      </c>
      <c r="C617" s="26"/>
      <c r="D617" s="28" t="s">
        <v>25</v>
      </c>
      <c r="E617" s="26"/>
      <c r="F617" s="28">
        <v>4</v>
      </c>
      <c r="G617" s="26"/>
      <c r="H617" s="27">
        <v>46243</v>
      </c>
      <c r="I617" s="32">
        <v>5</v>
      </c>
      <c r="J617" s="27">
        <v>46249</v>
      </c>
      <c r="K617" s="26"/>
      <c r="L617" s="26" t="s">
        <v>5</v>
      </c>
      <c r="M617" s="26"/>
      <c r="N617" s="26"/>
      <c r="O617" s="87">
        <f>VLOOKUP(A617,'HIPERQUERATOSE 26'!$A$2:$G$1542,7,1)</f>
        <v>2.5</v>
      </c>
    </row>
    <row r="618" spans="1:15" ht="21" customHeight="1" x14ac:dyDescent="0.25">
      <c r="A618" s="28">
        <v>4965</v>
      </c>
      <c r="B618" s="27">
        <v>46240</v>
      </c>
      <c r="C618" s="26"/>
      <c r="D618" s="28" t="s">
        <v>7</v>
      </c>
      <c r="E618" s="26"/>
      <c r="F618" s="28">
        <v>4</v>
      </c>
      <c r="G618" s="26"/>
      <c r="H618" s="27">
        <v>46243</v>
      </c>
      <c r="I618" s="32">
        <v>3</v>
      </c>
      <c r="J618" s="27">
        <v>46247</v>
      </c>
      <c r="K618" s="26"/>
      <c r="L618" s="26"/>
      <c r="M618" s="26"/>
      <c r="N618" s="26" t="s">
        <v>4</v>
      </c>
      <c r="O618" s="87">
        <f>VLOOKUP(A618,'HIPERQUERATOSE 26'!$A$2:$G$1542,7,1)</f>
        <v>1.25</v>
      </c>
    </row>
    <row r="619" spans="1:15" ht="21" customHeight="1" x14ac:dyDescent="0.25">
      <c r="A619" s="28">
        <v>5140</v>
      </c>
      <c r="B619" s="27">
        <v>46240</v>
      </c>
      <c r="C619" s="26"/>
      <c r="D619" s="28" t="s">
        <v>25</v>
      </c>
      <c r="E619" s="26"/>
      <c r="F619" s="28">
        <v>4</v>
      </c>
      <c r="G619" s="26"/>
      <c r="H619" s="27">
        <v>46243</v>
      </c>
      <c r="I619" s="32">
        <v>5</v>
      </c>
      <c r="J619" s="27">
        <v>46249</v>
      </c>
      <c r="K619" s="26" t="s">
        <v>3</v>
      </c>
      <c r="L619" s="26"/>
      <c r="M619" s="26"/>
      <c r="N619" s="26"/>
      <c r="O619" s="87">
        <f>VLOOKUP(A619,'HIPERQUERATOSE 26'!$A$2:$G$1542,7,1)</f>
        <v>1</v>
      </c>
    </row>
    <row r="620" spans="1:15" ht="21" customHeight="1" x14ac:dyDescent="0.25">
      <c r="A620" s="28">
        <v>5231</v>
      </c>
      <c r="B620" s="27">
        <v>46241</v>
      </c>
      <c r="C620" s="26"/>
      <c r="D620" s="28" t="s">
        <v>25</v>
      </c>
      <c r="E620" s="26"/>
      <c r="F620" s="28">
        <v>4</v>
      </c>
      <c r="G620" s="26"/>
      <c r="H620" s="27">
        <v>46244</v>
      </c>
      <c r="I620" s="32">
        <v>5</v>
      </c>
      <c r="J620" s="27">
        <v>46250</v>
      </c>
      <c r="K620" s="26"/>
      <c r="L620" s="26"/>
      <c r="M620" s="26"/>
      <c r="N620" s="26" t="s">
        <v>4</v>
      </c>
      <c r="O620" s="87">
        <f>VLOOKUP(A620,'HIPERQUERATOSE 26'!$A$2:$G$1542,7,1)</f>
        <v>0.75</v>
      </c>
    </row>
    <row r="621" spans="1:15" ht="21" customHeight="1" x14ac:dyDescent="0.25">
      <c r="A621" s="28">
        <v>5361</v>
      </c>
      <c r="B621" s="27">
        <v>46241</v>
      </c>
      <c r="C621" s="26"/>
      <c r="D621" s="28" t="s">
        <v>20</v>
      </c>
      <c r="E621" s="26"/>
      <c r="F621" s="28">
        <v>4</v>
      </c>
      <c r="G621" s="26"/>
      <c r="H621" s="27">
        <v>46244</v>
      </c>
      <c r="I621" s="32">
        <v>9</v>
      </c>
      <c r="J621" s="27">
        <v>46254</v>
      </c>
      <c r="K621" s="26"/>
      <c r="L621" s="26"/>
      <c r="M621" s="26" t="s">
        <v>1</v>
      </c>
      <c r="N621" s="26"/>
      <c r="O621" s="87">
        <f>VLOOKUP(A621,'HIPERQUERATOSE 26'!$A$2:$G$1542,7,1)</f>
        <v>1.75</v>
      </c>
    </row>
    <row r="622" spans="1:15" ht="21" customHeight="1" x14ac:dyDescent="0.25">
      <c r="A622" s="28">
        <v>4002</v>
      </c>
      <c r="B622" s="27">
        <v>46242</v>
      </c>
      <c r="C622" s="26"/>
      <c r="D622" s="28" t="s">
        <v>20</v>
      </c>
      <c r="E622" s="26"/>
      <c r="F622" s="28">
        <v>4</v>
      </c>
      <c r="G622" s="26"/>
      <c r="H622" s="27">
        <v>46245</v>
      </c>
      <c r="I622" s="32">
        <v>9</v>
      </c>
      <c r="J622" s="27">
        <v>46255</v>
      </c>
      <c r="K622" s="26" t="s">
        <v>3</v>
      </c>
      <c r="L622" s="26"/>
      <c r="M622" s="26"/>
      <c r="N622" s="26"/>
      <c r="O622" s="87">
        <f>VLOOKUP(A622,'HIPERQUERATOSE 26'!$A$2:$G$1542,7,1)</f>
        <v>2.25</v>
      </c>
    </row>
    <row r="623" spans="1:15" ht="21" customHeight="1" x14ac:dyDescent="0.25">
      <c r="A623" s="28">
        <v>4349</v>
      </c>
      <c r="B623" s="27">
        <v>46242</v>
      </c>
      <c r="C623" s="26"/>
      <c r="D623" s="28" t="s">
        <v>20</v>
      </c>
      <c r="E623" s="26"/>
      <c r="F623" s="28">
        <v>4</v>
      </c>
      <c r="G623" s="26"/>
      <c r="H623" s="27">
        <v>46245</v>
      </c>
      <c r="I623" s="32">
        <v>9</v>
      </c>
      <c r="J623" s="27">
        <v>46255</v>
      </c>
      <c r="K623" s="26" t="s">
        <v>3</v>
      </c>
      <c r="L623" s="26" t="s">
        <v>5</v>
      </c>
      <c r="M623" s="26" t="s">
        <v>1</v>
      </c>
      <c r="N623" s="26" t="s">
        <v>4</v>
      </c>
      <c r="O623" s="87">
        <f>VLOOKUP(A623,'HIPERQUERATOSE 26'!$A$2:$G$1542,7,1)</f>
        <v>0.5</v>
      </c>
    </row>
    <row r="624" spans="1:15" ht="21" customHeight="1" x14ac:dyDescent="0.25">
      <c r="A624" s="28">
        <v>5566</v>
      </c>
      <c r="B624" s="27">
        <v>46242</v>
      </c>
      <c r="C624" s="26"/>
      <c r="D624" s="28" t="s">
        <v>25</v>
      </c>
      <c r="E624" s="26"/>
      <c r="F624" s="28">
        <v>4</v>
      </c>
      <c r="G624" s="26"/>
      <c r="H624" s="27">
        <v>46245</v>
      </c>
      <c r="I624" s="32">
        <v>5</v>
      </c>
      <c r="J624" s="27">
        <v>46251</v>
      </c>
      <c r="K624" s="26"/>
      <c r="L624" s="26" t="s">
        <v>5</v>
      </c>
      <c r="M624" s="26" t="s">
        <v>1</v>
      </c>
      <c r="N624" s="26"/>
      <c r="O624" s="87">
        <f>VLOOKUP(A624,'HIPERQUERATOSE 26'!$A$2:$G$1542,7,1)</f>
        <v>2</v>
      </c>
    </row>
    <row r="625" spans="1:15" ht="21" customHeight="1" x14ac:dyDescent="0.25">
      <c r="A625" s="28">
        <v>4395</v>
      </c>
      <c r="B625" s="27">
        <v>46242</v>
      </c>
      <c r="C625" s="26"/>
      <c r="D625" s="28" t="s">
        <v>7</v>
      </c>
      <c r="E625" s="26"/>
      <c r="F625" s="28">
        <v>4</v>
      </c>
      <c r="G625" s="26"/>
      <c r="H625" s="27">
        <v>46245</v>
      </c>
      <c r="I625" s="32">
        <v>3</v>
      </c>
      <c r="J625" s="27">
        <v>46249</v>
      </c>
      <c r="K625" s="26"/>
      <c r="L625" s="26"/>
      <c r="M625" s="26"/>
      <c r="N625" s="26" t="s">
        <v>4</v>
      </c>
      <c r="O625" s="87">
        <f>VLOOKUP(A625,'HIPERQUERATOSE 26'!$A$2:$G$1542,7,1)</f>
        <v>3</v>
      </c>
    </row>
    <row r="626" spans="1:15" ht="21" customHeight="1" x14ac:dyDescent="0.25">
      <c r="A626" s="28">
        <v>4596</v>
      </c>
      <c r="B626" s="27">
        <v>46242</v>
      </c>
      <c r="C626" s="26"/>
      <c r="D626" s="28" t="s">
        <v>25</v>
      </c>
      <c r="E626" s="26"/>
      <c r="F626" s="28">
        <v>4</v>
      </c>
      <c r="G626" s="26"/>
      <c r="H626" s="27">
        <v>46245</v>
      </c>
      <c r="I626" s="32">
        <v>5</v>
      </c>
      <c r="J626" s="27">
        <v>46251</v>
      </c>
      <c r="K626" s="26" t="s">
        <v>3</v>
      </c>
      <c r="L626" s="26"/>
      <c r="M626" s="26"/>
      <c r="N626" s="26"/>
      <c r="O626" s="87">
        <f>VLOOKUP(A626,'HIPERQUERATOSE 26'!$A$2:$G$1542,7,1)</f>
        <v>2</v>
      </c>
    </row>
    <row r="627" spans="1:15" ht="21" customHeight="1" x14ac:dyDescent="0.25">
      <c r="A627" s="28">
        <v>5056</v>
      </c>
      <c r="B627" s="27">
        <v>46242</v>
      </c>
      <c r="C627" s="26"/>
      <c r="D627" s="28" t="s">
        <v>25</v>
      </c>
      <c r="E627" s="26"/>
      <c r="F627" s="28">
        <v>4</v>
      </c>
      <c r="G627" s="26"/>
      <c r="H627" s="27">
        <v>46245</v>
      </c>
      <c r="I627" s="32">
        <v>5</v>
      </c>
      <c r="J627" s="27">
        <v>46251</v>
      </c>
      <c r="K627" s="26"/>
      <c r="L627" s="26"/>
      <c r="M627" s="26" t="s">
        <v>1</v>
      </c>
      <c r="N627" s="26"/>
      <c r="O627" s="87">
        <f>VLOOKUP(A627,'HIPERQUERATOSE 26'!$A$2:$G$1542,7,1)</f>
        <v>1</v>
      </c>
    </row>
    <row r="628" spans="1:15" ht="21" customHeight="1" x14ac:dyDescent="0.25">
      <c r="A628" s="28">
        <v>4033</v>
      </c>
      <c r="B628" s="27">
        <v>46243</v>
      </c>
      <c r="C628" s="26"/>
      <c r="D628" s="28" t="s">
        <v>20</v>
      </c>
      <c r="E628" s="26"/>
      <c r="F628" s="28">
        <v>4</v>
      </c>
      <c r="G628" s="26"/>
      <c r="H628" s="27">
        <v>46246</v>
      </c>
      <c r="I628" s="32">
        <v>9</v>
      </c>
      <c r="J628" s="27">
        <v>46256</v>
      </c>
      <c r="K628" s="26" t="s">
        <v>3</v>
      </c>
      <c r="L628" s="26"/>
      <c r="M628" s="26"/>
      <c r="N628" s="26"/>
      <c r="O628" s="87">
        <f>VLOOKUP(A628,'HIPERQUERATOSE 26'!$A$2:$G$1542,7,1)</f>
        <v>2.75</v>
      </c>
    </row>
    <row r="629" spans="1:15" ht="21" customHeight="1" x14ac:dyDescent="0.25">
      <c r="A629" s="28">
        <v>4304</v>
      </c>
      <c r="B629" s="27">
        <v>46243</v>
      </c>
      <c r="C629" s="26"/>
      <c r="D629" s="28" t="s">
        <v>25</v>
      </c>
      <c r="E629" s="26"/>
      <c r="F629" s="28">
        <v>4</v>
      </c>
      <c r="G629" s="26"/>
      <c r="H629" s="27">
        <v>46246</v>
      </c>
      <c r="I629" s="32">
        <v>5</v>
      </c>
      <c r="J629" s="27">
        <v>46252</v>
      </c>
      <c r="K629" s="26"/>
      <c r="L629" s="26"/>
      <c r="M629" s="26" t="s">
        <v>1</v>
      </c>
      <c r="N629" s="26"/>
      <c r="O629" s="87">
        <f>VLOOKUP(A629,'HIPERQUERATOSE 26'!$A$2:$G$1542,7,1)</f>
        <v>2.25</v>
      </c>
    </row>
    <row r="630" spans="1:15" ht="21" customHeight="1" x14ac:dyDescent="0.25">
      <c r="A630" s="28">
        <v>4439</v>
      </c>
      <c r="B630" s="27">
        <v>46245</v>
      </c>
      <c r="C630" s="26"/>
      <c r="D630" s="28" t="s">
        <v>20</v>
      </c>
      <c r="E630" s="26"/>
      <c r="F630" s="28">
        <v>4</v>
      </c>
      <c r="G630" s="26"/>
      <c r="H630" s="27">
        <v>46248</v>
      </c>
      <c r="I630" s="32">
        <v>9</v>
      </c>
      <c r="J630" s="27">
        <v>46258</v>
      </c>
      <c r="K630" s="26" t="s">
        <v>3</v>
      </c>
      <c r="L630" s="26"/>
      <c r="M630" s="26"/>
      <c r="N630" s="26" t="s">
        <v>4</v>
      </c>
      <c r="O630" s="87">
        <f>VLOOKUP(A630,'HIPERQUERATOSE 26'!$A$2:$G$1542,7,1)</f>
        <v>1.25</v>
      </c>
    </row>
    <row r="631" spans="1:15" ht="21" customHeight="1" x14ac:dyDescent="0.25">
      <c r="A631" s="28">
        <v>4509</v>
      </c>
      <c r="B631" s="27">
        <v>46245</v>
      </c>
      <c r="C631" s="26"/>
      <c r="D631" s="28" t="s">
        <v>25</v>
      </c>
      <c r="E631" s="26"/>
      <c r="F631" s="28">
        <v>4</v>
      </c>
      <c r="G631" s="26"/>
      <c r="H631" s="27">
        <v>46248</v>
      </c>
      <c r="I631" s="32">
        <v>5</v>
      </c>
      <c r="J631" s="27">
        <v>46254</v>
      </c>
      <c r="K631" s="26"/>
      <c r="L631" s="26"/>
      <c r="M631" s="26" t="s">
        <v>1</v>
      </c>
      <c r="N631" s="26"/>
      <c r="O631" s="87">
        <f>VLOOKUP(A631,'HIPERQUERATOSE 26'!$A$2:$G$1542,7,1)</f>
        <v>1</v>
      </c>
    </row>
    <row r="632" spans="1:15" ht="21" customHeight="1" x14ac:dyDescent="0.25">
      <c r="A632" s="28">
        <v>4941</v>
      </c>
      <c r="B632" s="27">
        <v>46245</v>
      </c>
      <c r="C632" s="26"/>
      <c r="D632" s="28" t="s">
        <v>25</v>
      </c>
      <c r="E632" s="26"/>
      <c r="F632" s="28">
        <v>4</v>
      </c>
      <c r="G632" s="26"/>
      <c r="H632" s="27">
        <v>46248</v>
      </c>
      <c r="I632" s="32">
        <v>5</v>
      </c>
      <c r="J632" s="27">
        <v>46254</v>
      </c>
      <c r="K632" s="26"/>
      <c r="L632" s="26"/>
      <c r="M632" s="26"/>
      <c r="N632" s="26" t="s">
        <v>4</v>
      </c>
      <c r="O632" s="87">
        <f>VLOOKUP(A632,'HIPERQUERATOSE 26'!$A$2:$G$1542,7,1)</f>
        <v>1.5</v>
      </c>
    </row>
    <row r="633" spans="1:15" ht="21" customHeight="1" x14ac:dyDescent="0.25">
      <c r="A633" s="28">
        <v>4944</v>
      </c>
      <c r="B633" s="27">
        <v>46245</v>
      </c>
      <c r="C633" s="26"/>
      <c r="D633" s="28" t="s">
        <v>20</v>
      </c>
      <c r="E633" s="26"/>
      <c r="F633" s="28">
        <v>4</v>
      </c>
      <c r="G633" s="26"/>
      <c r="H633" s="27">
        <v>46248</v>
      </c>
      <c r="I633" s="32">
        <v>9</v>
      </c>
      <c r="J633" s="27">
        <v>46258</v>
      </c>
      <c r="K633" s="26"/>
      <c r="L633" s="26" t="s">
        <v>5</v>
      </c>
      <c r="M633" s="26"/>
      <c r="N633" s="26"/>
      <c r="O633" s="87">
        <f>VLOOKUP(A633,'HIPERQUERATOSE 26'!$A$2:$G$1542,7,1)</f>
        <v>0.75</v>
      </c>
    </row>
    <row r="634" spans="1:15" ht="21" customHeight="1" x14ac:dyDescent="0.25">
      <c r="A634" s="28">
        <v>5297</v>
      </c>
      <c r="B634" s="27">
        <v>46245</v>
      </c>
      <c r="C634" s="26"/>
      <c r="D634" s="28" t="s">
        <v>25</v>
      </c>
      <c r="E634" s="26"/>
      <c r="F634" s="28">
        <v>4</v>
      </c>
      <c r="G634" s="26"/>
      <c r="H634" s="27">
        <v>46248</v>
      </c>
      <c r="I634" s="32">
        <v>5</v>
      </c>
      <c r="J634" s="27">
        <v>46254</v>
      </c>
      <c r="K634" s="26"/>
      <c r="L634" s="26" t="s">
        <v>5</v>
      </c>
      <c r="M634" s="26"/>
      <c r="N634" s="26"/>
      <c r="O634" s="87">
        <f>VLOOKUP(A634,'HIPERQUERATOSE 26'!$A$2:$G$1542,7,1)</f>
        <v>2.25</v>
      </c>
    </row>
    <row r="635" spans="1:15" ht="21" customHeight="1" x14ac:dyDescent="0.25">
      <c r="A635" s="28">
        <v>5319</v>
      </c>
      <c r="B635" s="27">
        <v>46245</v>
      </c>
      <c r="C635" s="26"/>
      <c r="D635" s="28" t="s">
        <v>7</v>
      </c>
      <c r="E635" s="26"/>
      <c r="F635" s="28">
        <v>4</v>
      </c>
      <c r="G635" s="26"/>
      <c r="H635" s="27">
        <v>46248</v>
      </c>
      <c r="I635" s="32">
        <v>3</v>
      </c>
      <c r="J635" s="27">
        <v>46252</v>
      </c>
      <c r="K635" s="26"/>
      <c r="L635" s="26"/>
      <c r="M635" s="26"/>
      <c r="N635" s="26" t="s">
        <v>4</v>
      </c>
      <c r="O635" s="87">
        <f>VLOOKUP(A635,'HIPERQUERATOSE 26'!$A$2:$G$1542,7,1)</f>
        <v>3.75</v>
      </c>
    </row>
    <row r="636" spans="1:15" ht="21" customHeight="1" x14ac:dyDescent="0.25">
      <c r="A636" s="28">
        <v>2892</v>
      </c>
      <c r="B636" s="27">
        <v>46246</v>
      </c>
      <c r="C636" s="26"/>
      <c r="D636" s="28" t="s">
        <v>108</v>
      </c>
      <c r="E636" s="26"/>
      <c r="F636" s="28">
        <v>4</v>
      </c>
      <c r="G636" s="26"/>
      <c r="H636" s="27">
        <v>46249</v>
      </c>
      <c r="I636" s="32">
        <v>3</v>
      </c>
      <c r="J636" s="27">
        <v>46253</v>
      </c>
      <c r="K636" s="26"/>
      <c r="L636" s="26" t="s">
        <v>5</v>
      </c>
      <c r="M636" s="26"/>
      <c r="N636" s="26"/>
      <c r="O636" s="87">
        <f>VLOOKUP(A636,'HIPERQUERATOSE 26'!$A$2:$G$1542,7,1)</f>
        <v>2.25</v>
      </c>
    </row>
    <row r="637" spans="1:15" ht="21" customHeight="1" x14ac:dyDescent="0.25">
      <c r="A637" s="28">
        <v>2931</v>
      </c>
      <c r="B637" s="27">
        <v>46246</v>
      </c>
      <c r="C637" s="26"/>
      <c r="D637" s="28" t="s">
        <v>20</v>
      </c>
      <c r="E637" s="26"/>
      <c r="F637" s="28">
        <v>4</v>
      </c>
      <c r="G637" s="26"/>
      <c r="H637" s="27">
        <v>46249</v>
      </c>
      <c r="I637" s="32">
        <v>9</v>
      </c>
      <c r="J637" s="27">
        <v>46259</v>
      </c>
      <c r="K637" s="26"/>
      <c r="L637" s="26" t="s">
        <v>5</v>
      </c>
      <c r="M637" s="26"/>
      <c r="N637" s="26"/>
      <c r="O637" s="87">
        <f>VLOOKUP(A637,'HIPERQUERATOSE 26'!$A$2:$G$1542,7,1)</f>
        <v>2.75</v>
      </c>
    </row>
    <row r="638" spans="1:15" ht="21" customHeight="1" x14ac:dyDescent="0.25">
      <c r="A638" s="28">
        <v>4832</v>
      </c>
      <c r="B638" s="27">
        <v>46246</v>
      </c>
      <c r="C638" s="26"/>
      <c r="D638" s="28" t="s">
        <v>25</v>
      </c>
      <c r="E638" s="26"/>
      <c r="F638" s="28">
        <v>4</v>
      </c>
      <c r="G638" s="26"/>
      <c r="H638" s="27">
        <v>46249</v>
      </c>
      <c r="I638" s="32">
        <v>5</v>
      </c>
      <c r="J638" s="27">
        <v>46255</v>
      </c>
      <c r="K638" s="26"/>
      <c r="L638" s="26"/>
      <c r="M638" s="26" t="s">
        <v>1</v>
      </c>
      <c r="N638" s="26"/>
      <c r="O638" s="87">
        <f>VLOOKUP(A638,'HIPERQUERATOSE 26'!$A$2:$G$1542,7,1)</f>
        <v>1.25</v>
      </c>
    </row>
    <row r="639" spans="1:15" ht="21" customHeight="1" x14ac:dyDescent="0.25">
      <c r="A639" s="28">
        <v>4435</v>
      </c>
      <c r="B639" s="27">
        <v>46247</v>
      </c>
      <c r="C639" s="26"/>
      <c r="D639" s="28" t="s">
        <v>25</v>
      </c>
      <c r="E639" s="26"/>
      <c r="F639" s="28">
        <v>4</v>
      </c>
      <c r="G639" s="26"/>
      <c r="H639" s="27">
        <v>46250</v>
      </c>
      <c r="I639" s="32">
        <v>5</v>
      </c>
      <c r="J639" s="27">
        <v>46256</v>
      </c>
      <c r="K639" s="26"/>
      <c r="L639" s="26" t="s">
        <v>5</v>
      </c>
      <c r="M639" s="26" t="s">
        <v>1</v>
      </c>
      <c r="N639" s="26"/>
      <c r="O639" s="87">
        <f>VLOOKUP(A639,'HIPERQUERATOSE 26'!$A$2:$G$1542,7,1)</f>
        <v>2.75</v>
      </c>
    </row>
    <row r="640" spans="1:15" ht="21" customHeight="1" x14ac:dyDescent="0.25">
      <c r="A640" s="28">
        <v>4910</v>
      </c>
      <c r="B640" s="27">
        <v>46247</v>
      </c>
      <c r="C640" s="26"/>
      <c r="D640" s="28" t="s">
        <v>25</v>
      </c>
      <c r="E640" s="26"/>
      <c r="F640" s="28">
        <v>4</v>
      </c>
      <c r="G640" s="26"/>
      <c r="H640" s="27">
        <v>46250</v>
      </c>
      <c r="I640" s="32">
        <v>5</v>
      </c>
      <c r="J640" s="27">
        <v>46256</v>
      </c>
      <c r="K640" s="26"/>
      <c r="L640" s="26"/>
      <c r="M640" s="26" t="s">
        <v>1</v>
      </c>
      <c r="N640" s="26"/>
      <c r="O640" s="87">
        <f>VLOOKUP(A640,'HIPERQUERATOSE 26'!$A$2:$G$1542,7,1)</f>
        <v>1.5</v>
      </c>
    </row>
    <row r="641" spans="1:15" ht="21" customHeight="1" x14ac:dyDescent="0.25">
      <c r="A641" s="28">
        <v>3938</v>
      </c>
      <c r="B641" s="27">
        <v>46248</v>
      </c>
      <c r="C641" s="26"/>
      <c r="D641" s="28" t="s">
        <v>20</v>
      </c>
      <c r="E641" s="26"/>
      <c r="F641" s="28">
        <v>4</v>
      </c>
      <c r="G641" s="26"/>
      <c r="H641" s="27">
        <v>46251</v>
      </c>
      <c r="I641" s="32">
        <v>9</v>
      </c>
      <c r="J641" s="27">
        <v>46261</v>
      </c>
      <c r="K641" s="26"/>
      <c r="L641" s="26" t="s">
        <v>5</v>
      </c>
      <c r="M641" s="26"/>
      <c r="N641" s="26"/>
      <c r="O641" s="87">
        <f>VLOOKUP(A641,'HIPERQUERATOSE 26'!$A$2:$G$1542,7,1)</f>
        <v>1.5</v>
      </c>
    </row>
    <row r="642" spans="1:15" ht="21" customHeight="1" x14ac:dyDescent="0.25">
      <c r="A642" s="28">
        <v>4648</v>
      </c>
      <c r="B642" s="27">
        <v>46248</v>
      </c>
      <c r="C642" s="26"/>
      <c r="D642" s="28" t="s">
        <v>20</v>
      </c>
      <c r="E642" s="26"/>
      <c r="F642" s="28">
        <v>4</v>
      </c>
      <c r="G642" s="26"/>
      <c r="H642" s="27">
        <v>46252</v>
      </c>
      <c r="I642" s="32">
        <v>9</v>
      </c>
      <c r="J642" s="27">
        <v>46262</v>
      </c>
      <c r="K642" s="26"/>
      <c r="L642" s="26" t="s">
        <v>5</v>
      </c>
      <c r="M642" s="26"/>
      <c r="N642" s="26"/>
      <c r="O642" s="87">
        <f>VLOOKUP(A642,'HIPERQUERATOSE 26'!$A$2:$G$1542,7,1)</f>
        <v>1.5</v>
      </c>
    </row>
    <row r="643" spans="1:15" ht="21" customHeight="1" x14ac:dyDescent="0.25">
      <c r="A643" s="28">
        <v>4439</v>
      </c>
      <c r="B643" s="27">
        <v>46249</v>
      </c>
      <c r="C643" s="26"/>
      <c r="D643" s="28" t="s">
        <v>25</v>
      </c>
      <c r="E643" s="26"/>
      <c r="F643" s="28">
        <v>4</v>
      </c>
      <c r="G643" s="26"/>
      <c r="H643" s="27">
        <v>46252</v>
      </c>
      <c r="I643" s="32">
        <v>5</v>
      </c>
      <c r="J643" s="27">
        <v>46258</v>
      </c>
      <c r="K643" s="26" t="s">
        <v>3</v>
      </c>
      <c r="L643" s="26"/>
      <c r="M643" s="26" t="s">
        <v>1</v>
      </c>
      <c r="N643" s="26"/>
      <c r="O643" s="87">
        <f>VLOOKUP(A643,'HIPERQUERATOSE 26'!$A$2:$G$1542,7,1)</f>
        <v>1.25</v>
      </c>
    </row>
    <row r="644" spans="1:15" ht="21" customHeight="1" x14ac:dyDescent="0.25">
      <c r="A644" s="28">
        <v>4659</v>
      </c>
      <c r="B644" s="27">
        <v>46249</v>
      </c>
      <c r="C644" s="26"/>
      <c r="D644" s="28" t="s">
        <v>20</v>
      </c>
      <c r="E644" s="26"/>
      <c r="F644" s="28">
        <v>4</v>
      </c>
      <c r="G644" s="26"/>
      <c r="H644" s="27">
        <v>46252</v>
      </c>
      <c r="I644" s="32">
        <v>9</v>
      </c>
      <c r="J644" s="27">
        <v>46262</v>
      </c>
      <c r="K644" s="26"/>
      <c r="L644" s="26" t="s">
        <v>5</v>
      </c>
      <c r="M644" s="26"/>
      <c r="N644" s="26"/>
      <c r="O644" s="87">
        <f>VLOOKUP(A644,'HIPERQUERATOSE 26'!$A$2:$G$1542,7,1)</f>
        <v>2.25</v>
      </c>
    </row>
    <row r="645" spans="1:15" ht="21" customHeight="1" x14ac:dyDescent="0.25">
      <c r="A645" s="28">
        <v>5879</v>
      </c>
      <c r="B645" s="27">
        <v>46249</v>
      </c>
      <c r="C645" s="26"/>
      <c r="D645" s="28" t="s">
        <v>25</v>
      </c>
      <c r="E645" s="26"/>
      <c r="F645" s="28">
        <v>4</v>
      </c>
      <c r="G645" s="26"/>
      <c r="H645" s="27">
        <v>46251</v>
      </c>
      <c r="I645" s="32">
        <v>5</v>
      </c>
      <c r="J645" s="27">
        <v>46257</v>
      </c>
      <c r="K645" s="26"/>
      <c r="L645" s="26"/>
      <c r="M645" s="26"/>
      <c r="N645" s="26" t="s">
        <v>4</v>
      </c>
      <c r="O645" s="87">
        <f>VLOOKUP(A645,'HIPERQUERATOSE 26'!$A$2:$G$1542,7,1)</f>
        <v>1.5</v>
      </c>
    </row>
    <row r="646" spans="1:15" ht="21" customHeight="1" x14ac:dyDescent="0.25">
      <c r="A646" s="28">
        <v>4357</v>
      </c>
      <c r="B646" s="27">
        <v>46250</v>
      </c>
      <c r="C646" s="26"/>
      <c r="D646" s="28" t="s">
        <v>7</v>
      </c>
      <c r="E646" s="26"/>
      <c r="F646" s="28">
        <v>4</v>
      </c>
      <c r="G646" s="26"/>
      <c r="H646" s="27">
        <v>46253</v>
      </c>
      <c r="I646" s="32">
        <v>3</v>
      </c>
      <c r="J646" s="27">
        <v>46256</v>
      </c>
      <c r="K646" s="26"/>
      <c r="L646" s="26" t="s">
        <v>5</v>
      </c>
      <c r="M646" s="26"/>
      <c r="N646" s="26"/>
      <c r="O646" s="87">
        <f>VLOOKUP(A646,'HIPERQUERATOSE 26'!$A$2:$G$1542,7,1)</f>
        <v>1</v>
      </c>
    </row>
    <row r="647" spans="1:15" ht="21" customHeight="1" x14ac:dyDescent="0.25">
      <c r="A647" s="28">
        <v>5140</v>
      </c>
      <c r="B647" s="27">
        <v>46250</v>
      </c>
      <c r="C647" s="26"/>
      <c r="D647" s="28" t="s">
        <v>25</v>
      </c>
      <c r="E647" s="26"/>
      <c r="F647" s="28">
        <v>4</v>
      </c>
      <c r="G647" s="26"/>
      <c r="H647" s="27">
        <v>46253</v>
      </c>
      <c r="I647" s="32">
        <v>9</v>
      </c>
      <c r="J647" s="27">
        <v>46263</v>
      </c>
      <c r="K647" s="26" t="s">
        <v>3</v>
      </c>
      <c r="L647" s="26"/>
      <c r="M647" s="26"/>
      <c r="N647" s="26"/>
      <c r="O647" s="87">
        <f>VLOOKUP(A647,'HIPERQUERATOSE 26'!$A$2:$G$1542,7,1)</f>
        <v>1</v>
      </c>
    </row>
    <row r="648" spans="1:15" ht="21" customHeight="1" x14ac:dyDescent="0.25">
      <c r="A648" s="28">
        <v>5401</v>
      </c>
      <c r="B648" s="27">
        <v>46250</v>
      </c>
      <c r="C648" s="26"/>
      <c r="D648" s="28" t="s">
        <v>21</v>
      </c>
      <c r="E648" s="26"/>
      <c r="F648" s="28">
        <v>4</v>
      </c>
      <c r="G648" s="26"/>
      <c r="H648" s="27">
        <v>46253</v>
      </c>
      <c r="I648" s="32">
        <v>9</v>
      </c>
      <c r="J648" s="27">
        <v>46263</v>
      </c>
      <c r="K648" s="26"/>
      <c r="L648" s="26"/>
      <c r="M648" s="26" t="s">
        <v>1</v>
      </c>
      <c r="N648" s="26"/>
      <c r="O648" s="87">
        <f>VLOOKUP(A648,'HIPERQUERATOSE 26'!$A$2:$G$1542,7,1)</f>
        <v>1</v>
      </c>
    </row>
    <row r="649" spans="1:15" ht="21" customHeight="1" x14ac:dyDescent="0.25">
      <c r="A649" s="28">
        <v>6062</v>
      </c>
      <c r="B649" s="27">
        <v>46250</v>
      </c>
      <c r="C649" s="26"/>
      <c r="D649" s="28" t="s">
        <v>7</v>
      </c>
      <c r="E649" s="26"/>
      <c r="F649" s="28">
        <v>4</v>
      </c>
      <c r="G649" s="26"/>
      <c r="H649" s="27">
        <v>46253</v>
      </c>
      <c r="I649" s="32">
        <v>3</v>
      </c>
      <c r="J649" s="27">
        <v>46257</v>
      </c>
      <c r="K649" s="26"/>
      <c r="L649" s="26" t="s">
        <v>5</v>
      </c>
      <c r="M649" s="26"/>
      <c r="N649" s="26"/>
      <c r="O649" s="87">
        <f>VLOOKUP(A649,'HIPERQUERATOSE 26'!$A$2:$G$1542,7,1)</f>
        <v>1.5</v>
      </c>
    </row>
    <row r="650" spans="1:15" ht="21" customHeight="1" x14ac:dyDescent="0.25">
      <c r="A650" s="28">
        <v>3370</v>
      </c>
      <c r="B650" s="27">
        <v>46251</v>
      </c>
      <c r="C650" s="26"/>
      <c r="D650" s="28" t="s">
        <v>21</v>
      </c>
      <c r="E650" s="26"/>
      <c r="F650" s="28">
        <v>4</v>
      </c>
      <c r="G650" s="26"/>
      <c r="H650" s="27">
        <v>46255</v>
      </c>
      <c r="I650" s="32">
        <v>9</v>
      </c>
      <c r="J650" s="27">
        <v>46265</v>
      </c>
      <c r="K650" s="26"/>
      <c r="L650" s="26"/>
      <c r="M650" s="26" t="s">
        <v>1</v>
      </c>
      <c r="N650" s="26"/>
      <c r="O650" s="87">
        <f>VLOOKUP(A650,'HIPERQUERATOSE 26'!$A$2:$G$1542,7,1)</f>
        <v>3.5</v>
      </c>
    </row>
    <row r="651" spans="1:15" ht="21" customHeight="1" x14ac:dyDescent="0.25">
      <c r="A651" s="28">
        <v>4879</v>
      </c>
      <c r="B651" s="27">
        <v>46251</v>
      </c>
      <c r="C651" s="26"/>
      <c r="D651" s="28" t="s">
        <v>25</v>
      </c>
      <c r="E651" s="26"/>
      <c r="F651" s="28">
        <v>4</v>
      </c>
      <c r="G651" s="26"/>
      <c r="H651" s="27">
        <v>46254</v>
      </c>
      <c r="I651" s="32">
        <v>5</v>
      </c>
      <c r="J651" s="27">
        <v>46260</v>
      </c>
      <c r="K651" s="26"/>
      <c r="L651" s="26" t="s">
        <v>5</v>
      </c>
      <c r="M651" s="26"/>
      <c r="N651" s="26"/>
      <c r="O651" s="87">
        <f>VLOOKUP(A651,'HIPERQUERATOSE 26'!$A$2:$G$1542,7,1)</f>
        <v>1.5</v>
      </c>
    </row>
    <row r="652" spans="1:15" ht="21" customHeight="1" x14ac:dyDescent="0.25">
      <c r="A652" s="28">
        <v>5740</v>
      </c>
      <c r="B652" s="27">
        <v>46251</v>
      </c>
      <c r="C652" s="26"/>
      <c r="D652" s="28" t="s">
        <v>25</v>
      </c>
      <c r="E652" s="26"/>
      <c r="F652" s="28">
        <v>4</v>
      </c>
      <c r="G652" s="26"/>
      <c r="H652" s="27">
        <v>46254</v>
      </c>
      <c r="I652" s="32">
        <v>5</v>
      </c>
      <c r="J652" s="27">
        <v>46260</v>
      </c>
      <c r="K652" s="26"/>
      <c r="L652" s="26"/>
      <c r="M652" s="26" t="s">
        <v>1</v>
      </c>
      <c r="N652" s="26" t="s">
        <v>4</v>
      </c>
      <c r="O652" s="87">
        <f>VLOOKUP(A652,'HIPERQUERATOSE 26'!$A$2:$G$1542,7,1)</f>
        <v>1.5</v>
      </c>
    </row>
    <row r="653" spans="1:15" ht="21" customHeight="1" x14ac:dyDescent="0.25">
      <c r="A653" s="28">
        <v>2279</v>
      </c>
      <c r="B653" s="27">
        <v>46252</v>
      </c>
      <c r="C653" s="26"/>
      <c r="D653" s="28" t="s">
        <v>7</v>
      </c>
      <c r="E653" s="26"/>
      <c r="F653" s="28">
        <v>4</v>
      </c>
      <c r="G653" s="26"/>
      <c r="H653" s="27">
        <v>46254</v>
      </c>
      <c r="I653" s="32">
        <v>3</v>
      </c>
      <c r="J653" s="27">
        <v>46258</v>
      </c>
      <c r="K653" s="26"/>
      <c r="L653" s="26"/>
      <c r="M653" s="26" t="s">
        <v>1</v>
      </c>
      <c r="N653" s="26"/>
      <c r="O653" s="87">
        <f>VLOOKUP(A653,'HIPERQUERATOSE 26'!$A$2:$G$1542,7,1)</f>
        <v>1.25</v>
      </c>
    </row>
    <row r="654" spans="1:15" ht="21" customHeight="1" x14ac:dyDescent="0.25">
      <c r="A654" s="28">
        <v>4832</v>
      </c>
      <c r="B654" s="27">
        <v>46252</v>
      </c>
      <c r="C654" s="26"/>
      <c r="D654" s="28" t="s">
        <v>25</v>
      </c>
      <c r="E654" s="26"/>
      <c r="F654" s="28">
        <v>4</v>
      </c>
      <c r="G654" s="26"/>
      <c r="H654" s="27">
        <v>46255</v>
      </c>
      <c r="I654" s="32">
        <v>5</v>
      </c>
      <c r="J654" s="27">
        <v>46261</v>
      </c>
      <c r="K654" s="26"/>
      <c r="L654" s="26" t="s">
        <v>5</v>
      </c>
      <c r="M654" s="26"/>
      <c r="N654" s="26"/>
      <c r="O654" s="87">
        <f>VLOOKUP(A654,'HIPERQUERATOSE 26'!$A$2:$G$1542,7,1)</f>
        <v>1.25</v>
      </c>
    </row>
    <row r="655" spans="1:15" ht="21" customHeight="1" x14ac:dyDescent="0.25">
      <c r="A655" s="28">
        <v>3950</v>
      </c>
      <c r="B655" s="27">
        <v>46253</v>
      </c>
      <c r="C655" s="26"/>
      <c r="D655" s="28" t="s">
        <v>21</v>
      </c>
      <c r="E655" s="26"/>
      <c r="F655" s="28">
        <v>4</v>
      </c>
      <c r="G655" s="26"/>
      <c r="H655" s="27">
        <v>46256</v>
      </c>
      <c r="I655" s="32">
        <v>9</v>
      </c>
      <c r="J655" s="27">
        <v>46266</v>
      </c>
      <c r="K655" s="26"/>
      <c r="L655" s="26"/>
      <c r="M655" s="26"/>
      <c r="N655" s="26" t="s">
        <v>4</v>
      </c>
      <c r="O655" s="87">
        <f>VLOOKUP(A655,'HIPERQUERATOSE 26'!$A$2:$G$1542,7,1)</f>
        <v>1</v>
      </c>
    </row>
    <row r="656" spans="1:15" ht="21" customHeight="1" x14ac:dyDescent="0.25">
      <c r="A656" s="28">
        <v>4509</v>
      </c>
      <c r="B656" s="27">
        <v>46253</v>
      </c>
      <c r="C656" s="26"/>
      <c r="D656" s="28" t="s">
        <v>21</v>
      </c>
      <c r="E656" s="26"/>
      <c r="F656" s="28">
        <v>4</v>
      </c>
      <c r="G656" s="26"/>
      <c r="H656" s="27">
        <v>46256</v>
      </c>
      <c r="I656" s="32">
        <v>9</v>
      </c>
      <c r="J656" s="27">
        <v>46266</v>
      </c>
      <c r="K656" s="26"/>
      <c r="L656" s="26" t="s">
        <v>5</v>
      </c>
      <c r="M656" s="26"/>
      <c r="N656" s="26"/>
      <c r="O656" s="87">
        <f>VLOOKUP(A656,'HIPERQUERATOSE 26'!$A$2:$G$1542,7,1)</f>
        <v>1</v>
      </c>
    </row>
    <row r="657" spans="1:15" ht="21" customHeight="1" x14ac:dyDescent="0.25">
      <c r="A657" s="28">
        <v>5401</v>
      </c>
      <c r="B657" s="27">
        <v>46253</v>
      </c>
      <c r="C657" s="26"/>
      <c r="D657" s="28" t="s">
        <v>25</v>
      </c>
      <c r="E657" s="26"/>
      <c r="F657" s="28">
        <v>4</v>
      </c>
      <c r="G657" s="26"/>
      <c r="H657" s="27">
        <v>46256</v>
      </c>
      <c r="I657" s="32">
        <v>5</v>
      </c>
      <c r="J657" s="27">
        <v>46262</v>
      </c>
      <c r="K657" s="26"/>
      <c r="L657" s="26" t="s">
        <v>5</v>
      </c>
      <c r="M657" s="26"/>
      <c r="N657" s="26"/>
      <c r="O657" s="87">
        <f>VLOOKUP(A657,'HIPERQUERATOSE 26'!$A$2:$G$1542,7,1)</f>
        <v>1</v>
      </c>
    </row>
    <row r="658" spans="1:15" ht="21" customHeight="1" x14ac:dyDescent="0.25">
      <c r="A658" s="28">
        <v>3520</v>
      </c>
      <c r="B658" s="27">
        <v>46254</v>
      </c>
      <c r="C658" s="26"/>
      <c r="D658" s="28" t="s">
        <v>21</v>
      </c>
      <c r="E658" s="26"/>
      <c r="F658" s="28">
        <v>4</v>
      </c>
      <c r="G658" s="26"/>
      <c r="H658" s="27">
        <v>46257</v>
      </c>
      <c r="I658" s="32">
        <v>9</v>
      </c>
      <c r="J658" s="27">
        <v>46267</v>
      </c>
      <c r="K658" s="26"/>
      <c r="L658" s="26" t="s">
        <v>5</v>
      </c>
      <c r="M658" s="26"/>
      <c r="N658" s="26" t="s">
        <v>4</v>
      </c>
      <c r="O658" s="87">
        <f>VLOOKUP(A658,'HIPERQUERATOSE 26'!$A$2:$G$1542,7,1)</f>
        <v>1.25</v>
      </c>
    </row>
    <row r="659" spans="1:15" ht="21" customHeight="1" x14ac:dyDescent="0.25">
      <c r="A659" s="28">
        <v>4196</v>
      </c>
      <c r="B659" s="27">
        <v>46254</v>
      </c>
      <c r="C659" s="26"/>
      <c r="D659" s="28" t="s">
        <v>21</v>
      </c>
      <c r="E659" s="26"/>
      <c r="F659" s="28">
        <v>4</v>
      </c>
      <c r="G659" s="26"/>
      <c r="H659" s="27">
        <v>46257</v>
      </c>
      <c r="I659" s="32">
        <v>9</v>
      </c>
      <c r="J659" s="27">
        <v>46267</v>
      </c>
      <c r="K659" s="26"/>
      <c r="L659" s="26"/>
      <c r="M659" s="26"/>
      <c r="N659" s="26" t="s">
        <v>4</v>
      </c>
      <c r="O659" s="87">
        <f>VLOOKUP(A659,'HIPERQUERATOSE 26'!$A$2:$G$1542,7,1)</f>
        <v>2.75</v>
      </c>
    </row>
    <row r="660" spans="1:15" ht="21" customHeight="1" x14ac:dyDescent="0.25">
      <c r="A660" s="28">
        <v>3363</v>
      </c>
      <c r="B660" s="27">
        <v>46254</v>
      </c>
      <c r="C660" s="26"/>
      <c r="D660" s="28" t="s">
        <v>21</v>
      </c>
      <c r="E660" s="26"/>
      <c r="F660" s="28">
        <v>4</v>
      </c>
      <c r="G660" s="26"/>
      <c r="H660" s="27">
        <v>46257</v>
      </c>
      <c r="I660" s="32">
        <v>9</v>
      </c>
      <c r="J660" s="27">
        <v>46267</v>
      </c>
      <c r="K660" s="26"/>
      <c r="L660" s="26" t="s">
        <v>5</v>
      </c>
      <c r="M660" s="26"/>
      <c r="N660" s="26"/>
      <c r="O660" s="87">
        <f>VLOOKUP(A660,'HIPERQUERATOSE 26'!$A$2:$G$1542,7,1)</f>
        <v>1.5</v>
      </c>
    </row>
    <row r="661" spans="1:15" ht="21" customHeight="1" x14ac:dyDescent="0.25">
      <c r="A661" s="28">
        <v>1571</v>
      </c>
      <c r="B661" s="27">
        <v>46256</v>
      </c>
      <c r="C661" s="26"/>
      <c r="D661" s="28" t="s">
        <v>25</v>
      </c>
      <c r="E661" s="26"/>
      <c r="F661" s="28">
        <v>4</v>
      </c>
      <c r="G661" s="26"/>
      <c r="H661" s="27">
        <v>46260</v>
      </c>
      <c r="I661" s="32">
        <v>5</v>
      </c>
      <c r="J661" s="30">
        <v>46266</v>
      </c>
      <c r="K661" s="26" t="s">
        <v>3</v>
      </c>
      <c r="L661" s="26" t="s">
        <v>5</v>
      </c>
      <c r="M661" s="26"/>
      <c r="N661" s="26"/>
      <c r="O661" s="87">
        <f>VLOOKUP(A661,'HIPERQUERATOSE 26'!$A$2:$G$1542,7,1)</f>
        <v>1</v>
      </c>
    </row>
    <row r="662" spans="1:15" ht="21" customHeight="1" x14ac:dyDescent="0.25">
      <c r="A662" s="28">
        <v>4488</v>
      </c>
      <c r="B662" s="27">
        <v>46255</v>
      </c>
      <c r="C662" s="26"/>
      <c r="D662" s="28" t="s">
        <v>25</v>
      </c>
      <c r="E662" s="26"/>
      <c r="F662" s="28">
        <v>4</v>
      </c>
      <c r="G662" s="26"/>
      <c r="H662" s="27">
        <v>46258</v>
      </c>
      <c r="I662" s="32">
        <v>5</v>
      </c>
      <c r="J662" s="27">
        <v>46264</v>
      </c>
      <c r="K662" s="26"/>
      <c r="L662" s="26"/>
      <c r="M662" s="26"/>
      <c r="N662" s="26" t="s">
        <v>4</v>
      </c>
      <c r="O662" s="87">
        <f>VLOOKUP(A662,'HIPERQUERATOSE 26'!$A$2:$G$1542,7,1)</f>
        <v>2.25</v>
      </c>
    </row>
    <row r="663" spans="1:15" ht="21" customHeight="1" x14ac:dyDescent="0.25">
      <c r="A663" s="28">
        <v>4240</v>
      </c>
      <c r="B663" s="27">
        <v>46255</v>
      </c>
      <c r="C663" s="26"/>
      <c r="D663" s="28" t="s">
        <v>20</v>
      </c>
      <c r="E663" s="26"/>
      <c r="F663" s="28">
        <v>4</v>
      </c>
      <c r="G663" s="26"/>
      <c r="H663" s="27">
        <v>46258</v>
      </c>
      <c r="I663" s="32">
        <v>9</v>
      </c>
      <c r="J663" s="27">
        <v>46268</v>
      </c>
      <c r="K663" s="26" t="s">
        <v>3</v>
      </c>
      <c r="L663" s="26"/>
      <c r="M663" s="26"/>
      <c r="N663" s="26"/>
      <c r="O663" s="87">
        <f>VLOOKUP(A663,'HIPERQUERATOSE 26'!$A$2:$G$1542,7,1)</f>
        <v>1.75</v>
      </c>
    </row>
    <row r="664" spans="1:15" ht="21" customHeight="1" x14ac:dyDescent="0.25">
      <c r="A664" s="28">
        <v>3112</v>
      </c>
      <c r="B664" s="27">
        <v>46257</v>
      </c>
      <c r="C664" s="26"/>
      <c r="D664" s="28" t="s">
        <v>25</v>
      </c>
      <c r="E664" s="26"/>
      <c r="F664" s="28">
        <v>5</v>
      </c>
      <c r="G664" s="26"/>
      <c r="H664" s="27">
        <v>46261</v>
      </c>
      <c r="I664" s="32">
        <v>5</v>
      </c>
      <c r="J664" s="27">
        <v>46267</v>
      </c>
      <c r="K664" s="26"/>
      <c r="L664" s="26"/>
      <c r="M664" s="26"/>
      <c r="N664" s="26" t="s">
        <v>4</v>
      </c>
      <c r="O664" s="87">
        <f>VLOOKUP(A664,'HIPERQUERATOSE 26'!$A$2:$G$1542,7,1)</f>
        <v>2</v>
      </c>
    </row>
    <row r="665" spans="1:15" ht="21" customHeight="1" x14ac:dyDescent="0.25">
      <c r="A665" s="28">
        <v>5516</v>
      </c>
      <c r="B665" s="27">
        <v>46258</v>
      </c>
      <c r="C665" s="26"/>
      <c r="D665" s="26" t="s">
        <v>34</v>
      </c>
      <c r="E665" s="26"/>
      <c r="F665" s="28">
        <v>4</v>
      </c>
      <c r="G665" s="26"/>
      <c r="H665" s="27">
        <v>46261</v>
      </c>
      <c r="I665" s="32">
        <v>3</v>
      </c>
      <c r="J665" s="27">
        <v>46265</v>
      </c>
      <c r="K665" s="26" t="s">
        <v>3</v>
      </c>
      <c r="L665" s="26"/>
      <c r="M665" s="26"/>
      <c r="N665" s="26"/>
      <c r="O665" s="87">
        <f>VLOOKUP(A665,'HIPERQUERATOSE 26'!$A$2:$G$1542,7,1)</f>
        <v>2</v>
      </c>
    </row>
    <row r="666" spans="1:15" ht="21" customHeight="1" x14ac:dyDescent="0.25">
      <c r="A666" s="28">
        <v>4690</v>
      </c>
      <c r="B666" s="27">
        <v>46258</v>
      </c>
      <c r="C666" s="26"/>
      <c r="D666" s="26" t="s">
        <v>34</v>
      </c>
      <c r="E666" s="26"/>
      <c r="F666" s="28">
        <v>4</v>
      </c>
      <c r="G666" s="26"/>
      <c r="H666" s="27">
        <v>46261</v>
      </c>
      <c r="I666" s="32">
        <v>3</v>
      </c>
      <c r="J666" s="27">
        <v>46265</v>
      </c>
      <c r="K666" s="26"/>
      <c r="L666" s="26"/>
      <c r="M666" s="26"/>
      <c r="N666" s="26" t="s">
        <v>4</v>
      </c>
      <c r="O666" s="87">
        <f>VLOOKUP(A666,'HIPERQUERATOSE 26'!$A$2:$G$1542,7,1)</f>
        <v>0.75</v>
      </c>
    </row>
    <row r="667" spans="1:15" ht="21" customHeight="1" x14ac:dyDescent="0.25">
      <c r="A667" s="28">
        <v>4879</v>
      </c>
      <c r="B667" s="27">
        <v>46258</v>
      </c>
      <c r="C667" s="26"/>
      <c r="D667" s="26" t="s">
        <v>21</v>
      </c>
      <c r="E667" s="26"/>
      <c r="F667" s="28">
        <v>4</v>
      </c>
      <c r="G667" s="26"/>
      <c r="H667" s="27">
        <v>46261</v>
      </c>
      <c r="I667" s="32">
        <v>9</v>
      </c>
      <c r="J667" s="27">
        <v>46271</v>
      </c>
      <c r="K667" s="26"/>
      <c r="L667" s="26"/>
      <c r="M667" s="26"/>
      <c r="N667" s="26" t="s">
        <v>4</v>
      </c>
      <c r="O667" s="87">
        <f>VLOOKUP(A667,'HIPERQUERATOSE 26'!$A$2:$G$1542,7,1)</f>
        <v>1.5</v>
      </c>
    </row>
    <row r="668" spans="1:15" ht="21" customHeight="1" x14ac:dyDescent="0.25">
      <c r="A668" s="28">
        <v>5016</v>
      </c>
      <c r="B668" s="27">
        <v>46259</v>
      </c>
      <c r="C668" s="26"/>
      <c r="D668" s="26" t="s">
        <v>25</v>
      </c>
      <c r="E668" s="26"/>
      <c r="F668" s="28">
        <v>4</v>
      </c>
      <c r="G668" s="26"/>
      <c r="H668" s="27">
        <v>46262</v>
      </c>
      <c r="I668" s="32">
        <v>5</v>
      </c>
      <c r="J668" s="27">
        <v>46268</v>
      </c>
      <c r="K668" s="26" t="s">
        <v>3</v>
      </c>
      <c r="L668" s="26"/>
      <c r="M668" s="26"/>
      <c r="N668" s="26"/>
      <c r="O668" s="87">
        <f>VLOOKUP(A668,'HIPERQUERATOSE 26'!$A$2:$G$1542,7,1)</f>
        <v>1.5</v>
      </c>
    </row>
    <row r="669" spans="1:15" ht="21" customHeight="1" x14ac:dyDescent="0.25">
      <c r="A669" s="28">
        <v>5734</v>
      </c>
      <c r="B669" s="27">
        <v>46260</v>
      </c>
      <c r="C669" s="26"/>
      <c r="D669" s="26" t="s">
        <v>20</v>
      </c>
      <c r="E669" s="26"/>
      <c r="F669" s="28">
        <v>4</v>
      </c>
      <c r="G669" s="26"/>
      <c r="H669" s="27">
        <v>46263</v>
      </c>
      <c r="I669" s="32">
        <v>9</v>
      </c>
      <c r="J669" s="27">
        <v>46273</v>
      </c>
      <c r="K669" s="26"/>
      <c r="L669" s="26"/>
      <c r="M669" s="26" t="s">
        <v>1</v>
      </c>
      <c r="N669" s="26"/>
      <c r="O669" s="87">
        <f>VLOOKUP(A669,'HIPERQUERATOSE 26'!$A$2:$G$1542,7,1)</f>
        <v>1.25</v>
      </c>
    </row>
    <row r="670" spans="1:15" ht="21" customHeight="1" x14ac:dyDescent="0.25">
      <c r="A670" s="28">
        <v>3174</v>
      </c>
      <c r="B670" s="27">
        <v>46260</v>
      </c>
      <c r="C670" s="26"/>
      <c r="D670" s="26" t="s">
        <v>21</v>
      </c>
      <c r="E670" s="26"/>
      <c r="F670" s="28">
        <v>4</v>
      </c>
      <c r="G670" s="26"/>
      <c r="H670" s="27">
        <v>46263</v>
      </c>
      <c r="I670" s="32">
        <v>9</v>
      </c>
      <c r="J670" s="27">
        <v>46273</v>
      </c>
      <c r="K670" s="26"/>
      <c r="L670" s="26" t="s">
        <v>5</v>
      </c>
      <c r="M670" s="26"/>
      <c r="N670" s="26"/>
      <c r="O670" s="87">
        <f>VLOOKUP(A670,'HIPERQUERATOSE 26'!$A$2:$G$1542,7,1)</f>
        <v>2.25</v>
      </c>
    </row>
    <row r="671" spans="1:15" ht="21" customHeight="1" x14ac:dyDescent="0.25">
      <c r="A671" s="28">
        <v>4796</v>
      </c>
      <c r="B671" s="27">
        <v>46260</v>
      </c>
      <c r="C671" s="26"/>
      <c r="D671" s="26" t="s">
        <v>21</v>
      </c>
      <c r="E671" s="26"/>
      <c r="F671" s="28">
        <v>4</v>
      </c>
      <c r="G671" s="26"/>
      <c r="H671" s="27">
        <v>46263</v>
      </c>
      <c r="I671" s="32">
        <v>9</v>
      </c>
      <c r="J671" s="27">
        <v>46273</v>
      </c>
      <c r="K671" s="26"/>
      <c r="L671" s="26" t="s">
        <v>5</v>
      </c>
      <c r="M671" s="26" t="s">
        <v>1</v>
      </c>
      <c r="N671" s="26"/>
      <c r="O671" s="87">
        <f>VLOOKUP(A671,'HIPERQUERATOSE 26'!$A$2:$G$1542,7,1)</f>
        <v>1</v>
      </c>
    </row>
    <row r="672" spans="1:15" ht="21" customHeight="1" x14ac:dyDescent="0.25">
      <c r="A672" s="28">
        <v>4400</v>
      </c>
      <c r="B672" s="27">
        <v>46261</v>
      </c>
      <c r="C672" s="26"/>
      <c r="D672" s="26" t="s">
        <v>25</v>
      </c>
      <c r="E672" s="26"/>
      <c r="F672" s="28">
        <v>4</v>
      </c>
      <c r="G672" s="26"/>
      <c r="H672" s="27">
        <v>46264</v>
      </c>
      <c r="I672" s="32">
        <v>5</v>
      </c>
      <c r="J672" s="27">
        <v>46271</v>
      </c>
      <c r="K672" s="26"/>
      <c r="L672" s="26"/>
      <c r="M672" s="26" t="s">
        <v>1</v>
      </c>
      <c r="N672" s="26"/>
      <c r="O672" s="87">
        <f>VLOOKUP(A672,'HIPERQUERATOSE 26'!$A$2:$G$1542,7,1)</f>
        <v>1.5</v>
      </c>
    </row>
    <row r="673" spans="1:15" ht="21" customHeight="1" x14ac:dyDescent="0.25">
      <c r="A673" s="28">
        <v>3004</v>
      </c>
      <c r="B673" s="27">
        <v>46261</v>
      </c>
      <c r="C673" s="26"/>
      <c r="D673" s="26" t="s">
        <v>25</v>
      </c>
      <c r="E673" s="26"/>
      <c r="F673" s="28">
        <v>4</v>
      </c>
      <c r="G673" s="26"/>
      <c r="H673" s="27">
        <v>46264</v>
      </c>
      <c r="I673" s="32">
        <v>5</v>
      </c>
      <c r="J673" s="27">
        <v>46271</v>
      </c>
      <c r="K673" s="26"/>
      <c r="L673" s="26" t="s">
        <v>5</v>
      </c>
      <c r="M673" s="26"/>
      <c r="N673" s="26" t="s">
        <v>4</v>
      </c>
      <c r="O673" s="87">
        <f>VLOOKUP(A673,'HIPERQUERATOSE 26'!$A$2:$G$1542,7,1)</f>
        <v>2</v>
      </c>
    </row>
    <row r="674" spans="1:15" ht="21" customHeight="1" x14ac:dyDescent="0.25">
      <c r="A674" s="28">
        <v>5056</v>
      </c>
      <c r="B674" s="27">
        <v>46261</v>
      </c>
      <c r="C674" s="26"/>
      <c r="D674" s="26" t="s">
        <v>21</v>
      </c>
      <c r="E674" s="26"/>
      <c r="F674" s="28">
        <v>4</v>
      </c>
      <c r="G674" s="26"/>
      <c r="H674" s="27">
        <v>46264</v>
      </c>
      <c r="I674" s="32">
        <v>9</v>
      </c>
      <c r="J674" s="27">
        <v>46274</v>
      </c>
      <c r="K674" s="26"/>
      <c r="L674" s="26"/>
      <c r="M674" s="26" t="s">
        <v>1</v>
      </c>
      <c r="N674" s="26"/>
      <c r="O674" s="87">
        <f>VLOOKUP(A674,'HIPERQUERATOSE 26'!$A$2:$G$1542,7,1)</f>
        <v>1</v>
      </c>
    </row>
    <row r="675" spans="1:15" ht="21" customHeight="1" x14ac:dyDescent="0.25">
      <c r="A675" s="28">
        <v>4690</v>
      </c>
      <c r="B675" s="27">
        <v>46262</v>
      </c>
      <c r="C675" s="26"/>
      <c r="D675" s="26" t="s">
        <v>25</v>
      </c>
      <c r="E675" s="26"/>
      <c r="F675" s="28">
        <v>4</v>
      </c>
      <c r="G675" s="26"/>
      <c r="H675" s="27">
        <v>46265</v>
      </c>
      <c r="I675" s="32">
        <v>5</v>
      </c>
      <c r="J675" s="27">
        <v>46271</v>
      </c>
      <c r="K675" s="26"/>
      <c r="L675" s="26"/>
      <c r="M675" s="26"/>
      <c r="N675" s="26" t="s">
        <v>4</v>
      </c>
      <c r="O675" s="87">
        <f>VLOOKUP(A675,'HIPERQUERATOSE 26'!$A$2:$G$1542,7,1)</f>
        <v>0.75</v>
      </c>
    </row>
    <row r="676" spans="1:15" ht="21" customHeight="1" x14ac:dyDescent="0.25">
      <c r="A676" s="28">
        <v>5516</v>
      </c>
      <c r="B676" s="27">
        <v>46262</v>
      </c>
      <c r="C676" s="26"/>
      <c r="D676" s="26" t="s">
        <v>25</v>
      </c>
      <c r="E676" s="26"/>
      <c r="F676" s="28">
        <v>4</v>
      </c>
      <c r="G676" s="26"/>
      <c r="H676" s="27">
        <v>46265</v>
      </c>
      <c r="I676" s="32">
        <v>5</v>
      </c>
      <c r="J676" s="27">
        <v>46271</v>
      </c>
      <c r="K676" s="26" t="s">
        <v>3</v>
      </c>
      <c r="L676" s="26"/>
      <c r="M676" s="26"/>
      <c r="N676" s="26"/>
      <c r="O676" s="87">
        <f>VLOOKUP(A676,'HIPERQUERATOSE 26'!$A$2:$G$1542,7,1)</f>
        <v>2</v>
      </c>
    </row>
    <row r="677" spans="1:15" ht="21" customHeight="1" x14ac:dyDescent="0.25">
      <c r="A677" s="28">
        <v>5142</v>
      </c>
      <c r="B677" s="27">
        <v>46263</v>
      </c>
      <c r="C677" s="26"/>
      <c r="D677" s="26" t="s">
        <v>25</v>
      </c>
      <c r="E677" s="26"/>
      <c r="F677" s="28">
        <v>4</v>
      </c>
      <c r="G677" s="26"/>
      <c r="H677" s="27">
        <v>46266</v>
      </c>
      <c r="I677" s="32">
        <v>5</v>
      </c>
      <c r="J677" s="27">
        <v>46272</v>
      </c>
      <c r="K677" s="26"/>
      <c r="L677" s="26"/>
      <c r="M677" s="26"/>
      <c r="N677" s="26" t="s">
        <v>4</v>
      </c>
      <c r="O677" s="87">
        <f>VLOOKUP(A677,'HIPERQUERATOSE 26'!$A$2:$G$1542,7,1)</f>
        <v>1</v>
      </c>
    </row>
    <row r="678" spans="1:15" ht="21" customHeight="1" x14ac:dyDescent="0.25">
      <c r="A678" s="28">
        <v>3558</v>
      </c>
      <c r="B678" s="27">
        <v>46263</v>
      </c>
      <c r="C678" s="26"/>
      <c r="D678" s="26" t="s">
        <v>20</v>
      </c>
      <c r="E678" s="26"/>
      <c r="F678" s="28">
        <v>4</v>
      </c>
      <c r="G678" s="26"/>
      <c r="H678" s="27">
        <v>46266</v>
      </c>
      <c r="I678" s="32">
        <v>9</v>
      </c>
      <c r="J678" s="27">
        <v>46276</v>
      </c>
      <c r="K678" s="26"/>
      <c r="L678" s="26"/>
      <c r="M678" s="26"/>
      <c r="N678" s="26" t="s">
        <v>4</v>
      </c>
      <c r="O678" s="87">
        <f>VLOOKUP(A678,'HIPERQUERATOSE 26'!$A$2:$G$1542,7,1)</f>
        <v>2</v>
      </c>
    </row>
    <row r="679" spans="1:15" ht="21" customHeight="1" x14ac:dyDescent="0.25">
      <c r="A679" s="28">
        <v>5108</v>
      </c>
      <c r="B679" s="27">
        <v>46263</v>
      </c>
      <c r="C679" s="26"/>
      <c r="D679" s="26" t="s">
        <v>25</v>
      </c>
      <c r="E679" s="26"/>
      <c r="F679" s="28">
        <v>4</v>
      </c>
      <c r="G679" s="26"/>
      <c r="H679" s="27">
        <v>46266</v>
      </c>
      <c r="I679" s="32">
        <v>5</v>
      </c>
      <c r="J679" s="27">
        <v>46272</v>
      </c>
      <c r="K679" s="26"/>
      <c r="L679" s="26" t="s">
        <v>5</v>
      </c>
      <c r="M679" s="26"/>
      <c r="N679" s="26"/>
      <c r="O679" s="87">
        <f>VLOOKUP(A679,'HIPERQUERATOSE 26'!$A$2:$G$1542,7,1)</f>
        <v>1</v>
      </c>
    </row>
    <row r="680" spans="1:15" ht="21" customHeight="1" x14ac:dyDescent="0.25">
      <c r="A680" s="28">
        <v>4576</v>
      </c>
      <c r="B680" s="27">
        <v>46265</v>
      </c>
      <c r="C680" s="26"/>
      <c r="D680" s="26" t="s">
        <v>20</v>
      </c>
      <c r="E680" s="26"/>
      <c r="F680" s="28">
        <v>4</v>
      </c>
      <c r="G680" s="26"/>
      <c r="H680" s="27">
        <v>46268</v>
      </c>
      <c r="I680" s="32">
        <v>9</v>
      </c>
      <c r="J680" s="27">
        <v>46278</v>
      </c>
      <c r="K680" s="26" t="s">
        <v>3</v>
      </c>
      <c r="L680" s="26"/>
      <c r="M680" s="26"/>
      <c r="N680" s="26"/>
      <c r="O680" s="87">
        <f>VLOOKUP(A680,'HIPERQUERATOSE 26'!$A$2:$G$1542,7,1)</f>
        <v>1.75</v>
      </c>
    </row>
    <row r="681" spans="1:15" ht="21" customHeight="1" x14ac:dyDescent="0.25">
      <c r="A681" s="28">
        <v>4336</v>
      </c>
      <c r="B681" s="27">
        <v>46265</v>
      </c>
      <c r="C681" s="26"/>
      <c r="D681" s="26" t="s">
        <v>25</v>
      </c>
      <c r="E681" s="26"/>
      <c r="F681" s="28">
        <v>4</v>
      </c>
      <c r="G681" s="26"/>
      <c r="H681" s="27">
        <v>46268</v>
      </c>
      <c r="I681" s="32">
        <v>5</v>
      </c>
      <c r="J681" s="27">
        <v>46274</v>
      </c>
      <c r="K681" s="26" t="s">
        <v>3</v>
      </c>
      <c r="L681" s="26"/>
      <c r="M681" s="26"/>
      <c r="N681" s="26"/>
      <c r="O681" s="87">
        <f>VLOOKUP(A681,'HIPERQUERATOSE 26'!$A$2:$G$1542,7,1)</f>
        <v>1.25</v>
      </c>
    </row>
    <row r="682" spans="1:15" ht="21" customHeight="1" x14ac:dyDescent="0.25">
      <c r="A682" s="28">
        <v>3805</v>
      </c>
      <c r="B682" s="27">
        <v>46265</v>
      </c>
      <c r="C682" s="26"/>
      <c r="D682" s="26" t="s">
        <v>21</v>
      </c>
      <c r="E682" s="26"/>
      <c r="F682" s="28">
        <v>4</v>
      </c>
      <c r="G682" s="26"/>
      <c r="H682" s="27">
        <v>46268</v>
      </c>
      <c r="I682" s="32">
        <v>9</v>
      </c>
      <c r="J682" s="27">
        <v>46279</v>
      </c>
      <c r="K682" s="26"/>
      <c r="L682" s="26"/>
      <c r="M682" s="26" t="s">
        <v>204</v>
      </c>
      <c r="N682" s="26"/>
      <c r="O682" s="87">
        <f>VLOOKUP(A682,'HIPERQUERATOSE 26'!$A$2:$G$1542,7,1)</f>
        <v>1</v>
      </c>
    </row>
    <row r="683" spans="1:15" ht="21" customHeight="1" x14ac:dyDescent="0.25">
      <c r="A683" s="28">
        <v>4779</v>
      </c>
      <c r="B683" s="27">
        <v>46265</v>
      </c>
      <c r="C683" s="26"/>
      <c r="D683" s="26" t="s">
        <v>25</v>
      </c>
      <c r="E683" s="26"/>
      <c r="F683" s="28">
        <v>4</v>
      </c>
      <c r="G683" s="26"/>
      <c r="H683" s="27">
        <v>46268</v>
      </c>
      <c r="I683" s="32">
        <v>5</v>
      </c>
      <c r="J683" s="27">
        <v>46274</v>
      </c>
      <c r="K683" s="26"/>
      <c r="L683" s="26"/>
      <c r="M683" s="26" t="s">
        <v>204</v>
      </c>
      <c r="N683" s="26"/>
      <c r="O683" s="87">
        <f>VLOOKUP(A683,'HIPERQUERATOSE 26'!$A$2:$G$1542,7,1)</f>
        <v>1</v>
      </c>
    </row>
    <row r="684" spans="1:15" ht="21" customHeight="1" x14ac:dyDescent="0.25">
      <c r="A684" s="28">
        <v>5450</v>
      </c>
      <c r="B684" s="27">
        <v>46266</v>
      </c>
      <c r="C684" s="26"/>
      <c r="D684" s="26" t="s">
        <v>205</v>
      </c>
      <c r="E684" s="26"/>
      <c r="F684" s="28">
        <v>4</v>
      </c>
      <c r="G684" s="26"/>
      <c r="H684" s="27">
        <v>46269</v>
      </c>
      <c r="I684" s="32">
        <v>5</v>
      </c>
      <c r="J684" s="27">
        <v>46275</v>
      </c>
      <c r="K684" s="26" t="s">
        <v>206</v>
      </c>
      <c r="L684" s="26"/>
      <c r="M684" s="26"/>
      <c r="N684" s="26"/>
      <c r="O684" s="87">
        <f>VLOOKUP(A684,'HIPERQUERATOSE 26'!$A$2:$G$1542,7,1)</f>
        <v>1.5</v>
      </c>
    </row>
    <row r="685" spans="1:15" ht="21" customHeight="1" x14ac:dyDescent="0.25">
      <c r="A685" s="28">
        <v>3805</v>
      </c>
      <c r="B685" s="27">
        <v>46266</v>
      </c>
      <c r="C685" s="26"/>
      <c r="D685" s="26" t="s">
        <v>205</v>
      </c>
      <c r="E685" s="26"/>
      <c r="F685" s="28">
        <v>4</v>
      </c>
      <c r="G685" s="26"/>
      <c r="H685" s="27">
        <v>46269</v>
      </c>
      <c r="I685" s="32">
        <v>5</v>
      </c>
      <c r="J685" s="27">
        <v>46271</v>
      </c>
      <c r="K685" s="26"/>
      <c r="L685" s="26"/>
      <c r="M685" s="26" t="s">
        <v>204</v>
      </c>
      <c r="N685" s="26"/>
      <c r="O685" s="87">
        <f>VLOOKUP(A685,'HIPERQUERATOSE 26'!$A$2:$G$1542,7,1)</f>
        <v>1</v>
      </c>
    </row>
    <row r="686" spans="1:15" ht="21" customHeight="1" x14ac:dyDescent="0.25">
      <c r="A686" s="28">
        <v>5361</v>
      </c>
      <c r="B686" s="27">
        <v>46266</v>
      </c>
      <c r="C686" s="26"/>
      <c r="D686" s="26" t="s">
        <v>205</v>
      </c>
      <c r="E686" s="26"/>
      <c r="F686" s="28">
        <v>4</v>
      </c>
      <c r="G686" s="26"/>
      <c r="H686" s="27">
        <v>46269</v>
      </c>
      <c r="I686" s="32">
        <v>5</v>
      </c>
      <c r="J686" s="27">
        <v>46271</v>
      </c>
      <c r="K686" s="26"/>
      <c r="L686" s="26"/>
      <c r="M686" s="26" t="s">
        <v>204</v>
      </c>
      <c r="N686" s="26"/>
      <c r="O686" s="87">
        <f>VLOOKUP(A686,'HIPERQUERATOSE 26'!$A$2:$G$1542,7,1)</f>
        <v>1.75</v>
      </c>
    </row>
    <row r="687" spans="1:15" ht="21" customHeight="1" x14ac:dyDescent="0.25">
      <c r="A687" s="28">
        <v>4771</v>
      </c>
      <c r="B687" s="27">
        <v>46266</v>
      </c>
      <c r="C687" s="26"/>
      <c r="D687" s="26" t="s">
        <v>21</v>
      </c>
      <c r="E687" s="26"/>
      <c r="F687" s="28">
        <v>4</v>
      </c>
      <c r="G687" s="26"/>
      <c r="H687" s="27">
        <v>46266</v>
      </c>
      <c r="I687" s="32">
        <v>9</v>
      </c>
      <c r="J687" s="27">
        <v>46279</v>
      </c>
      <c r="K687" s="26"/>
      <c r="L687" s="26"/>
      <c r="M687" s="26" t="s">
        <v>204</v>
      </c>
      <c r="N687" s="26"/>
      <c r="O687" s="87">
        <f>VLOOKUP(A687,'HIPERQUERATOSE 26'!$A$2:$G$1542,7,1)</f>
        <v>3.75</v>
      </c>
    </row>
    <row r="688" spans="1:15" ht="21" customHeight="1" x14ac:dyDescent="0.25">
      <c r="A688" s="28">
        <v>4670</v>
      </c>
      <c r="B688" s="27">
        <v>46266</v>
      </c>
      <c r="C688" s="26"/>
      <c r="D688" s="26" t="s">
        <v>34</v>
      </c>
      <c r="E688" s="26"/>
      <c r="F688" s="28">
        <v>4</v>
      </c>
      <c r="G688" s="26"/>
      <c r="H688" s="27">
        <v>46269</v>
      </c>
      <c r="I688" s="32">
        <v>3</v>
      </c>
      <c r="J688" s="27">
        <v>46273</v>
      </c>
      <c r="K688" s="26" t="s">
        <v>206</v>
      </c>
      <c r="L688" s="26" t="s">
        <v>207</v>
      </c>
      <c r="M688" s="26" t="s">
        <v>204</v>
      </c>
      <c r="N688" s="26"/>
      <c r="O688" s="87">
        <f>VLOOKUP(A688,'HIPERQUERATOSE 26'!$A$2:$G$1542,7,1)</f>
        <v>2.5</v>
      </c>
    </row>
    <row r="689" spans="1:15" ht="21" customHeight="1" x14ac:dyDescent="0.25">
      <c r="A689" s="28">
        <v>5582</v>
      </c>
      <c r="B689" s="27">
        <v>46267</v>
      </c>
      <c r="C689" s="26"/>
      <c r="D689" s="26" t="s">
        <v>205</v>
      </c>
      <c r="E689" s="26"/>
      <c r="F689" s="28">
        <v>4</v>
      </c>
      <c r="G689" s="26"/>
      <c r="H689" s="27">
        <v>46270</v>
      </c>
      <c r="I689" s="32">
        <v>5</v>
      </c>
      <c r="J689" s="27">
        <v>46276</v>
      </c>
      <c r="K689" s="26"/>
      <c r="L689" s="26"/>
      <c r="M689" s="26" t="s">
        <v>204</v>
      </c>
      <c r="N689" s="26"/>
      <c r="O689" s="87">
        <f>VLOOKUP(A689,'HIPERQUERATOSE 26'!$A$2:$G$1542,7,1)</f>
        <v>1</v>
      </c>
    </row>
    <row r="690" spans="1:15" ht="21" customHeight="1" x14ac:dyDescent="0.25">
      <c r="A690" s="28">
        <v>5235</v>
      </c>
      <c r="B690" s="27">
        <v>46267</v>
      </c>
      <c r="C690" s="26"/>
      <c r="D690" s="26" t="s">
        <v>21</v>
      </c>
      <c r="E690" s="26"/>
      <c r="F690" s="28">
        <v>4</v>
      </c>
      <c r="G690" s="26"/>
      <c r="H690" s="27">
        <v>46270</v>
      </c>
      <c r="I690" s="32">
        <v>9</v>
      </c>
      <c r="J690" s="27">
        <v>46281</v>
      </c>
      <c r="K690" s="26"/>
      <c r="L690" s="26"/>
      <c r="M690" s="26" t="s">
        <v>204</v>
      </c>
      <c r="N690" s="26"/>
      <c r="O690" s="87">
        <f>VLOOKUP(A690,'HIPERQUERATOSE 26'!$A$2:$G$1542,7,1)</f>
        <v>1.25</v>
      </c>
    </row>
    <row r="691" spans="1:15" ht="21" customHeight="1" x14ac:dyDescent="0.25">
      <c r="A691" s="28">
        <v>4044</v>
      </c>
      <c r="B691" s="27">
        <v>46267</v>
      </c>
      <c r="C691" s="26"/>
      <c r="D691" s="26" t="s">
        <v>21</v>
      </c>
      <c r="E691" s="26"/>
      <c r="F691" s="28">
        <v>4</v>
      </c>
      <c r="G691" s="26"/>
      <c r="H691" s="27">
        <v>46270</v>
      </c>
      <c r="I691" s="32">
        <v>9</v>
      </c>
      <c r="J691" s="27">
        <v>46280</v>
      </c>
      <c r="K691" s="26"/>
      <c r="L691" s="26"/>
      <c r="M691" s="26" t="s">
        <v>204</v>
      </c>
      <c r="N691" s="26"/>
      <c r="O691" s="87">
        <f>VLOOKUP(A691,'HIPERQUERATOSE 26'!$A$2:$G$1542,7,1)</f>
        <v>1.25</v>
      </c>
    </row>
    <row r="692" spans="1:15" ht="21" customHeight="1" x14ac:dyDescent="0.25">
      <c r="A692" s="28">
        <v>2981</v>
      </c>
      <c r="B692" s="27">
        <v>46268</v>
      </c>
      <c r="C692" s="26"/>
      <c r="D692" s="26" t="s">
        <v>205</v>
      </c>
      <c r="E692" s="26"/>
      <c r="F692" s="28">
        <v>4</v>
      </c>
      <c r="G692" s="26"/>
      <c r="H692" s="27">
        <v>46271</v>
      </c>
      <c r="I692" s="32">
        <v>5</v>
      </c>
      <c r="J692" s="27">
        <v>46277</v>
      </c>
      <c r="K692" s="26" t="s">
        <v>206</v>
      </c>
      <c r="L692" s="26"/>
      <c r="M692" s="26"/>
      <c r="N692" s="26"/>
      <c r="O692" s="87">
        <f>VLOOKUP(A692,'HIPERQUERATOSE 26'!$A$2:$G$1542,7,1)</f>
        <v>2.25</v>
      </c>
    </row>
    <row r="693" spans="1:15" ht="21" customHeight="1" x14ac:dyDescent="0.25">
      <c r="A693" s="28">
        <v>4740</v>
      </c>
      <c r="B693" s="27">
        <v>46268</v>
      </c>
      <c r="C693" s="26"/>
      <c r="D693" s="26" t="s">
        <v>205</v>
      </c>
      <c r="E693" s="26"/>
      <c r="F693" s="28">
        <v>4</v>
      </c>
      <c r="G693" s="26"/>
      <c r="H693" s="27">
        <v>46271</v>
      </c>
      <c r="I693" s="32">
        <v>5</v>
      </c>
      <c r="J693" s="27">
        <v>46277</v>
      </c>
      <c r="K693" s="26"/>
      <c r="L693" s="26"/>
      <c r="M693" s="26" t="s">
        <v>204</v>
      </c>
      <c r="N693" s="26"/>
      <c r="O693" s="87">
        <f>VLOOKUP(A693,'HIPERQUERATOSE 26'!$A$2:$G$1542,7,1)</f>
        <v>1.5</v>
      </c>
    </row>
    <row r="694" spans="1:15" ht="21" customHeight="1" x14ac:dyDescent="0.25">
      <c r="A694" s="28">
        <v>4244</v>
      </c>
      <c r="B694" s="27">
        <v>46268</v>
      </c>
      <c r="C694" s="26"/>
      <c r="D694" s="26" t="s">
        <v>21</v>
      </c>
      <c r="E694" s="26"/>
      <c r="F694" s="28">
        <v>4</v>
      </c>
      <c r="G694" s="26"/>
      <c r="H694" s="27">
        <v>46271</v>
      </c>
      <c r="I694" s="32">
        <v>9</v>
      </c>
      <c r="J694" s="27">
        <v>46281</v>
      </c>
      <c r="K694" s="26"/>
      <c r="L694" s="26" t="s">
        <v>207</v>
      </c>
      <c r="M694" s="26"/>
      <c r="N694" s="26"/>
      <c r="O694" s="87">
        <f>VLOOKUP(A694,'HIPERQUERATOSE 26'!$A$2:$G$1542,7,1)</f>
        <v>1.5</v>
      </c>
    </row>
    <row r="695" spans="1:15" ht="21" customHeight="1" x14ac:dyDescent="0.25">
      <c r="A695" s="28">
        <v>4758</v>
      </c>
      <c r="B695" s="27">
        <v>46268</v>
      </c>
      <c r="C695" s="26"/>
      <c r="D695" s="26" t="s">
        <v>21</v>
      </c>
      <c r="E695" s="26"/>
      <c r="F695" s="28">
        <v>4</v>
      </c>
      <c r="G695" s="26"/>
      <c r="H695" s="27">
        <v>46271</v>
      </c>
      <c r="I695" s="32">
        <v>9</v>
      </c>
      <c r="J695" s="27">
        <v>46281</v>
      </c>
      <c r="K695" s="26"/>
      <c r="L695" s="26"/>
      <c r="M695" s="26"/>
      <c r="N695" s="26" t="s">
        <v>208</v>
      </c>
      <c r="O695" s="87">
        <f>VLOOKUP(A695,'HIPERQUERATOSE 26'!$A$2:$G$1542,7,1)</f>
        <v>1</v>
      </c>
    </row>
    <row r="696" spans="1:15" ht="21" customHeight="1" x14ac:dyDescent="0.25">
      <c r="A696" s="28">
        <v>5703</v>
      </c>
      <c r="B696" s="27">
        <v>46268</v>
      </c>
      <c r="C696" s="26"/>
      <c r="D696" s="26" t="s">
        <v>21</v>
      </c>
      <c r="E696" s="26"/>
      <c r="F696" s="28">
        <v>4</v>
      </c>
      <c r="G696" s="26"/>
      <c r="H696" s="27">
        <v>46271</v>
      </c>
      <c r="I696" s="32">
        <v>9</v>
      </c>
      <c r="J696" s="27">
        <v>46281</v>
      </c>
      <c r="K696" s="26" t="s">
        <v>206</v>
      </c>
      <c r="L696" s="26" t="s">
        <v>207</v>
      </c>
      <c r="M696" s="26"/>
      <c r="N696" s="26"/>
      <c r="O696" s="87">
        <f>VLOOKUP(A696,'HIPERQUERATOSE 26'!$A$2:$G$1542,7,1)</f>
        <v>1.75</v>
      </c>
    </row>
    <row r="697" spans="1:15" ht="21" customHeight="1" x14ac:dyDescent="0.25">
      <c r="A697" s="28">
        <v>4336</v>
      </c>
      <c r="B697" s="27">
        <v>46270</v>
      </c>
      <c r="C697" s="26"/>
      <c r="D697" s="26" t="s">
        <v>21</v>
      </c>
      <c r="E697" s="26"/>
      <c r="F697" s="28">
        <v>4</v>
      </c>
      <c r="G697" s="26"/>
      <c r="H697" s="27">
        <v>46273</v>
      </c>
      <c r="I697" s="32">
        <v>9</v>
      </c>
      <c r="J697" s="27">
        <v>46283</v>
      </c>
      <c r="K697" s="26"/>
      <c r="L697" s="26"/>
      <c r="M697" s="26" t="s">
        <v>204</v>
      </c>
      <c r="N697" s="26"/>
      <c r="O697" s="87">
        <f>VLOOKUP(A697,'HIPERQUERATOSE 26'!$A$2:$G$1542,7,1)</f>
        <v>1.25</v>
      </c>
    </row>
    <row r="698" spans="1:15" ht="21" customHeight="1" x14ac:dyDescent="0.25">
      <c r="A698" s="28">
        <v>4853</v>
      </c>
      <c r="B698" s="27">
        <v>46270</v>
      </c>
      <c r="C698" s="26"/>
      <c r="D698" s="26" t="s">
        <v>21</v>
      </c>
      <c r="E698" s="26"/>
      <c r="F698" s="28">
        <v>4</v>
      </c>
      <c r="G698" s="26"/>
      <c r="H698" s="27">
        <v>46273</v>
      </c>
      <c r="I698" s="32">
        <v>9</v>
      </c>
      <c r="J698" s="27">
        <v>46283</v>
      </c>
      <c r="K698" s="26"/>
      <c r="L698" s="26"/>
      <c r="M698" s="26" t="s">
        <v>204</v>
      </c>
      <c r="N698" s="26"/>
      <c r="O698" s="87">
        <f>VLOOKUP(A698,'HIPERQUERATOSE 26'!$A$2:$G$1542,7,1)</f>
        <v>1.75</v>
      </c>
    </row>
    <row r="699" spans="1:15" ht="21" customHeight="1" x14ac:dyDescent="0.25">
      <c r="A699" s="28">
        <v>4044</v>
      </c>
      <c r="B699" s="27">
        <v>46272</v>
      </c>
      <c r="C699" s="26"/>
      <c r="D699" s="26" t="s">
        <v>21</v>
      </c>
      <c r="E699" s="26"/>
      <c r="F699" s="28">
        <v>4</v>
      </c>
      <c r="G699" s="26"/>
      <c r="H699" s="27">
        <v>46275</v>
      </c>
      <c r="I699" s="32">
        <v>9</v>
      </c>
      <c r="J699" s="27">
        <v>46285</v>
      </c>
      <c r="K699" s="26"/>
      <c r="L699" s="26"/>
      <c r="M699" s="26" t="s">
        <v>204</v>
      </c>
      <c r="N699" s="26"/>
      <c r="O699" s="87">
        <f>VLOOKUP(A699,'HIPERQUERATOSE 26'!$A$2:$G$1542,7,1)</f>
        <v>1.25</v>
      </c>
    </row>
    <row r="700" spans="1:15" ht="21" customHeight="1" x14ac:dyDescent="0.25">
      <c r="A700" s="28">
        <v>4690</v>
      </c>
      <c r="B700" s="27">
        <v>46272</v>
      </c>
      <c r="C700" s="26"/>
      <c r="D700" s="26" t="s">
        <v>21</v>
      </c>
      <c r="E700" s="26"/>
      <c r="F700" s="28">
        <v>4</v>
      </c>
      <c r="G700" s="26"/>
      <c r="H700" s="27">
        <v>46275</v>
      </c>
      <c r="I700" s="32">
        <v>9</v>
      </c>
      <c r="J700" s="27">
        <v>46285</v>
      </c>
      <c r="K700" s="26"/>
      <c r="L700" s="26"/>
      <c r="M700" s="26" t="s">
        <v>204</v>
      </c>
      <c r="N700" s="26"/>
      <c r="O700" s="87">
        <f>VLOOKUP(A700,'HIPERQUERATOSE 26'!$A$2:$G$1542,7,1)</f>
        <v>0.75</v>
      </c>
    </row>
    <row r="701" spans="1:15" ht="21" customHeight="1" x14ac:dyDescent="0.25">
      <c r="A701" s="28">
        <v>3112</v>
      </c>
      <c r="B701" s="27">
        <v>46273</v>
      </c>
      <c r="C701" s="26"/>
      <c r="D701" s="26" t="s">
        <v>21</v>
      </c>
      <c r="E701" s="26"/>
      <c r="F701" s="28">
        <v>4</v>
      </c>
      <c r="G701" s="26"/>
      <c r="H701" s="27">
        <v>46276</v>
      </c>
      <c r="I701" s="32">
        <v>9</v>
      </c>
      <c r="J701" s="27">
        <v>46286</v>
      </c>
      <c r="K701" s="26"/>
      <c r="L701" s="26"/>
      <c r="M701" s="26" t="s">
        <v>204</v>
      </c>
      <c r="N701" s="26"/>
      <c r="O701" s="87">
        <f>VLOOKUP(A701,'HIPERQUERATOSE 26'!$A$2:$G$1542,7,1)</f>
        <v>2</v>
      </c>
    </row>
    <row r="702" spans="1:15" ht="21" customHeight="1" x14ac:dyDescent="0.25">
      <c r="A702" s="28">
        <v>2643</v>
      </c>
      <c r="B702" s="27">
        <v>46273</v>
      </c>
      <c r="C702" s="26"/>
      <c r="D702" s="26" t="s">
        <v>21</v>
      </c>
      <c r="E702" s="26"/>
      <c r="F702" s="28">
        <v>4</v>
      </c>
      <c r="G702" s="26"/>
      <c r="H702" s="27">
        <v>46276</v>
      </c>
      <c r="I702" s="32">
        <v>9</v>
      </c>
      <c r="J702" s="27">
        <v>46286</v>
      </c>
      <c r="K702" s="26"/>
      <c r="L702" s="26"/>
      <c r="M702" s="26"/>
      <c r="N702" s="26" t="s">
        <v>208</v>
      </c>
      <c r="O702" s="87">
        <f>VLOOKUP(A702,'HIPERQUERATOSE 26'!$A$2:$G$1542,7,1)</f>
        <v>1.25</v>
      </c>
    </row>
    <row r="703" spans="1:15" ht="21" customHeight="1" x14ac:dyDescent="0.25">
      <c r="A703" s="28">
        <v>4560</v>
      </c>
      <c r="B703" s="27">
        <v>46273</v>
      </c>
      <c r="C703" s="26"/>
      <c r="D703" s="26" t="s">
        <v>21</v>
      </c>
      <c r="E703" s="26"/>
      <c r="F703" s="28">
        <v>4</v>
      </c>
      <c r="G703" s="26"/>
      <c r="H703" s="27">
        <v>46276</v>
      </c>
      <c r="I703" s="32">
        <v>9</v>
      </c>
      <c r="J703" s="27">
        <v>46286</v>
      </c>
      <c r="K703" s="26"/>
      <c r="L703" s="26"/>
      <c r="M703" s="26" t="s">
        <v>204</v>
      </c>
      <c r="N703" s="26"/>
      <c r="O703" s="87">
        <f>VLOOKUP(A703,'HIPERQUERATOSE 26'!$A$2:$G$1542,7,1)</f>
        <v>1.75</v>
      </c>
    </row>
    <row r="704" spans="1:15" ht="21" customHeight="1" x14ac:dyDescent="0.25">
      <c r="A704" s="28">
        <v>4040</v>
      </c>
      <c r="B704" s="27">
        <v>46273</v>
      </c>
      <c r="C704" s="26"/>
      <c r="D704" s="26" t="s">
        <v>21</v>
      </c>
      <c r="E704" s="26"/>
      <c r="F704" s="28">
        <v>4</v>
      </c>
      <c r="G704" s="26"/>
      <c r="H704" s="27">
        <v>46276</v>
      </c>
      <c r="I704" s="32">
        <v>9</v>
      </c>
      <c r="J704" s="27">
        <v>46286</v>
      </c>
      <c r="K704" s="26"/>
      <c r="L704" s="26" t="s">
        <v>207</v>
      </c>
      <c r="M704" s="26"/>
      <c r="N704" s="26"/>
      <c r="O704" s="87">
        <f>VLOOKUP(A704,'HIPERQUERATOSE 26'!$A$2:$G$1542,7,1)</f>
        <v>2.5</v>
      </c>
    </row>
    <row r="705" spans="1:15" ht="21" customHeight="1" x14ac:dyDescent="0.25">
      <c r="A705" s="28">
        <v>4160</v>
      </c>
      <c r="B705" s="27">
        <v>46274</v>
      </c>
      <c r="C705" s="26"/>
      <c r="D705" s="26" t="s">
        <v>205</v>
      </c>
      <c r="E705" s="26"/>
      <c r="F705" s="28">
        <v>4</v>
      </c>
      <c r="G705" s="26"/>
      <c r="H705" s="27">
        <v>46277</v>
      </c>
      <c r="I705" s="32">
        <v>5</v>
      </c>
      <c r="J705" s="27">
        <v>46283</v>
      </c>
      <c r="K705" s="26"/>
      <c r="L705" s="26" t="s">
        <v>207</v>
      </c>
      <c r="M705" s="26"/>
      <c r="N705" s="26"/>
      <c r="O705" s="87">
        <f>VLOOKUP(A705,'HIPERQUERATOSE 26'!$A$2:$G$1542,7,1)</f>
        <v>2.25</v>
      </c>
    </row>
    <row r="706" spans="1:15" ht="21" customHeight="1" x14ac:dyDescent="0.25">
      <c r="A706" s="28">
        <v>3627</v>
      </c>
      <c r="B706" s="27">
        <v>46274</v>
      </c>
      <c r="C706" s="26"/>
      <c r="D706" s="26" t="s">
        <v>25</v>
      </c>
      <c r="E706" s="26"/>
      <c r="F706" s="28">
        <v>4</v>
      </c>
      <c r="G706" s="26"/>
      <c r="H706" s="27">
        <v>46277</v>
      </c>
      <c r="I706" s="32">
        <v>5</v>
      </c>
      <c r="J706" s="27">
        <v>46283</v>
      </c>
      <c r="K706" s="26"/>
      <c r="L706" s="26" t="s">
        <v>5</v>
      </c>
      <c r="M706" s="26"/>
      <c r="N706" s="26"/>
      <c r="O706" s="87">
        <f>VLOOKUP(A706,'HIPERQUERATOSE 26'!$A$2:$G$1542,7,1)</f>
        <v>1.5</v>
      </c>
    </row>
    <row r="707" spans="1:15" ht="21" customHeight="1" x14ac:dyDescent="0.25">
      <c r="A707" s="26">
        <v>5483</v>
      </c>
      <c r="B707" s="27">
        <v>46274</v>
      </c>
      <c r="C707" s="26"/>
      <c r="D707" s="26" t="s">
        <v>25</v>
      </c>
      <c r="E707" s="26"/>
      <c r="F707" s="28">
        <v>4</v>
      </c>
      <c r="G707" s="26"/>
      <c r="H707" s="27">
        <v>46277</v>
      </c>
      <c r="I707" s="32">
        <v>5</v>
      </c>
      <c r="J707" s="27">
        <v>46283</v>
      </c>
      <c r="K707" s="26"/>
      <c r="L707" s="26"/>
      <c r="M707" s="26"/>
      <c r="N707" s="26" t="s">
        <v>4</v>
      </c>
      <c r="O707" s="87">
        <f>VLOOKUP(A707,'HIPERQUERATOSE 26'!$A$2:$G$1542,7,1)</f>
        <v>1.75</v>
      </c>
    </row>
    <row r="708" spans="1:15" ht="21" customHeight="1" x14ac:dyDescent="0.25">
      <c r="A708" s="26">
        <v>4219</v>
      </c>
      <c r="B708" s="27">
        <v>46274</v>
      </c>
      <c r="C708" s="26"/>
      <c r="D708" s="26" t="s">
        <v>25</v>
      </c>
      <c r="E708" s="26"/>
      <c r="F708" s="28">
        <v>4</v>
      </c>
      <c r="G708" s="26"/>
      <c r="H708" s="27">
        <v>46277</v>
      </c>
      <c r="I708" s="32">
        <v>5</v>
      </c>
      <c r="J708" s="27">
        <v>46283</v>
      </c>
      <c r="K708" s="26"/>
      <c r="L708" s="26" t="s">
        <v>5</v>
      </c>
      <c r="M708" s="26"/>
      <c r="N708" s="26"/>
      <c r="O708" s="87">
        <f>VLOOKUP(A708,'HIPERQUERATOSE 26'!$A$2:$G$1542,7,1)</f>
        <v>2.75</v>
      </c>
    </row>
    <row r="709" spans="1:15" ht="21" customHeight="1" x14ac:dyDescent="0.25">
      <c r="A709" s="26">
        <v>2931</v>
      </c>
      <c r="B709" s="27">
        <v>46274</v>
      </c>
      <c r="C709" s="26"/>
      <c r="D709" s="26" t="s">
        <v>20</v>
      </c>
      <c r="E709" s="26"/>
      <c r="F709" s="28">
        <v>4</v>
      </c>
      <c r="G709" s="26"/>
      <c r="H709" s="27">
        <v>46277</v>
      </c>
      <c r="I709" s="32">
        <v>9</v>
      </c>
      <c r="J709" s="27">
        <v>46287</v>
      </c>
      <c r="K709" s="26"/>
      <c r="L709" s="26"/>
      <c r="M709" s="26" t="s">
        <v>1</v>
      </c>
      <c r="N709" s="26"/>
      <c r="O709" s="87">
        <f>VLOOKUP(A709,'HIPERQUERATOSE 26'!$A$2:$G$1542,7,1)</f>
        <v>2.75</v>
      </c>
    </row>
    <row r="710" spans="1:15" ht="21" customHeight="1" x14ac:dyDescent="0.25">
      <c r="A710" s="26">
        <v>5109</v>
      </c>
      <c r="B710" s="27">
        <v>46274</v>
      </c>
      <c r="C710" s="26"/>
      <c r="D710" s="26" t="s">
        <v>20</v>
      </c>
      <c r="E710" s="26"/>
      <c r="F710" s="28">
        <v>4</v>
      </c>
      <c r="G710" s="26"/>
      <c r="H710" s="27">
        <v>46277</v>
      </c>
      <c r="I710" s="32">
        <v>9</v>
      </c>
      <c r="J710" s="27">
        <v>46287</v>
      </c>
      <c r="K710" s="26" t="s">
        <v>3</v>
      </c>
      <c r="L710" s="26"/>
      <c r="M710" s="26"/>
      <c r="N710" s="26"/>
      <c r="O710" s="87">
        <f>VLOOKUP(A710,'HIPERQUERATOSE 26'!$A$2:$G$1542,7,1)</f>
        <v>1</v>
      </c>
    </row>
    <row r="711" spans="1:15" ht="21" customHeight="1" x14ac:dyDescent="0.25">
      <c r="A711" s="26">
        <v>3908</v>
      </c>
      <c r="B711" s="27">
        <v>46274</v>
      </c>
      <c r="C711" s="26"/>
      <c r="D711" s="26" t="s">
        <v>20</v>
      </c>
      <c r="E711" s="26"/>
      <c r="F711" s="28">
        <v>4</v>
      </c>
      <c r="G711" s="26"/>
      <c r="H711" s="27">
        <v>46277</v>
      </c>
      <c r="I711" s="32">
        <v>9</v>
      </c>
      <c r="J711" s="27">
        <v>46287</v>
      </c>
      <c r="K711" s="26" t="s">
        <v>3</v>
      </c>
      <c r="L711" s="26"/>
      <c r="M711" s="26"/>
      <c r="N711" s="26"/>
      <c r="O711" s="87">
        <f>VLOOKUP(A711,'HIPERQUERATOSE 26'!$A$2:$G$1542,7,1)</f>
        <v>1.5</v>
      </c>
    </row>
    <row r="712" spans="1:15" ht="21" customHeight="1" x14ac:dyDescent="0.25">
      <c r="A712" s="26">
        <v>4860</v>
      </c>
      <c r="B712" s="27">
        <v>46275</v>
      </c>
      <c r="C712" s="26"/>
      <c r="D712" s="26" t="s">
        <v>20</v>
      </c>
      <c r="E712" s="26"/>
      <c r="F712" s="28">
        <v>4</v>
      </c>
      <c r="G712" s="26"/>
      <c r="H712" s="27">
        <v>46278</v>
      </c>
      <c r="I712" s="32">
        <v>9</v>
      </c>
      <c r="J712" s="27">
        <v>46288</v>
      </c>
      <c r="K712" s="26"/>
      <c r="L712" s="26"/>
      <c r="M712" s="26"/>
      <c r="N712" s="26" t="s">
        <v>4</v>
      </c>
      <c r="O712" s="87">
        <f>VLOOKUP(A712,'HIPERQUERATOSE 26'!$A$2:$G$1542,7,1)</f>
        <v>2.5</v>
      </c>
    </row>
    <row r="713" spans="1:15" ht="21" customHeight="1" x14ac:dyDescent="0.25">
      <c r="A713" s="26">
        <v>3786</v>
      </c>
      <c r="B713" s="27">
        <v>46274</v>
      </c>
      <c r="C713" s="26"/>
      <c r="D713" s="26" t="s">
        <v>205</v>
      </c>
      <c r="E713" s="26"/>
      <c r="F713" s="28">
        <v>4</v>
      </c>
      <c r="G713" s="26"/>
      <c r="H713" s="27">
        <v>46277</v>
      </c>
      <c r="I713" s="32">
        <v>5</v>
      </c>
      <c r="J713" s="27">
        <v>46283</v>
      </c>
      <c r="K713" s="26"/>
      <c r="L713" s="26"/>
      <c r="M713" s="26"/>
      <c r="N713" s="26" t="s">
        <v>208</v>
      </c>
      <c r="O713" s="87">
        <f>VLOOKUP(A713,'HIPERQUERATOSE 26'!$A$2:$G$1542,7,1)</f>
        <v>2</v>
      </c>
    </row>
    <row r="714" spans="1:15" ht="21" customHeight="1" x14ac:dyDescent="0.25">
      <c r="A714" s="26">
        <v>5361</v>
      </c>
      <c r="B714" s="27">
        <v>46275</v>
      </c>
      <c r="C714" s="26"/>
      <c r="D714" s="26" t="s">
        <v>21</v>
      </c>
      <c r="E714" s="26"/>
      <c r="F714" s="28">
        <v>4</v>
      </c>
      <c r="G714" s="26"/>
      <c r="H714" s="27">
        <v>46278</v>
      </c>
      <c r="I714" s="32">
        <v>9</v>
      </c>
      <c r="J714" s="27">
        <v>46288</v>
      </c>
      <c r="K714" s="26"/>
      <c r="L714" s="26"/>
      <c r="M714" s="26" t="s">
        <v>204</v>
      </c>
      <c r="N714" s="26"/>
      <c r="O714" s="87">
        <f>VLOOKUP(A714,'HIPERQUERATOSE 26'!$A$2:$G$1542,7,1)</f>
        <v>1.75</v>
      </c>
    </row>
    <row r="715" spans="1:15" ht="21" customHeight="1" x14ac:dyDescent="0.25">
      <c r="A715" s="26">
        <v>3754</v>
      </c>
      <c r="B715" s="27">
        <v>46277</v>
      </c>
      <c r="C715" s="26"/>
      <c r="D715" s="26" t="s">
        <v>21</v>
      </c>
      <c r="E715" s="26"/>
      <c r="F715" s="28">
        <v>4</v>
      </c>
      <c r="G715" s="26"/>
      <c r="H715" s="27">
        <v>46280</v>
      </c>
      <c r="I715" s="32">
        <v>9</v>
      </c>
      <c r="J715" s="27">
        <v>46290</v>
      </c>
      <c r="K715" s="26" t="s">
        <v>206</v>
      </c>
      <c r="L715" s="26" t="s">
        <v>207</v>
      </c>
      <c r="M715" s="26"/>
      <c r="N715" s="26"/>
      <c r="O715" s="87">
        <f>VLOOKUP(A715,'HIPERQUERATOSE 26'!$A$2:$G$1542,7,1)</f>
        <v>2</v>
      </c>
    </row>
    <row r="716" spans="1:15" ht="21" customHeight="1" x14ac:dyDescent="0.25">
      <c r="A716" s="26">
        <v>3554</v>
      </c>
      <c r="B716" s="27">
        <v>46277</v>
      </c>
      <c r="C716" s="26"/>
      <c r="D716" s="26" t="s">
        <v>205</v>
      </c>
      <c r="E716" s="26"/>
      <c r="F716" s="28">
        <v>4</v>
      </c>
      <c r="G716" s="26"/>
      <c r="H716" s="27">
        <v>46280</v>
      </c>
      <c r="I716" s="32">
        <v>5</v>
      </c>
      <c r="J716" s="27">
        <v>46286</v>
      </c>
      <c r="K716" s="26"/>
      <c r="L716" s="26"/>
      <c r="M716" s="26" t="s">
        <v>204</v>
      </c>
      <c r="N716" s="26"/>
      <c r="O716" s="87">
        <f>VLOOKUP(A716,'HIPERQUERATOSE 26'!$A$2:$G$1542,7,1)</f>
        <v>1</v>
      </c>
    </row>
    <row r="717" spans="1:15" ht="21" customHeight="1" x14ac:dyDescent="0.25">
      <c r="A717" s="26">
        <v>3767</v>
      </c>
      <c r="B717" s="27">
        <v>46277</v>
      </c>
      <c r="C717" s="26"/>
      <c r="D717" s="26" t="s">
        <v>205</v>
      </c>
      <c r="E717" s="26"/>
      <c r="F717" s="28">
        <v>4</v>
      </c>
      <c r="G717" s="26"/>
      <c r="H717" s="27">
        <v>46280</v>
      </c>
      <c r="I717" s="32">
        <v>5</v>
      </c>
      <c r="J717" s="27">
        <v>46286</v>
      </c>
      <c r="K717" s="26"/>
      <c r="L717" s="26"/>
      <c r="M717" s="26"/>
      <c r="N717" s="26" t="s">
        <v>208</v>
      </c>
      <c r="O717" s="87">
        <f>VLOOKUP(A717,'HIPERQUERATOSE 26'!$A$2:$G$1542,7,1)</f>
        <v>3.5</v>
      </c>
    </row>
    <row r="718" spans="1:15" ht="21" customHeight="1" x14ac:dyDescent="0.25">
      <c r="A718" s="26">
        <v>4014</v>
      </c>
      <c r="B718" s="27">
        <v>46276</v>
      </c>
      <c r="C718" s="26"/>
      <c r="D718" s="26" t="s">
        <v>205</v>
      </c>
      <c r="E718" s="26"/>
      <c r="F718" s="28">
        <v>4</v>
      </c>
      <c r="G718" s="26"/>
      <c r="H718" s="27">
        <v>46279</v>
      </c>
      <c r="I718" s="32">
        <v>5</v>
      </c>
      <c r="J718" s="27">
        <v>46285</v>
      </c>
      <c r="K718" s="26" t="s">
        <v>206</v>
      </c>
      <c r="L718" s="26"/>
      <c r="M718" s="26"/>
      <c r="N718" s="26"/>
      <c r="O718" s="87">
        <f>VLOOKUP(A718,'HIPERQUERATOSE 26'!$A$2:$G$1542,7,1)</f>
        <v>1.25</v>
      </c>
    </row>
    <row r="719" spans="1:15" ht="21" customHeight="1" x14ac:dyDescent="0.25">
      <c r="A719" s="26">
        <v>2904</v>
      </c>
      <c r="B719" s="27">
        <v>46276</v>
      </c>
      <c r="C719" s="26"/>
      <c r="D719" s="26" t="s">
        <v>205</v>
      </c>
      <c r="E719" s="26"/>
      <c r="F719" s="28">
        <v>4</v>
      </c>
      <c r="G719" s="26"/>
      <c r="H719" s="27">
        <v>46279</v>
      </c>
      <c r="I719" s="32">
        <v>5</v>
      </c>
      <c r="J719" s="27">
        <v>46285</v>
      </c>
      <c r="K719" s="26"/>
      <c r="L719" s="26"/>
      <c r="M719" s="26"/>
      <c r="N719" s="26" t="s">
        <v>208</v>
      </c>
      <c r="O719" s="87">
        <f>VLOOKUP(A719,'HIPERQUERATOSE 26'!$A$2:$G$1542,7,1)</f>
        <v>2.75</v>
      </c>
    </row>
    <row r="720" spans="1:15" ht="21" customHeight="1" x14ac:dyDescent="0.25">
      <c r="A720" s="26">
        <v>4459</v>
      </c>
      <c r="B720" s="27">
        <v>46278</v>
      </c>
      <c r="C720" s="26"/>
      <c r="D720" s="26" t="s">
        <v>205</v>
      </c>
      <c r="E720" s="26"/>
      <c r="F720" s="28">
        <v>4</v>
      </c>
      <c r="G720" s="26"/>
      <c r="H720" s="27">
        <v>46281</v>
      </c>
      <c r="I720" s="32">
        <v>5</v>
      </c>
      <c r="J720" s="27">
        <v>46287</v>
      </c>
      <c r="K720" s="26" t="s">
        <v>206</v>
      </c>
      <c r="L720" s="26" t="s">
        <v>207</v>
      </c>
      <c r="M720" s="26" t="s">
        <v>204</v>
      </c>
      <c r="N720" s="26" t="s">
        <v>208</v>
      </c>
      <c r="O720" s="87">
        <f>VLOOKUP(A720,'HIPERQUERATOSE 26'!$A$2:$G$1542,7,1)</f>
        <v>2.25</v>
      </c>
    </row>
    <row r="721" spans="1:15" ht="21" customHeight="1" x14ac:dyDescent="0.25">
      <c r="A721" s="26">
        <v>4194</v>
      </c>
      <c r="B721" s="27">
        <v>46278</v>
      </c>
      <c r="C721" s="26"/>
      <c r="D721" s="26" t="s">
        <v>21</v>
      </c>
      <c r="E721" s="26"/>
      <c r="F721" s="28">
        <v>4</v>
      </c>
      <c r="G721" s="26"/>
      <c r="H721" s="27">
        <v>46281</v>
      </c>
      <c r="I721" s="32">
        <v>9</v>
      </c>
      <c r="J721" s="27">
        <v>46291</v>
      </c>
      <c r="K721" s="26"/>
      <c r="L721" s="26"/>
      <c r="M721" s="26"/>
      <c r="N721" s="26" t="s">
        <v>208</v>
      </c>
      <c r="O721" s="87">
        <f>VLOOKUP(A721,'HIPERQUERATOSE 26'!$A$2:$G$1542,7,1)</f>
        <v>2.75</v>
      </c>
    </row>
    <row r="722" spans="1:15" ht="21" customHeight="1" x14ac:dyDescent="0.25">
      <c r="A722" s="26">
        <v>5542</v>
      </c>
      <c r="B722" s="27">
        <v>46280</v>
      </c>
      <c r="C722" s="26"/>
      <c r="D722" s="26" t="s">
        <v>205</v>
      </c>
      <c r="E722" s="26"/>
      <c r="F722" s="28">
        <v>4</v>
      </c>
      <c r="G722" s="26"/>
      <c r="H722" s="27">
        <v>46283</v>
      </c>
      <c r="I722" s="32">
        <v>5</v>
      </c>
      <c r="J722" s="27">
        <v>46289</v>
      </c>
      <c r="K722" s="26"/>
      <c r="L722" s="26"/>
      <c r="M722" s="26"/>
      <c r="N722" s="26" t="s">
        <v>208</v>
      </c>
      <c r="O722" s="87">
        <f>VLOOKUP(A722,'HIPERQUERATOSE 26'!$A$2:$G$1542,7,1)</f>
        <v>1.5</v>
      </c>
    </row>
    <row r="723" spans="1:15" ht="21" customHeight="1" x14ac:dyDescent="0.25">
      <c r="A723" s="26">
        <v>3743</v>
      </c>
      <c r="B723" s="27">
        <v>46280</v>
      </c>
      <c r="C723" s="26"/>
      <c r="D723" s="26" t="s">
        <v>21</v>
      </c>
      <c r="E723" s="26"/>
      <c r="F723" s="28">
        <v>4</v>
      </c>
      <c r="G723" s="26"/>
      <c r="H723" s="27">
        <v>46283</v>
      </c>
      <c r="I723" s="32">
        <v>9</v>
      </c>
      <c r="J723" s="27">
        <v>46293</v>
      </c>
      <c r="K723" s="26" t="s">
        <v>206</v>
      </c>
      <c r="L723" s="26"/>
      <c r="M723" s="26"/>
      <c r="N723" s="26"/>
      <c r="O723" s="87">
        <f>VLOOKUP(A723,'HIPERQUERATOSE 26'!$A$2:$G$1542,7,1)</f>
        <v>2.25</v>
      </c>
    </row>
    <row r="724" spans="1:15" ht="21" customHeight="1" x14ac:dyDescent="0.25">
      <c r="A724" s="26">
        <v>3122</v>
      </c>
      <c r="B724" s="27">
        <v>46280</v>
      </c>
      <c r="C724" s="26"/>
      <c r="D724" s="26" t="s">
        <v>20</v>
      </c>
      <c r="E724" s="26"/>
      <c r="F724" s="28">
        <v>4</v>
      </c>
      <c r="G724" s="26"/>
      <c r="H724" s="27">
        <v>46283</v>
      </c>
      <c r="I724" s="32">
        <v>9</v>
      </c>
      <c r="J724" s="27">
        <v>46293</v>
      </c>
      <c r="K724" s="26" t="s">
        <v>3</v>
      </c>
      <c r="L724" s="26"/>
      <c r="M724" s="26"/>
      <c r="N724" s="26"/>
      <c r="O724" s="87">
        <f>VLOOKUP(A724,'HIPERQUERATOSE 26'!$A$2:$G$1542,7,1)</f>
        <v>3</v>
      </c>
    </row>
    <row r="725" spans="1:15" ht="21" customHeight="1" x14ac:dyDescent="0.25">
      <c r="A725" s="26">
        <v>2981</v>
      </c>
      <c r="B725" s="27">
        <v>46280</v>
      </c>
      <c r="C725" s="26"/>
      <c r="D725" s="26" t="s">
        <v>20</v>
      </c>
      <c r="E725" s="26"/>
      <c r="F725" s="28">
        <v>4</v>
      </c>
      <c r="G725" s="26"/>
      <c r="H725" s="27">
        <v>46283</v>
      </c>
      <c r="I725" s="32">
        <v>9</v>
      </c>
      <c r="J725" s="27">
        <v>46293</v>
      </c>
      <c r="K725" s="26" t="s">
        <v>3</v>
      </c>
      <c r="L725" s="26"/>
      <c r="M725" s="26" t="s">
        <v>1</v>
      </c>
      <c r="N725" s="26"/>
      <c r="O725" s="87">
        <f>VLOOKUP(A725,'HIPERQUERATOSE 26'!$A$2:$G$1542,7,1)</f>
        <v>2.25</v>
      </c>
    </row>
    <row r="726" spans="1:15" ht="21" customHeight="1" x14ac:dyDescent="0.25">
      <c r="A726" s="26">
        <v>2971</v>
      </c>
      <c r="B726" s="27">
        <v>46281</v>
      </c>
      <c r="C726" s="26"/>
      <c r="D726" s="26" t="s">
        <v>7</v>
      </c>
      <c r="E726" s="26"/>
      <c r="F726" s="28">
        <v>4</v>
      </c>
      <c r="G726" s="26"/>
      <c r="H726" s="27">
        <v>46284</v>
      </c>
      <c r="I726" s="32">
        <v>3</v>
      </c>
      <c r="J726" s="27">
        <v>46289</v>
      </c>
      <c r="K726" s="26"/>
      <c r="L726" s="26"/>
      <c r="M726" s="26"/>
      <c r="N726" s="26" t="s">
        <v>4</v>
      </c>
      <c r="O726" s="87">
        <f>VLOOKUP(A726,'HIPERQUERATOSE 26'!$A$2:$G$1542,7,1)</f>
        <v>1.75</v>
      </c>
    </row>
    <row r="727" spans="1:15" ht="21" customHeight="1" x14ac:dyDescent="0.25">
      <c r="A727" s="26">
        <v>3493</v>
      </c>
      <c r="B727" s="27">
        <v>46281</v>
      </c>
      <c r="C727" s="26"/>
      <c r="D727" s="26" t="s">
        <v>7</v>
      </c>
      <c r="E727" s="26"/>
      <c r="F727" s="28">
        <v>4</v>
      </c>
      <c r="G727" s="26"/>
      <c r="H727" s="27">
        <v>46284</v>
      </c>
      <c r="I727" s="32">
        <v>3</v>
      </c>
      <c r="J727" s="27">
        <v>46289</v>
      </c>
      <c r="K727" s="26"/>
      <c r="L727" s="26" t="s">
        <v>5</v>
      </c>
      <c r="M727" s="26"/>
      <c r="N727" s="26"/>
      <c r="O727" s="87">
        <f>VLOOKUP(A727,'HIPERQUERATOSE 26'!$A$2:$G$1542,7,1)</f>
        <v>1.75</v>
      </c>
    </row>
    <row r="728" spans="1:15" ht="21" customHeight="1" x14ac:dyDescent="0.25">
      <c r="A728" s="26">
        <v>3833</v>
      </c>
      <c r="B728" s="27">
        <v>46281</v>
      </c>
      <c r="C728" s="26"/>
      <c r="D728" s="26" t="s">
        <v>20</v>
      </c>
      <c r="E728" s="26"/>
      <c r="F728" s="28">
        <v>4</v>
      </c>
      <c r="G728" s="26"/>
      <c r="H728" s="27">
        <v>46284</v>
      </c>
      <c r="I728" s="32">
        <v>9</v>
      </c>
      <c r="J728" s="27">
        <v>46294</v>
      </c>
      <c r="K728" s="26"/>
      <c r="L728" s="26"/>
      <c r="M728" s="26" t="s">
        <v>1</v>
      </c>
      <c r="N728" s="26"/>
      <c r="O728" s="87">
        <f>VLOOKUP(A728,'HIPERQUERATOSE 26'!$A$2:$G$1542,7,1)</f>
        <v>2.5</v>
      </c>
    </row>
    <row r="729" spans="1:15" ht="21" customHeight="1" x14ac:dyDescent="0.25">
      <c r="A729" s="26">
        <v>3459</v>
      </c>
      <c r="B729" s="27">
        <v>46281</v>
      </c>
      <c r="C729" s="26"/>
      <c r="D729" s="26" t="s">
        <v>209</v>
      </c>
      <c r="E729" s="26"/>
      <c r="F729" s="28">
        <v>4</v>
      </c>
      <c r="G729" s="26"/>
      <c r="H729" s="27">
        <v>46284</v>
      </c>
      <c r="I729" s="32">
        <v>4</v>
      </c>
      <c r="J729" s="27">
        <v>46289</v>
      </c>
      <c r="K729" s="26" t="s">
        <v>3</v>
      </c>
      <c r="L729" s="26" t="s">
        <v>5</v>
      </c>
      <c r="M729" s="26"/>
      <c r="N729" s="26" t="s">
        <v>4</v>
      </c>
      <c r="O729" s="87">
        <f>VLOOKUP(A729,'HIPERQUERATOSE 26'!$A$2:$G$1542,7,1)</f>
        <v>1.25</v>
      </c>
    </row>
    <row r="730" spans="1:15" ht="21" customHeight="1" x14ac:dyDescent="0.25">
      <c r="A730" s="26">
        <v>3246</v>
      </c>
      <c r="B730" s="27">
        <v>46281</v>
      </c>
      <c r="C730" s="26"/>
      <c r="D730" s="26" t="s">
        <v>209</v>
      </c>
      <c r="E730" s="26"/>
      <c r="F730" s="28">
        <v>4</v>
      </c>
      <c r="G730" s="26"/>
      <c r="H730" s="27">
        <v>46284</v>
      </c>
      <c r="I730" s="32">
        <v>4</v>
      </c>
      <c r="J730" s="27">
        <v>46289</v>
      </c>
      <c r="K730" s="26" t="s">
        <v>3</v>
      </c>
      <c r="L730" s="26" t="s">
        <v>5</v>
      </c>
      <c r="M730" s="26"/>
      <c r="N730" s="26"/>
      <c r="O730" s="87">
        <f>VLOOKUP(A730,'HIPERQUERATOSE 26'!$A$2:$G$1542,7,1)</f>
        <v>3</v>
      </c>
    </row>
    <row r="731" spans="1:15" ht="21" customHeight="1" x14ac:dyDescent="0.25">
      <c r="A731" s="26">
        <v>4074</v>
      </c>
      <c r="B731" s="27">
        <v>46282</v>
      </c>
      <c r="C731" s="26"/>
      <c r="D731" s="26" t="s">
        <v>210</v>
      </c>
      <c r="E731" s="26"/>
      <c r="F731" s="28">
        <v>4</v>
      </c>
      <c r="G731" s="26"/>
      <c r="H731" s="27">
        <v>46285</v>
      </c>
      <c r="I731" s="32">
        <v>5</v>
      </c>
      <c r="J731" s="27">
        <v>46291</v>
      </c>
      <c r="K731" s="26"/>
      <c r="L731" s="26" t="s">
        <v>5</v>
      </c>
      <c r="M731" s="26"/>
      <c r="N731" s="26"/>
      <c r="O731" s="87">
        <f>VLOOKUP(A731,'HIPERQUERATOSE 26'!$A$2:$G$1542,7,1)</f>
        <v>1.25</v>
      </c>
    </row>
    <row r="732" spans="1:15" ht="21" customHeight="1" x14ac:dyDescent="0.25">
      <c r="A732" s="26">
        <v>3317</v>
      </c>
      <c r="B732" s="27">
        <v>46282</v>
      </c>
      <c r="C732" s="26"/>
      <c r="D732" s="26" t="s">
        <v>7</v>
      </c>
      <c r="E732" s="26"/>
      <c r="F732" s="28">
        <v>4</v>
      </c>
      <c r="G732" s="26"/>
      <c r="H732" s="27">
        <v>46285</v>
      </c>
      <c r="I732" s="32">
        <v>3</v>
      </c>
      <c r="J732" s="27">
        <v>46289</v>
      </c>
      <c r="K732" s="26"/>
      <c r="L732" s="26" t="s">
        <v>5</v>
      </c>
      <c r="M732" s="26"/>
      <c r="N732" s="26" t="s">
        <v>4</v>
      </c>
      <c r="O732" s="87">
        <f>VLOOKUP(A732,'HIPERQUERATOSE 26'!$A$2:$G$1542,7,1)</f>
        <v>1.25</v>
      </c>
    </row>
    <row r="733" spans="1:15" ht="21" customHeight="1" x14ac:dyDescent="0.25">
      <c r="A733" s="26">
        <v>4488</v>
      </c>
      <c r="B733" s="27">
        <v>46282</v>
      </c>
      <c r="C733" s="26"/>
      <c r="D733" s="26" t="s">
        <v>210</v>
      </c>
      <c r="E733" s="26"/>
      <c r="F733" s="28">
        <v>4</v>
      </c>
      <c r="G733" s="26"/>
      <c r="H733" s="27">
        <v>46285</v>
      </c>
      <c r="I733" s="32">
        <v>5</v>
      </c>
      <c r="J733" s="27">
        <v>46291</v>
      </c>
      <c r="K733" s="26" t="s">
        <v>3</v>
      </c>
      <c r="L733" s="26"/>
      <c r="M733" s="26" t="s">
        <v>1</v>
      </c>
      <c r="N733" s="26"/>
      <c r="O733" s="87">
        <f>VLOOKUP(A733,'HIPERQUERATOSE 26'!$A$2:$G$1542,7,1)</f>
        <v>2.25</v>
      </c>
    </row>
    <row r="734" spans="1:15" ht="21" customHeight="1" x14ac:dyDescent="0.25">
      <c r="A734" s="26">
        <v>4515</v>
      </c>
      <c r="B734" s="27">
        <v>46282</v>
      </c>
      <c r="C734" s="26"/>
      <c r="D734" s="26" t="s">
        <v>7</v>
      </c>
      <c r="E734" s="26"/>
      <c r="F734" s="28">
        <v>4</v>
      </c>
      <c r="G734" s="26"/>
      <c r="H734" s="27">
        <v>46285</v>
      </c>
      <c r="I734" s="32">
        <v>3</v>
      </c>
      <c r="J734" s="27">
        <v>46289</v>
      </c>
      <c r="K734" s="26" t="s">
        <v>3</v>
      </c>
      <c r="L734" s="26"/>
      <c r="M734" s="26" t="s">
        <v>1</v>
      </c>
      <c r="N734" s="26"/>
      <c r="O734" s="87">
        <f>VLOOKUP(A734,'HIPERQUERATOSE 26'!$A$2:$G$1542,7,1)</f>
        <v>2.75</v>
      </c>
    </row>
    <row r="735" spans="1:15" ht="21" customHeight="1" x14ac:dyDescent="0.25">
      <c r="A735" s="26">
        <v>1216</v>
      </c>
      <c r="B735" s="27">
        <v>46282</v>
      </c>
      <c r="C735" s="26"/>
      <c r="D735" s="26" t="s">
        <v>210</v>
      </c>
      <c r="E735" s="26"/>
      <c r="F735" s="28">
        <v>4</v>
      </c>
      <c r="G735" s="26"/>
      <c r="H735" s="27">
        <v>46285</v>
      </c>
      <c r="I735" s="32">
        <v>5</v>
      </c>
      <c r="J735" s="27">
        <v>46291</v>
      </c>
      <c r="K735" s="26"/>
      <c r="L735" s="26" t="s">
        <v>5</v>
      </c>
      <c r="M735" s="26"/>
      <c r="N735" s="26" t="s">
        <v>4</v>
      </c>
      <c r="O735" s="87">
        <f>VLOOKUP(A735,'HIPERQUERATOSE 26'!$A$2:$G$1542,7,1)</f>
        <v>1.5</v>
      </c>
    </row>
    <row r="736" spans="1:15" ht="21" customHeight="1" x14ac:dyDescent="0.25">
      <c r="A736" s="26">
        <v>1160</v>
      </c>
      <c r="B736" s="27">
        <v>46282</v>
      </c>
      <c r="C736" s="26"/>
      <c r="D736" s="26" t="s">
        <v>210</v>
      </c>
      <c r="E736" s="26"/>
      <c r="F736" s="28">
        <v>4</v>
      </c>
      <c r="G736" s="26"/>
      <c r="H736" s="27">
        <v>46285</v>
      </c>
      <c r="I736" s="32">
        <v>5</v>
      </c>
      <c r="J736" s="27">
        <v>46291</v>
      </c>
      <c r="K736" s="26"/>
      <c r="L736" s="26" t="s">
        <v>5</v>
      </c>
      <c r="M736" s="26"/>
      <c r="N736" s="26"/>
      <c r="O736" s="87">
        <f>VLOOKUP(A736,'HIPERQUERATOSE 26'!$A$2:$G$1542,7,1)</f>
        <v>1.5</v>
      </c>
    </row>
    <row r="737" spans="1:15" ht="21" customHeight="1" x14ac:dyDescent="0.25">
      <c r="A737" s="26">
        <v>4444</v>
      </c>
      <c r="B737" s="27">
        <v>46282</v>
      </c>
      <c r="C737" s="26"/>
      <c r="D737" s="26" t="s">
        <v>210</v>
      </c>
      <c r="E737" s="26"/>
      <c r="F737" s="28">
        <v>4</v>
      </c>
      <c r="G737" s="26"/>
      <c r="H737" s="27">
        <v>46285</v>
      </c>
      <c r="I737" s="32">
        <v>5</v>
      </c>
      <c r="J737" s="27">
        <v>46291</v>
      </c>
      <c r="K737" s="26"/>
      <c r="L737" s="26" t="s">
        <v>5</v>
      </c>
      <c r="M737" s="26"/>
      <c r="N737" s="26"/>
      <c r="O737" s="87">
        <f>VLOOKUP(A737,'HIPERQUERATOSE 26'!$A$2:$G$1542,7,1)</f>
        <v>1.25</v>
      </c>
    </row>
    <row r="738" spans="1:15" ht="21" customHeight="1" x14ac:dyDescent="0.25">
      <c r="A738" s="26">
        <v>3906</v>
      </c>
      <c r="B738" s="27">
        <v>46284</v>
      </c>
      <c r="C738" s="26"/>
      <c r="D738" s="26" t="s">
        <v>210</v>
      </c>
      <c r="E738" s="26"/>
      <c r="F738" s="28">
        <v>4</v>
      </c>
      <c r="G738" s="26"/>
      <c r="H738" s="27">
        <v>46287</v>
      </c>
      <c r="I738" s="32">
        <v>5</v>
      </c>
      <c r="J738" s="27">
        <v>46293</v>
      </c>
      <c r="K738" s="26" t="s">
        <v>3</v>
      </c>
      <c r="L738" s="26" t="s">
        <v>5</v>
      </c>
      <c r="M738" s="26" t="s">
        <v>1</v>
      </c>
      <c r="N738" s="26" t="s">
        <v>4</v>
      </c>
      <c r="O738" s="87">
        <f>VLOOKUP(A738,'HIPERQUERATOSE 26'!$A$2:$G$1542,7,1)</f>
        <v>1</v>
      </c>
    </row>
    <row r="739" spans="1:15" ht="21" customHeight="1" x14ac:dyDescent="0.25">
      <c r="A739" s="26">
        <v>4459</v>
      </c>
      <c r="B739" s="27">
        <v>46284</v>
      </c>
      <c r="C739" s="26"/>
      <c r="D739" s="26" t="s">
        <v>210</v>
      </c>
      <c r="E739" s="26"/>
      <c r="F739" s="28">
        <v>4</v>
      </c>
      <c r="G739" s="26"/>
      <c r="H739" s="27">
        <v>46287</v>
      </c>
      <c r="I739" s="32">
        <v>5</v>
      </c>
      <c r="J739" s="27">
        <v>46293</v>
      </c>
      <c r="K739" s="26" t="s">
        <v>3</v>
      </c>
      <c r="L739" s="26" t="s">
        <v>5</v>
      </c>
      <c r="M739" s="26" t="s">
        <v>1</v>
      </c>
      <c r="N739" s="26" t="s">
        <v>4</v>
      </c>
      <c r="O739" s="87">
        <f>VLOOKUP(A739,'HIPERQUERATOSE 26'!$A$2:$G$1542,7,1)</f>
        <v>2.25</v>
      </c>
    </row>
    <row r="740" spans="1:15" ht="21" customHeight="1" x14ac:dyDescent="0.25">
      <c r="A740" s="26">
        <v>4616</v>
      </c>
      <c r="B740" s="27">
        <v>46286</v>
      </c>
      <c r="C740" s="26"/>
      <c r="D740" s="26" t="s">
        <v>210</v>
      </c>
      <c r="E740" s="26"/>
      <c r="F740" s="28">
        <v>4</v>
      </c>
      <c r="G740" s="26"/>
      <c r="H740" s="27">
        <v>46289</v>
      </c>
      <c r="I740" s="32">
        <v>5</v>
      </c>
      <c r="J740" s="27">
        <v>46295</v>
      </c>
      <c r="K740" s="26" t="s">
        <v>3</v>
      </c>
      <c r="L740" s="26"/>
      <c r="M740" s="26"/>
      <c r="N740" s="26"/>
    </row>
    <row r="741" spans="1:15" ht="21" customHeight="1" x14ac:dyDescent="0.25">
      <c r="A741" s="26">
        <v>3459</v>
      </c>
      <c r="B741" s="27">
        <v>46286</v>
      </c>
      <c r="C741" s="26"/>
      <c r="D741" s="26" t="s">
        <v>210</v>
      </c>
      <c r="E741" s="26"/>
      <c r="F741" s="28">
        <v>4</v>
      </c>
      <c r="G741" s="26"/>
      <c r="H741" s="27">
        <v>46289</v>
      </c>
      <c r="I741" s="32">
        <v>5</v>
      </c>
      <c r="J741" s="27">
        <v>46295</v>
      </c>
      <c r="K741" s="26" t="s">
        <v>3</v>
      </c>
      <c r="L741" s="26" t="s">
        <v>5</v>
      </c>
      <c r="M741" s="26" t="s">
        <v>1</v>
      </c>
      <c r="N741" s="26" t="s">
        <v>4</v>
      </c>
    </row>
    <row r="742" spans="1:15" ht="21" customHeight="1" x14ac:dyDescent="0.25">
      <c r="A742" s="26">
        <v>4425</v>
      </c>
      <c r="B742" s="27">
        <v>46286</v>
      </c>
      <c r="C742" s="26"/>
      <c r="D742" s="26" t="s">
        <v>7</v>
      </c>
      <c r="E742" s="26"/>
      <c r="F742" s="28">
        <v>4</v>
      </c>
      <c r="G742" s="26"/>
      <c r="H742" s="27">
        <v>46289</v>
      </c>
      <c r="I742" s="32">
        <v>3</v>
      </c>
      <c r="J742" s="27">
        <v>46293</v>
      </c>
      <c r="K742" s="26"/>
      <c r="L742" s="26"/>
      <c r="M742" s="26" t="s">
        <v>1</v>
      </c>
      <c r="N742" s="26"/>
    </row>
    <row r="743" spans="1:15" ht="21" customHeight="1" x14ac:dyDescent="0.25">
      <c r="A743" s="26">
        <v>6128</v>
      </c>
      <c r="B743" s="27">
        <v>46286</v>
      </c>
      <c r="C743" s="26"/>
      <c r="D743" s="26" t="s">
        <v>7</v>
      </c>
      <c r="E743" s="26"/>
      <c r="F743" s="28">
        <v>4</v>
      </c>
      <c r="G743" s="26"/>
      <c r="H743" s="27">
        <v>46289</v>
      </c>
      <c r="I743" s="32">
        <v>3</v>
      </c>
      <c r="J743" s="27">
        <v>46293</v>
      </c>
      <c r="K743" s="26"/>
      <c r="L743" s="26" t="s">
        <v>5</v>
      </c>
      <c r="M743" s="26"/>
      <c r="N743" s="26"/>
    </row>
    <row r="744" spans="1:15" ht="21" customHeight="1" x14ac:dyDescent="0.25">
      <c r="A744" s="26">
        <v>3688</v>
      </c>
      <c r="B744" s="27">
        <v>46286</v>
      </c>
      <c r="C744" s="26"/>
      <c r="D744" s="26" t="s">
        <v>25</v>
      </c>
      <c r="E744" s="26"/>
      <c r="F744" s="28">
        <v>4</v>
      </c>
      <c r="G744" s="26"/>
      <c r="H744" s="27">
        <v>46289</v>
      </c>
      <c r="I744" s="32">
        <v>5</v>
      </c>
      <c r="J744" s="27">
        <v>46295</v>
      </c>
      <c r="K744" s="26" t="s">
        <v>3</v>
      </c>
      <c r="L744" s="26" t="s">
        <v>5</v>
      </c>
      <c r="M744" s="26"/>
      <c r="N744" s="26"/>
    </row>
    <row r="745" spans="1:15" ht="21" customHeight="1" x14ac:dyDescent="0.25">
      <c r="A745" s="26">
        <v>4018</v>
      </c>
      <c r="B745" s="27">
        <v>46286</v>
      </c>
      <c r="C745" s="26"/>
      <c r="D745" s="26" t="s">
        <v>25</v>
      </c>
      <c r="E745" s="26"/>
      <c r="F745" s="28">
        <v>4</v>
      </c>
      <c r="G745" s="26"/>
      <c r="H745" s="27">
        <v>46289</v>
      </c>
      <c r="I745" s="32">
        <v>5</v>
      </c>
      <c r="J745" s="27">
        <v>46295</v>
      </c>
      <c r="K745" s="26" t="s">
        <v>3</v>
      </c>
      <c r="L745" s="26" t="s">
        <v>5</v>
      </c>
      <c r="M745" s="26"/>
      <c r="N745" s="26"/>
    </row>
    <row r="746" spans="1:15" ht="21" customHeight="1" x14ac:dyDescent="0.25">
      <c r="A746" s="26">
        <v>3858</v>
      </c>
      <c r="B746" s="27">
        <v>46286</v>
      </c>
      <c r="C746" s="26"/>
      <c r="D746" s="26" t="s">
        <v>25</v>
      </c>
      <c r="E746" s="26"/>
      <c r="F746" s="28">
        <v>4</v>
      </c>
      <c r="G746" s="26"/>
      <c r="H746" s="27">
        <v>46289</v>
      </c>
      <c r="I746" s="32">
        <v>5</v>
      </c>
      <c r="J746" s="27">
        <v>46295</v>
      </c>
      <c r="K746" s="26" t="s">
        <v>3</v>
      </c>
      <c r="L746" s="26"/>
      <c r="M746" s="26"/>
      <c r="N746" s="26"/>
    </row>
    <row r="747" spans="1:15" ht="21" customHeight="1" x14ac:dyDescent="0.25">
      <c r="A747" s="26">
        <v>3246</v>
      </c>
      <c r="B747" s="27">
        <v>46286</v>
      </c>
      <c r="C747" s="26"/>
      <c r="D747" s="26" t="s">
        <v>108</v>
      </c>
      <c r="E747" s="26"/>
      <c r="F747" s="28">
        <v>4</v>
      </c>
      <c r="G747" s="26"/>
      <c r="H747" s="27">
        <v>46289</v>
      </c>
      <c r="I747" s="32">
        <v>5</v>
      </c>
      <c r="J747" s="27">
        <v>46295</v>
      </c>
      <c r="K747" s="26" t="s">
        <v>3</v>
      </c>
      <c r="L747" s="26" t="s">
        <v>5</v>
      </c>
      <c r="M747" s="26"/>
      <c r="N747" s="26"/>
    </row>
    <row r="748" spans="1:15" ht="21" customHeight="1" x14ac:dyDescent="0.25">
      <c r="A748" s="26">
        <v>1216</v>
      </c>
      <c r="B748" s="27">
        <v>46287</v>
      </c>
      <c r="C748" s="26"/>
      <c r="D748" s="26" t="s">
        <v>21</v>
      </c>
      <c r="E748" s="26"/>
      <c r="F748" s="28">
        <v>4</v>
      </c>
      <c r="G748" s="26"/>
      <c r="H748" s="27">
        <v>46290</v>
      </c>
      <c r="I748" s="32">
        <v>9</v>
      </c>
      <c r="J748" s="27">
        <v>46300</v>
      </c>
      <c r="K748" s="26"/>
      <c r="L748" s="26" t="s">
        <v>5</v>
      </c>
      <c r="M748" s="26"/>
      <c r="N748" s="26" t="s">
        <v>4</v>
      </c>
    </row>
    <row r="749" spans="1:15" ht="21" customHeight="1" x14ac:dyDescent="0.25">
      <c r="A749" s="26">
        <v>2887</v>
      </c>
      <c r="B749" s="27">
        <v>46287</v>
      </c>
      <c r="C749" s="26"/>
      <c r="D749" s="26" t="s">
        <v>21</v>
      </c>
      <c r="E749" s="26"/>
      <c r="F749" s="28">
        <v>4</v>
      </c>
      <c r="G749" s="26"/>
      <c r="H749" s="27">
        <v>46290</v>
      </c>
      <c r="I749" s="32">
        <v>9</v>
      </c>
      <c r="J749" s="27">
        <v>46300</v>
      </c>
      <c r="K749" s="26" t="s">
        <v>3</v>
      </c>
      <c r="L749" s="26" t="s">
        <v>5</v>
      </c>
      <c r="M749" s="26"/>
      <c r="N749" s="26"/>
    </row>
    <row r="750" spans="1:15" ht="21" customHeight="1" x14ac:dyDescent="0.25">
      <c r="A750" s="26">
        <v>4992</v>
      </c>
      <c r="B750" s="27">
        <v>46288</v>
      </c>
      <c r="C750" s="26"/>
      <c r="D750" s="26" t="s">
        <v>21</v>
      </c>
      <c r="E750" s="26"/>
      <c r="F750" s="28">
        <v>4</v>
      </c>
      <c r="G750" s="26"/>
      <c r="H750" s="27">
        <v>46291</v>
      </c>
      <c r="I750" s="32">
        <v>9</v>
      </c>
      <c r="J750" s="27">
        <v>46301</v>
      </c>
      <c r="K750" s="26"/>
      <c r="L750" s="26" t="s">
        <v>5</v>
      </c>
      <c r="M750" s="26"/>
      <c r="N750" s="26"/>
    </row>
    <row r="751" spans="1:15" ht="21" customHeight="1" x14ac:dyDescent="0.25">
      <c r="A751" s="26">
        <v>3933</v>
      </c>
      <c r="B751" s="27">
        <v>46288</v>
      </c>
      <c r="C751" s="26"/>
      <c r="D751" s="26" t="s">
        <v>210</v>
      </c>
      <c r="E751" s="26"/>
      <c r="F751" s="28">
        <v>4</v>
      </c>
      <c r="G751" s="26"/>
      <c r="H751" s="27">
        <v>46291</v>
      </c>
      <c r="I751" s="32">
        <v>5</v>
      </c>
      <c r="J751" s="27">
        <v>46297</v>
      </c>
      <c r="K751" s="26"/>
      <c r="L751" s="26" t="s">
        <v>5</v>
      </c>
      <c r="M751" s="26"/>
      <c r="N751" s="26" t="s">
        <v>4</v>
      </c>
    </row>
    <row r="752" spans="1:15" ht="21" customHeight="1" x14ac:dyDescent="0.25">
      <c r="A752" s="26">
        <v>4644</v>
      </c>
      <c r="B752" s="27">
        <v>46289</v>
      </c>
      <c r="C752" s="26"/>
      <c r="D752" s="26" t="s">
        <v>21</v>
      </c>
      <c r="E752" s="26"/>
      <c r="F752" s="28">
        <v>4</v>
      </c>
      <c r="G752" s="26"/>
      <c r="H752" s="27">
        <v>46292</v>
      </c>
      <c r="I752" s="32">
        <v>9</v>
      </c>
      <c r="J752" s="27">
        <v>46302</v>
      </c>
      <c r="K752" s="26"/>
      <c r="L752" s="26"/>
      <c r="M752" s="26"/>
      <c r="N752" s="26" t="s">
        <v>4</v>
      </c>
    </row>
    <row r="753" spans="1:14" ht="21" customHeight="1" x14ac:dyDescent="0.25">
      <c r="A753" s="26">
        <v>4478</v>
      </c>
      <c r="B753" s="27">
        <v>46289</v>
      </c>
      <c r="C753" s="26"/>
      <c r="D753" s="26" t="s">
        <v>7</v>
      </c>
      <c r="E753" s="26"/>
      <c r="F753" s="28">
        <v>4</v>
      </c>
      <c r="G753" s="26"/>
      <c r="H753" s="27">
        <v>46292</v>
      </c>
      <c r="I753" s="32">
        <v>3</v>
      </c>
      <c r="J753" s="27">
        <v>46296</v>
      </c>
      <c r="K753" s="26"/>
      <c r="L753" s="26"/>
      <c r="M753" s="26" t="s">
        <v>1</v>
      </c>
      <c r="N753" s="26"/>
    </row>
    <row r="754" spans="1:14" ht="21" customHeight="1" x14ac:dyDescent="0.25">
      <c r="A754" s="26">
        <v>4431</v>
      </c>
      <c r="B754" s="27">
        <v>46289</v>
      </c>
      <c r="C754" s="26"/>
      <c r="D754" s="26" t="s">
        <v>7</v>
      </c>
      <c r="E754" s="26"/>
      <c r="F754" s="28">
        <v>4</v>
      </c>
      <c r="G754" s="26"/>
      <c r="H754" s="27">
        <v>46292</v>
      </c>
      <c r="I754" s="32">
        <v>3</v>
      </c>
      <c r="J754" s="27">
        <v>46296</v>
      </c>
      <c r="K754" s="26"/>
      <c r="L754" s="26" t="s">
        <v>5</v>
      </c>
      <c r="M754" s="26"/>
      <c r="N754" s="26"/>
    </row>
    <row r="755" spans="1:14" ht="21" customHeight="1" x14ac:dyDescent="0.25">
      <c r="A755" s="26">
        <v>3885</v>
      </c>
      <c r="B755" s="27">
        <v>46289</v>
      </c>
      <c r="C755" s="26"/>
      <c r="D755" s="26" t="s">
        <v>7</v>
      </c>
      <c r="E755" s="26"/>
      <c r="F755" s="28">
        <v>4</v>
      </c>
      <c r="G755" s="26"/>
      <c r="H755" s="27">
        <v>46292</v>
      </c>
      <c r="I755" s="32">
        <v>3</v>
      </c>
      <c r="J755" s="27">
        <v>46296</v>
      </c>
      <c r="K755" s="26" t="s">
        <v>3</v>
      </c>
      <c r="L755" s="26"/>
      <c r="M755" s="26"/>
      <c r="N755" s="26"/>
    </row>
    <row r="756" spans="1:14" ht="21" customHeight="1" x14ac:dyDescent="0.25">
      <c r="A756" s="26">
        <v>5554</v>
      </c>
      <c r="B756" s="27">
        <v>46289</v>
      </c>
      <c r="C756" s="26"/>
      <c r="D756" s="26" t="s">
        <v>7</v>
      </c>
      <c r="E756" s="26"/>
      <c r="F756" s="28">
        <v>7</v>
      </c>
      <c r="G756" s="26"/>
      <c r="H756" s="27">
        <v>46295</v>
      </c>
      <c r="I756" s="32">
        <v>3</v>
      </c>
      <c r="J756" s="27">
        <v>46299</v>
      </c>
      <c r="K756" s="26"/>
      <c r="L756" s="26"/>
      <c r="M756" s="26"/>
      <c r="N756" s="26" t="s">
        <v>4</v>
      </c>
    </row>
    <row r="757" spans="1:14" ht="21" customHeight="1" x14ac:dyDescent="0.25">
      <c r="A757" s="26">
        <v>2935</v>
      </c>
      <c r="B757" s="27">
        <v>46289</v>
      </c>
      <c r="C757" s="26"/>
      <c r="D757" s="26" t="s">
        <v>7</v>
      </c>
      <c r="E757" s="26"/>
      <c r="F757" s="28">
        <v>4</v>
      </c>
      <c r="G757" s="26"/>
      <c r="H757" s="27">
        <v>46292</v>
      </c>
      <c r="I757" s="32">
        <v>3</v>
      </c>
      <c r="J757" s="27">
        <v>46296</v>
      </c>
      <c r="K757" s="26" t="s">
        <v>3</v>
      </c>
      <c r="L757" s="26" t="s">
        <v>5</v>
      </c>
      <c r="M757" s="26"/>
      <c r="N757" s="26"/>
    </row>
    <row r="758" spans="1:14" ht="21" customHeight="1" x14ac:dyDescent="0.25">
      <c r="A758" s="26">
        <v>3935</v>
      </c>
      <c r="B758" s="27">
        <v>46290</v>
      </c>
      <c r="C758" s="26"/>
      <c r="D758" s="26" t="s">
        <v>7</v>
      </c>
      <c r="E758" s="26"/>
      <c r="F758" s="28">
        <v>4</v>
      </c>
      <c r="G758" s="26"/>
      <c r="H758" s="27">
        <v>46293</v>
      </c>
      <c r="I758" s="32">
        <v>3</v>
      </c>
      <c r="J758" s="27">
        <v>46297</v>
      </c>
      <c r="K758" s="26" t="s">
        <v>3</v>
      </c>
      <c r="L758" s="26"/>
      <c r="M758" s="26"/>
      <c r="N758" s="26"/>
    </row>
    <row r="759" spans="1:14" ht="21" customHeight="1" x14ac:dyDescent="0.25">
      <c r="A759" s="26">
        <v>5155</v>
      </c>
      <c r="B759" s="27">
        <v>46290</v>
      </c>
      <c r="C759" s="26"/>
      <c r="D759" s="26" t="s">
        <v>7</v>
      </c>
      <c r="E759" s="26"/>
      <c r="F759" s="28">
        <v>4</v>
      </c>
      <c r="G759" s="26"/>
      <c r="H759" s="27">
        <v>46293</v>
      </c>
      <c r="I759" s="32">
        <v>3</v>
      </c>
      <c r="J759" s="27">
        <v>46297</v>
      </c>
      <c r="K759" s="26" t="s">
        <v>3</v>
      </c>
      <c r="L759" s="26"/>
      <c r="M759" s="26"/>
      <c r="N759" s="26"/>
    </row>
    <row r="760" spans="1:14" ht="21" customHeight="1" x14ac:dyDescent="0.25">
      <c r="A760" s="26">
        <v>4184</v>
      </c>
      <c r="B760" s="27">
        <v>46290</v>
      </c>
      <c r="C760" s="26"/>
      <c r="D760" s="26" t="s">
        <v>7</v>
      </c>
      <c r="E760" s="26"/>
      <c r="F760" s="28">
        <v>4</v>
      </c>
      <c r="G760" s="26"/>
      <c r="H760" s="27">
        <v>46293</v>
      </c>
      <c r="I760" s="32">
        <v>3</v>
      </c>
      <c r="J760" s="27">
        <v>46297</v>
      </c>
      <c r="K760" s="26" t="s">
        <v>3</v>
      </c>
      <c r="L760" s="26"/>
      <c r="M760" s="26"/>
      <c r="N760" s="26"/>
    </row>
    <row r="761" spans="1:14" ht="21" customHeight="1" x14ac:dyDescent="0.25">
      <c r="A761" s="26">
        <v>4985</v>
      </c>
      <c r="B761" s="27">
        <v>46290</v>
      </c>
      <c r="C761" s="26"/>
      <c r="D761" s="26" t="s">
        <v>7</v>
      </c>
      <c r="E761" s="26"/>
      <c r="F761" s="28">
        <v>4</v>
      </c>
      <c r="G761" s="26"/>
      <c r="H761" s="27">
        <v>46293</v>
      </c>
      <c r="I761" s="32">
        <v>3</v>
      </c>
      <c r="J761" s="27">
        <v>46297</v>
      </c>
      <c r="K761" s="26"/>
      <c r="L761" s="26"/>
      <c r="M761" s="26" t="s">
        <v>1</v>
      </c>
      <c r="N761" s="26" t="s">
        <v>4</v>
      </c>
    </row>
    <row r="762" spans="1:14" ht="21" customHeight="1" x14ac:dyDescent="0.25">
      <c r="A762" s="26">
        <v>4657</v>
      </c>
      <c r="B762" s="27">
        <v>46290</v>
      </c>
      <c r="C762" s="26"/>
      <c r="D762" s="26" t="s">
        <v>20</v>
      </c>
      <c r="E762" s="26"/>
      <c r="F762" s="28">
        <v>4</v>
      </c>
      <c r="G762" s="26"/>
      <c r="H762" s="27">
        <v>46293</v>
      </c>
      <c r="I762" s="32">
        <v>9</v>
      </c>
      <c r="J762" s="27">
        <v>46303</v>
      </c>
      <c r="K762" s="26"/>
      <c r="L762" s="26"/>
      <c r="M762" s="26"/>
      <c r="N762" s="26" t="s">
        <v>4</v>
      </c>
    </row>
    <row r="763" spans="1:14" ht="21" customHeight="1" x14ac:dyDescent="0.25">
      <c r="A763" s="26">
        <v>4794</v>
      </c>
      <c r="B763" s="27">
        <v>46290</v>
      </c>
      <c r="C763" s="26"/>
      <c r="D763" s="26" t="s">
        <v>210</v>
      </c>
      <c r="E763" s="26"/>
      <c r="F763" s="28">
        <v>4</v>
      </c>
      <c r="G763" s="26"/>
      <c r="H763" s="27">
        <v>46293</v>
      </c>
      <c r="I763" s="32">
        <v>5</v>
      </c>
      <c r="J763" s="27">
        <v>46299</v>
      </c>
      <c r="K763" s="26"/>
      <c r="L763" s="26" t="s">
        <v>5</v>
      </c>
      <c r="M763" s="26"/>
      <c r="N763" s="26"/>
    </row>
    <row r="764" spans="1:14" ht="21" customHeight="1" x14ac:dyDescent="0.25">
      <c r="A764" s="26">
        <v>3688</v>
      </c>
      <c r="B764" s="27">
        <v>46290</v>
      </c>
      <c r="C764" s="26"/>
      <c r="D764" s="26" t="s">
        <v>210</v>
      </c>
      <c r="E764" s="26"/>
      <c r="F764" s="28">
        <v>4</v>
      </c>
      <c r="G764" s="26"/>
      <c r="H764" s="27">
        <v>46293</v>
      </c>
      <c r="I764" s="32">
        <v>5</v>
      </c>
      <c r="J764" s="27">
        <v>46299</v>
      </c>
      <c r="K764" s="26"/>
      <c r="L764" s="26" t="s">
        <v>5</v>
      </c>
      <c r="M764" s="26"/>
      <c r="N764" s="26"/>
    </row>
    <row r="765" spans="1:14" ht="21" customHeight="1" x14ac:dyDescent="0.25">
      <c r="A765" s="26">
        <v>3736</v>
      </c>
      <c r="B765" s="27">
        <v>46291</v>
      </c>
      <c r="C765" s="26"/>
      <c r="D765" s="26" t="s">
        <v>7</v>
      </c>
      <c r="E765" s="26"/>
      <c r="F765" s="28">
        <v>4</v>
      </c>
      <c r="G765" s="26"/>
      <c r="H765" s="27">
        <v>46294</v>
      </c>
      <c r="I765" s="32">
        <v>3</v>
      </c>
      <c r="J765" s="27">
        <v>46298</v>
      </c>
      <c r="K765" s="26"/>
      <c r="L765" s="26" t="s">
        <v>5</v>
      </c>
      <c r="M765" s="26"/>
      <c r="N765" s="26" t="s">
        <v>4</v>
      </c>
    </row>
    <row r="766" spans="1:14" ht="21" customHeight="1" x14ac:dyDescent="0.25">
      <c r="A766" s="26">
        <v>4230</v>
      </c>
      <c r="B766" s="27">
        <v>46291</v>
      </c>
      <c r="C766" s="26"/>
      <c r="D766" s="26" t="s">
        <v>210</v>
      </c>
      <c r="E766" s="26"/>
      <c r="F766" s="28">
        <v>4</v>
      </c>
      <c r="G766" s="26"/>
      <c r="H766" s="27">
        <v>46294</v>
      </c>
      <c r="I766" s="32">
        <v>5</v>
      </c>
      <c r="J766" s="27">
        <v>46300</v>
      </c>
      <c r="K766" s="26"/>
      <c r="L766" s="26"/>
      <c r="M766" s="26" t="s">
        <v>1</v>
      </c>
      <c r="N766" s="26"/>
    </row>
    <row r="767" spans="1:14" ht="21" customHeight="1" x14ac:dyDescent="0.25">
      <c r="A767" s="26">
        <v>4028</v>
      </c>
      <c r="B767" s="27">
        <v>46291</v>
      </c>
      <c r="C767" s="26"/>
      <c r="D767" s="26" t="s">
        <v>210</v>
      </c>
      <c r="E767" s="26"/>
      <c r="F767" s="28">
        <v>4</v>
      </c>
      <c r="G767" s="26"/>
      <c r="H767" s="27">
        <v>46294</v>
      </c>
      <c r="I767" s="32">
        <v>5</v>
      </c>
      <c r="J767" s="27">
        <v>46300</v>
      </c>
      <c r="K767" s="26" t="s">
        <v>3</v>
      </c>
      <c r="L767" s="26"/>
      <c r="M767" s="26" t="s">
        <v>1</v>
      </c>
      <c r="N767" s="26" t="s">
        <v>4</v>
      </c>
    </row>
    <row r="768" spans="1:14" ht="21" customHeight="1" x14ac:dyDescent="0.25">
      <c r="A768" s="26">
        <v>4832</v>
      </c>
      <c r="B768" s="27">
        <v>46291</v>
      </c>
      <c r="C768" s="26"/>
      <c r="D768" s="26" t="s">
        <v>210</v>
      </c>
      <c r="E768" s="26"/>
      <c r="F768" s="28">
        <v>4</v>
      </c>
      <c r="G768" s="26"/>
      <c r="H768" s="27">
        <v>46294</v>
      </c>
      <c r="I768" s="32">
        <v>5</v>
      </c>
      <c r="J768" s="27">
        <v>46300</v>
      </c>
      <c r="K768" s="26"/>
      <c r="L768" s="26"/>
      <c r="M768" s="26"/>
      <c r="N768" s="26" t="s">
        <v>4</v>
      </c>
    </row>
    <row r="769" spans="1:14" ht="21" customHeight="1" x14ac:dyDescent="0.25">
      <c r="A769" s="26">
        <v>3050</v>
      </c>
      <c r="B769" s="27">
        <v>46291</v>
      </c>
      <c r="C769" s="26"/>
      <c r="D769" s="26" t="s">
        <v>210</v>
      </c>
      <c r="E769" s="26"/>
      <c r="F769" s="28">
        <v>4</v>
      </c>
      <c r="G769" s="26"/>
      <c r="H769" s="27">
        <v>46294</v>
      </c>
      <c r="I769" s="32">
        <v>5</v>
      </c>
      <c r="J769" s="27">
        <v>46300</v>
      </c>
      <c r="K769" s="26"/>
      <c r="L769" s="26" t="s">
        <v>5</v>
      </c>
      <c r="M769" s="26"/>
      <c r="N769" s="26" t="s">
        <v>4</v>
      </c>
    </row>
    <row r="770" spans="1:14" ht="21" customHeight="1" x14ac:dyDescent="0.25">
      <c r="A770" s="26">
        <v>4303</v>
      </c>
      <c r="B770" s="27">
        <v>46292</v>
      </c>
      <c r="C770" s="26"/>
      <c r="D770" s="26" t="s">
        <v>20</v>
      </c>
      <c r="E770" s="26"/>
      <c r="F770" s="28">
        <v>4</v>
      </c>
      <c r="G770" s="26"/>
      <c r="H770" s="27">
        <v>46295</v>
      </c>
      <c r="I770" s="32">
        <v>9</v>
      </c>
      <c r="J770" s="27">
        <v>46305</v>
      </c>
      <c r="K770" s="26"/>
      <c r="L770" s="26"/>
      <c r="M770" s="26" t="s">
        <v>1</v>
      </c>
      <c r="N770" s="26"/>
    </row>
    <row r="771" spans="1:14" ht="21" customHeight="1" x14ac:dyDescent="0.25">
      <c r="A771" s="26">
        <v>2225</v>
      </c>
      <c r="B771" s="27">
        <v>46293</v>
      </c>
      <c r="C771" s="26"/>
      <c r="D771" s="26" t="s">
        <v>21</v>
      </c>
      <c r="E771" s="26"/>
      <c r="F771" s="28">
        <v>4</v>
      </c>
      <c r="G771" s="26"/>
      <c r="H771" s="27">
        <v>46296</v>
      </c>
      <c r="I771" s="32">
        <v>9</v>
      </c>
      <c r="J771" s="27">
        <v>46306</v>
      </c>
      <c r="K771" s="26"/>
      <c r="L771" s="26"/>
      <c r="M771" s="26"/>
      <c r="N771" s="26" t="s">
        <v>4</v>
      </c>
    </row>
    <row r="772" spans="1:14" ht="21" customHeight="1" x14ac:dyDescent="0.25">
      <c r="A772" s="26">
        <v>3688</v>
      </c>
      <c r="B772" s="27">
        <v>46293</v>
      </c>
      <c r="C772" s="26"/>
      <c r="D772" s="26" t="s">
        <v>21</v>
      </c>
      <c r="E772" s="26"/>
      <c r="F772" s="28">
        <v>4</v>
      </c>
      <c r="G772" s="26"/>
      <c r="H772" s="27">
        <v>46296</v>
      </c>
      <c r="I772" s="32">
        <v>9</v>
      </c>
      <c r="J772" s="27">
        <v>46306</v>
      </c>
      <c r="K772" s="26"/>
      <c r="L772" s="26" t="s">
        <v>5</v>
      </c>
      <c r="M772" s="26"/>
      <c r="N772" s="26"/>
    </row>
    <row r="773" spans="1:14" ht="21" customHeight="1" x14ac:dyDescent="0.25">
      <c r="A773" s="26">
        <v>2927</v>
      </c>
      <c r="B773" s="27">
        <v>46293</v>
      </c>
      <c r="C773" s="26"/>
      <c r="D773" s="26" t="s">
        <v>7</v>
      </c>
      <c r="E773" s="26"/>
      <c r="F773" s="28">
        <v>4</v>
      </c>
      <c r="G773" s="26"/>
      <c r="H773" s="27">
        <v>46296</v>
      </c>
      <c r="I773" s="32">
        <v>3</v>
      </c>
      <c r="J773" s="27">
        <v>46300</v>
      </c>
      <c r="K773" s="26" t="s">
        <v>3</v>
      </c>
      <c r="L773" s="26"/>
      <c r="M773" s="26"/>
      <c r="N773" s="26"/>
    </row>
    <row r="774" spans="1:14" ht="21" customHeight="1" x14ac:dyDescent="0.25">
      <c r="A774" s="26">
        <v>4478</v>
      </c>
      <c r="B774" s="27">
        <v>46293</v>
      </c>
      <c r="C774" s="26"/>
      <c r="D774" s="26" t="s">
        <v>210</v>
      </c>
      <c r="E774" s="26"/>
      <c r="F774" s="28">
        <v>4</v>
      </c>
      <c r="G774" s="26"/>
      <c r="H774" s="27">
        <v>46296</v>
      </c>
      <c r="I774" s="32">
        <v>5</v>
      </c>
      <c r="J774" s="27">
        <v>46302</v>
      </c>
      <c r="K774" s="26"/>
      <c r="L774" s="26"/>
      <c r="M774" s="26" t="s">
        <v>1</v>
      </c>
      <c r="N774" s="26"/>
    </row>
    <row r="775" spans="1:14" ht="21" customHeight="1" x14ac:dyDescent="0.25">
      <c r="A775" s="26"/>
      <c r="B775" s="26"/>
      <c r="C775" s="26"/>
      <c r="D775" s="26"/>
      <c r="E775" s="26"/>
      <c r="F775" s="28"/>
      <c r="G775" s="26"/>
      <c r="H775" s="26"/>
      <c r="I775" s="32"/>
      <c r="J775" s="26"/>
      <c r="K775" s="26"/>
      <c r="L775" s="26"/>
      <c r="M775" s="26"/>
      <c r="N775" s="26"/>
    </row>
    <row r="776" spans="1:14" ht="21" customHeight="1" x14ac:dyDescent="0.25">
      <c r="A776" s="26"/>
      <c r="B776" s="26"/>
      <c r="C776" s="26"/>
      <c r="D776" s="26"/>
      <c r="E776" s="26"/>
      <c r="F776" s="28"/>
      <c r="G776" s="26"/>
      <c r="H776" s="26"/>
      <c r="I776" s="32"/>
      <c r="J776" s="26"/>
      <c r="K776" s="26"/>
      <c r="L776" s="26"/>
      <c r="M776" s="26"/>
      <c r="N776" s="26"/>
    </row>
    <row r="777" spans="1:14" ht="21" customHeight="1" x14ac:dyDescent="0.25">
      <c r="A777" s="26"/>
      <c r="B777" s="26"/>
      <c r="C777" s="26"/>
      <c r="D777" s="26"/>
      <c r="E777" s="26"/>
      <c r="F777" s="28"/>
      <c r="G777" s="26"/>
      <c r="H777" s="26"/>
      <c r="I777" s="32"/>
      <c r="J777" s="26"/>
      <c r="K777" s="26"/>
      <c r="L777" s="26"/>
      <c r="M777" s="26"/>
      <c r="N777" s="26"/>
    </row>
    <row r="778" spans="1:14" ht="21" customHeight="1" x14ac:dyDescent="0.25">
      <c r="A778" s="26"/>
      <c r="B778" s="26"/>
      <c r="C778" s="26"/>
      <c r="D778" s="26"/>
      <c r="E778" s="26"/>
      <c r="F778" s="28"/>
      <c r="G778" s="26"/>
      <c r="H778" s="26"/>
      <c r="I778" s="32"/>
      <c r="J778" s="26"/>
      <c r="K778" s="26"/>
      <c r="L778" s="26"/>
      <c r="M778" s="26"/>
      <c r="N778" s="26"/>
    </row>
    <row r="779" spans="1:14" ht="21" customHeight="1" x14ac:dyDescent="0.25">
      <c r="A779" s="26"/>
      <c r="B779" s="26"/>
      <c r="C779" s="26"/>
      <c r="D779" s="26"/>
      <c r="E779" s="26"/>
      <c r="F779" s="28"/>
      <c r="G779" s="26"/>
      <c r="H779" s="26"/>
      <c r="I779" s="32"/>
      <c r="J779" s="26"/>
      <c r="K779" s="26"/>
      <c r="L779" s="26"/>
      <c r="M779" s="26"/>
      <c r="N779" s="26"/>
    </row>
    <row r="780" spans="1:14" ht="21" customHeight="1" x14ac:dyDescent="0.25">
      <c r="A780" s="26"/>
      <c r="B780" s="26"/>
      <c r="C780" s="26"/>
      <c r="D780" s="26"/>
      <c r="E780" s="26"/>
      <c r="F780" s="28"/>
      <c r="G780" s="26"/>
      <c r="H780" s="26"/>
      <c r="I780" s="32"/>
      <c r="J780" s="26"/>
      <c r="K780" s="26"/>
      <c r="L780" s="26"/>
      <c r="M780" s="26"/>
      <c r="N780" s="26"/>
    </row>
    <row r="781" spans="1:14" ht="21" customHeight="1" x14ac:dyDescent="0.25">
      <c r="A781" s="26"/>
      <c r="B781" s="26"/>
      <c r="C781" s="26"/>
      <c r="D781" s="26"/>
      <c r="E781" s="26"/>
      <c r="F781" s="28"/>
      <c r="G781" s="26"/>
      <c r="H781" s="26"/>
      <c r="I781" s="32"/>
      <c r="J781" s="26"/>
      <c r="K781" s="26"/>
      <c r="L781" s="26"/>
      <c r="M781" s="26"/>
      <c r="N781" s="26"/>
    </row>
    <row r="782" spans="1:14" ht="21" customHeight="1" x14ac:dyDescent="0.25">
      <c r="A782" s="26"/>
      <c r="B782" s="26"/>
      <c r="C782" s="26"/>
      <c r="D782" s="26"/>
      <c r="E782" s="26"/>
      <c r="F782" s="28"/>
      <c r="G782" s="26"/>
      <c r="H782" s="26"/>
      <c r="I782" s="32"/>
      <c r="J782" s="26"/>
      <c r="K782" s="26"/>
      <c r="L782" s="26"/>
      <c r="M782" s="26"/>
      <c r="N782" s="26"/>
    </row>
    <row r="783" spans="1:14" ht="21" customHeight="1" x14ac:dyDescent="0.25">
      <c r="A783" s="26"/>
      <c r="B783" s="26"/>
      <c r="C783" s="26"/>
      <c r="D783" s="26"/>
      <c r="E783" s="26"/>
      <c r="F783" s="28"/>
      <c r="G783" s="26"/>
      <c r="H783" s="26"/>
      <c r="I783" s="32"/>
      <c r="J783" s="26"/>
      <c r="K783" s="26"/>
      <c r="L783" s="26"/>
      <c r="M783" s="26"/>
      <c r="N783" s="26"/>
    </row>
    <row r="784" spans="1:14" ht="21" customHeight="1" x14ac:dyDescent="0.25">
      <c r="A784" s="26"/>
      <c r="B784" s="26"/>
      <c r="C784" s="26"/>
      <c r="D784" s="26"/>
      <c r="E784" s="26"/>
      <c r="F784" s="28"/>
      <c r="G784" s="26"/>
      <c r="H784" s="26"/>
      <c r="I784" s="32"/>
      <c r="J784" s="26"/>
      <c r="K784" s="26"/>
      <c r="L784" s="26"/>
      <c r="M784" s="26"/>
      <c r="N784" s="26"/>
    </row>
    <row r="785" spans="1:14" ht="21" customHeight="1" x14ac:dyDescent="0.25">
      <c r="A785" s="26"/>
      <c r="B785" s="26"/>
      <c r="C785" s="26"/>
      <c r="D785" s="26"/>
      <c r="E785" s="26"/>
      <c r="F785" s="28"/>
      <c r="G785" s="26"/>
      <c r="H785" s="26"/>
      <c r="I785" s="32"/>
      <c r="J785" s="26"/>
      <c r="K785" s="26"/>
      <c r="L785" s="26"/>
      <c r="M785" s="26"/>
      <c r="N785" s="26"/>
    </row>
    <row r="786" spans="1:14" ht="21" customHeight="1" x14ac:dyDescent="0.25">
      <c r="A786" s="26"/>
      <c r="B786" s="26"/>
      <c r="C786" s="26"/>
      <c r="D786" s="26"/>
      <c r="E786" s="26"/>
      <c r="F786" s="28"/>
      <c r="G786" s="26"/>
      <c r="H786" s="26"/>
      <c r="I786" s="32"/>
      <c r="J786" s="26"/>
      <c r="K786" s="26"/>
      <c r="L786" s="26"/>
      <c r="M786" s="26"/>
      <c r="N786" s="26"/>
    </row>
    <row r="787" spans="1:14" ht="21" customHeight="1" x14ac:dyDescent="0.25">
      <c r="A787" s="26"/>
      <c r="B787" s="26"/>
      <c r="C787" s="26"/>
      <c r="D787" s="26"/>
      <c r="E787" s="26"/>
      <c r="F787" s="28"/>
      <c r="G787" s="26"/>
      <c r="H787" s="26"/>
      <c r="I787" s="32"/>
      <c r="J787" s="26"/>
      <c r="K787" s="26"/>
      <c r="L787" s="26"/>
      <c r="M787" s="26"/>
      <c r="N787" s="26"/>
    </row>
    <row r="788" spans="1:14" ht="21" customHeight="1" x14ac:dyDescent="0.25">
      <c r="A788" s="26"/>
      <c r="B788" s="26"/>
      <c r="C788" s="26"/>
      <c r="D788" s="26"/>
      <c r="E788" s="26"/>
      <c r="F788" s="28"/>
      <c r="G788" s="26"/>
      <c r="H788" s="26"/>
      <c r="I788" s="32"/>
      <c r="J788" s="26"/>
      <c r="K788" s="26"/>
      <c r="L788" s="26"/>
      <c r="M788" s="26"/>
      <c r="N788" s="26"/>
    </row>
    <row r="789" spans="1:14" ht="21" customHeight="1" x14ac:dyDescent="0.25">
      <c r="A789" s="26"/>
      <c r="B789" s="26"/>
      <c r="C789" s="26"/>
      <c r="D789" s="26"/>
      <c r="E789" s="26"/>
      <c r="F789" s="28"/>
      <c r="G789" s="26"/>
      <c r="H789" s="26"/>
      <c r="I789" s="32"/>
      <c r="J789" s="26"/>
      <c r="K789" s="26"/>
      <c r="L789" s="26"/>
      <c r="M789" s="26"/>
      <c r="N789" s="26"/>
    </row>
    <row r="790" spans="1:14" ht="21" customHeight="1" x14ac:dyDescent="0.25">
      <c r="A790" s="26"/>
      <c r="B790" s="26"/>
      <c r="C790" s="26"/>
      <c r="D790" s="26"/>
      <c r="E790" s="26"/>
      <c r="F790" s="28"/>
      <c r="G790" s="26"/>
      <c r="H790" s="26"/>
      <c r="I790" s="32"/>
      <c r="J790" s="26"/>
      <c r="K790" s="26"/>
      <c r="L790" s="26"/>
      <c r="M790" s="26"/>
      <c r="N790" s="26"/>
    </row>
    <row r="791" spans="1:14" ht="21" customHeight="1" x14ac:dyDescent="0.25">
      <c r="A791" s="26"/>
      <c r="B791" s="26"/>
      <c r="C791" s="26"/>
      <c r="D791" s="26"/>
      <c r="E791" s="26"/>
      <c r="F791" s="28"/>
      <c r="G791" s="26"/>
      <c r="H791" s="26"/>
      <c r="I791" s="32"/>
      <c r="J791" s="26"/>
      <c r="K791" s="26"/>
      <c r="L791" s="26"/>
      <c r="M791" s="26"/>
      <c r="N791" s="26"/>
    </row>
    <row r="792" spans="1:14" ht="21" customHeight="1" x14ac:dyDescent="0.25">
      <c r="A792" s="26"/>
      <c r="B792" s="26"/>
      <c r="C792" s="26"/>
      <c r="D792" s="26"/>
      <c r="E792" s="26"/>
      <c r="F792" s="28"/>
      <c r="G792" s="26"/>
      <c r="H792" s="26"/>
      <c r="I792" s="32"/>
      <c r="J792" s="26"/>
      <c r="K792" s="26"/>
      <c r="L792" s="26"/>
      <c r="M792" s="26"/>
      <c r="N792" s="26"/>
    </row>
    <row r="793" spans="1:14" ht="21" customHeight="1" x14ac:dyDescent="0.25">
      <c r="A793" s="26"/>
      <c r="B793" s="26"/>
      <c r="C793" s="26"/>
      <c r="D793" s="26"/>
      <c r="E793" s="26"/>
      <c r="F793" s="28"/>
      <c r="G793" s="26"/>
      <c r="H793" s="26"/>
      <c r="I793" s="32"/>
      <c r="J793" s="26"/>
      <c r="K793" s="26"/>
      <c r="L793" s="26"/>
      <c r="M793" s="26"/>
      <c r="N793" s="26"/>
    </row>
    <row r="794" spans="1:14" ht="21" customHeight="1" x14ac:dyDescent="0.25">
      <c r="A794" s="26"/>
      <c r="B794" s="26"/>
      <c r="C794" s="26"/>
      <c r="D794" s="26"/>
      <c r="E794" s="26"/>
      <c r="F794" s="28"/>
      <c r="G794" s="26"/>
      <c r="H794" s="26"/>
      <c r="I794" s="32"/>
      <c r="J794" s="26"/>
      <c r="K794" s="26"/>
      <c r="L794" s="26"/>
      <c r="M794" s="26"/>
      <c r="N794" s="26"/>
    </row>
    <row r="795" spans="1:14" ht="21" customHeight="1" x14ac:dyDescent="0.25">
      <c r="A795" s="26"/>
      <c r="B795" s="26"/>
      <c r="C795" s="26"/>
      <c r="D795" s="26"/>
      <c r="E795" s="26"/>
      <c r="F795" s="28"/>
      <c r="G795" s="26"/>
      <c r="H795" s="26"/>
      <c r="I795" s="32"/>
      <c r="J795" s="26"/>
      <c r="K795" s="26"/>
      <c r="L795" s="26"/>
      <c r="M795" s="26"/>
      <c r="N795" s="26"/>
    </row>
    <row r="796" spans="1:14" ht="21" customHeight="1" x14ac:dyDescent="0.25">
      <c r="A796" s="26"/>
      <c r="B796" s="26"/>
      <c r="C796" s="26"/>
      <c r="D796" s="26"/>
      <c r="E796" s="26"/>
      <c r="F796" s="28"/>
      <c r="G796" s="26"/>
      <c r="H796" s="26"/>
      <c r="I796" s="32"/>
      <c r="J796" s="26"/>
      <c r="K796" s="26"/>
      <c r="L796" s="26"/>
      <c r="M796" s="26"/>
      <c r="N796" s="26"/>
    </row>
    <row r="797" spans="1:14" ht="21" customHeight="1" x14ac:dyDescent="0.25">
      <c r="A797" s="26"/>
      <c r="B797" s="26"/>
      <c r="C797" s="26"/>
      <c r="D797" s="26"/>
      <c r="E797" s="26"/>
      <c r="F797" s="28"/>
      <c r="G797" s="26"/>
      <c r="H797" s="26"/>
      <c r="I797" s="32"/>
      <c r="J797" s="26"/>
      <c r="K797" s="26"/>
      <c r="L797" s="26"/>
      <c r="M797" s="26"/>
      <c r="N797" s="26"/>
    </row>
    <row r="798" spans="1:14" ht="21" customHeight="1" x14ac:dyDescent="0.25">
      <c r="A798" s="26"/>
      <c r="B798" s="26"/>
      <c r="C798" s="26"/>
      <c r="D798" s="26"/>
      <c r="E798" s="26"/>
      <c r="F798" s="28"/>
      <c r="G798" s="26"/>
      <c r="H798" s="26"/>
      <c r="I798" s="32"/>
      <c r="J798" s="26"/>
      <c r="K798" s="26"/>
      <c r="L798" s="26"/>
      <c r="M798" s="26"/>
      <c r="N798" s="26"/>
    </row>
    <row r="799" spans="1:14" ht="21" customHeight="1" x14ac:dyDescent="0.25">
      <c r="A799" s="26"/>
      <c r="B799" s="26"/>
      <c r="C799" s="26"/>
      <c r="D799" s="26"/>
      <c r="E799" s="26"/>
      <c r="F799" s="28"/>
      <c r="G799" s="26"/>
      <c r="H799" s="26"/>
      <c r="I799" s="32"/>
      <c r="J799" s="26"/>
      <c r="K799" s="26"/>
      <c r="L799" s="26"/>
      <c r="M799" s="26"/>
      <c r="N799" s="26"/>
    </row>
    <row r="800" spans="1:14" ht="21" customHeight="1" x14ac:dyDescent="0.25">
      <c r="A800" s="26"/>
      <c r="B800" s="26"/>
      <c r="C800" s="26"/>
      <c r="D800" s="26"/>
      <c r="E800" s="26"/>
      <c r="F800" s="28"/>
      <c r="G800" s="26"/>
      <c r="H800" s="26"/>
      <c r="I800" s="32"/>
      <c r="J800" s="26"/>
      <c r="K800" s="26"/>
      <c r="L800" s="26"/>
      <c r="M800" s="26"/>
      <c r="N800" s="26"/>
    </row>
    <row r="801" spans="1:14" ht="21" customHeight="1" x14ac:dyDescent="0.25">
      <c r="A801" s="26"/>
      <c r="B801" s="26"/>
      <c r="C801" s="26"/>
      <c r="D801" s="26"/>
      <c r="E801" s="26"/>
      <c r="F801" s="28"/>
      <c r="G801" s="26"/>
      <c r="H801" s="26"/>
      <c r="I801" s="32"/>
      <c r="J801" s="26"/>
      <c r="K801" s="26"/>
      <c r="L801" s="26"/>
      <c r="M801" s="26"/>
      <c r="N801" s="26"/>
    </row>
    <row r="802" spans="1:14" ht="21" customHeight="1" x14ac:dyDescent="0.25">
      <c r="A802" s="26"/>
      <c r="B802" s="26"/>
      <c r="C802" s="26"/>
      <c r="D802" s="26"/>
      <c r="E802" s="26"/>
      <c r="F802" s="28"/>
      <c r="G802" s="26"/>
      <c r="H802" s="26"/>
      <c r="I802" s="32"/>
      <c r="J802" s="26"/>
      <c r="K802" s="26"/>
      <c r="L802" s="26"/>
      <c r="M802" s="26"/>
      <c r="N802" s="26"/>
    </row>
    <row r="803" spans="1:14" ht="21" customHeight="1" x14ac:dyDescent="0.25">
      <c r="A803" s="26"/>
      <c r="B803" s="26"/>
      <c r="C803" s="26"/>
      <c r="D803" s="26"/>
      <c r="E803" s="26"/>
      <c r="F803" s="28"/>
      <c r="G803" s="26"/>
      <c r="H803" s="26"/>
      <c r="I803" s="32"/>
      <c r="J803" s="26"/>
      <c r="K803" s="26"/>
      <c r="L803" s="26"/>
      <c r="M803" s="26"/>
      <c r="N803" s="26"/>
    </row>
    <row r="804" spans="1:14" ht="21" customHeight="1" x14ac:dyDescent="0.25">
      <c r="A804" s="26"/>
      <c r="B804" s="26"/>
      <c r="C804" s="26"/>
      <c r="D804" s="26"/>
      <c r="E804" s="26"/>
      <c r="F804" s="28"/>
      <c r="G804" s="26"/>
      <c r="H804" s="26"/>
      <c r="I804" s="32"/>
      <c r="J804" s="26"/>
      <c r="K804" s="26"/>
      <c r="L804" s="26"/>
      <c r="M804" s="26"/>
      <c r="N804" s="26"/>
    </row>
    <row r="805" spans="1:14" ht="21" customHeight="1" x14ac:dyDescent="0.25">
      <c r="A805" s="26"/>
      <c r="B805" s="26"/>
      <c r="C805" s="26"/>
      <c r="D805" s="26"/>
      <c r="E805" s="26"/>
      <c r="F805" s="28"/>
      <c r="G805" s="26"/>
      <c r="H805" s="26"/>
      <c r="I805" s="32"/>
      <c r="J805" s="26"/>
      <c r="K805" s="26"/>
      <c r="L805" s="26"/>
      <c r="M805" s="26"/>
      <c r="N805" s="26"/>
    </row>
    <row r="806" spans="1:14" ht="21" customHeight="1" x14ac:dyDescent="0.25">
      <c r="A806" s="26"/>
      <c r="B806" s="26"/>
      <c r="C806" s="26"/>
      <c r="D806" s="26"/>
      <c r="E806" s="26"/>
      <c r="F806" s="28"/>
      <c r="G806" s="26"/>
      <c r="H806" s="26"/>
      <c r="I806" s="32"/>
      <c r="J806" s="26"/>
      <c r="K806" s="26"/>
      <c r="L806" s="26"/>
      <c r="M806" s="26"/>
      <c r="N806" s="26"/>
    </row>
    <row r="807" spans="1:14" ht="21" customHeight="1" x14ac:dyDescent="0.25">
      <c r="A807" s="26"/>
      <c r="B807" s="26"/>
      <c r="C807" s="26"/>
      <c r="D807" s="26"/>
      <c r="E807" s="26"/>
      <c r="F807" s="28"/>
      <c r="G807" s="26"/>
      <c r="H807" s="26"/>
      <c r="I807" s="32"/>
      <c r="J807" s="26"/>
      <c r="K807" s="26"/>
      <c r="L807" s="26"/>
      <c r="M807" s="26"/>
      <c r="N807" s="26"/>
    </row>
    <row r="808" spans="1:14" ht="21" customHeight="1" x14ac:dyDescent="0.25">
      <c r="A808" s="26"/>
      <c r="B808" s="26"/>
      <c r="C808" s="26"/>
      <c r="D808" s="26"/>
      <c r="E808" s="26"/>
      <c r="F808" s="28"/>
      <c r="G808" s="26"/>
      <c r="H808" s="26"/>
      <c r="I808" s="32"/>
      <c r="J808" s="26"/>
      <c r="K808" s="26"/>
      <c r="L808" s="26"/>
      <c r="M808" s="26"/>
      <c r="N808" s="26"/>
    </row>
    <row r="809" spans="1:14" ht="21" customHeight="1" x14ac:dyDescent="0.25">
      <c r="A809" s="26"/>
      <c r="B809" s="26"/>
      <c r="C809" s="26"/>
      <c r="D809" s="26"/>
      <c r="E809" s="26"/>
      <c r="F809" s="28"/>
      <c r="G809" s="26"/>
      <c r="H809" s="26"/>
      <c r="I809" s="32"/>
      <c r="J809" s="26"/>
      <c r="K809" s="26"/>
      <c r="L809" s="26"/>
      <c r="M809" s="26"/>
      <c r="N809" s="26"/>
    </row>
    <row r="810" spans="1:14" ht="21" customHeight="1" x14ac:dyDescent="0.25">
      <c r="A810" s="26"/>
      <c r="B810" s="26"/>
      <c r="C810" s="26"/>
      <c r="D810" s="26"/>
      <c r="E810" s="26"/>
      <c r="F810" s="28"/>
      <c r="G810" s="26"/>
      <c r="H810" s="26"/>
      <c r="I810" s="32"/>
      <c r="J810" s="26"/>
      <c r="K810" s="26"/>
      <c r="L810" s="26"/>
      <c r="M810" s="26"/>
      <c r="N810" s="26"/>
    </row>
    <row r="811" spans="1:14" ht="21" customHeight="1" x14ac:dyDescent="0.25">
      <c r="A811" s="26"/>
      <c r="B811" s="26"/>
      <c r="C811" s="26"/>
      <c r="D811" s="26"/>
      <c r="E811" s="26"/>
      <c r="F811" s="28"/>
      <c r="G811" s="26"/>
      <c r="H811" s="26"/>
      <c r="I811" s="32"/>
      <c r="J811" s="26"/>
      <c r="K811" s="26"/>
      <c r="L811" s="26"/>
      <c r="M811" s="26"/>
      <c r="N811" s="26"/>
    </row>
    <row r="812" spans="1:14" ht="21" customHeight="1" x14ac:dyDescent="0.25">
      <c r="A812" s="26"/>
      <c r="B812" s="26"/>
      <c r="C812" s="26"/>
      <c r="D812" s="26"/>
      <c r="E812" s="26"/>
      <c r="F812" s="28"/>
      <c r="G812" s="26"/>
      <c r="H812" s="26"/>
      <c r="I812" s="32"/>
      <c r="J812" s="26"/>
      <c r="K812" s="26"/>
      <c r="L812" s="26"/>
      <c r="M812" s="26"/>
      <c r="N812" s="26"/>
    </row>
    <row r="813" spans="1:14" ht="21" customHeight="1" x14ac:dyDescent="0.25">
      <c r="A813" s="26"/>
      <c r="B813" s="26"/>
      <c r="C813" s="26"/>
      <c r="D813" s="26"/>
      <c r="E813" s="26"/>
      <c r="F813" s="28"/>
      <c r="G813" s="26"/>
      <c r="H813" s="26"/>
      <c r="I813" s="32"/>
      <c r="J813" s="26"/>
      <c r="K813" s="26"/>
      <c r="L813" s="26"/>
      <c r="M813" s="26"/>
      <c r="N813" s="26"/>
    </row>
    <row r="814" spans="1:14" ht="21" customHeight="1" x14ac:dyDescent="0.25">
      <c r="A814" s="26"/>
      <c r="B814" s="26"/>
      <c r="C814" s="26"/>
      <c r="D814" s="26"/>
      <c r="E814" s="26"/>
      <c r="F814" s="28"/>
      <c r="G814" s="26"/>
      <c r="H814" s="26"/>
      <c r="I814" s="32"/>
      <c r="J814" s="26"/>
      <c r="K814" s="26"/>
      <c r="L814" s="26"/>
      <c r="M814" s="26"/>
      <c r="N814" s="26"/>
    </row>
    <row r="815" spans="1:14" ht="21" customHeight="1" x14ac:dyDescent="0.25">
      <c r="A815" s="26"/>
      <c r="B815" s="26"/>
      <c r="C815" s="26"/>
      <c r="D815" s="26"/>
      <c r="E815" s="26"/>
      <c r="F815" s="28"/>
      <c r="G815" s="26"/>
      <c r="H815" s="26"/>
      <c r="I815" s="32"/>
      <c r="J815" s="26"/>
      <c r="K815" s="26"/>
      <c r="L815" s="26"/>
      <c r="M815" s="26"/>
      <c r="N815" s="26"/>
    </row>
    <row r="816" spans="1:14" ht="21" customHeight="1" x14ac:dyDescent="0.25">
      <c r="A816" s="26"/>
      <c r="B816" s="26"/>
      <c r="C816" s="26"/>
      <c r="D816" s="26"/>
      <c r="E816" s="26"/>
      <c r="F816" s="28"/>
      <c r="G816" s="26"/>
      <c r="H816" s="26"/>
      <c r="I816" s="32"/>
      <c r="J816" s="26"/>
      <c r="K816" s="26"/>
      <c r="L816" s="26"/>
      <c r="M816" s="26"/>
      <c r="N816" s="26"/>
    </row>
    <row r="817" spans="1:14" ht="21" customHeight="1" x14ac:dyDescent="0.25">
      <c r="A817" s="26"/>
      <c r="B817" s="26"/>
      <c r="C817" s="26"/>
      <c r="D817" s="26"/>
      <c r="E817" s="26"/>
      <c r="F817" s="28"/>
      <c r="G817" s="26"/>
      <c r="H817" s="26"/>
      <c r="I817" s="32"/>
      <c r="J817" s="26"/>
      <c r="K817" s="26"/>
      <c r="L817" s="26"/>
      <c r="M817" s="26"/>
      <c r="N817" s="26"/>
    </row>
    <row r="818" spans="1:14" ht="21" customHeight="1" x14ac:dyDescent="0.25">
      <c r="A818" s="26"/>
      <c r="B818" s="26"/>
      <c r="C818" s="26"/>
      <c r="D818" s="26"/>
      <c r="E818" s="26"/>
      <c r="F818" s="28"/>
      <c r="G818" s="26"/>
      <c r="H818" s="26"/>
      <c r="I818" s="32"/>
      <c r="J818" s="26"/>
      <c r="K818" s="26"/>
      <c r="L818" s="26"/>
      <c r="M818" s="26"/>
      <c r="N818" s="26"/>
    </row>
    <row r="819" spans="1:14" ht="21" customHeight="1" x14ac:dyDescent="0.25">
      <c r="A819" s="26"/>
      <c r="B819" s="26"/>
      <c r="C819" s="26"/>
      <c r="D819" s="26"/>
      <c r="E819" s="26"/>
      <c r="F819" s="28"/>
      <c r="G819" s="26"/>
      <c r="H819" s="26"/>
      <c r="I819" s="32"/>
      <c r="J819" s="26"/>
      <c r="K819" s="26"/>
      <c r="L819" s="26"/>
      <c r="M819" s="26"/>
      <c r="N819" s="26"/>
    </row>
    <row r="820" spans="1:14" ht="21" customHeight="1" x14ac:dyDescent="0.25">
      <c r="A820" s="26"/>
      <c r="B820" s="26"/>
      <c r="C820" s="26"/>
      <c r="D820" s="26"/>
      <c r="E820" s="26"/>
      <c r="F820" s="28"/>
      <c r="G820" s="26"/>
      <c r="H820" s="26"/>
      <c r="I820" s="32"/>
      <c r="J820" s="26"/>
      <c r="K820" s="26"/>
      <c r="L820" s="26"/>
      <c r="M820" s="26"/>
      <c r="N820" s="26"/>
    </row>
    <row r="821" spans="1:14" ht="21" customHeight="1" x14ac:dyDescent="0.25">
      <c r="A821" s="26"/>
      <c r="B821" s="26"/>
      <c r="C821" s="26"/>
      <c r="D821" s="26"/>
      <c r="E821" s="26"/>
      <c r="F821" s="28"/>
      <c r="G821" s="26"/>
      <c r="H821" s="26"/>
      <c r="I821" s="32"/>
      <c r="J821" s="26"/>
      <c r="K821" s="26"/>
      <c r="L821" s="26"/>
      <c r="M821" s="26"/>
      <c r="N821" s="26"/>
    </row>
    <row r="822" spans="1:14" ht="21" customHeight="1" x14ac:dyDescent="0.25">
      <c r="A822" s="26"/>
      <c r="B822" s="26"/>
      <c r="C822" s="26"/>
      <c r="D822" s="26"/>
      <c r="E822" s="26"/>
      <c r="F822" s="28"/>
      <c r="G822" s="26"/>
      <c r="H822" s="26"/>
      <c r="I822" s="32"/>
      <c r="J822" s="26"/>
      <c r="K822" s="26"/>
      <c r="L822" s="26"/>
      <c r="M822" s="26"/>
      <c r="N822" s="26"/>
    </row>
    <row r="823" spans="1:14" ht="21" customHeight="1" x14ac:dyDescent="0.25">
      <c r="A823" s="26"/>
      <c r="B823" s="26"/>
      <c r="C823" s="26"/>
      <c r="D823" s="26"/>
      <c r="E823" s="26"/>
      <c r="F823" s="28"/>
      <c r="G823" s="26"/>
      <c r="H823" s="26"/>
      <c r="I823" s="32"/>
      <c r="J823" s="26"/>
      <c r="K823" s="26"/>
      <c r="L823" s="26"/>
      <c r="M823" s="26"/>
      <c r="N823" s="26"/>
    </row>
    <row r="824" spans="1:14" ht="21" customHeight="1" x14ac:dyDescent="0.25">
      <c r="A824" s="26"/>
      <c r="B824" s="26"/>
      <c r="C824" s="26"/>
      <c r="D824" s="26"/>
      <c r="E824" s="26"/>
      <c r="F824" s="28"/>
      <c r="G824" s="26"/>
      <c r="H824" s="26"/>
      <c r="I824" s="32"/>
      <c r="J824" s="26"/>
      <c r="K824" s="26"/>
      <c r="L824" s="26"/>
      <c r="M824" s="26"/>
      <c r="N824" s="26"/>
    </row>
    <row r="825" spans="1:14" ht="21" customHeight="1" x14ac:dyDescent="0.25">
      <c r="A825" s="26"/>
      <c r="B825" s="26"/>
      <c r="C825" s="26"/>
      <c r="D825" s="26"/>
      <c r="E825" s="26"/>
      <c r="F825" s="28"/>
      <c r="G825" s="26"/>
      <c r="H825" s="26"/>
      <c r="I825" s="32"/>
      <c r="J825" s="26"/>
      <c r="K825" s="26"/>
      <c r="L825" s="26"/>
      <c r="M825" s="26"/>
      <c r="N825" s="26"/>
    </row>
    <row r="826" spans="1:14" ht="21" customHeight="1" x14ac:dyDescent="0.25">
      <c r="A826" s="26"/>
      <c r="B826" s="26"/>
      <c r="C826" s="26"/>
      <c r="D826" s="26"/>
      <c r="E826" s="26"/>
      <c r="F826" s="28"/>
      <c r="G826" s="26"/>
      <c r="H826" s="26"/>
      <c r="I826" s="32"/>
      <c r="J826" s="26"/>
      <c r="K826" s="26"/>
      <c r="L826" s="26"/>
      <c r="M826" s="26"/>
      <c r="N826" s="26"/>
    </row>
    <row r="827" spans="1:14" ht="21" customHeight="1" x14ac:dyDescent="0.25">
      <c r="A827" s="26"/>
      <c r="B827" s="26"/>
      <c r="C827" s="26"/>
      <c r="D827" s="26"/>
      <c r="E827" s="26"/>
      <c r="F827" s="28"/>
      <c r="G827" s="26"/>
      <c r="H827" s="26"/>
      <c r="I827" s="32"/>
      <c r="J827" s="26"/>
      <c r="K827" s="26"/>
      <c r="L827" s="26"/>
      <c r="M827" s="26"/>
      <c r="N827" s="26"/>
    </row>
    <row r="828" spans="1:14" ht="21" customHeight="1" x14ac:dyDescent="0.25">
      <c r="A828" s="26"/>
      <c r="B828" s="26"/>
      <c r="C828" s="26"/>
      <c r="D828" s="26"/>
      <c r="E828" s="26"/>
      <c r="F828" s="28"/>
      <c r="G828" s="26"/>
      <c r="H828" s="26"/>
      <c r="I828" s="32"/>
      <c r="J828" s="26"/>
      <c r="K828" s="26"/>
      <c r="L828" s="26"/>
      <c r="M828" s="26"/>
      <c r="N828" s="26"/>
    </row>
    <row r="829" spans="1:14" ht="21" customHeight="1" x14ac:dyDescent="0.25">
      <c r="A829" s="26"/>
      <c r="B829" s="26"/>
      <c r="C829" s="26"/>
      <c r="D829" s="26"/>
      <c r="E829" s="26"/>
      <c r="F829" s="28"/>
      <c r="G829" s="26"/>
      <c r="H829" s="26"/>
      <c r="I829" s="32"/>
      <c r="J829" s="26"/>
      <c r="K829" s="26"/>
      <c r="L829" s="26"/>
      <c r="M829" s="26"/>
      <c r="N829" s="26"/>
    </row>
    <row r="830" spans="1:14" ht="21" customHeight="1" x14ac:dyDescent="0.25">
      <c r="A830" s="26"/>
      <c r="B830" s="26"/>
      <c r="C830" s="26"/>
      <c r="D830" s="26"/>
      <c r="E830" s="26"/>
      <c r="F830" s="28"/>
      <c r="G830" s="26"/>
      <c r="H830" s="26"/>
      <c r="I830" s="32"/>
      <c r="J830" s="26"/>
      <c r="K830" s="26"/>
      <c r="L830" s="26"/>
      <c r="M830" s="26"/>
      <c r="N830" s="26"/>
    </row>
    <row r="831" spans="1:14" ht="21" customHeight="1" x14ac:dyDescent="0.25">
      <c r="A831" s="26"/>
      <c r="B831" s="26"/>
      <c r="C831" s="26"/>
      <c r="D831" s="26"/>
      <c r="E831" s="26"/>
      <c r="F831" s="28"/>
      <c r="G831" s="26"/>
      <c r="H831" s="26"/>
      <c r="I831" s="32"/>
      <c r="J831" s="26"/>
      <c r="K831" s="26"/>
      <c r="L831" s="26"/>
      <c r="M831" s="26"/>
      <c r="N831" s="26"/>
    </row>
    <row r="832" spans="1:14" ht="21" customHeight="1" x14ac:dyDescent="0.25">
      <c r="A832" s="26"/>
      <c r="B832" s="26"/>
      <c r="C832" s="26"/>
      <c r="D832" s="26"/>
      <c r="E832" s="26"/>
      <c r="F832" s="28"/>
      <c r="G832" s="26"/>
      <c r="H832" s="26"/>
      <c r="I832" s="32"/>
      <c r="J832" s="26"/>
      <c r="K832" s="26"/>
      <c r="L832" s="26"/>
      <c r="M832" s="26"/>
      <c r="N832" s="26"/>
    </row>
    <row r="833" spans="1:14" ht="21" customHeight="1" x14ac:dyDescent="0.25">
      <c r="A833" s="26"/>
      <c r="B833" s="26"/>
      <c r="C833" s="26"/>
      <c r="D833" s="26"/>
      <c r="E833" s="26"/>
      <c r="F833" s="28"/>
      <c r="G833" s="26"/>
      <c r="H833" s="26"/>
      <c r="I833" s="32"/>
      <c r="J833" s="26"/>
      <c r="K833" s="26"/>
      <c r="L833" s="26"/>
      <c r="M833" s="26"/>
      <c r="N833" s="26"/>
    </row>
    <row r="834" spans="1:14" ht="21" customHeight="1" x14ac:dyDescent="0.25">
      <c r="A834" s="26"/>
      <c r="B834" s="26"/>
      <c r="C834" s="26"/>
      <c r="D834" s="26"/>
      <c r="E834" s="26"/>
      <c r="F834" s="28"/>
      <c r="G834" s="26"/>
      <c r="H834" s="26"/>
      <c r="I834" s="32"/>
      <c r="J834" s="26"/>
      <c r="K834" s="26"/>
      <c r="L834" s="26"/>
      <c r="M834" s="26"/>
      <c r="N834" s="26"/>
    </row>
    <row r="835" spans="1:14" ht="21" customHeight="1" x14ac:dyDescent="0.25">
      <c r="A835" s="26"/>
      <c r="B835" s="26"/>
      <c r="C835" s="26"/>
      <c r="D835" s="26"/>
      <c r="E835" s="26"/>
      <c r="F835" s="28"/>
      <c r="G835" s="26"/>
      <c r="H835" s="26"/>
      <c r="I835" s="32"/>
      <c r="J835" s="26"/>
      <c r="K835" s="26"/>
      <c r="L835" s="26"/>
      <c r="M835" s="26"/>
      <c r="N835" s="26"/>
    </row>
    <row r="836" spans="1:14" ht="21" customHeight="1" x14ac:dyDescent="0.25">
      <c r="A836" s="26"/>
      <c r="B836" s="26"/>
      <c r="C836" s="26"/>
      <c r="D836" s="26"/>
      <c r="E836" s="26"/>
      <c r="F836" s="28"/>
      <c r="G836" s="26"/>
      <c r="H836" s="26"/>
      <c r="I836" s="32"/>
      <c r="J836" s="26"/>
      <c r="K836" s="26"/>
      <c r="L836" s="26"/>
      <c r="M836" s="26"/>
      <c r="N836" s="26"/>
    </row>
    <row r="837" spans="1:14" ht="21" customHeight="1" x14ac:dyDescent="0.25">
      <c r="A837" s="26"/>
      <c r="B837" s="26"/>
      <c r="C837" s="26"/>
      <c r="D837" s="26"/>
      <c r="E837" s="26"/>
      <c r="F837" s="28"/>
      <c r="G837" s="26"/>
      <c r="H837" s="26"/>
      <c r="I837" s="32"/>
      <c r="J837" s="26"/>
      <c r="K837" s="26"/>
      <c r="L837" s="26"/>
      <c r="M837" s="26"/>
      <c r="N837" s="26"/>
    </row>
    <row r="838" spans="1:14" ht="21" customHeight="1" x14ac:dyDescent="0.25">
      <c r="A838" s="26"/>
      <c r="B838" s="26"/>
      <c r="C838" s="26"/>
      <c r="D838" s="26"/>
      <c r="E838" s="26"/>
      <c r="F838" s="28"/>
      <c r="G838" s="26"/>
      <c r="H838" s="26"/>
      <c r="I838" s="32"/>
      <c r="J838" s="26"/>
      <c r="K838" s="26"/>
      <c r="L838" s="26"/>
      <c r="M838" s="26"/>
      <c r="N838" s="26"/>
    </row>
    <row r="839" spans="1:14" ht="21" customHeight="1" x14ac:dyDescent="0.25">
      <c r="A839" s="26"/>
      <c r="B839" s="26"/>
      <c r="C839" s="26"/>
      <c r="D839" s="26"/>
      <c r="E839" s="26"/>
      <c r="F839" s="28"/>
      <c r="G839" s="26"/>
      <c r="H839" s="26"/>
      <c r="I839" s="32"/>
      <c r="J839" s="26"/>
      <c r="K839" s="26"/>
      <c r="L839" s="26"/>
      <c r="M839" s="26"/>
      <c r="N839" s="26"/>
    </row>
    <row r="840" spans="1:14" ht="21" customHeight="1" x14ac:dyDescent="0.25">
      <c r="A840" s="26"/>
      <c r="B840" s="26"/>
      <c r="C840" s="26"/>
      <c r="D840" s="26"/>
      <c r="E840" s="26"/>
      <c r="F840" s="28"/>
      <c r="G840" s="26"/>
      <c r="H840" s="26"/>
      <c r="I840" s="32"/>
      <c r="J840" s="26"/>
      <c r="K840" s="26"/>
      <c r="L840" s="26"/>
      <c r="M840" s="26"/>
      <c r="N840" s="26"/>
    </row>
    <row r="841" spans="1:14" ht="21" customHeight="1" x14ac:dyDescent="0.25">
      <c r="A841" s="26"/>
      <c r="B841" s="26"/>
      <c r="C841" s="26"/>
      <c r="D841" s="26"/>
      <c r="E841" s="26"/>
      <c r="F841" s="28"/>
      <c r="G841" s="26"/>
      <c r="H841" s="26"/>
      <c r="I841" s="32"/>
      <c r="J841" s="26"/>
      <c r="K841" s="26"/>
      <c r="L841" s="26"/>
      <c r="M841" s="26"/>
      <c r="N841" s="26"/>
    </row>
    <row r="842" spans="1:14" ht="21" customHeight="1" x14ac:dyDescent="0.25">
      <c r="A842" s="26"/>
      <c r="B842" s="26"/>
      <c r="C842" s="26"/>
      <c r="D842" s="26"/>
      <c r="E842" s="26"/>
      <c r="F842" s="26"/>
      <c r="G842" s="26"/>
      <c r="H842" s="26"/>
      <c r="I842" s="32"/>
      <c r="J842" s="26"/>
      <c r="K842" s="26"/>
      <c r="L842" s="26"/>
      <c r="M842" s="26"/>
      <c r="N842" s="26"/>
    </row>
    <row r="843" spans="1:14" ht="21" customHeight="1" x14ac:dyDescent="0.25">
      <c r="A843" s="26"/>
      <c r="B843" s="26"/>
      <c r="C843" s="26"/>
      <c r="D843" s="26"/>
      <c r="E843" s="26"/>
      <c r="F843" s="26"/>
      <c r="G843" s="26"/>
      <c r="H843" s="26"/>
      <c r="I843" s="32"/>
      <c r="J843" s="26"/>
      <c r="K843" s="26"/>
      <c r="L843" s="26"/>
      <c r="M843" s="26"/>
      <c r="N843" s="26"/>
    </row>
    <row r="844" spans="1:14" ht="21" customHeight="1" x14ac:dyDescent="0.25">
      <c r="A844" s="26"/>
      <c r="B844" s="26"/>
      <c r="C844" s="26"/>
      <c r="D844" s="26"/>
      <c r="E844" s="26"/>
      <c r="F844" s="26"/>
      <c r="G844" s="26"/>
      <c r="H844" s="26"/>
      <c r="I844" s="32"/>
      <c r="J844" s="26"/>
      <c r="K844" s="26"/>
      <c r="L844" s="26"/>
      <c r="M844" s="26"/>
      <c r="N844" s="26"/>
    </row>
    <row r="845" spans="1:14" ht="21" customHeight="1" x14ac:dyDescent="0.25">
      <c r="A845" s="26"/>
      <c r="B845" s="26"/>
      <c r="C845" s="26"/>
      <c r="D845" s="26"/>
      <c r="E845" s="26"/>
      <c r="F845" s="26"/>
      <c r="G845" s="26"/>
      <c r="H845" s="26"/>
      <c r="I845" s="32"/>
      <c r="J845" s="26"/>
      <c r="K845" s="26"/>
      <c r="L845" s="26"/>
      <c r="M845" s="26"/>
      <c r="N845" s="26"/>
    </row>
    <row r="846" spans="1:14" ht="21" customHeight="1" x14ac:dyDescent="0.25">
      <c r="A846" s="26"/>
      <c r="B846" s="26"/>
      <c r="C846" s="26"/>
      <c r="D846" s="26"/>
      <c r="E846" s="26"/>
      <c r="F846" s="26"/>
      <c r="G846" s="26"/>
      <c r="H846" s="26"/>
      <c r="I846" s="32"/>
      <c r="J846" s="26"/>
      <c r="K846" s="26"/>
      <c r="L846" s="26"/>
      <c r="M846" s="26"/>
      <c r="N846" s="26"/>
    </row>
    <row r="847" spans="1:14" ht="21" customHeight="1" x14ac:dyDescent="0.25">
      <c r="A847" s="26"/>
      <c r="B847" s="26"/>
      <c r="C847" s="26"/>
      <c r="D847" s="26"/>
      <c r="E847" s="26"/>
      <c r="F847" s="26"/>
      <c r="G847" s="26"/>
      <c r="H847" s="26"/>
      <c r="I847" s="32"/>
      <c r="J847" s="26"/>
      <c r="K847" s="26"/>
      <c r="L847" s="26"/>
      <c r="M847" s="26"/>
      <c r="N847" s="26"/>
    </row>
    <row r="848" spans="1:14" ht="21" customHeight="1" x14ac:dyDescent="0.25">
      <c r="A848" s="26"/>
      <c r="B848" s="26"/>
      <c r="C848" s="26"/>
      <c r="D848" s="26"/>
      <c r="E848" s="26"/>
      <c r="F848" s="26"/>
      <c r="G848" s="26"/>
      <c r="H848" s="26"/>
      <c r="I848" s="32"/>
      <c r="J848" s="26"/>
      <c r="K848" s="26"/>
      <c r="L848" s="26"/>
      <c r="M848" s="26"/>
      <c r="N848" s="26"/>
    </row>
    <row r="849" spans="1:14" ht="21" customHeight="1" x14ac:dyDescent="0.25">
      <c r="A849" s="26"/>
      <c r="B849" s="26"/>
      <c r="C849" s="26"/>
      <c r="D849" s="26"/>
      <c r="E849" s="26"/>
      <c r="F849" s="26"/>
      <c r="G849" s="26"/>
      <c r="H849" s="26"/>
      <c r="I849" s="32"/>
      <c r="J849" s="26"/>
      <c r="K849" s="26"/>
      <c r="L849" s="26"/>
      <c r="M849" s="26"/>
      <c r="N849" s="26"/>
    </row>
    <row r="850" spans="1:14" ht="21" customHeight="1" x14ac:dyDescent="0.25">
      <c r="A850" s="26"/>
      <c r="B850" s="26"/>
      <c r="C850" s="26"/>
      <c r="D850" s="26"/>
      <c r="E850" s="26"/>
      <c r="F850" s="26"/>
      <c r="G850" s="26"/>
      <c r="H850" s="26"/>
      <c r="I850" s="32"/>
      <c r="J850" s="26"/>
      <c r="K850" s="26"/>
      <c r="L850" s="26"/>
      <c r="M850" s="26"/>
      <c r="N850" s="26"/>
    </row>
    <row r="851" spans="1:14" ht="21" customHeight="1" x14ac:dyDescent="0.25">
      <c r="A851" s="26"/>
      <c r="B851" s="26"/>
      <c r="C851" s="26"/>
      <c r="D851" s="26"/>
      <c r="E851" s="26"/>
      <c r="F851" s="26"/>
      <c r="G851" s="26"/>
      <c r="H851" s="26"/>
      <c r="I851" s="32"/>
      <c r="J851" s="26"/>
      <c r="K851" s="26"/>
      <c r="L851" s="26"/>
      <c r="M851" s="26"/>
      <c r="N851" s="26"/>
    </row>
    <row r="852" spans="1:14" ht="21" customHeight="1" x14ac:dyDescent="0.25">
      <c r="A852" s="26"/>
      <c r="B852" s="26"/>
      <c r="C852" s="26"/>
      <c r="D852" s="26"/>
      <c r="E852" s="26"/>
      <c r="F852" s="26"/>
      <c r="G852" s="26"/>
      <c r="H852" s="26"/>
      <c r="I852" s="32"/>
      <c r="J852" s="26"/>
      <c r="K852" s="26"/>
      <c r="L852" s="26"/>
      <c r="M852" s="26"/>
      <c r="N852" s="26"/>
    </row>
    <row r="853" spans="1:14" ht="21" customHeight="1" x14ac:dyDescent="0.25">
      <c r="A853" s="26"/>
      <c r="B853" s="26"/>
      <c r="C853" s="26"/>
      <c r="D853" s="26"/>
      <c r="E853" s="26"/>
      <c r="F853" s="26"/>
      <c r="G853" s="26"/>
      <c r="H853" s="26"/>
      <c r="I853" s="32"/>
      <c r="J853" s="26"/>
      <c r="K853" s="26"/>
      <c r="L853" s="26"/>
      <c r="M853" s="26"/>
      <c r="N853" s="26"/>
    </row>
    <row r="854" spans="1:14" ht="21" customHeight="1" x14ac:dyDescent="0.25">
      <c r="A854" s="26"/>
      <c r="B854" s="26"/>
      <c r="C854" s="26"/>
      <c r="D854" s="26"/>
      <c r="E854" s="26"/>
      <c r="F854" s="26"/>
      <c r="G854" s="26"/>
      <c r="H854" s="26"/>
      <c r="I854" s="32"/>
      <c r="J854" s="26"/>
      <c r="K854" s="26"/>
      <c r="L854" s="26"/>
      <c r="M854" s="26"/>
      <c r="N854" s="26"/>
    </row>
    <row r="855" spans="1:14" ht="21" customHeight="1" x14ac:dyDescent="0.25">
      <c r="A855" s="26"/>
      <c r="B855" s="26"/>
      <c r="C855" s="26"/>
      <c r="D855" s="26"/>
      <c r="E855" s="26"/>
      <c r="F855" s="26"/>
      <c r="G855" s="26"/>
      <c r="H855" s="26"/>
      <c r="I855" s="32"/>
      <c r="J855" s="26"/>
      <c r="K855" s="26"/>
      <c r="L855" s="26"/>
      <c r="M855" s="26"/>
      <c r="N855" s="26"/>
    </row>
    <row r="856" spans="1:14" ht="21" customHeight="1" x14ac:dyDescent="0.25">
      <c r="A856" s="26"/>
      <c r="B856" s="26"/>
      <c r="C856" s="26"/>
      <c r="D856" s="26"/>
      <c r="E856" s="26"/>
      <c r="F856" s="26"/>
      <c r="G856" s="26"/>
      <c r="H856" s="26"/>
      <c r="I856" s="32"/>
      <c r="J856" s="26"/>
      <c r="K856" s="26"/>
      <c r="L856" s="26"/>
      <c r="M856" s="26"/>
      <c r="N856" s="26"/>
    </row>
    <row r="857" spans="1:14" ht="21" customHeight="1" x14ac:dyDescent="0.25">
      <c r="A857" s="26"/>
      <c r="B857" s="26"/>
      <c r="C857" s="26"/>
      <c r="D857" s="26"/>
      <c r="E857" s="26"/>
      <c r="F857" s="26"/>
      <c r="G857" s="26"/>
      <c r="H857" s="26"/>
      <c r="I857" s="32"/>
      <c r="J857" s="26"/>
      <c r="K857" s="26"/>
      <c r="L857" s="26"/>
      <c r="M857" s="26"/>
      <c r="N857" s="26"/>
    </row>
    <row r="858" spans="1:14" ht="21" customHeight="1" x14ac:dyDescent="0.25">
      <c r="A858" s="26"/>
      <c r="B858" s="26"/>
      <c r="C858" s="26"/>
      <c r="D858" s="26"/>
      <c r="E858" s="26"/>
      <c r="F858" s="26"/>
      <c r="G858" s="26"/>
      <c r="H858" s="26"/>
      <c r="I858" s="32"/>
      <c r="J858" s="26"/>
      <c r="K858" s="26"/>
      <c r="L858" s="26"/>
      <c r="M858" s="26"/>
      <c r="N858" s="26"/>
    </row>
    <row r="859" spans="1:14" ht="21" customHeight="1" x14ac:dyDescent="0.25">
      <c r="A859" s="26"/>
      <c r="B859" s="26"/>
      <c r="C859" s="26"/>
      <c r="D859" s="26"/>
      <c r="E859" s="26"/>
      <c r="F859" s="26"/>
      <c r="G859" s="26"/>
      <c r="H859" s="26"/>
      <c r="I859" s="32"/>
      <c r="J859" s="26"/>
      <c r="K859" s="26"/>
      <c r="L859" s="26"/>
      <c r="M859" s="26"/>
      <c r="N859" s="26"/>
    </row>
    <row r="860" spans="1:14" ht="21" customHeight="1" x14ac:dyDescent="0.25">
      <c r="A860" s="26"/>
      <c r="B860" s="26"/>
      <c r="C860" s="26"/>
      <c r="D860" s="26"/>
      <c r="E860" s="26"/>
      <c r="F860" s="26"/>
      <c r="G860" s="26"/>
      <c r="H860" s="26"/>
      <c r="I860" s="32"/>
      <c r="J860" s="26"/>
      <c r="K860" s="26"/>
      <c r="L860" s="26"/>
      <c r="M860" s="26"/>
      <c r="N860" s="26"/>
    </row>
    <row r="861" spans="1:14" ht="21" customHeight="1" x14ac:dyDescent="0.25">
      <c r="A861" s="26"/>
      <c r="B861" s="26"/>
      <c r="C861" s="26"/>
      <c r="D861" s="26"/>
      <c r="E861" s="26"/>
      <c r="F861" s="26"/>
      <c r="G861" s="26"/>
      <c r="H861" s="26"/>
      <c r="I861" s="32"/>
      <c r="J861" s="26"/>
      <c r="K861" s="26"/>
      <c r="L861" s="26"/>
      <c r="M861" s="26"/>
      <c r="N861" s="26"/>
    </row>
    <row r="862" spans="1:14" ht="21" customHeight="1" x14ac:dyDescent="0.25">
      <c r="A862" s="26"/>
      <c r="B862" s="26"/>
      <c r="C862" s="26"/>
      <c r="D862" s="26"/>
      <c r="E862" s="26"/>
      <c r="F862" s="26"/>
      <c r="G862" s="26"/>
      <c r="H862" s="26"/>
      <c r="I862" s="32"/>
      <c r="J862" s="26"/>
      <c r="K862" s="26"/>
      <c r="L862" s="26"/>
      <c r="M862" s="26"/>
      <c r="N862" s="26"/>
    </row>
    <row r="863" spans="1:14" ht="21" customHeight="1" x14ac:dyDescent="0.25">
      <c r="A863" s="26"/>
      <c r="B863" s="26"/>
      <c r="C863" s="26"/>
      <c r="D863" s="26"/>
      <c r="E863" s="26"/>
      <c r="F863" s="26"/>
      <c r="G863" s="26"/>
      <c r="H863" s="26"/>
      <c r="I863" s="32"/>
      <c r="J863" s="26"/>
      <c r="K863" s="26"/>
      <c r="L863" s="26"/>
      <c r="M863" s="26"/>
      <c r="N863" s="26"/>
    </row>
    <row r="864" spans="1:14" ht="21" customHeight="1" x14ac:dyDescent="0.25">
      <c r="A864" s="26"/>
      <c r="B864" s="26"/>
      <c r="C864" s="26"/>
      <c r="D864" s="26"/>
      <c r="E864" s="26"/>
      <c r="F864" s="26"/>
      <c r="G864" s="26"/>
      <c r="H864" s="26"/>
      <c r="I864" s="32"/>
      <c r="J864" s="26"/>
      <c r="K864" s="26"/>
      <c r="L864" s="26"/>
      <c r="M864" s="26"/>
      <c r="N864" s="26"/>
    </row>
    <row r="865" spans="1:14" ht="21" customHeight="1" x14ac:dyDescent="0.25">
      <c r="A865" s="26"/>
      <c r="B865" s="26"/>
      <c r="C865" s="26"/>
      <c r="D865" s="26"/>
      <c r="E865" s="26"/>
      <c r="F865" s="26"/>
      <c r="G865" s="26"/>
      <c r="H865" s="26"/>
      <c r="I865" s="32"/>
      <c r="J865" s="26"/>
      <c r="K865" s="26"/>
      <c r="L865" s="26"/>
      <c r="M865" s="26"/>
      <c r="N865" s="26"/>
    </row>
    <row r="866" spans="1:14" ht="21" customHeight="1" x14ac:dyDescent="0.25">
      <c r="A866" s="26"/>
      <c r="B866" s="26"/>
      <c r="C866" s="26"/>
      <c r="D866" s="26"/>
      <c r="E866" s="26"/>
      <c r="F866" s="26"/>
      <c r="G866" s="26"/>
      <c r="H866" s="26"/>
      <c r="I866" s="32"/>
      <c r="J866" s="26"/>
      <c r="K866" s="26"/>
      <c r="L866" s="26"/>
      <c r="M866" s="26"/>
      <c r="N866" s="26"/>
    </row>
    <row r="867" spans="1:14" ht="21" customHeight="1" x14ac:dyDescent="0.25">
      <c r="A867" s="26"/>
      <c r="B867" s="26"/>
      <c r="C867" s="26"/>
      <c r="D867" s="26"/>
      <c r="E867" s="26"/>
      <c r="F867" s="26"/>
      <c r="G867" s="26"/>
      <c r="H867" s="26"/>
      <c r="I867" s="32"/>
      <c r="J867" s="26"/>
      <c r="K867" s="26"/>
      <c r="L867" s="26"/>
      <c r="M867" s="26"/>
      <c r="N867" s="26"/>
    </row>
    <row r="868" spans="1:14" ht="21" customHeight="1" x14ac:dyDescent="0.25">
      <c r="A868" s="26"/>
      <c r="B868" s="26"/>
      <c r="C868" s="26"/>
      <c r="D868" s="26"/>
      <c r="E868" s="26"/>
      <c r="F868" s="26"/>
      <c r="G868" s="26"/>
      <c r="H868" s="26"/>
      <c r="I868" s="32"/>
      <c r="J868" s="26"/>
      <c r="K868" s="26"/>
      <c r="L868" s="26"/>
      <c r="M868" s="26"/>
      <c r="N868" s="26"/>
    </row>
    <row r="869" spans="1:14" ht="21" customHeight="1" x14ac:dyDescent="0.25">
      <c r="A869" s="26"/>
      <c r="B869" s="26"/>
      <c r="C869" s="26"/>
      <c r="D869" s="26"/>
      <c r="E869" s="26"/>
      <c r="F869" s="26"/>
      <c r="G869" s="26"/>
      <c r="H869" s="26"/>
      <c r="I869" s="32"/>
      <c r="J869" s="26"/>
      <c r="K869" s="26"/>
      <c r="L869" s="26"/>
      <c r="M869" s="26"/>
      <c r="N869" s="26"/>
    </row>
    <row r="870" spans="1:14" ht="21" customHeight="1" x14ac:dyDescent="0.25">
      <c r="A870" s="26"/>
      <c r="B870" s="26"/>
      <c r="C870" s="26"/>
      <c r="D870" s="26"/>
      <c r="E870" s="26"/>
      <c r="F870" s="26"/>
      <c r="G870" s="26"/>
      <c r="H870" s="26"/>
      <c r="I870" s="32"/>
      <c r="J870" s="26"/>
      <c r="K870" s="26"/>
      <c r="L870" s="26"/>
      <c r="M870" s="26"/>
      <c r="N870" s="26"/>
    </row>
    <row r="871" spans="1:14" ht="21" customHeight="1" x14ac:dyDescent="0.25">
      <c r="A871" s="26"/>
      <c r="B871" s="26"/>
      <c r="C871" s="26"/>
      <c r="D871" s="26"/>
      <c r="E871" s="26"/>
      <c r="F871" s="26"/>
      <c r="G871" s="26"/>
      <c r="H871" s="26"/>
      <c r="I871" s="32"/>
      <c r="J871" s="26"/>
      <c r="K871" s="26"/>
      <c r="L871" s="26"/>
      <c r="M871" s="26"/>
      <c r="N871" s="26"/>
    </row>
    <row r="872" spans="1:14" ht="21" customHeight="1" x14ac:dyDescent="0.25">
      <c r="A872" s="26"/>
      <c r="B872" s="26"/>
      <c r="C872" s="26"/>
      <c r="D872" s="26"/>
      <c r="E872" s="26"/>
      <c r="F872" s="26"/>
      <c r="G872" s="26"/>
      <c r="H872" s="26"/>
      <c r="I872" s="32"/>
      <c r="J872" s="26"/>
      <c r="K872" s="26"/>
      <c r="L872" s="26"/>
      <c r="M872" s="26"/>
      <c r="N872" s="26"/>
    </row>
    <row r="873" spans="1:14" ht="21" customHeight="1" x14ac:dyDescent="0.25">
      <c r="A873" s="26"/>
      <c r="B873" s="26"/>
      <c r="C873" s="26"/>
      <c r="D873" s="26"/>
      <c r="E873" s="26"/>
      <c r="F873" s="26"/>
      <c r="G873" s="26"/>
      <c r="H873" s="26"/>
      <c r="I873" s="32"/>
      <c r="J873" s="26"/>
      <c r="K873" s="26"/>
      <c r="L873" s="26"/>
      <c r="M873" s="26"/>
      <c r="N873" s="26"/>
    </row>
    <row r="874" spans="1:14" ht="21" customHeight="1" x14ac:dyDescent="0.25">
      <c r="A874" s="26"/>
      <c r="B874" s="26"/>
      <c r="C874" s="26"/>
      <c r="D874" s="26"/>
      <c r="E874" s="26"/>
      <c r="F874" s="26"/>
      <c r="G874" s="26"/>
      <c r="H874" s="26"/>
      <c r="I874" s="32"/>
      <c r="J874" s="26"/>
      <c r="K874" s="26"/>
      <c r="L874" s="26"/>
      <c r="M874" s="26"/>
      <c r="N874" s="26"/>
    </row>
    <row r="875" spans="1:14" ht="21" customHeight="1" x14ac:dyDescent="0.25">
      <c r="A875" s="26"/>
      <c r="B875" s="26"/>
      <c r="C875" s="26"/>
      <c r="D875" s="26"/>
      <c r="E875" s="26"/>
      <c r="F875" s="26"/>
      <c r="G875" s="26"/>
      <c r="H875" s="26"/>
      <c r="I875" s="32"/>
      <c r="J875" s="26"/>
      <c r="K875" s="26"/>
      <c r="L875" s="26"/>
      <c r="M875" s="26"/>
      <c r="N875" s="26"/>
    </row>
    <row r="876" spans="1:14" ht="21" customHeight="1" x14ac:dyDescent="0.25">
      <c r="A876" s="26"/>
      <c r="B876" s="26"/>
      <c r="C876" s="26"/>
      <c r="D876" s="26"/>
      <c r="E876" s="26"/>
      <c r="F876" s="26"/>
      <c r="G876" s="26"/>
      <c r="H876" s="26"/>
      <c r="I876" s="32"/>
      <c r="J876" s="26"/>
      <c r="K876" s="26"/>
      <c r="L876" s="26"/>
      <c r="M876" s="26"/>
      <c r="N876" s="26"/>
    </row>
    <row r="877" spans="1:14" ht="21" customHeight="1" x14ac:dyDescent="0.25">
      <c r="A877" s="26"/>
      <c r="B877" s="26"/>
      <c r="C877" s="26"/>
      <c r="D877" s="26"/>
      <c r="E877" s="26"/>
      <c r="F877" s="26"/>
      <c r="G877" s="26"/>
      <c r="H877" s="26"/>
      <c r="I877" s="32"/>
      <c r="J877" s="26"/>
      <c r="K877" s="26"/>
      <c r="L877" s="26"/>
      <c r="M877" s="26"/>
      <c r="N877" s="26"/>
    </row>
    <row r="878" spans="1:14" ht="21" customHeight="1" x14ac:dyDescent="0.25">
      <c r="A878" s="26"/>
      <c r="B878" s="26"/>
      <c r="C878" s="26"/>
      <c r="D878" s="26"/>
      <c r="E878" s="26"/>
      <c r="F878" s="26"/>
      <c r="G878" s="26"/>
      <c r="H878" s="26"/>
      <c r="I878" s="32"/>
      <c r="J878" s="26"/>
      <c r="K878" s="26"/>
      <c r="L878" s="26"/>
      <c r="M878" s="26"/>
      <c r="N878" s="26"/>
    </row>
    <row r="879" spans="1:14" ht="21" customHeight="1" x14ac:dyDescent="0.25">
      <c r="A879" s="26"/>
      <c r="B879" s="26"/>
      <c r="C879" s="26"/>
      <c r="D879" s="26"/>
      <c r="E879" s="26"/>
      <c r="F879" s="26"/>
      <c r="G879" s="26"/>
      <c r="H879" s="26"/>
      <c r="I879" s="32"/>
      <c r="J879" s="26"/>
      <c r="K879" s="26"/>
      <c r="L879" s="26"/>
      <c r="M879" s="26"/>
      <c r="N879" s="26"/>
    </row>
    <row r="880" spans="1:14" ht="21" customHeight="1" x14ac:dyDescent="0.25">
      <c r="A880" s="26"/>
      <c r="B880" s="26"/>
      <c r="C880" s="26"/>
      <c r="D880" s="26"/>
      <c r="E880" s="26"/>
      <c r="F880" s="26"/>
      <c r="G880" s="26"/>
      <c r="H880" s="26"/>
      <c r="I880" s="32"/>
      <c r="J880" s="26"/>
      <c r="K880" s="26"/>
      <c r="L880" s="26"/>
      <c r="M880" s="26"/>
      <c r="N880" s="26"/>
    </row>
    <row r="881" spans="1:14" ht="21" customHeight="1" x14ac:dyDescent="0.25">
      <c r="A881" s="26"/>
      <c r="B881" s="26"/>
      <c r="C881" s="26"/>
      <c r="D881" s="26"/>
      <c r="E881" s="26"/>
      <c r="F881" s="26"/>
      <c r="G881" s="26"/>
      <c r="H881" s="26"/>
      <c r="I881" s="32"/>
      <c r="J881" s="26"/>
      <c r="K881" s="26"/>
      <c r="L881" s="26"/>
      <c r="M881" s="26"/>
      <c r="N881" s="26"/>
    </row>
    <row r="882" spans="1:14" ht="21" customHeight="1" x14ac:dyDescent="0.25">
      <c r="A882" s="26"/>
      <c r="B882" s="26"/>
      <c r="C882" s="26"/>
      <c r="D882" s="26"/>
      <c r="E882" s="26"/>
      <c r="F882" s="26"/>
      <c r="G882" s="26"/>
      <c r="H882" s="26"/>
      <c r="I882" s="32"/>
      <c r="J882" s="26"/>
      <c r="K882" s="26"/>
      <c r="L882" s="26"/>
      <c r="M882" s="26"/>
      <c r="N882" s="26"/>
    </row>
    <row r="883" spans="1:14" ht="21" customHeight="1" x14ac:dyDescent="0.25">
      <c r="A883" s="26"/>
      <c r="B883" s="26"/>
      <c r="C883" s="26"/>
      <c r="D883" s="26"/>
      <c r="E883" s="26"/>
      <c r="F883" s="26"/>
      <c r="G883" s="26"/>
      <c r="H883" s="26"/>
      <c r="I883" s="32"/>
      <c r="J883" s="26"/>
      <c r="K883" s="26"/>
      <c r="L883" s="26"/>
      <c r="M883" s="26"/>
      <c r="N883" s="26"/>
    </row>
    <row r="884" spans="1:14" ht="21" customHeight="1" x14ac:dyDescent="0.25">
      <c r="A884" s="26"/>
      <c r="B884" s="26"/>
      <c r="C884" s="26"/>
      <c r="D884" s="26"/>
      <c r="E884" s="26"/>
      <c r="F884" s="26"/>
      <c r="G884" s="26"/>
      <c r="H884" s="26"/>
      <c r="I884" s="32"/>
      <c r="J884" s="26"/>
      <c r="K884" s="26"/>
      <c r="L884" s="26"/>
      <c r="M884" s="26"/>
      <c r="N884" s="26"/>
    </row>
    <row r="885" spans="1:14" ht="21" customHeight="1" x14ac:dyDescent="0.25">
      <c r="A885" s="26"/>
      <c r="B885" s="26"/>
      <c r="C885" s="26"/>
      <c r="D885" s="26"/>
      <c r="E885" s="26"/>
      <c r="F885" s="26"/>
      <c r="G885" s="26"/>
      <c r="H885" s="26"/>
      <c r="I885" s="32"/>
      <c r="J885" s="26"/>
      <c r="K885" s="26"/>
      <c r="L885" s="26"/>
      <c r="M885" s="26"/>
      <c r="N885" s="26"/>
    </row>
    <row r="886" spans="1:14" ht="21" customHeight="1" x14ac:dyDescent="0.25">
      <c r="A886" s="26"/>
      <c r="B886" s="26"/>
      <c r="C886" s="26"/>
      <c r="D886" s="26"/>
      <c r="E886" s="26"/>
      <c r="F886" s="26"/>
      <c r="G886" s="26"/>
      <c r="H886" s="26"/>
      <c r="I886" s="32"/>
      <c r="J886" s="26"/>
      <c r="K886" s="26"/>
      <c r="L886" s="26"/>
      <c r="M886" s="26"/>
      <c r="N886" s="26"/>
    </row>
    <row r="887" spans="1:14" ht="21" customHeight="1" x14ac:dyDescent="0.25">
      <c r="A887" s="26"/>
      <c r="B887" s="26"/>
      <c r="C887" s="26"/>
      <c r="D887" s="26"/>
      <c r="E887" s="26"/>
      <c r="F887" s="26"/>
      <c r="G887" s="26"/>
      <c r="H887" s="26"/>
      <c r="I887" s="32"/>
      <c r="J887" s="26"/>
      <c r="K887" s="26"/>
      <c r="L887" s="26"/>
      <c r="M887" s="26"/>
      <c r="N887" s="26"/>
    </row>
    <row r="888" spans="1:14" ht="21" customHeight="1" x14ac:dyDescent="0.25">
      <c r="A888" s="26"/>
      <c r="B888" s="26"/>
      <c r="C888" s="26"/>
      <c r="D888" s="26"/>
      <c r="E888" s="26"/>
      <c r="F888" s="26"/>
      <c r="G888" s="26"/>
      <c r="H888" s="26"/>
      <c r="I888" s="32"/>
      <c r="J888" s="26"/>
      <c r="K888" s="26"/>
      <c r="L888" s="26"/>
      <c r="M888" s="26"/>
      <c r="N888" s="26"/>
    </row>
    <row r="889" spans="1:14" ht="21" customHeight="1" x14ac:dyDescent="0.25">
      <c r="A889" s="26"/>
      <c r="B889" s="26"/>
      <c r="C889" s="26"/>
      <c r="D889" s="26"/>
      <c r="E889" s="26"/>
      <c r="F889" s="26"/>
      <c r="G889" s="26"/>
      <c r="H889" s="26"/>
      <c r="I889" s="32"/>
      <c r="J889" s="26"/>
      <c r="K889" s="26"/>
      <c r="L889" s="26"/>
      <c r="M889" s="26"/>
      <c r="N889" s="26"/>
    </row>
    <row r="890" spans="1:14" ht="21" customHeight="1" x14ac:dyDescent="0.25">
      <c r="A890" s="26"/>
      <c r="B890" s="26"/>
      <c r="C890" s="26"/>
      <c r="D890" s="26"/>
      <c r="E890" s="26"/>
      <c r="F890" s="26"/>
      <c r="G890" s="26"/>
      <c r="H890" s="26"/>
      <c r="I890" s="32"/>
      <c r="J890" s="26"/>
      <c r="K890" s="26"/>
      <c r="L890" s="26"/>
      <c r="M890" s="26"/>
      <c r="N890" s="26"/>
    </row>
    <row r="891" spans="1:14" ht="21" customHeight="1" x14ac:dyDescent="0.25">
      <c r="A891" s="26"/>
      <c r="B891" s="26"/>
      <c r="C891" s="26"/>
      <c r="D891" s="26"/>
      <c r="E891" s="26"/>
      <c r="F891" s="26"/>
      <c r="G891" s="26"/>
      <c r="H891" s="26"/>
      <c r="I891" s="32"/>
      <c r="J891" s="26"/>
      <c r="K891" s="26"/>
      <c r="L891" s="26"/>
      <c r="M891" s="26"/>
      <c r="N891" s="26"/>
    </row>
    <row r="892" spans="1:14" ht="21" customHeight="1" x14ac:dyDescent="0.25">
      <c r="A892" s="26"/>
      <c r="B892" s="26"/>
      <c r="C892" s="26"/>
      <c r="D892" s="26"/>
      <c r="E892" s="26"/>
      <c r="F892" s="26"/>
      <c r="G892" s="26"/>
      <c r="H892" s="26"/>
      <c r="I892" s="32"/>
      <c r="J892" s="26"/>
      <c r="K892" s="26"/>
      <c r="L892" s="26"/>
      <c r="M892" s="26"/>
      <c r="N892" s="26"/>
    </row>
    <row r="893" spans="1:14" ht="21" customHeight="1" x14ac:dyDescent="0.25">
      <c r="A893" s="26"/>
      <c r="B893" s="26"/>
      <c r="C893" s="26"/>
      <c r="D893" s="26"/>
      <c r="E893" s="26"/>
      <c r="F893" s="26"/>
      <c r="G893" s="26"/>
      <c r="H893" s="26"/>
      <c r="I893" s="32"/>
      <c r="J893" s="26"/>
      <c r="K893" s="26"/>
      <c r="L893" s="26"/>
      <c r="M893" s="26"/>
      <c r="N893" s="26"/>
    </row>
    <row r="894" spans="1:14" ht="21" customHeight="1" x14ac:dyDescent="0.25">
      <c r="A894" s="26"/>
      <c r="B894" s="26"/>
      <c r="C894" s="26"/>
      <c r="D894" s="26"/>
      <c r="E894" s="26"/>
      <c r="F894" s="26"/>
      <c r="G894" s="26"/>
      <c r="H894" s="26"/>
      <c r="I894" s="32"/>
      <c r="J894" s="26"/>
      <c r="K894" s="26"/>
      <c r="L894" s="26"/>
      <c r="M894" s="26"/>
      <c r="N894" s="26"/>
    </row>
    <row r="895" spans="1:14" ht="21" customHeight="1" x14ac:dyDescent="0.25">
      <c r="A895" s="26"/>
      <c r="B895" s="26"/>
      <c r="C895" s="26"/>
      <c r="D895" s="26"/>
      <c r="E895" s="26"/>
      <c r="F895" s="26"/>
      <c r="G895" s="26"/>
      <c r="H895" s="26"/>
      <c r="I895" s="32"/>
      <c r="J895" s="26"/>
      <c r="K895" s="26"/>
      <c r="L895" s="26"/>
      <c r="M895" s="26"/>
      <c r="N895" s="26"/>
    </row>
    <row r="896" spans="1:14" ht="21" customHeight="1" x14ac:dyDescent="0.25">
      <c r="A896" s="26"/>
      <c r="B896" s="26"/>
      <c r="C896" s="26"/>
      <c r="D896" s="26"/>
      <c r="E896" s="26"/>
      <c r="F896" s="26"/>
      <c r="G896" s="26"/>
      <c r="H896" s="26"/>
      <c r="I896" s="32"/>
      <c r="J896" s="26"/>
      <c r="K896" s="26"/>
      <c r="L896" s="26"/>
      <c r="M896" s="26"/>
      <c r="N896" s="26"/>
    </row>
    <row r="897" spans="1:14" ht="21" customHeight="1" x14ac:dyDescent="0.25">
      <c r="A897" s="26"/>
      <c r="B897" s="26"/>
      <c r="C897" s="26"/>
      <c r="D897" s="26"/>
      <c r="E897" s="26"/>
      <c r="F897" s="26"/>
      <c r="G897" s="26"/>
      <c r="H897" s="26"/>
      <c r="I897" s="32"/>
      <c r="J897" s="26"/>
      <c r="K897" s="26"/>
      <c r="L897" s="26"/>
      <c r="M897" s="26"/>
      <c r="N897" s="26"/>
    </row>
    <row r="898" spans="1:14" ht="21" customHeight="1" x14ac:dyDescent="0.25">
      <c r="A898" s="26"/>
      <c r="B898" s="26"/>
      <c r="C898" s="26"/>
      <c r="D898" s="26"/>
      <c r="E898" s="26"/>
      <c r="F898" s="26"/>
      <c r="G898" s="26"/>
      <c r="H898" s="26"/>
      <c r="I898" s="32"/>
      <c r="J898" s="26"/>
      <c r="K898" s="26"/>
      <c r="L898" s="26"/>
      <c r="M898" s="26"/>
      <c r="N898" s="26"/>
    </row>
    <row r="899" spans="1:14" ht="21" customHeight="1" x14ac:dyDescent="0.25">
      <c r="A899" s="26"/>
      <c r="B899" s="26"/>
      <c r="C899" s="26"/>
      <c r="D899" s="26"/>
      <c r="E899" s="26"/>
      <c r="F899" s="26"/>
      <c r="G899" s="26"/>
      <c r="H899" s="26"/>
      <c r="I899" s="32"/>
      <c r="J899" s="26"/>
      <c r="K899" s="26"/>
      <c r="L899" s="26"/>
      <c r="M899" s="26"/>
      <c r="N899" s="26"/>
    </row>
    <row r="900" spans="1:14" ht="21" customHeight="1" x14ac:dyDescent="0.25">
      <c r="A900" s="26"/>
      <c r="B900" s="26"/>
      <c r="C900" s="26"/>
      <c r="D900" s="26"/>
      <c r="E900" s="26"/>
      <c r="F900" s="26"/>
      <c r="G900" s="26"/>
      <c r="H900" s="26"/>
      <c r="I900" s="32"/>
      <c r="J900" s="26"/>
      <c r="K900" s="26"/>
      <c r="L900" s="26"/>
      <c r="M900" s="26"/>
      <c r="N900" s="26"/>
    </row>
    <row r="901" spans="1:14" ht="21" customHeight="1" x14ac:dyDescent="0.25">
      <c r="A901" s="26"/>
      <c r="B901" s="26"/>
      <c r="C901" s="26"/>
      <c r="D901" s="26"/>
      <c r="E901" s="26"/>
      <c r="F901" s="26"/>
      <c r="G901" s="26"/>
      <c r="H901" s="26"/>
      <c r="I901" s="32"/>
      <c r="J901" s="26"/>
      <c r="K901" s="26"/>
      <c r="L901" s="26"/>
      <c r="M901" s="26"/>
      <c r="N901" s="26"/>
    </row>
    <row r="902" spans="1:14" ht="21" customHeight="1" x14ac:dyDescent="0.25">
      <c r="A902" s="26"/>
      <c r="B902" s="26"/>
      <c r="C902" s="26"/>
      <c r="D902" s="26"/>
      <c r="E902" s="26"/>
      <c r="F902" s="26"/>
      <c r="G902" s="26"/>
      <c r="H902" s="26"/>
      <c r="I902" s="32"/>
      <c r="J902" s="26"/>
      <c r="K902" s="26"/>
      <c r="L902" s="26"/>
      <c r="M902" s="26"/>
      <c r="N902" s="26"/>
    </row>
    <row r="903" spans="1:14" ht="21" customHeight="1" x14ac:dyDescent="0.25">
      <c r="A903" s="26"/>
      <c r="B903" s="26"/>
      <c r="C903" s="26"/>
      <c r="D903" s="26"/>
      <c r="E903" s="26"/>
      <c r="F903" s="26"/>
      <c r="G903" s="26"/>
      <c r="H903" s="26"/>
      <c r="I903" s="32"/>
      <c r="J903" s="26"/>
      <c r="K903" s="26"/>
      <c r="L903" s="26"/>
      <c r="M903" s="26"/>
      <c r="N903" s="26"/>
    </row>
    <row r="904" spans="1:14" ht="21" customHeight="1" x14ac:dyDescent="0.25">
      <c r="A904" s="26"/>
      <c r="B904" s="26"/>
      <c r="C904" s="26"/>
      <c r="D904" s="26"/>
      <c r="E904" s="26"/>
      <c r="F904" s="26"/>
      <c r="G904" s="26"/>
      <c r="H904" s="26"/>
      <c r="I904" s="32"/>
      <c r="J904" s="26"/>
      <c r="K904" s="26"/>
      <c r="L904" s="26"/>
      <c r="M904" s="26"/>
      <c r="N904" s="26"/>
    </row>
    <row r="905" spans="1:14" ht="21" customHeight="1" x14ac:dyDescent="0.25">
      <c r="A905" s="26"/>
      <c r="B905" s="26"/>
      <c r="C905" s="26"/>
      <c r="D905" s="26"/>
      <c r="E905" s="26"/>
      <c r="F905" s="26"/>
      <c r="G905" s="26"/>
      <c r="H905" s="26"/>
      <c r="I905" s="32"/>
      <c r="J905" s="26"/>
      <c r="K905" s="26"/>
      <c r="L905" s="26"/>
      <c r="M905" s="26"/>
      <c r="N905" s="26"/>
    </row>
    <row r="906" spans="1:14" ht="21" customHeight="1" x14ac:dyDescent="0.25">
      <c r="A906" s="26"/>
      <c r="B906" s="26"/>
      <c r="C906" s="26"/>
      <c r="D906" s="26"/>
      <c r="E906" s="26"/>
      <c r="F906" s="26"/>
      <c r="G906" s="26"/>
      <c r="H906" s="26"/>
      <c r="I906" s="32"/>
      <c r="J906" s="26"/>
      <c r="K906" s="26"/>
      <c r="L906" s="26"/>
      <c r="M906" s="26"/>
      <c r="N906" s="26"/>
    </row>
    <row r="907" spans="1:14" ht="21" customHeight="1" x14ac:dyDescent="0.25">
      <c r="A907" s="26"/>
      <c r="B907" s="26"/>
      <c r="C907" s="26"/>
      <c r="D907" s="26"/>
      <c r="E907" s="26"/>
      <c r="F907" s="26"/>
      <c r="G907" s="26"/>
      <c r="H907" s="26"/>
      <c r="I907" s="32"/>
      <c r="J907" s="26"/>
      <c r="K907" s="26"/>
      <c r="L907" s="26"/>
      <c r="M907" s="26"/>
      <c r="N907" s="26"/>
    </row>
    <row r="908" spans="1:14" ht="21" customHeight="1" x14ac:dyDescent="0.25">
      <c r="A908" s="26"/>
      <c r="B908" s="26"/>
      <c r="C908" s="26"/>
      <c r="D908" s="26"/>
      <c r="E908" s="26"/>
      <c r="F908" s="26"/>
      <c r="G908" s="26"/>
      <c r="H908" s="26"/>
      <c r="I908" s="32"/>
      <c r="J908" s="26"/>
      <c r="K908" s="26"/>
      <c r="L908" s="26"/>
      <c r="M908" s="26"/>
      <c r="N908" s="26"/>
    </row>
    <row r="909" spans="1:14" ht="21" customHeight="1" x14ac:dyDescent="0.25">
      <c r="A909" s="26"/>
      <c r="B909" s="26"/>
      <c r="C909" s="26"/>
      <c r="D909" s="26"/>
      <c r="E909" s="26"/>
      <c r="F909" s="26"/>
      <c r="G909" s="26"/>
      <c r="H909" s="26"/>
      <c r="I909" s="32"/>
      <c r="J909" s="26"/>
      <c r="K909" s="26"/>
      <c r="L909" s="26"/>
      <c r="M909" s="26"/>
      <c r="N909" s="26"/>
    </row>
    <row r="910" spans="1:14" ht="21" customHeight="1" x14ac:dyDescent="0.25">
      <c r="A910" s="26"/>
      <c r="B910" s="26"/>
      <c r="C910" s="26"/>
      <c r="D910" s="26"/>
      <c r="E910" s="26"/>
      <c r="F910" s="26"/>
      <c r="G910" s="26"/>
      <c r="H910" s="26"/>
      <c r="I910" s="32"/>
      <c r="J910" s="26"/>
      <c r="K910" s="26"/>
      <c r="L910" s="26"/>
      <c r="M910" s="26"/>
      <c r="N910" s="26"/>
    </row>
    <row r="911" spans="1:14" ht="21" customHeight="1" x14ac:dyDescent="0.25">
      <c r="A911" s="26"/>
      <c r="B911" s="26"/>
      <c r="C911" s="26"/>
      <c r="D911" s="26"/>
      <c r="E911" s="26"/>
      <c r="F911" s="26"/>
      <c r="G911" s="26"/>
      <c r="H911" s="26"/>
      <c r="I911" s="32"/>
      <c r="J911" s="26"/>
      <c r="K911" s="26"/>
      <c r="L911" s="26"/>
      <c r="M911" s="26"/>
      <c r="N911" s="26"/>
    </row>
    <row r="912" spans="1:14" ht="21" customHeight="1" x14ac:dyDescent="0.25">
      <c r="A912" s="26"/>
      <c r="B912" s="26"/>
      <c r="C912" s="26"/>
      <c r="D912" s="26"/>
      <c r="E912" s="26"/>
      <c r="F912" s="26"/>
      <c r="G912" s="26"/>
      <c r="H912" s="26"/>
      <c r="I912" s="32"/>
      <c r="J912" s="26"/>
      <c r="K912" s="26"/>
      <c r="L912" s="26"/>
      <c r="M912" s="26"/>
      <c r="N912" s="26"/>
    </row>
    <row r="913" spans="1:14" ht="21" customHeight="1" x14ac:dyDescent="0.25">
      <c r="A913" s="26"/>
      <c r="B913" s="26"/>
      <c r="C913" s="26"/>
      <c r="D913" s="26"/>
      <c r="E913" s="26"/>
      <c r="F913" s="26"/>
      <c r="G913" s="26"/>
      <c r="H913" s="26"/>
      <c r="I913" s="32"/>
      <c r="J913" s="26"/>
      <c r="K913" s="26"/>
      <c r="L913" s="26"/>
      <c r="M913" s="26"/>
      <c r="N913" s="26"/>
    </row>
    <row r="914" spans="1:14" ht="21" customHeight="1" x14ac:dyDescent="0.25">
      <c r="A914" s="26"/>
      <c r="B914" s="26"/>
      <c r="C914" s="26"/>
      <c r="D914" s="26"/>
      <c r="E914" s="26"/>
      <c r="F914" s="26"/>
      <c r="G914" s="26"/>
      <c r="H914" s="26"/>
      <c r="I914" s="32"/>
      <c r="J914" s="26"/>
      <c r="K914" s="26"/>
      <c r="L914" s="26"/>
      <c r="M914" s="26"/>
      <c r="N914" s="26"/>
    </row>
    <row r="915" spans="1:14" ht="21" customHeight="1" x14ac:dyDescent="0.25">
      <c r="A915" s="26"/>
      <c r="B915" s="26"/>
      <c r="C915" s="26"/>
      <c r="D915" s="26"/>
      <c r="E915" s="26"/>
      <c r="F915" s="26"/>
      <c r="G915" s="26"/>
      <c r="H915" s="26"/>
      <c r="I915" s="32"/>
      <c r="J915" s="26"/>
      <c r="K915" s="26"/>
      <c r="L915" s="26"/>
      <c r="M915" s="26"/>
      <c r="N915" s="26"/>
    </row>
    <row r="916" spans="1:14" ht="21" customHeight="1" x14ac:dyDescent="0.25">
      <c r="A916" s="26"/>
      <c r="B916" s="26"/>
      <c r="C916" s="26"/>
      <c r="D916" s="26"/>
      <c r="E916" s="26"/>
      <c r="F916" s="26"/>
      <c r="G916" s="26"/>
      <c r="H916" s="26"/>
      <c r="I916" s="32"/>
      <c r="J916" s="26"/>
      <c r="K916" s="26"/>
      <c r="L916" s="26"/>
      <c r="M916" s="26"/>
      <c r="N916" s="26"/>
    </row>
    <row r="917" spans="1:14" ht="21" customHeight="1" x14ac:dyDescent="0.25">
      <c r="A917" s="26"/>
      <c r="B917" s="26"/>
      <c r="C917" s="26"/>
      <c r="D917" s="26"/>
      <c r="E917" s="26"/>
      <c r="F917" s="26"/>
      <c r="G917" s="26"/>
      <c r="H917" s="26"/>
      <c r="I917" s="32"/>
      <c r="J917" s="26"/>
      <c r="K917" s="26"/>
      <c r="L917" s="26"/>
      <c r="M917" s="26"/>
      <c r="N917" s="26"/>
    </row>
    <row r="918" spans="1:14" ht="21" customHeight="1" x14ac:dyDescent="0.25">
      <c r="A918" s="26"/>
      <c r="B918" s="26"/>
      <c r="C918" s="26"/>
      <c r="D918" s="26"/>
      <c r="E918" s="26"/>
      <c r="F918" s="26"/>
      <c r="G918" s="26"/>
      <c r="H918" s="26"/>
      <c r="I918" s="32"/>
      <c r="J918" s="26"/>
      <c r="K918" s="26"/>
      <c r="L918" s="26"/>
      <c r="M918" s="26"/>
      <c r="N918" s="26"/>
    </row>
    <row r="919" spans="1:14" ht="21" customHeight="1" x14ac:dyDescent="0.25">
      <c r="A919" s="26"/>
      <c r="B919" s="26"/>
      <c r="C919" s="26"/>
      <c r="D919" s="26"/>
      <c r="E919" s="26"/>
      <c r="F919" s="26"/>
      <c r="G919" s="26"/>
      <c r="H919" s="26"/>
      <c r="I919" s="32"/>
      <c r="J919" s="26"/>
      <c r="K919" s="26"/>
      <c r="L919" s="26"/>
      <c r="M919" s="26"/>
      <c r="N919" s="26"/>
    </row>
    <row r="920" spans="1:14" ht="21" customHeight="1" x14ac:dyDescent="0.25">
      <c r="A920" s="26"/>
      <c r="B920" s="26"/>
      <c r="C920" s="26"/>
      <c r="D920" s="26"/>
      <c r="E920" s="26"/>
      <c r="F920" s="26"/>
      <c r="G920" s="26"/>
      <c r="H920" s="26"/>
      <c r="I920" s="32"/>
      <c r="J920" s="26"/>
      <c r="K920" s="26"/>
      <c r="L920" s="26"/>
      <c r="M920" s="26"/>
      <c r="N920" s="26"/>
    </row>
    <row r="921" spans="1:14" ht="21" customHeight="1" x14ac:dyDescent="0.25">
      <c r="A921" s="26"/>
      <c r="B921" s="26"/>
      <c r="C921" s="26"/>
      <c r="D921" s="26"/>
      <c r="E921" s="26"/>
      <c r="F921" s="26"/>
      <c r="G921" s="26"/>
      <c r="H921" s="26"/>
      <c r="I921" s="32"/>
      <c r="J921" s="26"/>
      <c r="K921" s="26"/>
      <c r="L921" s="26"/>
      <c r="M921" s="26"/>
      <c r="N921" s="26"/>
    </row>
    <row r="922" spans="1:14" ht="21" customHeight="1" x14ac:dyDescent="0.25">
      <c r="A922" s="26"/>
      <c r="B922" s="26"/>
      <c r="C922" s="26"/>
      <c r="D922" s="26"/>
      <c r="E922" s="26"/>
      <c r="F922" s="26"/>
      <c r="G922" s="26"/>
      <c r="H922" s="26"/>
      <c r="I922" s="32"/>
      <c r="J922" s="26"/>
      <c r="K922" s="26"/>
      <c r="L922" s="26"/>
      <c r="M922" s="26"/>
      <c r="N922" s="26"/>
    </row>
    <row r="923" spans="1:14" ht="21" customHeight="1" x14ac:dyDescent="0.25">
      <c r="A923" s="26"/>
      <c r="B923" s="26"/>
      <c r="C923" s="26"/>
      <c r="D923" s="26"/>
      <c r="E923" s="26"/>
      <c r="F923" s="26"/>
      <c r="G923" s="26"/>
      <c r="H923" s="26"/>
      <c r="I923" s="32"/>
      <c r="J923" s="26"/>
      <c r="K923" s="26"/>
      <c r="L923" s="26"/>
      <c r="M923" s="26"/>
      <c r="N923" s="26"/>
    </row>
    <row r="924" spans="1:14" ht="21" customHeight="1" x14ac:dyDescent="0.25">
      <c r="A924" s="26"/>
      <c r="B924" s="26"/>
      <c r="C924" s="26"/>
      <c r="D924" s="26"/>
      <c r="E924" s="26"/>
      <c r="F924" s="26"/>
      <c r="G924" s="26"/>
      <c r="H924" s="26"/>
      <c r="I924" s="32"/>
      <c r="J924" s="26"/>
      <c r="K924" s="26"/>
      <c r="L924" s="26"/>
      <c r="M924" s="26"/>
      <c r="N924" s="26"/>
    </row>
    <row r="925" spans="1:14" ht="21" customHeight="1" x14ac:dyDescent="0.25">
      <c r="A925" s="26"/>
      <c r="B925" s="26"/>
      <c r="C925" s="26"/>
      <c r="D925" s="26"/>
      <c r="E925" s="26"/>
      <c r="F925" s="26"/>
      <c r="G925" s="26"/>
      <c r="H925" s="26"/>
      <c r="I925" s="32"/>
      <c r="J925" s="26"/>
      <c r="K925" s="26"/>
      <c r="L925" s="26"/>
      <c r="M925" s="26"/>
      <c r="N925" s="26"/>
    </row>
    <row r="926" spans="1:14" ht="21" customHeight="1" x14ac:dyDescent="0.25">
      <c r="A926" s="26"/>
      <c r="B926" s="26"/>
      <c r="C926" s="26"/>
      <c r="D926" s="26"/>
      <c r="E926" s="26"/>
      <c r="F926" s="26"/>
      <c r="G926" s="26"/>
      <c r="H926" s="26"/>
      <c r="I926" s="32"/>
      <c r="J926" s="26"/>
      <c r="K926" s="26"/>
      <c r="L926" s="26"/>
      <c r="M926" s="26"/>
      <c r="N926" s="26"/>
    </row>
    <row r="927" spans="1:14" ht="21" customHeight="1" x14ac:dyDescent="0.25">
      <c r="A927" s="26"/>
      <c r="B927" s="26"/>
      <c r="C927" s="26"/>
      <c r="D927" s="26"/>
      <c r="E927" s="26"/>
      <c r="F927" s="26"/>
      <c r="G927" s="26"/>
      <c r="H927" s="26"/>
      <c r="I927" s="32"/>
      <c r="J927" s="26"/>
      <c r="K927" s="26"/>
      <c r="L927" s="26"/>
      <c r="M927" s="26"/>
      <c r="N927" s="26"/>
    </row>
    <row r="928" spans="1:14" ht="21" customHeight="1" x14ac:dyDescent="0.25">
      <c r="A928" s="26"/>
      <c r="B928" s="26"/>
      <c r="C928" s="26"/>
      <c r="D928" s="26"/>
      <c r="E928" s="26"/>
      <c r="F928" s="26"/>
      <c r="G928" s="26"/>
      <c r="H928" s="26"/>
      <c r="I928" s="32"/>
      <c r="J928" s="26"/>
      <c r="K928" s="26"/>
      <c r="L928" s="26"/>
      <c r="M928" s="26"/>
      <c r="N928" s="26"/>
    </row>
    <row r="929" spans="1:14" ht="21" customHeight="1" x14ac:dyDescent="0.25">
      <c r="A929" s="26"/>
      <c r="B929" s="26"/>
      <c r="C929" s="26"/>
      <c r="D929" s="26"/>
      <c r="E929" s="26"/>
      <c r="F929" s="26"/>
      <c r="G929" s="26"/>
      <c r="H929" s="26"/>
      <c r="I929" s="32"/>
      <c r="J929" s="26"/>
      <c r="K929" s="26"/>
      <c r="L929" s="26"/>
      <c r="M929" s="26"/>
      <c r="N929" s="26"/>
    </row>
    <row r="930" spans="1:14" ht="21" customHeight="1" x14ac:dyDescent="0.25">
      <c r="A930" s="26"/>
      <c r="B930" s="26"/>
      <c r="C930" s="26"/>
      <c r="D930" s="26"/>
      <c r="E930" s="26"/>
      <c r="F930" s="26"/>
      <c r="G930" s="26"/>
      <c r="H930" s="26"/>
      <c r="I930" s="32"/>
      <c r="J930" s="26"/>
      <c r="K930" s="26"/>
      <c r="L930" s="26"/>
      <c r="M930" s="26"/>
      <c r="N930" s="26"/>
    </row>
    <row r="931" spans="1:14" ht="21" customHeight="1" x14ac:dyDescent="0.25">
      <c r="A931" s="26"/>
      <c r="B931" s="26"/>
      <c r="C931" s="26"/>
      <c r="D931" s="26"/>
      <c r="E931" s="26"/>
      <c r="F931" s="26"/>
      <c r="G931" s="26"/>
      <c r="H931" s="26"/>
      <c r="I931" s="32"/>
      <c r="J931" s="26"/>
      <c r="K931" s="26"/>
      <c r="L931" s="26"/>
      <c r="M931" s="26"/>
      <c r="N931" s="26"/>
    </row>
    <row r="932" spans="1:14" ht="21" customHeight="1" x14ac:dyDescent="0.25">
      <c r="A932" s="26"/>
      <c r="B932" s="26"/>
      <c r="C932" s="26"/>
      <c r="D932" s="26"/>
      <c r="E932" s="26"/>
      <c r="F932" s="26"/>
      <c r="G932" s="26"/>
      <c r="H932" s="26"/>
      <c r="I932" s="32"/>
      <c r="J932" s="26"/>
      <c r="K932" s="26"/>
      <c r="L932" s="26"/>
      <c r="M932" s="26"/>
      <c r="N932" s="26"/>
    </row>
    <row r="933" spans="1:14" ht="21" customHeight="1" x14ac:dyDescent="0.25">
      <c r="A933" s="26"/>
      <c r="B933" s="26"/>
      <c r="C933" s="26"/>
      <c r="D933" s="26"/>
      <c r="E933" s="26"/>
      <c r="F933" s="26"/>
      <c r="G933" s="26"/>
      <c r="H933" s="26"/>
      <c r="I933" s="32"/>
      <c r="J933" s="26"/>
      <c r="K933" s="26"/>
      <c r="L933" s="26"/>
      <c r="M933" s="26"/>
      <c r="N933" s="26"/>
    </row>
    <row r="934" spans="1:14" ht="21" customHeight="1" x14ac:dyDescent="0.25">
      <c r="A934" s="26"/>
      <c r="B934" s="26"/>
      <c r="C934" s="26"/>
      <c r="D934" s="26"/>
      <c r="E934" s="26"/>
      <c r="F934" s="26"/>
      <c r="G934" s="26"/>
      <c r="H934" s="26"/>
      <c r="I934" s="32"/>
      <c r="J934" s="26"/>
      <c r="K934" s="26"/>
      <c r="L934" s="26"/>
      <c r="M934" s="26"/>
      <c r="N934" s="26"/>
    </row>
    <row r="935" spans="1:14" ht="21" customHeight="1" x14ac:dyDescent="0.25">
      <c r="A935" s="26"/>
      <c r="B935" s="26"/>
      <c r="C935" s="26"/>
      <c r="D935" s="26"/>
      <c r="E935" s="26"/>
      <c r="F935" s="26"/>
      <c r="G935" s="26"/>
      <c r="H935" s="26"/>
      <c r="I935" s="32"/>
      <c r="J935" s="26"/>
      <c r="K935" s="26"/>
      <c r="L935" s="26"/>
      <c r="M935" s="26"/>
      <c r="N935" s="26"/>
    </row>
    <row r="936" spans="1:14" ht="21" customHeight="1" x14ac:dyDescent="0.25">
      <c r="A936" s="26"/>
      <c r="B936" s="26"/>
      <c r="C936" s="26"/>
      <c r="D936" s="26"/>
      <c r="E936" s="26"/>
      <c r="F936" s="26"/>
      <c r="G936" s="26"/>
      <c r="H936" s="26"/>
      <c r="I936" s="32"/>
      <c r="J936" s="26"/>
      <c r="K936" s="26"/>
      <c r="L936" s="26"/>
      <c r="M936" s="26"/>
      <c r="N936" s="26"/>
    </row>
    <row r="937" spans="1:14" ht="21" customHeight="1" x14ac:dyDescent="0.25">
      <c r="A937" s="26"/>
      <c r="B937" s="26"/>
      <c r="C937" s="26"/>
      <c r="D937" s="26"/>
      <c r="E937" s="26"/>
      <c r="F937" s="26"/>
      <c r="G937" s="26"/>
      <c r="H937" s="26"/>
      <c r="I937" s="32"/>
      <c r="J937" s="26"/>
      <c r="K937" s="26"/>
      <c r="L937" s="26"/>
      <c r="M937" s="26"/>
      <c r="N937" s="26"/>
    </row>
    <row r="938" spans="1:14" ht="21" customHeight="1" x14ac:dyDescent="0.25">
      <c r="A938" s="26"/>
      <c r="B938" s="26"/>
      <c r="C938" s="26"/>
      <c r="D938" s="26"/>
      <c r="E938" s="26"/>
      <c r="F938" s="26"/>
      <c r="G938" s="26"/>
      <c r="H938" s="26"/>
      <c r="I938" s="32"/>
      <c r="J938" s="26"/>
      <c r="K938" s="26"/>
      <c r="L938" s="26"/>
      <c r="M938" s="26"/>
      <c r="N938" s="26"/>
    </row>
    <row r="939" spans="1:14" ht="21" customHeight="1" x14ac:dyDescent="0.25">
      <c r="A939" s="26"/>
      <c r="B939" s="26"/>
      <c r="C939" s="26"/>
      <c r="D939" s="26"/>
      <c r="E939" s="26"/>
      <c r="F939" s="26"/>
      <c r="G939" s="26"/>
      <c r="H939" s="26"/>
      <c r="I939" s="32"/>
      <c r="J939" s="26"/>
      <c r="K939" s="26"/>
      <c r="L939" s="26"/>
      <c r="M939" s="26"/>
      <c r="N939" s="26"/>
    </row>
    <row r="940" spans="1:14" ht="21" customHeight="1" x14ac:dyDescent="0.25">
      <c r="A940" s="26"/>
      <c r="B940" s="26"/>
      <c r="C940" s="26"/>
      <c r="D940" s="26"/>
      <c r="E940" s="26"/>
      <c r="F940" s="26"/>
      <c r="G940" s="26"/>
      <c r="H940" s="26"/>
      <c r="I940" s="32"/>
      <c r="J940" s="26"/>
      <c r="K940" s="26"/>
      <c r="L940" s="26"/>
      <c r="M940" s="26"/>
      <c r="N940" s="26"/>
    </row>
    <row r="941" spans="1:14" ht="21" customHeight="1" x14ac:dyDescent="0.25">
      <c r="A941" s="26"/>
      <c r="B941" s="26"/>
      <c r="C941" s="26"/>
      <c r="D941" s="26"/>
      <c r="E941" s="26"/>
      <c r="F941" s="26"/>
      <c r="G941" s="26"/>
      <c r="H941" s="26"/>
      <c r="I941" s="32"/>
      <c r="J941" s="26"/>
      <c r="K941" s="26"/>
      <c r="L941" s="26"/>
      <c r="M941" s="26"/>
      <c r="N941" s="26"/>
    </row>
    <row r="942" spans="1:14" ht="21" customHeight="1" x14ac:dyDescent="0.25">
      <c r="A942" s="26"/>
      <c r="B942" s="26"/>
      <c r="C942" s="26"/>
      <c r="D942" s="26"/>
      <c r="E942" s="26"/>
      <c r="F942" s="26"/>
      <c r="G942" s="26"/>
      <c r="H942" s="26"/>
      <c r="I942" s="32"/>
      <c r="J942" s="26"/>
      <c r="K942" s="26"/>
      <c r="L942" s="26"/>
      <c r="M942" s="26"/>
      <c r="N942" s="26"/>
    </row>
    <row r="943" spans="1:14" ht="21" customHeight="1" x14ac:dyDescent="0.25">
      <c r="A943" s="26"/>
      <c r="B943" s="26"/>
      <c r="C943" s="26"/>
      <c r="D943" s="26"/>
      <c r="E943" s="26"/>
      <c r="F943" s="26"/>
      <c r="G943" s="26"/>
      <c r="H943" s="26"/>
      <c r="I943" s="32"/>
      <c r="J943" s="26"/>
      <c r="K943" s="26"/>
      <c r="L943" s="26"/>
      <c r="M943" s="26"/>
      <c r="N943" s="26"/>
    </row>
    <row r="944" spans="1:14" ht="21" customHeight="1" x14ac:dyDescent="0.25">
      <c r="A944" s="26"/>
      <c r="B944" s="26"/>
      <c r="C944" s="26"/>
      <c r="D944" s="26"/>
      <c r="E944" s="26"/>
      <c r="F944" s="26"/>
      <c r="G944" s="26"/>
      <c r="H944" s="26"/>
      <c r="I944" s="32"/>
      <c r="J944" s="26"/>
      <c r="K944" s="26"/>
      <c r="L944" s="26"/>
      <c r="M944" s="26"/>
      <c r="N944" s="26"/>
    </row>
    <row r="945" spans="1:14" ht="21" customHeight="1" x14ac:dyDescent="0.25">
      <c r="A945" s="26"/>
      <c r="B945" s="26"/>
      <c r="C945" s="26"/>
      <c r="D945" s="26"/>
      <c r="E945" s="26"/>
      <c r="F945" s="26"/>
      <c r="G945" s="26"/>
      <c r="H945" s="26"/>
      <c r="I945" s="32"/>
      <c r="J945" s="26"/>
      <c r="K945" s="26"/>
      <c r="L945" s="26"/>
      <c r="M945" s="26"/>
      <c r="N945" s="26"/>
    </row>
    <row r="946" spans="1:14" ht="21" customHeight="1" x14ac:dyDescent="0.25">
      <c r="A946" s="26"/>
      <c r="B946" s="26"/>
      <c r="C946" s="26"/>
      <c r="D946" s="26"/>
      <c r="E946" s="26"/>
      <c r="F946" s="26"/>
      <c r="G946" s="26"/>
      <c r="H946" s="26"/>
      <c r="I946" s="32"/>
      <c r="J946" s="26"/>
      <c r="K946" s="26"/>
      <c r="L946" s="26"/>
      <c r="M946" s="26"/>
      <c r="N946" s="26"/>
    </row>
    <row r="947" spans="1:14" ht="21" customHeight="1" x14ac:dyDescent="0.25">
      <c r="A947" s="26"/>
      <c r="B947" s="26"/>
      <c r="C947" s="26"/>
      <c r="D947" s="26"/>
      <c r="E947" s="26"/>
      <c r="F947" s="26"/>
      <c r="G947" s="26"/>
      <c r="H947" s="26"/>
      <c r="I947" s="32"/>
      <c r="J947" s="26"/>
      <c r="K947" s="26"/>
      <c r="L947" s="26"/>
      <c r="M947" s="26"/>
      <c r="N947" s="26"/>
    </row>
    <row r="948" spans="1:14" ht="21" customHeight="1" x14ac:dyDescent="0.25">
      <c r="A948" s="26"/>
      <c r="B948" s="26"/>
      <c r="C948" s="26"/>
      <c r="D948" s="26"/>
      <c r="E948" s="26"/>
      <c r="F948" s="26"/>
      <c r="G948" s="26"/>
      <c r="H948" s="26"/>
      <c r="I948" s="32"/>
      <c r="J948" s="26"/>
      <c r="K948" s="26"/>
      <c r="L948" s="26"/>
      <c r="M948" s="26"/>
      <c r="N948" s="26"/>
    </row>
    <row r="949" spans="1:14" ht="21" customHeight="1" x14ac:dyDescent="0.25">
      <c r="A949" s="26"/>
      <c r="B949" s="26"/>
      <c r="C949" s="26"/>
      <c r="D949" s="26"/>
      <c r="E949" s="26"/>
      <c r="F949" s="26"/>
      <c r="G949" s="26"/>
      <c r="H949" s="26"/>
      <c r="I949" s="32"/>
      <c r="J949" s="26"/>
      <c r="K949" s="26"/>
      <c r="L949" s="26"/>
      <c r="M949" s="26"/>
      <c r="N949" s="26"/>
    </row>
    <row r="950" spans="1:14" ht="21" customHeight="1" x14ac:dyDescent="0.25">
      <c r="A950" s="26"/>
      <c r="B950" s="26"/>
      <c r="C950" s="26"/>
      <c r="D950" s="26"/>
      <c r="E950" s="26"/>
      <c r="F950" s="26"/>
      <c r="G950" s="26"/>
      <c r="H950" s="26"/>
      <c r="I950" s="32"/>
      <c r="J950" s="26"/>
      <c r="K950" s="26"/>
      <c r="L950" s="26"/>
      <c r="M950" s="26"/>
      <c r="N950" s="26"/>
    </row>
    <row r="951" spans="1:14" ht="21" customHeight="1" x14ac:dyDescent="0.25">
      <c r="A951" s="26"/>
      <c r="B951" s="26"/>
      <c r="C951" s="26"/>
      <c r="D951" s="26"/>
      <c r="E951" s="26"/>
      <c r="F951" s="26"/>
      <c r="G951" s="26"/>
      <c r="H951" s="26"/>
      <c r="I951" s="32"/>
      <c r="J951" s="26"/>
      <c r="K951" s="26"/>
      <c r="L951" s="26"/>
      <c r="M951" s="26"/>
      <c r="N951" s="26"/>
    </row>
    <row r="952" spans="1:14" ht="21" customHeight="1" x14ac:dyDescent="0.25">
      <c r="A952" s="26"/>
      <c r="B952" s="26"/>
      <c r="C952" s="26"/>
      <c r="D952" s="26"/>
      <c r="E952" s="26"/>
      <c r="F952" s="26"/>
      <c r="G952" s="26"/>
      <c r="H952" s="26"/>
      <c r="I952" s="32"/>
      <c r="J952" s="26"/>
      <c r="K952" s="26"/>
      <c r="L952" s="26"/>
      <c r="M952" s="26"/>
      <c r="N952" s="26"/>
    </row>
    <row r="953" spans="1:14" ht="21" customHeight="1" x14ac:dyDescent="0.25">
      <c r="A953" s="26"/>
      <c r="B953" s="26"/>
      <c r="C953" s="26"/>
      <c r="D953" s="26"/>
      <c r="E953" s="26"/>
      <c r="F953" s="26"/>
      <c r="G953" s="26"/>
      <c r="H953" s="26"/>
      <c r="I953" s="32"/>
      <c r="J953" s="26"/>
      <c r="K953" s="26"/>
      <c r="L953" s="26"/>
      <c r="M953" s="26"/>
      <c r="N953" s="26"/>
    </row>
    <row r="954" spans="1:14" ht="21" customHeight="1" x14ac:dyDescent="0.25">
      <c r="A954" s="26"/>
      <c r="B954" s="26"/>
      <c r="C954" s="26"/>
      <c r="D954" s="26"/>
      <c r="E954" s="26"/>
      <c r="F954" s="26"/>
      <c r="G954" s="26"/>
      <c r="H954" s="26"/>
      <c r="I954" s="32"/>
      <c r="J954" s="26"/>
      <c r="K954" s="26"/>
      <c r="L954" s="26"/>
      <c r="M954" s="26"/>
      <c r="N954" s="26"/>
    </row>
    <row r="955" spans="1:14" ht="21" customHeight="1" x14ac:dyDescent="0.25">
      <c r="A955" s="26"/>
      <c r="B955" s="26"/>
      <c r="C955" s="26"/>
      <c r="D955" s="26"/>
      <c r="E955" s="26"/>
      <c r="F955" s="26"/>
      <c r="G955" s="26"/>
      <c r="H955" s="26"/>
      <c r="I955" s="32"/>
      <c r="J955" s="26"/>
      <c r="K955" s="26"/>
      <c r="L955" s="26"/>
      <c r="M955" s="26"/>
      <c r="N955" s="26"/>
    </row>
    <row r="956" spans="1:14" ht="21" customHeight="1" x14ac:dyDescent="0.25">
      <c r="A956" s="26"/>
      <c r="B956" s="26"/>
      <c r="C956" s="26"/>
      <c r="D956" s="26"/>
      <c r="E956" s="26"/>
      <c r="F956" s="26"/>
      <c r="G956" s="26"/>
      <c r="H956" s="26"/>
      <c r="I956" s="32"/>
      <c r="J956" s="26"/>
      <c r="K956" s="26"/>
      <c r="L956" s="26"/>
      <c r="M956" s="26"/>
      <c r="N956" s="26"/>
    </row>
    <row r="957" spans="1:14" ht="21" customHeight="1" x14ac:dyDescent="0.25">
      <c r="A957" s="26"/>
      <c r="B957" s="26"/>
      <c r="C957" s="26"/>
      <c r="D957" s="26"/>
      <c r="E957" s="26"/>
      <c r="F957" s="26"/>
      <c r="G957" s="26"/>
      <c r="H957" s="26"/>
      <c r="I957" s="32"/>
      <c r="J957" s="26"/>
      <c r="K957" s="26"/>
      <c r="L957" s="26"/>
      <c r="M957" s="26"/>
      <c r="N957" s="26"/>
    </row>
    <row r="958" spans="1:14" ht="21" customHeight="1" x14ac:dyDescent="0.25">
      <c r="A958" s="26"/>
      <c r="B958" s="26"/>
      <c r="C958" s="26"/>
      <c r="D958" s="26"/>
      <c r="E958" s="26"/>
      <c r="F958" s="26"/>
      <c r="G958" s="26"/>
      <c r="H958" s="26"/>
      <c r="I958" s="32"/>
      <c r="J958" s="26"/>
      <c r="K958" s="26"/>
      <c r="L958" s="26"/>
      <c r="M958" s="26"/>
      <c r="N958" s="26"/>
    </row>
    <row r="959" spans="1:14" ht="21" customHeight="1" x14ac:dyDescent="0.25">
      <c r="A959" s="26"/>
      <c r="B959" s="26"/>
      <c r="C959" s="26"/>
      <c r="D959" s="26"/>
      <c r="E959" s="26"/>
      <c r="F959" s="26"/>
      <c r="G959" s="26"/>
      <c r="H959" s="26"/>
      <c r="I959" s="32"/>
      <c r="J959" s="26"/>
      <c r="K959" s="26"/>
      <c r="L959" s="26"/>
      <c r="M959" s="26"/>
      <c r="N959" s="26"/>
    </row>
    <row r="960" spans="1:14" ht="21" customHeight="1" x14ac:dyDescent="0.25">
      <c r="A960" s="26"/>
      <c r="B960" s="26"/>
      <c r="C960" s="26"/>
      <c r="D960" s="26"/>
      <c r="E960" s="26"/>
      <c r="F960" s="26"/>
      <c r="G960" s="26"/>
      <c r="H960" s="26"/>
      <c r="I960" s="32"/>
      <c r="J960" s="26"/>
      <c r="K960" s="26"/>
      <c r="L960" s="26"/>
      <c r="M960" s="26"/>
      <c r="N960" s="26"/>
    </row>
    <row r="961" spans="1:14" ht="21" customHeight="1" x14ac:dyDescent="0.25">
      <c r="A961" s="26"/>
      <c r="B961" s="26"/>
      <c r="C961" s="26"/>
      <c r="D961" s="26"/>
      <c r="E961" s="26"/>
      <c r="F961" s="26"/>
      <c r="G961" s="26"/>
      <c r="H961" s="26"/>
      <c r="I961" s="32"/>
      <c r="J961" s="26"/>
      <c r="K961" s="26"/>
      <c r="L961" s="26"/>
      <c r="M961" s="26"/>
      <c r="N961" s="26"/>
    </row>
    <row r="962" spans="1:14" ht="21" customHeight="1" x14ac:dyDescent="0.25">
      <c r="A962" s="26"/>
      <c r="B962" s="26"/>
      <c r="C962" s="26"/>
      <c r="D962" s="26"/>
      <c r="E962" s="26"/>
      <c r="F962" s="26"/>
      <c r="G962" s="26"/>
      <c r="H962" s="26"/>
      <c r="I962" s="32"/>
      <c r="J962" s="26"/>
      <c r="K962" s="26"/>
      <c r="L962" s="26"/>
      <c r="M962" s="26"/>
      <c r="N962" s="26"/>
    </row>
    <row r="963" spans="1:14" ht="21" customHeight="1" x14ac:dyDescent="0.25">
      <c r="A963" s="26"/>
      <c r="B963" s="26"/>
      <c r="C963" s="26"/>
      <c r="D963" s="26"/>
      <c r="E963" s="26"/>
      <c r="F963" s="26"/>
      <c r="G963" s="26"/>
      <c r="H963" s="26"/>
      <c r="I963" s="32"/>
      <c r="J963" s="26"/>
      <c r="K963" s="26"/>
      <c r="L963" s="26"/>
      <c r="M963" s="26"/>
      <c r="N963" s="26"/>
    </row>
    <row r="964" spans="1:14" ht="21" customHeight="1" x14ac:dyDescent="0.25">
      <c r="A964" s="26"/>
      <c r="B964" s="26"/>
      <c r="C964" s="26"/>
      <c r="D964" s="26"/>
      <c r="E964" s="26"/>
      <c r="F964" s="26"/>
      <c r="G964" s="26"/>
      <c r="H964" s="26"/>
      <c r="I964" s="32"/>
      <c r="J964" s="26"/>
      <c r="K964" s="26"/>
      <c r="L964" s="26"/>
      <c r="M964" s="26"/>
      <c r="N964" s="26"/>
    </row>
    <row r="965" spans="1:14" ht="21" customHeight="1" x14ac:dyDescent="0.25">
      <c r="A965" s="26"/>
      <c r="B965" s="26"/>
      <c r="C965" s="26"/>
      <c r="D965" s="26"/>
      <c r="E965" s="26"/>
      <c r="F965" s="26"/>
      <c r="G965" s="26"/>
      <c r="H965" s="26"/>
      <c r="I965" s="32"/>
      <c r="J965" s="26"/>
      <c r="K965" s="26"/>
      <c r="L965" s="26"/>
      <c r="M965" s="26"/>
      <c r="N965" s="26"/>
    </row>
    <row r="966" spans="1:14" ht="21" customHeight="1" x14ac:dyDescent="0.25">
      <c r="A966" s="26"/>
      <c r="B966" s="26"/>
      <c r="C966" s="26"/>
      <c r="D966" s="26"/>
      <c r="E966" s="26"/>
      <c r="F966" s="26"/>
      <c r="G966" s="26"/>
      <c r="H966" s="26"/>
      <c r="I966" s="32"/>
      <c r="J966" s="26"/>
      <c r="K966" s="26"/>
      <c r="L966" s="26"/>
      <c r="M966" s="26"/>
      <c r="N966" s="26"/>
    </row>
    <row r="967" spans="1:14" ht="21" customHeight="1" x14ac:dyDescent="0.25">
      <c r="A967" s="26"/>
      <c r="B967" s="26"/>
      <c r="C967" s="26"/>
      <c r="D967" s="26"/>
      <c r="E967" s="26"/>
      <c r="F967" s="26"/>
      <c r="G967" s="26"/>
      <c r="H967" s="26"/>
      <c r="I967" s="32"/>
      <c r="J967" s="26"/>
      <c r="K967" s="26"/>
      <c r="L967" s="26"/>
      <c r="M967" s="26"/>
      <c r="N967" s="26"/>
    </row>
    <row r="968" spans="1:14" ht="21" customHeight="1" x14ac:dyDescent="0.25">
      <c r="A968" s="26"/>
      <c r="B968" s="26"/>
      <c r="C968" s="26"/>
      <c r="D968" s="26"/>
      <c r="E968" s="26"/>
      <c r="F968" s="26"/>
      <c r="G968" s="26"/>
      <c r="H968" s="26"/>
      <c r="I968" s="32"/>
      <c r="J968" s="26"/>
      <c r="K968" s="26"/>
      <c r="L968" s="26"/>
      <c r="M968" s="26"/>
      <c r="N968" s="26"/>
    </row>
    <row r="969" spans="1:14" ht="21" customHeight="1" x14ac:dyDescent="0.25">
      <c r="A969" s="26"/>
      <c r="B969" s="26"/>
      <c r="C969" s="26"/>
      <c r="D969" s="26"/>
      <c r="E969" s="26"/>
      <c r="F969" s="26"/>
      <c r="G969" s="26"/>
      <c r="H969" s="26"/>
      <c r="I969" s="32"/>
      <c r="J969" s="26"/>
      <c r="K969" s="26"/>
      <c r="L969" s="26"/>
      <c r="M969" s="26"/>
      <c r="N969" s="26"/>
    </row>
    <row r="970" spans="1:14" ht="21" customHeight="1" x14ac:dyDescent="0.25">
      <c r="A970" s="26"/>
      <c r="B970" s="26"/>
      <c r="C970" s="26"/>
      <c r="D970" s="26"/>
      <c r="E970" s="26"/>
      <c r="F970" s="26"/>
      <c r="G970" s="26"/>
      <c r="H970" s="26"/>
      <c r="I970" s="32"/>
      <c r="J970" s="26"/>
      <c r="K970" s="26"/>
      <c r="L970" s="26"/>
      <c r="M970" s="26"/>
      <c r="N970" s="26"/>
    </row>
    <row r="971" spans="1:14" ht="21" customHeight="1" x14ac:dyDescent="0.25">
      <c r="A971" s="26"/>
      <c r="B971" s="26"/>
      <c r="C971" s="26"/>
      <c r="D971" s="26"/>
      <c r="E971" s="26"/>
      <c r="F971" s="26"/>
      <c r="G971" s="26"/>
      <c r="H971" s="26"/>
      <c r="I971" s="32"/>
      <c r="J971" s="26"/>
      <c r="K971" s="26"/>
      <c r="L971" s="26"/>
      <c r="M971" s="26"/>
      <c r="N971" s="26"/>
    </row>
    <row r="972" spans="1:14" ht="21" customHeight="1" x14ac:dyDescent="0.25">
      <c r="A972" s="26"/>
      <c r="B972" s="26"/>
      <c r="C972" s="26"/>
      <c r="D972" s="26"/>
      <c r="E972" s="26"/>
      <c r="F972" s="26"/>
      <c r="G972" s="26"/>
      <c r="H972" s="26"/>
      <c r="I972" s="32"/>
      <c r="J972" s="26"/>
      <c r="K972" s="26"/>
      <c r="L972" s="26"/>
      <c r="M972" s="26"/>
      <c r="N972" s="26"/>
    </row>
    <row r="973" spans="1:14" ht="21" customHeight="1" x14ac:dyDescent="0.25">
      <c r="A973" s="26"/>
      <c r="B973" s="26"/>
      <c r="C973" s="26"/>
      <c r="D973" s="26"/>
      <c r="E973" s="26"/>
      <c r="F973" s="26"/>
      <c r="G973" s="26"/>
      <c r="H973" s="26"/>
      <c r="I973" s="32"/>
      <c r="J973" s="26"/>
      <c r="K973" s="26"/>
      <c r="L973" s="26"/>
      <c r="M973" s="26"/>
      <c r="N973" s="26"/>
    </row>
    <row r="974" spans="1:14" ht="21" customHeight="1" x14ac:dyDescent="0.25">
      <c r="A974" s="26"/>
      <c r="B974" s="26"/>
      <c r="C974" s="26"/>
      <c r="D974" s="26"/>
      <c r="E974" s="26"/>
      <c r="F974" s="26"/>
      <c r="G974" s="26"/>
      <c r="H974" s="26"/>
      <c r="I974" s="32"/>
      <c r="J974" s="26"/>
      <c r="K974" s="26"/>
      <c r="L974" s="26"/>
      <c r="M974" s="26"/>
      <c r="N974" s="26"/>
    </row>
    <row r="975" spans="1:14" ht="21" customHeight="1" x14ac:dyDescent="0.25">
      <c r="A975" s="26"/>
      <c r="B975" s="26"/>
      <c r="C975" s="26"/>
      <c r="D975" s="26"/>
      <c r="E975" s="26"/>
      <c r="F975" s="26"/>
      <c r="G975" s="26"/>
      <c r="H975" s="26"/>
      <c r="I975" s="32"/>
      <c r="J975" s="26"/>
      <c r="K975" s="26"/>
      <c r="L975" s="26"/>
      <c r="M975" s="26"/>
      <c r="N975" s="26"/>
    </row>
    <row r="976" spans="1:14" ht="21" customHeight="1" x14ac:dyDescent="0.25">
      <c r="A976" s="26"/>
      <c r="B976" s="26"/>
      <c r="C976" s="26"/>
      <c r="D976" s="26"/>
      <c r="E976" s="26"/>
      <c r="F976" s="26"/>
      <c r="G976" s="26"/>
      <c r="H976" s="26"/>
      <c r="I976" s="32"/>
      <c r="J976" s="26"/>
      <c r="K976" s="26"/>
      <c r="L976" s="26"/>
      <c r="M976" s="26"/>
      <c r="N976" s="26"/>
    </row>
    <row r="977" spans="1:14" ht="21" customHeight="1" x14ac:dyDescent="0.25">
      <c r="A977" s="26"/>
      <c r="B977" s="26"/>
      <c r="C977" s="26"/>
      <c r="D977" s="26"/>
      <c r="E977" s="26"/>
      <c r="F977" s="26"/>
      <c r="G977" s="26"/>
      <c r="H977" s="26"/>
      <c r="I977" s="32"/>
      <c r="J977" s="26"/>
      <c r="K977" s="26"/>
      <c r="L977" s="26"/>
      <c r="M977" s="26"/>
      <c r="N977" s="26"/>
    </row>
    <row r="978" spans="1:14" ht="21" customHeight="1" x14ac:dyDescent="0.25">
      <c r="A978" s="26"/>
      <c r="B978" s="26"/>
      <c r="C978" s="26"/>
      <c r="D978" s="26"/>
      <c r="E978" s="26"/>
      <c r="F978" s="26"/>
      <c r="G978" s="26"/>
      <c r="H978" s="26"/>
      <c r="I978" s="32"/>
      <c r="J978" s="26"/>
      <c r="K978" s="26"/>
      <c r="L978" s="26"/>
      <c r="M978" s="26"/>
      <c r="N978" s="26"/>
    </row>
    <row r="979" spans="1:14" ht="21" customHeight="1" x14ac:dyDescent="0.25">
      <c r="A979" s="26"/>
      <c r="B979" s="26"/>
      <c r="C979" s="26"/>
      <c r="D979" s="26"/>
      <c r="E979" s="26"/>
      <c r="F979" s="26"/>
      <c r="G979" s="26"/>
      <c r="H979" s="26"/>
      <c r="I979" s="32"/>
      <c r="J979" s="26"/>
      <c r="K979" s="26"/>
      <c r="L979" s="26"/>
      <c r="M979" s="26"/>
      <c r="N979" s="26"/>
    </row>
    <row r="980" spans="1:14" ht="21" customHeight="1" x14ac:dyDescent="0.25">
      <c r="A980" s="26"/>
      <c r="B980" s="26"/>
      <c r="C980" s="26"/>
      <c r="D980" s="26"/>
      <c r="E980" s="26"/>
      <c r="F980" s="26"/>
      <c r="G980" s="26"/>
      <c r="H980" s="26"/>
      <c r="I980" s="32"/>
      <c r="J980" s="26"/>
      <c r="K980" s="26"/>
      <c r="L980" s="26"/>
      <c r="M980" s="26"/>
      <c r="N980" s="26"/>
    </row>
    <row r="981" spans="1:14" ht="21" customHeight="1" x14ac:dyDescent="0.25">
      <c r="A981" s="26"/>
      <c r="B981" s="26"/>
      <c r="C981" s="26"/>
      <c r="D981" s="26"/>
      <c r="E981" s="26"/>
      <c r="F981" s="26"/>
      <c r="G981" s="26"/>
      <c r="H981" s="26"/>
      <c r="I981" s="32"/>
      <c r="J981" s="26"/>
      <c r="K981" s="26"/>
      <c r="L981" s="26"/>
      <c r="M981" s="26"/>
      <c r="N981" s="26"/>
    </row>
    <row r="982" spans="1:14" ht="21" customHeight="1" x14ac:dyDescent="0.25">
      <c r="A982" s="26"/>
      <c r="B982" s="26"/>
      <c r="C982" s="26"/>
      <c r="D982" s="26"/>
      <c r="E982" s="26"/>
      <c r="F982" s="26"/>
      <c r="G982" s="26"/>
      <c r="H982" s="26"/>
      <c r="I982" s="32"/>
      <c r="J982" s="26"/>
      <c r="K982" s="26"/>
      <c r="L982" s="26"/>
      <c r="M982" s="26"/>
      <c r="N982" s="26"/>
    </row>
    <row r="983" spans="1:14" ht="21" customHeight="1" x14ac:dyDescent="0.25">
      <c r="A983" s="26"/>
      <c r="B983" s="26"/>
      <c r="C983" s="26"/>
      <c r="D983" s="26"/>
      <c r="E983" s="26"/>
      <c r="F983" s="26"/>
      <c r="G983" s="26"/>
      <c r="H983" s="26"/>
      <c r="I983" s="32"/>
      <c r="J983" s="26"/>
      <c r="K983" s="26"/>
      <c r="L983" s="26"/>
      <c r="M983" s="26"/>
      <c r="N983" s="26"/>
    </row>
    <row r="984" spans="1:14" ht="21" customHeight="1" x14ac:dyDescent="0.25">
      <c r="A984" s="26"/>
      <c r="B984" s="26"/>
      <c r="C984" s="26"/>
      <c r="D984" s="26"/>
      <c r="E984" s="26"/>
      <c r="F984" s="26"/>
      <c r="G984" s="26"/>
      <c r="H984" s="26"/>
      <c r="I984" s="32"/>
      <c r="J984" s="26"/>
      <c r="K984" s="26"/>
      <c r="L984" s="26"/>
      <c r="M984" s="26"/>
      <c r="N984" s="26"/>
    </row>
    <row r="985" spans="1:14" ht="21" customHeight="1" x14ac:dyDescent="0.25">
      <c r="A985" s="26"/>
      <c r="B985" s="26"/>
      <c r="C985" s="26"/>
      <c r="D985" s="26"/>
      <c r="E985" s="26"/>
      <c r="F985" s="26"/>
      <c r="G985" s="26"/>
      <c r="H985" s="26"/>
      <c r="I985" s="32"/>
      <c r="J985" s="26"/>
      <c r="K985" s="26"/>
      <c r="L985" s="26"/>
      <c r="M985" s="26"/>
      <c r="N985" s="26"/>
    </row>
    <row r="986" spans="1:14" ht="21" customHeight="1" x14ac:dyDescent="0.25">
      <c r="A986" s="26"/>
      <c r="B986" s="26"/>
      <c r="C986" s="26"/>
      <c r="D986" s="26"/>
      <c r="E986" s="26"/>
      <c r="F986" s="26"/>
      <c r="G986" s="26"/>
      <c r="H986" s="26"/>
      <c r="I986" s="32"/>
      <c r="J986" s="26"/>
      <c r="K986" s="26"/>
      <c r="L986" s="26"/>
      <c r="M986" s="26"/>
      <c r="N986" s="26"/>
    </row>
    <row r="987" spans="1:14" ht="21" customHeight="1" x14ac:dyDescent="0.25">
      <c r="A987" s="26"/>
      <c r="B987" s="26"/>
      <c r="C987" s="26"/>
      <c r="D987" s="26"/>
      <c r="E987" s="26"/>
      <c r="F987" s="26"/>
      <c r="G987" s="26"/>
      <c r="H987" s="26"/>
      <c r="I987" s="32"/>
      <c r="J987" s="26"/>
      <c r="K987" s="26"/>
      <c r="L987" s="26"/>
      <c r="M987" s="26"/>
      <c r="N987" s="26"/>
    </row>
    <row r="988" spans="1:14" ht="21" customHeight="1" x14ac:dyDescent="0.25">
      <c r="A988" s="26"/>
      <c r="B988" s="26"/>
      <c r="C988" s="26"/>
      <c r="D988" s="26"/>
      <c r="E988" s="26"/>
      <c r="F988" s="26"/>
      <c r="G988" s="26"/>
      <c r="H988" s="26"/>
      <c r="I988" s="32"/>
      <c r="J988" s="26"/>
      <c r="K988" s="26"/>
      <c r="L988" s="26"/>
      <c r="M988" s="26"/>
      <c r="N988" s="26"/>
    </row>
    <row r="989" spans="1:14" ht="21" customHeight="1" x14ac:dyDescent="0.25">
      <c r="A989" s="26"/>
      <c r="B989" s="26"/>
      <c r="C989" s="26"/>
      <c r="D989" s="26"/>
      <c r="E989" s="26"/>
      <c r="F989" s="26"/>
      <c r="G989" s="26"/>
      <c r="H989" s="26"/>
      <c r="I989" s="32"/>
      <c r="J989" s="26"/>
      <c r="K989" s="26"/>
      <c r="L989" s="26"/>
      <c r="M989" s="26"/>
      <c r="N989" s="26"/>
    </row>
    <row r="990" spans="1:14" ht="21" customHeight="1" x14ac:dyDescent="0.25">
      <c r="A990" s="26"/>
      <c r="B990" s="26"/>
      <c r="C990" s="26"/>
      <c r="D990" s="26"/>
      <c r="E990" s="26"/>
      <c r="F990" s="26"/>
      <c r="G990" s="26"/>
      <c r="H990" s="26"/>
      <c r="I990" s="32"/>
      <c r="J990" s="26"/>
      <c r="K990" s="26"/>
      <c r="L990" s="26"/>
      <c r="M990" s="26"/>
      <c r="N990" s="26"/>
    </row>
    <row r="991" spans="1:14" ht="21" customHeight="1" x14ac:dyDescent="0.25">
      <c r="A991" s="26"/>
      <c r="B991" s="26"/>
      <c r="C991" s="26"/>
      <c r="D991" s="26"/>
      <c r="E991" s="26"/>
      <c r="F991" s="26"/>
      <c r="G991" s="26"/>
      <c r="H991" s="26"/>
      <c r="I991" s="32"/>
      <c r="J991" s="26"/>
      <c r="K991" s="26"/>
      <c r="L991" s="26"/>
      <c r="M991" s="26"/>
      <c r="N991" s="26"/>
    </row>
    <row r="992" spans="1:14" ht="21" customHeight="1" x14ac:dyDescent="0.25">
      <c r="A992" s="26"/>
      <c r="B992" s="26"/>
      <c r="C992" s="26"/>
      <c r="D992" s="26"/>
      <c r="E992" s="26"/>
      <c r="F992" s="26"/>
      <c r="G992" s="26"/>
      <c r="H992" s="26"/>
      <c r="I992" s="32"/>
      <c r="J992" s="26"/>
      <c r="K992" s="26"/>
      <c r="L992" s="26"/>
      <c r="M992" s="26"/>
      <c r="N992" s="26"/>
    </row>
    <row r="993" spans="1:14" ht="21" customHeight="1" x14ac:dyDescent="0.25">
      <c r="A993" s="26"/>
      <c r="B993" s="26"/>
      <c r="C993" s="26"/>
      <c r="D993" s="26"/>
      <c r="E993" s="26"/>
      <c r="F993" s="26"/>
      <c r="G993" s="26"/>
      <c r="H993" s="26"/>
      <c r="I993" s="32"/>
      <c r="J993" s="26"/>
      <c r="K993" s="26"/>
      <c r="L993" s="26"/>
      <c r="M993" s="26"/>
      <c r="N993" s="26"/>
    </row>
    <row r="994" spans="1:14" ht="21" customHeight="1" x14ac:dyDescent="0.25">
      <c r="A994" s="26"/>
      <c r="B994" s="26"/>
      <c r="C994" s="26"/>
      <c r="D994" s="26"/>
      <c r="E994" s="26"/>
      <c r="F994" s="26"/>
      <c r="G994" s="26"/>
      <c r="H994" s="26"/>
      <c r="I994" s="32"/>
      <c r="J994" s="26"/>
      <c r="K994" s="26"/>
      <c r="L994" s="26"/>
      <c r="M994" s="26"/>
      <c r="N994" s="26"/>
    </row>
    <row r="995" spans="1:14" ht="21" customHeight="1" x14ac:dyDescent="0.25">
      <c r="A995" s="26"/>
      <c r="B995" s="26"/>
      <c r="C995" s="26"/>
      <c r="D995" s="26"/>
      <c r="E995" s="26"/>
      <c r="F995" s="26"/>
      <c r="G995" s="26"/>
      <c r="H995" s="26"/>
      <c r="I995" s="32"/>
      <c r="J995" s="26"/>
      <c r="K995" s="26"/>
      <c r="L995" s="26"/>
      <c r="M995" s="26"/>
      <c r="N995" s="26"/>
    </row>
    <row r="996" spans="1:14" ht="21" customHeight="1" x14ac:dyDescent="0.25">
      <c r="A996" s="26"/>
      <c r="B996" s="26"/>
      <c r="C996" s="26"/>
      <c r="D996" s="26"/>
      <c r="E996" s="26"/>
      <c r="F996" s="26"/>
      <c r="G996" s="26"/>
      <c r="H996" s="26"/>
      <c r="I996" s="32"/>
      <c r="J996" s="26"/>
      <c r="K996" s="26"/>
      <c r="L996" s="26"/>
      <c r="M996" s="26"/>
      <c r="N996" s="26"/>
    </row>
    <row r="997" spans="1:14" ht="21" customHeight="1" x14ac:dyDescent="0.25">
      <c r="A997" s="26"/>
      <c r="B997" s="26"/>
      <c r="C997" s="26"/>
      <c r="D997" s="26"/>
      <c r="E997" s="26"/>
      <c r="F997" s="26"/>
      <c r="G997" s="26"/>
      <c r="H997" s="26"/>
      <c r="I997" s="32"/>
      <c r="J997" s="26"/>
      <c r="K997" s="26"/>
      <c r="L997" s="26"/>
      <c r="M997" s="26"/>
      <c r="N997" s="26"/>
    </row>
    <row r="998" spans="1:14" ht="21" customHeight="1" x14ac:dyDescent="0.25">
      <c r="A998" s="26"/>
      <c r="B998" s="26"/>
      <c r="C998" s="26"/>
      <c r="D998" s="26"/>
      <c r="E998" s="26"/>
      <c r="F998" s="26"/>
      <c r="G998" s="26"/>
      <c r="H998" s="26"/>
      <c r="I998" s="32"/>
      <c r="J998" s="26"/>
      <c r="K998" s="26"/>
      <c r="L998" s="26"/>
      <c r="M998" s="26"/>
      <c r="N998" s="26"/>
    </row>
    <row r="999" spans="1:14" ht="21" customHeight="1" x14ac:dyDescent="0.25">
      <c r="A999" s="26"/>
      <c r="B999" s="26"/>
      <c r="C999" s="26"/>
      <c r="D999" s="26"/>
      <c r="E999" s="26"/>
      <c r="F999" s="26"/>
      <c r="G999" s="26"/>
      <c r="H999" s="26"/>
      <c r="I999" s="32"/>
      <c r="J999" s="26"/>
      <c r="K999" s="26"/>
      <c r="L999" s="26"/>
      <c r="M999" s="26"/>
      <c r="N999" s="26"/>
    </row>
    <row r="1000" spans="1:14" ht="21" customHeight="1" x14ac:dyDescent="0.25">
      <c r="A1000" s="26"/>
      <c r="B1000" s="26"/>
      <c r="C1000" s="26"/>
      <c r="D1000" s="26"/>
      <c r="E1000" s="26"/>
      <c r="F1000" s="26"/>
      <c r="G1000" s="26"/>
      <c r="H1000" s="26"/>
      <c r="I1000" s="32"/>
      <c r="J1000" s="26"/>
      <c r="K1000" s="26"/>
      <c r="L1000" s="26"/>
      <c r="M1000" s="26"/>
      <c r="N1000" s="26"/>
    </row>
    <row r="1001" spans="1:14" ht="21" customHeight="1" x14ac:dyDescent="0.25">
      <c r="A1001" s="26"/>
      <c r="B1001" s="26"/>
      <c r="C1001" s="26"/>
      <c r="D1001" s="26"/>
      <c r="E1001" s="26"/>
      <c r="F1001" s="26"/>
      <c r="G1001" s="26"/>
      <c r="H1001" s="26"/>
      <c r="I1001" s="32"/>
      <c r="J1001" s="26"/>
      <c r="K1001" s="26"/>
      <c r="L1001" s="26"/>
      <c r="M1001" s="26"/>
      <c r="N1001" s="26"/>
    </row>
    <row r="1002" spans="1:14" ht="21" customHeight="1" x14ac:dyDescent="0.25">
      <c r="A1002" s="26"/>
      <c r="B1002" s="26"/>
      <c r="C1002" s="26"/>
      <c r="D1002" s="26"/>
      <c r="E1002" s="26"/>
      <c r="F1002" s="26"/>
      <c r="G1002" s="26"/>
      <c r="H1002" s="26"/>
      <c r="I1002" s="32"/>
      <c r="J1002" s="26"/>
      <c r="K1002" s="26"/>
      <c r="L1002" s="26"/>
      <c r="M1002" s="26"/>
      <c r="N1002" s="26"/>
    </row>
    <row r="1003" spans="1:14" ht="21" customHeight="1" x14ac:dyDescent="0.25">
      <c r="A1003" s="26"/>
      <c r="B1003" s="26"/>
      <c r="C1003" s="26"/>
      <c r="D1003" s="26"/>
      <c r="E1003" s="26"/>
      <c r="F1003" s="26"/>
      <c r="G1003" s="26"/>
      <c r="H1003" s="26"/>
      <c r="I1003" s="32"/>
      <c r="J1003" s="26"/>
      <c r="K1003" s="26"/>
      <c r="L1003" s="26"/>
      <c r="M1003" s="26"/>
      <c r="N1003" s="26"/>
    </row>
    <row r="1004" spans="1:14" ht="21" customHeight="1" x14ac:dyDescent="0.25">
      <c r="A1004" s="26"/>
      <c r="B1004" s="26"/>
      <c r="C1004" s="26"/>
      <c r="D1004" s="26"/>
      <c r="E1004" s="26"/>
      <c r="F1004" s="26"/>
      <c r="G1004" s="26"/>
      <c r="H1004" s="26"/>
      <c r="I1004" s="32"/>
      <c r="J1004" s="26"/>
      <c r="K1004" s="26"/>
      <c r="L1004" s="26"/>
      <c r="M1004" s="26"/>
      <c r="N1004" s="26"/>
    </row>
    <row r="1005" spans="1:14" ht="21" customHeight="1" x14ac:dyDescent="0.25">
      <c r="A1005" s="26"/>
      <c r="B1005" s="26"/>
      <c r="C1005" s="26"/>
      <c r="D1005" s="26"/>
      <c r="E1005" s="26"/>
      <c r="F1005" s="26"/>
      <c r="G1005" s="26"/>
      <c r="H1005" s="26"/>
      <c r="I1005" s="32"/>
      <c r="J1005" s="26"/>
      <c r="K1005" s="26"/>
      <c r="L1005" s="26"/>
      <c r="M1005" s="26"/>
      <c r="N1005" s="26"/>
    </row>
    <row r="1006" spans="1:14" ht="21" customHeight="1" x14ac:dyDescent="0.25">
      <c r="A1006" s="26"/>
      <c r="B1006" s="26"/>
      <c r="C1006" s="26"/>
      <c r="D1006" s="26"/>
      <c r="E1006" s="26"/>
      <c r="F1006" s="26"/>
      <c r="G1006" s="26"/>
      <c r="H1006" s="26"/>
      <c r="I1006" s="32"/>
      <c r="J1006" s="26"/>
      <c r="K1006" s="26"/>
      <c r="L1006" s="26"/>
      <c r="M1006" s="26"/>
      <c r="N1006" s="26"/>
    </row>
    <row r="1007" spans="1:14" ht="21" customHeight="1" x14ac:dyDescent="0.25">
      <c r="A1007" s="26"/>
      <c r="B1007" s="26"/>
      <c r="C1007" s="26"/>
      <c r="D1007" s="26"/>
      <c r="E1007" s="26"/>
      <c r="F1007" s="26"/>
      <c r="G1007" s="26"/>
      <c r="H1007" s="26"/>
      <c r="I1007" s="32"/>
      <c r="J1007" s="26"/>
      <c r="K1007" s="26"/>
      <c r="L1007" s="26"/>
      <c r="M1007" s="26"/>
      <c r="N1007" s="26"/>
    </row>
    <row r="1008" spans="1:14" ht="21" customHeight="1" x14ac:dyDescent="0.25">
      <c r="A1008" s="26"/>
      <c r="B1008" s="26"/>
      <c r="C1008" s="26"/>
      <c r="D1008" s="26"/>
      <c r="E1008" s="26"/>
      <c r="F1008" s="26"/>
      <c r="G1008" s="26"/>
      <c r="H1008" s="26"/>
      <c r="I1008" s="32"/>
      <c r="J1008" s="26"/>
      <c r="K1008" s="26"/>
      <c r="L1008" s="26"/>
      <c r="M1008" s="26"/>
      <c r="N1008" s="26"/>
    </row>
    <row r="1009" spans="1:14" ht="21" customHeight="1" x14ac:dyDescent="0.25">
      <c r="A1009" s="26"/>
      <c r="B1009" s="26"/>
      <c r="C1009" s="26"/>
      <c r="D1009" s="26"/>
      <c r="E1009" s="26"/>
      <c r="F1009" s="26"/>
      <c r="G1009" s="26"/>
      <c r="H1009" s="26"/>
      <c r="I1009" s="32"/>
      <c r="J1009" s="26"/>
      <c r="K1009" s="26"/>
      <c r="L1009" s="26"/>
      <c r="M1009" s="26"/>
      <c r="N1009" s="26"/>
    </row>
    <row r="1010" spans="1:14" ht="21" customHeight="1" x14ac:dyDescent="0.25">
      <c r="A1010" s="26"/>
      <c r="B1010" s="26"/>
      <c r="C1010" s="26"/>
      <c r="D1010" s="26"/>
      <c r="E1010" s="26"/>
      <c r="F1010" s="26"/>
      <c r="G1010" s="26"/>
      <c r="H1010" s="26"/>
      <c r="I1010" s="32"/>
      <c r="J1010" s="26"/>
      <c r="K1010" s="26"/>
      <c r="L1010" s="26"/>
      <c r="M1010" s="26"/>
      <c r="N1010" s="26"/>
    </row>
    <row r="1011" spans="1:14" ht="21" customHeight="1" x14ac:dyDescent="0.25">
      <c r="A1011" s="26"/>
      <c r="B1011" s="26"/>
      <c r="C1011" s="26"/>
      <c r="D1011" s="26"/>
      <c r="E1011" s="26"/>
      <c r="F1011" s="26"/>
      <c r="G1011" s="26"/>
      <c r="H1011" s="26"/>
      <c r="I1011" s="32"/>
      <c r="J1011" s="26"/>
      <c r="K1011" s="26"/>
      <c r="L1011" s="26"/>
      <c r="M1011" s="26"/>
      <c r="N1011" s="26"/>
    </row>
    <row r="1012" spans="1:14" ht="21" customHeight="1" x14ac:dyDescent="0.25">
      <c r="A1012" s="26"/>
      <c r="B1012" s="26"/>
      <c r="C1012" s="26"/>
      <c r="D1012" s="26"/>
      <c r="E1012" s="26"/>
      <c r="F1012" s="26"/>
      <c r="G1012" s="26"/>
      <c r="H1012" s="26"/>
      <c r="I1012" s="32"/>
      <c r="J1012" s="26"/>
      <c r="K1012" s="26"/>
      <c r="L1012" s="26"/>
      <c r="M1012" s="26"/>
      <c r="N1012" s="26"/>
    </row>
    <row r="1013" spans="1:14" ht="21" customHeight="1" x14ac:dyDescent="0.25">
      <c r="A1013" s="26"/>
      <c r="B1013" s="26"/>
      <c r="C1013" s="26"/>
      <c r="D1013" s="26"/>
      <c r="E1013" s="26"/>
      <c r="F1013" s="26"/>
      <c r="G1013" s="26"/>
      <c r="H1013" s="26"/>
      <c r="I1013" s="32"/>
      <c r="J1013" s="26"/>
      <c r="K1013" s="26"/>
      <c r="L1013" s="26"/>
      <c r="M1013" s="26"/>
      <c r="N1013" s="26"/>
    </row>
    <row r="1014" spans="1:14" ht="21" customHeight="1" x14ac:dyDescent="0.25">
      <c r="A1014" s="26"/>
      <c r="B1014" s="26"/>
      <c r="C1014" s="26"/>
      <c r="D1014" s="26"/>
      <c r="E1014" s="26"/>
      <c r="F1014" s="26"/>
      <c r="G1014" s="26"/>
      <c r="H1014" s="26"/>
      <c r="I1014" s="32"/>
      <c r="J1014" s="26"/>
      <c r="K1014" s="26"/>
      <c r="L1014" s="26"/>
      <c r="M1014" s="26"/>
      <c r="N1014" s="26"/>
    </row>
    <row r="1015" spans="1:14" ht="21" customHeight="1" x14ac:dyDescent="0.25">
      <c r="A1015" s="26"/>
      <c r="B1015" s="26"/>
      <c r="C1015" s="26"/>
      <c r="D1015" s="26"/>
      <c r="E1015" s="26"/>
      <c r="F1015" s="26"/>
      <c r="G1015" s="26"/>
      <c r="H1015" s="26"/>
      <c r="I1015" s="32"/>
      <c r="J1015" s="26"/>
      <c r="K1015" s="26"/>
      <c r="L1015" s="26"/>
      <c r="M1015" s="26"/>
      <c r="N1015" s="26"/>
    </row>
    <row r="1016" spans="1:14" ht="21" customHeight="1" x14ac:dyDescent="0.25">
      <c r="A1016" s="26"/>
      <c r="B1016" s="26"/>
      <c r="C1016" s="26"/>
      <c r="D1016" s="26"/>
      <c r="E1016" s="26"/>
      <c r="F1016" s="26"/>
      <c r="G1016" s="26"/>
      <c r="H1016" s="26"/>
      <c r="I1016" s="32"/>
      <c r="J1016" s="26"/>
      <c r="K1016" s="26"/>
      <c r="L1016" s="26"/>
      <c r="M1016" s="26"/>
      <c r="N1016" s="26"/>
    </row>
    <row r="1017" spans="1:14" ht="21" customHeight="1" x14ac:dyDescent="0.25">
      <c r="A1017" s="26"/>
      <c r="B1017" s="26"/>
      <c r="C1017" s="26"/>
      <c r="D1017" s="26"/>
      <c r="E1017" s="26"/>
      <c r="F1017" s="26"/>
      <c r="G1017" s="26"/>
      <c r="H1017" s="26"/>
      <c r="I1017" s="32"/>
      <c r="J1017" s="26"/>
      <c r="K1017" s="26"/>
      <c r="L1017" s="26"/>
      <c r="M1017" s="26"/>
      <c r="N1017" s="26"/>
    </row>
    <row r="1018" spans="1:14" ht="21" customHeight="1" x14ac:dyDescent="0.25">
      <c r="A1018" s="26"/>
      <c r="B1018" s="26"/>
      <c r="C1018" s="26"/>
      <c r="D1018" s="26"/>
      <c r="E1018" s="26"/>
      <c r="F1018" s="26"/>
      <c r="G1018" s="26"/>
      <c r="H1018" s="26"/>
      <c r="I1018" s="32"/>
      <c r="J1018" s="26"/>
      <c r="K1018" s="26"/>
      <c r="L1018" s="26"/>
      <c r="M1018" s="26"/>
      <c r="N1018" s="26"/>
    </row>
    <row r="1019" spans="1:14" ht="21" customHeight="1" x14ac:dyDescent="0.25">
      <c r="A1019" s="26"/>
      <c r="B1019" s="26"/>
      <c r="C1019" s="26"/>
      <c r="D1019" s="26"/>
      <c r="E1019" s="26"/>
      <c r="F1019" s="26"/>
      <c r="G1019" s="26"/>
      <c r="H1019" s="26"/>
      <c r="I1019" s="32"/>
      <c r="J1019" s="26"/>
      <c r="K1019" s="26"/>
      <c r="L1019" s="26"/>
      <c r="M1019" s="26"/>
      <c r="N1019" s="26"/>
    </row>
    <row r="1020" spans="1:14" ht="21" customHeight="1" x14ac:dyDescent="0.25">
      <c r="A1020" s="26"/>
      <c r="B1020" s="26"/>
      <c r="C1020" s="26"/>
      <c r="D1020" s="26"/>
      <c r="E1020" s="26"/>
      <c r="F1020" s="26"/>
      <c r="G1020" s="26"/>
      <c r="H1020" s="26"/>
      <c r="I1020" s="32"/>
      <c r="J1020" s="26"/>
      <c r="K1020" s="26"/>
      <c r="L1020" s="26"/>
      <c r="M1020" s="26"/>
      <c r="N1020" s="26"/>
    </row>
    <row r="1021" spans="1:14" ht="21" customHeight="1" x14ac:dyDescent="0.25">
      <c r="A1021" s="26"/>
      <c r="B1021" s="26"/>
      <c r="C1021" s="26"/>
      <c r="D1021" s="26"/>
      <c r="E1021" s="26"/>
      <c r="F1021" s="26"/>
      <c r="G1021" s="26"/>
      <c r="H1021" s="26"/>
      <c r="I1021" s="32"/>
      <c r="J1021" s="26"/>
      <c r="K1021" s="26"/>
      <c r="L1021" s="26"/>
      <c r="M1021" s="26"/>
      <c r="N1021" s="26"/>
    </row>
    <row r="1022" spans="1:14" ht="21" customHeight="1" x14ac:dyDescent="0.25">
      <c r="A1022" s="26"/>
      <c r="B1022" s="26"/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</row>
    <row r="1023" spans="1:14" ht="21" customHeight="1" x14ac:dyDescent="0.25">
      <c r="A1023" s="26"/>
      <c r="B1023" s="26"/>
      <c r="C1023" s="26"/>
      <c r="D1023" s="26"/>
      <c r="E1023" s="26"/>
      <c r="F1023" s="26"/>
      <c r="G1023" s="26"/>
      <c r="H1023" s="26"/>
      <c r="I1023" s="26"/>
      <c r="J1023" s="26"/>
      <c r="K1023" s="26"/>
      <c r="L1023" s="26"/>
      <c r="M1023" s="26"/>
      <c r="N1023" s="26"/>
    </row>
    <row r="1024" spans="1:14" ht="21" customHeight="1" x14ac:dyDescent="0.25">
      <c r="A1024" s="26"/>
      <c r="B1024" s="26"/>
      <c r="C1024" s="26"/>
      <c r="D1024" s="26"/>
      <c r="E1024" s="26"/>
      <c r="F1024" s="26"/>
      <c r="G1024" s="26"/>
      <c r="H1024" s="26"/>
      <c r="I1024" s="26"/>
      <c r="J1024" s="26"/>
      <c r="K1024" s="26"/>
      <c r="L1024" s="26"/>
      <c r="M1024" s="26"/>
      <c r="N1024" s="26"/>
    </row>
    <row r="1025" spans="1:14" ht="21" customHeight="1" x14ac:dyDescent="0.25">
      <c r="A1025" s="26"/>
      <c r="B1025" s="26"/>
      <c r="C1025" s="26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</row>
    <row r="1026" spans="1:14" ht="21" customHeight="1" x14ac:dyDescent="0.25">
      <c r="A1026" s="26"/>
      <c r="B1026" s="26"/>
      <c r="C1026" s="26"/>
      <c r="D1026" s="26"/>
      <c r="E1026" s="26"/>
      <c r="F1026" s="26"/>
      <c r="G1026" s="26"/>
      <c r="H1026" s="26"/>
      <c r="I1026" s="26"/>
      <c r="J1026" s="26"/>
      <c r="K1026" s="26"/>
      <c r="L1026" s="26"/>
      <c r="M1026" s="26"/>
      <c r="N1026" s="26"/>
    </row>
    <row r="1027" spans="1:14" ht="21" customHeight="1" x14ac:dyDescent="0.25">
      <c r="A1027" s="26"/>
      <c r="B1027" s="26"/>
      <c r="C1027" s="26"/>
      <c r="D1027" s="26"/>
      <c r="E1027" s="26"/>
      <c r="F1027" s="26"/>
      <c r="G1027" s="26"/>
      <c r="H1027" s="26"/>
      <c r="I1027" s="26"/>
      <c r="J1027" s="26"/>
      <c r="K1027" s="26"/>
      <c r="L1027" s="26"/>
      <c r="M1027" s="26"/>
      <c r="N1027" s="26"/>
    </row>
    <row r="1028" spans="1:14" ht="21" customHeight="1" x14ac:dyDescent="0.25">
      <c r="A1028" s="26"/>
      <c r="B1028" s="26"/>
      <c r="C1028" s="26"/>
      <c r="D1028" s="26"/>
      <c r="E1028" s="26"/>
      <c r="F1028" s="26"/>
      <c r="G1028" s="26"/>
      <c r="H1028" s="26"/>
      <c r="I1028" s="26"/>
      <c r="J1028" s="26"/>
      <c r="K1028" s="26"/>
      <c r="L1028" s="26"/>
      <c r="M1028" s="26"/>
      <c r="N1028" s="26"/>
    </row>
    <row r="1029" spans="1:14" ht="21" customHeight="1" x14ac:dyDescent="0.25">
      <c r="A1029" s="26"/>
      <c r="B1029" s="26"/>
      <c r="C1029" s="26"/>
      <c r="D1029" s="26"/>
      <c r="E1029" s="26"/>
      <c r="F1029" s="26"/>
      <c r="G1029" s="26"/>
      <c r="H1029" s="26"/>
      <c r="I1029" s="26"/>
      <c r="J1029" s="26"/>
      <c r="K1029" s="26"/>
      <c r="L1029" s="26"/>
      <c r="M1029" s="26"/>
      <c r="N1029" s="26"/>
    </row>
  </sheetData>
  <autoFilter ref="A1:B739" xr:uid="{E28EBF72-2F09-44DC-86F6-704C7AED3241}">
    <sortState xmlns:xlrd2="http://schemas.microsoft.com/office/spreadsheetml/2017/richdata2" ref="A480:B659">
      <sortCondition ref="B1:B659"/>
    </sortState>
  </autoFilter>
  <mergeCells count="1">
    <mergeCell ref="K1:N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CBE8-C2F8-4996-B6DE-8062EDD26612}">
  <dimension ref="A2:A115"/>
  <sheetViews>
    <sheetView workbookViewId="0">
      <selection activeCell="G123" sqref="G123"/>
    </sheetView>
  </sheetViews>
  <sheetFormatPr defaultRowHeight="15" x14ac:dyDescent="0.25"/>
  <sheetData>
    <row r="2" spans="1:1" x14ac:dyDescent="0.25">
      <c r="A2" s="1">
        <v>3110</v>
      </c>
    </row>
    <row r="3" spans="1:1" x14ac:dyDescent="0.25">
      <c r="A3" s="28">
        <v>1746</v>
      </c>
    </row>
    <row r="4" spans="1:1" x14ac:dyDescent="0.25">
      <c r="A4" s="1">
        <v>2385</v>
      </c>
    </row>
    <row r="5" spans="1:1" x14ac:dyDescent="0.25">
      <c r="A5" s="1">
        <v>2570</v>
      </c>
    </row>
    <row r="6" spans="1:1" x14ac:dyDescent="0.25">
      <c r="A6" s="28">
        <v>2760</v>
      </c>
    </row>
    <row r="7" spans="1:1" x14ac:dyDescent="0.25">
      <c r="A7" s="92">
        <v>2760</v>
      </c>
    </row>
    <row r="8" spans="1:1" x14ac:dyDescent="0.25">
      <c r="A8" s="28">
        <v>2800</v>
      </c>
    </row>
    <row r="9" spans="1:1" x14ac:dyDescent="0.25">
      <c r="A9" s="1">
        <v>2885</v>
      </c>
    </row>
    <row r="10" spans="1:1" x14ac:dyDescent="0.25">
      <c r="A10" s="28">
        <v>2889</v>
      </c>
    </row>
    <row r="11" spans="1:1" x14ac:dyDescent="0.25">
      <c r="A11" s="1">
        <v>2894</v>
      </c>
    </row>
    <row r="12" spans="1:1" x14ac:dyDescent="0.25">
      <c r="A12" s="32">
        <v>3020</v>
      </c>
    </row>
    <row r="13" spans="1:1" x14ac:dyDescent="0.25">
      <c r="A13" s="92">
        <v>3064</v>
      </c>
    </row>
    <row r="14" spans="1:1" x14ac:dyDescent="0.25">
      <c r="A14" s="28">
        <v>3064</v>
      </c>
    </row>
    <row r="15" spans="1:1" x14ac:dyDescent="0.25">
      <c r="A15" s="1">
        <v>3112</v>
      </c>
    </row>
    <row r="16" spans="1:1" x14ac:dyDescent="0.25">
      <c r="A16" s="28">
        <v>3149</v>
      </c>
    </row>
    <row r="17" spans="1:1" x14ac:dyDescent="0.25">
      <c r="A17" s="28">
        <v>3160</v>
      </c>
    </row>
    <row r="18" spans="1:1" x14ac:dyDescent="0.25">
      <c r="A18" s="28">
        <v>3169</v>
      </c>
    </row>
    <row r="19" spans="1:1" x14ac:dyDescent="0.25">
      <c r="A19" s="32">
        <v>3262</v>
      </c>
    </row>
    <row r="20" spans="1:1" x14ac:dyDescent="0.25">
      <c r="A20" s="1">
        <v>3295</v>
      </c>
    </row>
    <row r="21" spans="1:1" x14ac:dyDescent="0.25">
      <c r="A21" s="1">
        <v>3334</v>
      </c>
    </row>
    <row r="22" spans="1:1" x14ac:dyDescent="0.25">
      <c r="A22" s="1">
        <v>3341</v>
      </c>
    </row>
    <row r="23" spans="1:1" x14ac:dyDescent="0.25">
      <c r="A23" s="28">
        <v>3372</v>
      </c>
    </row>
    <row r="24" spans="1:1" x14ac:dyDescent="0.25">
      <c r="A24" s="28">
        <v>3385</v>
      </c>
    </row>
    <row r="25" spans="1:1" x14ac:dyDescent="0.25">
      <c r="A25" s="93">
        <v>3385</v>
      </c>
    </row>
    <row r="26" spans="1:1" x14ac:dyDescent="0.25">
      <c r="A26" s="28">
        <v>3402</v>
      </c>
    </row>
    <row r="27" spans="1:1" x14ac:dyDescent="0.25">
      <c r="A27" s="28">
        <v>3417</v>
      </c>
    </row>
    <row r="28" spans="1:1" x14ac:dyDescent="0.25">
      <c r="A28" s="28">
        <v>3421</v>
      </c>
    </row>
    <row r="29" spans="1:1" x14ac:dyDescent="0.25">
      <c r="A29" s="1">
        <v>3494</v>
      </c>
    </row>
    <row r="30" spans="1:1" x14ac:dyDescent="0.25">
      <c r="A30" s="32">
        <v>3575</v>
      </c>
    </row>
    <row r="31" spans="1:1" x14ac:dyDescent="0.25">
      <c r="A31" s="94">
        <v>3579</v>
      </c>
    </row>
    <row r="32" spans="1:1" x14ac:dyDescent="0.25">
      <c r="A32" s="1">
        <v>3579</v>
      </c>
    </row>
    <row r="33" spans="1:1" x14ac:dyDescent="0.25">
      <c r="A33" s="28">
        <v>3579</v>
      </c>
    </row>
    <row r="34" spans="1:1" x14ac:dyDescent="0.25">
      <c r="A34" s="1">
        <v>3613</v>
      </c>
    </row>
    <row r="35" spans="1:1" x14ac:dyDescent="0.25">
      <c r="A35" s="28">
        <v>3613</v>
      </c>
    </row>
    <row r="36" spans="1:1" x14ac:dyDescent="0.25">
      <c r="A36" s="28">
        <v>3617</v>
      </c>
    </row>
    <row r="37" spans="1:1" x14ac:dyDescent="0.25">
      <c r="A37" s="28">
        <v>3666</v>
      </c>
    </row>
    <row r="38" spans="1:1" x14ac:dyDescent="0.25">
      <c r="A38" s="28">
        <v>3691</v>
      </c>
    </row>
    <row r="39" spans="1:1" x14ac:dyDescent="0.25">
      <c r="A39" s="92">
        <v>3691</v>
      </c>
    </row>
    <row r="40" spans="1:1" x14ac:dyDescent="0.25">
      <c r="A40" s="32">
        <v>3753</v>
      </c>
    </row>
    <row r="41" spans="1:1" x14ac:dyDescent="0.25">
      <c r="A41" s="28">
        <v>3767</v>
      </c>
    </row>
    <row r="42" spans="1:1" x14ac:dyDescent="0.25">
      <c r="A42" s="92">
        <v>3767</v>
      </c>
    </row>
    <row r="43" spans="1:1" x14ac:dyDescent="0.25">
      <c r="A43" s="28">
        <v>3826</v>
      </c>
    </row>
    <row r="44" spans="1:1" x14ac:dyDescent="0.25">
      <c r="A44" s="1">
        <v>3852</v>
      </c>
    </row>
    <row r="45" spans="1:1" x14ac:dyDescent="0.25">
      <c r="A45" s="92">
        <v>3852</v>
      </c>
    </row>
    <row r="46" spans="1:1" x14ac:dyDescent="0.25">
      <c r="A46" s="92">
        <v>3852</v>
      </c>
    </row>
    <row r="47" spans="1:1" x14ac:dyDescent="0.25">
      <c r="A47" s="28">
        <v>3852</v>
      </c>
    </row>
    <row r="48" spans="1:1" x14ac:dyDescent="0.25">
      <c r="A48" s="1">
        <v>3881</v>
      </c>
    </row>
    <row r="49" spans="1:1" x14ac:dyDescent="0.25">
      <c r="A49" s="92">
        <v>3881</v>
      </c>
    </row>
    <row r="50" spans="1:1" x14ac:dyDescent="0.25">
      <c r="A50" s="28">
        <v>3882</v>
      </c>
    </row>
    <row r="51" spans="1:1" x14ac:dyDescent="0.25">
      <c r="A51" s="1">
        <v>4006</v>
      </c>
    </row>
    <row r="52" spans="1:1" x14ac:dyDescent="0.25">
      <c r="A52" s="28">
        <v>4055</v>
      </c>
    </row>
    <row r="53" spans="1:1" x14ac:dyDescent="0.25">
      <c r="A53" s="1">
        <v>4184</v>
      </c>
    </row>
    <row r="54" spans="1:1" x14ac:dyDescent="0.25">
      <c r="A54" s="1">
        <v>4205</v>
      </c>
    </row>
    <row r="55" spans="1:1" x14ac:dyDescent="0.25">
      <c r="A55" s="92">
        <v>4205</v>
      </c>
    </row>
    <row r="56" spans="1:1" x14ac:dyDescent="0.25">
      <c r="A56" s="1">
        <v>4216</v>
      </c>
    </row>
    <row r="57" spans="1:1" x14ac:dyDescent="0.25">
      <c r="A57" s="95">
        <v>4216</v>
      </c>
    </row>
    <row r="58" spans="1:1" x14ac:dyDescent="0.25">
      <c r="A58" s="28">
        <v>4219</v>
      </c>
    </row>
    <row r="59" spans="1:1" x14ac:dyDescent="0.25">
      <c r="A59" s="1">
        <v>4269</v>
      </c>
    </row>
    <row r="60" spans="1:1" x14ac:dyDescent="0.25">
      <c r="A60" s="32">
        <v>4271</v>
      </c>
    </row>
    <row r="61" spans="1:1" x14ac:dyDescent="0.25">
      <c r="A61" s="1">
        <v>4285</v>
      </c>
    </row>
    <row r="62" spans="1:1" x14ac:dyDescent="0.25">
      <c r="A62" s="1">
        <v>4289</v>
      </c>
    </row>
    <row r="63" spans="1:1" x14ac:dyDescent="0.25">
      <c r="A63" s="28">
        <v>4319</v>
      </c>
    </row>
    <row r="64" spans="1:1" x14ac:dyDescent="0.25">
      <c r="A64" s="1">
        <v>4325</v>
      </c>
    </row>
    <row r="65" spans="1:1" x14ac:dyDescent="0.25">
      <c r="A65" s="1">
        <v>4326</v>
      </c>
    </row>
    <row r="66" spans="1:1" x14ac:dyDescent="0.25">
      <c r="A66" s="28">
        <v>4340</v>
      </c>
    </row>
    <row r="67" spans="1:1" x14ac:dyDescent="0.25">
      <c r="A67" s="93">
        <v>4340</v>
      </c>
    </row>
    <row r="68" spans="1:1" x14ac:dyDescent="0.25">
      <c r="A68" s="28">
        <v>4362</v>
      </c>
    </row>
    <row r="69" spans="1:1" x14ac:dyDescent="0.25">
      <c r="A69" s="1">
        <v>4385</v>
      </c>
    </row>
    <row r="70" spans="1:1" x14ac:dyDescent="0.25">
      <c r="A70" s="28">
        <v>4386</v>
      </c>
    </row>
    <row r="71" spans="1:1" x14ac:dyDescent="0.25">
      <c r="A71" s="32">
        <v>4398</v>
      </c>
    </row>
    <row r="72" spans="1:1" x14ac:dyDescent="0.25">
      <c r="A72" s="1">
        <v>4419</v>
      </c>
    </row>
    <row r="73" spans="1:1" x14ac:dyDescent="0.25">
      <c r="A73" s="28">
        <v>4428</v>
      </c>
    </row>
    <row r="74" spans="1:1" x14ac:dyDescent="0.25">
      <c r="A74" s="1">
        <v>4456</v>
      </c>
    </row>
    <row r="75" spans="1:1" x14ac:dyDescent="0.25">
      <c r="A75" s="32">
        <v>4469</v>
      </c>
    </row>
    <row r="76" spans="1:1" x14ac:dyDescent="0.25">
      <c r="A76" s="1">
        <v>4476</v>
      </c>
    </row>
    <row r="77" spans="1:1" x14ac:dyDescent="0.25">
      <c r="A77" s="92">
        <v>4476</v>
      </c>
    </row>
    <row r="78" spans="1:1" x14ac:dyDescent="0.25">
      <c r="A78" s="28">
        <v>4499</v>
      </c>
    </row>
    <row r="79" spans="1:1" x14ac:dyDescent="0.25">
      <c r="A79" s="28">
        <v>4515</v>
      </c>
    </row>
    <row r="80" spans="1:1" x14ac:dyDescent="0.25">
      <c r="A80" s="1">
        <v>4578</v>
      </c>
    </row>
    <row r="81" spans="1:1" x14ac:dyDescent="0.25">
      <c r="A81" s="1">
        <v>4655</v>
      </c>
    </row>
    <row r="82" spans="1:1" x14ac:dyDescent="0.25">
      <c r="A82" s="1">
        <v>4699</v>
      </c>
    </row>
    <row r="83" spans="1:1" x14ac:dyDescent="0.25">
      <c r="A83" s="28">
        <v>4699</v>
      </c>
    </row>
    <row r="84" spans="1:1" x14ac:dyDescent="0.25">
      <c r="A84" s="28">
        <v>4700</v>
      </c>
    </row>
    <row r="85" spans="1:1" x14ac:dyDescent="0.25">
      <c r="A85" s="92">
        <v>4700</v>
      </c>
    </row>
    <row r="86" spans="1:1" x14ac:dyDescent="0.25">
      <c r="A86" s="32">
        <v>4746</v>
      </c>
    </row>
    <row r="87" spans="1:1" x14ac:dyDescent="0.25">
      <c r="A87" s="92">
        <v>4746</v>
      </c>
    </row>
    <row r="88" spans="1:1" x14ac:dyDescent="0.25">
      <c r="A88" s="28">
        <v>4825</v>
      </c>
    </row>
    <row r="89" spans="1:1" x14ac:dyDescent="0.25">
      <c r="A89" s="32">
        <v>4836</v>
      </c>
    </row>
    <row r="90" spans="1:1" x14ac:dyDescent="0.25">
      <c r="A90" s="93">
        <v>4836</v>
      </c>
    </row>
    <row r="91" spans="1:1" x14ac:dyDescent="0.25">
      <c r="A91" s="28">
        <v>4880</v>
      </c>
    </row>
    <row r="92" spans="1:1" x14ac:dyDescent="0.25">
      <c r="A92" s="92">
        <v>4880</v>
      </c>
    </row>
    <row r="93" spans="1:1" x14ac:dyDescent="0.25">
      <c r="A93" s="32">
        <v>4953</v>
      </c>
    </row>
    <row r="94" spans="1:1" x14ac:dyDescent="0.25">
      <c r="A94" s="28">
        <v>4978</v>
      </c>
    </row>
    <row r="95" spans="1:1" x14ac:dyDescent="0.25">
      <c r="A95" s="28">
        <v>5037</v>
      </c>
    </row>
    <row r="96" spans="1:1" x14ac:dyDescent="0.25">
      <c r="A96" s="92">
        <v>5037</v>
      </c>
    </row>
    <row r="97" spans="1:1" x14ac:dyDescent="0.25">
      <c r="A97" s="28">
        <v>5041</v>
      </c>
    </row>
    <row r="98" spans="1:1" x14ac:dyDescent="0.25">
      <c r="A98" s="1">
        <v>5108</v>
      </c>
    </row>
    <row r="99" spans="1:1" x14ac:dyDescent="0.25">
      <c r="A99" s="94">
        <v>5108</v>
      </c>
    </row>
    <row r="100" spans="1:1" x14ac:dyDescent="0.25">
      <c r="A100" s="28">
        <v>5115</v>
      </c>
    </row>
    <row r="101" spans="1:1" x14ac:dyDescent="0.25">
      <c r="A101" s="92">
        <v>5115</v>
      </c>
    </row>
    <row r="102" spans="1:1" x14ac:dyDescent="0.25">
      <c r="A102" s="32">
        <v>5126</v>
      </c>
    </row>
    <row r="103" spans="1:1" x14ac:dyDescent="0.25">
      <c r="A103" s="28">
        <v>5246</v>
      </c>
    </row>
    <row r="104" spans="1:1" x14ac:dyDescent="0.25">
      <c r="A104" s="32">
        <v>5347</v>
      </c>
    </row>
    <row r="105" spans="1:1" x14ac:dyDescent="0.25">
      <c r="A105" s="1">
        <v>5350</v>
      </c>
    </row>
    <row r="106" spans="1:1" x14ac:dyDescent="0.25">
      <c r="A106" s="28">
        <v>5351</v>
      </c>
    </row>
    <row r="107" spans="1:1" x14ac:dyDescent="0.25">
      <c r="A107" s="28">
        <v>5393</v>
      </c>
    </row>
    <row r="108" spans="1:1" x14ac:dyDescent="0.25">
      <c r="A108" s="28">
        <v>5465</v>
      </c>
    </row>
    <row r="109" spans="1:1" x14ac:dyDescent="0.25">
      <c r="A109" s="92">
        <v>5465</v>
      </c>
    </row>
    <row r="110" spans="1:1" x14ac:dyDescent="0.25">
      <c r="A110" s="32">
        <v>5490</v>
      </c>
    </row>
    <row r="111" spans="1:1" x14ac:dyDescent="0.25">
      <c r="A111" s="1">
        <v>5569</v>
      </c>
    </row>
    <row r="112" spans="1:1" x14ac:dyDescent="0.25">
      <c r="A112" s="94">
        <v>5569</v>
      </c>
    </row>
    <row r="113" spans="1:1" x14ac:dyDescent="0.25">
      <c r="A113" s="28">
        <v>5569</v>
      </c>
    </row>
    <row r="114" spans="1:1" x14ac:dyDescent="0.25">
      <c r="A114" s="1">
        <v>5769</v>
      </c>
    </row>
    <row r="115" spans="1:1" x14ac:dyDescent="0.25">
      <c r="A115" s="32">
        <v>5829</v>
      </c>
    </row>
  </sheetData>
  <autoFilter ref="A2:A115" xr:uid="{4924CBE8-C2F8-4996-B6DE-8062EDD26612}">
    <sortState xmlns:xlrd2="http://schemas.microsoft.com/office/spreadsheetml/2017/richdata2" ref="A3:A115">
      <sortCondition ref="A2:A115"/>
    </sortState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54883-7E83-43FB-92B9-64DF35C7C9F1}">
  <dimension ref="A1:L1331"/>
  <sheetViews>
    <sheetView topLeftCell="A1297" workbookViewId="0">
      <selection activeCell="H1314" sqref="H1314"/>
    </sheetView>
  </sheetViews>
  <sheetFormatPr defaultRowHeight="15" x14ac:dyDescent="0.25"/>
  <cols>
    <col min="5" max="5" width="18.140625" bestFit="1" customWidth="1"/>
    <col min="6" max="6" width="10.42578125" bestFit="1" customWidth="1"/>
    <col min="9" max="9" width="10.42578125" hidden="1" customWidth="1"/>
    <col min="10" max="10" width="10.7109375" bestFit="1" customWidth="1"/>
    <col min="11" max="11" width="0" hidden="1" customWidth="1"/>
  </cols>
  <sheetData>
    <row r="1" spans="1:12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136</v>
      </c>
    </row>
    <row r="2" spans="1:12" x14ac:dyDescent="0.25">
      <c r="A2">
        <v>6</v>
      </c>
      <c r="B2">
        <v>3494</v>
      </c>
      <c r="C2">
        <v>686</v>
      </c>
      <c r="D2">
        <v>2</v>
      </c>
      <c r="E2" t="s">
        <v>124</v>
      </c>
      <c r="F2" s="19">
        <v>45435</v>
      </c>
      <c r="G2" t="s">
        <v>122</v>
      </c>
      <c r="H2">
        <v>0</v>
      </c>
      <c r="I2" s="19">
        <v>45489</v>
      </c>
      <c r="J2" s="19">
        <f t="shared" ref="J2:J46" si="0">I2+3</f>
        <v>45492</v>
      </c>
      <c r="L2">
        <f t="shared" ref="L2:L46" si="1">J2-F2</f>
        <v>57</v>
      </c>
    </row>
    <row r="3" spans="1:12" x14ac:dyDescent="0.25">
      <c r="A3">
        <v>6</v>
      </c>
      <c r="B3">
        <v>3015</v>
      </c>
      <c r="C3">
        <v>670</v>
      </c>
      <c r="D3">
        <v>3</v>
      </c>
      <c r="E3" t="s">
        <v>124</v>
      </c>
      <c r="F3" s="19">
        <v>45442</v>
      </c>
      <c r="G3" t="s">
        <v>122</v>
      </c>
      <c r="H3">
        <v>0</v>
      </c>
      <c r="I3" s="19">
        <v>45504</v>
      </c>
      <c r="J3" s="19">
        <f t="shared" si="0"/>
        <v>45507</v>
      </c>
      <c r="L3">
        <f t="shared" si="1"/>
        <v>65</v>
      </c>
    </row>
    <row r="4" spans="1:12" x14ac:dyDescent="0.25">
      <c r="A4">
        <v>6</v>
      </c>
      <c r="B4">
        <v>3026</v>
      </c>
      <c r="C4">
        <v>579</v>
      </c>
      <c r="D4">
        <v>3</v>
      </c>
      <c r="E4" t="s">
        <v>124</v>
      </c>
      <c r="F4" s="19">
        <v>45442</v>
      </c>
      <c r="G4" t="s">
        <v>122</v>
      </c>
      <c r="H4">
        <v>0</v>
      </c>
      <c r="I4" s="19">
        <v>45505</v>
      </c>
      <c r="J4" s="19">
        <f t="shared" si="0"/>
        <v>45508</v>
      </c>
      <c r="L4">
        <f t="shared" si="1"/>
        <v>66</v>
      </c>
    </row>
    <row r="5" spans="1:12" x14ac:dyDescent="0.25">
      <c r="A5">
        <v>10</v>
      </c>
      <c r="B5">
        <v>3391</v>
      </c>
      <c r="C5">
        <v>532</v>
      </c>
      <c r="D5">
        <v>2</v>
      </c>
      <c r="E5" t="s">
        <v>124</v>
      </c>
      <c r="F5" s="19">
        <v>45456</v>
      </c>
      <c r="G5" t="s">
        <v>122</v>
      </c>
      <c r="H5">
        <v>0</v>
      </c>
      <c r="I5" s="19">
        <v>45573</v>
      </c>
      <c r="J5" s="19">
        <f t="shared" si="0"/>
        <v>45576</v>
      </c>
      <c r="L5">
        <f t="shared" si="1"/>
        <v>120</v>
      </c>
    </row>
    <row r="6" spans="1:12" x14ac:dyDescent="0.25">
      <c r="A6">
        <v>10</v>
      </c>
      <c r="B6">
        <v>3546</v>
      </c>
      <c r="C6">
        <v>484</v>
      </c>
      <c r="D6">
        <v>2</v>
      </c>
      <c r="E6" t="s">
        <v>124</v>
      </c>
      <c r="F6" s="19">
        <v>45463</v>
      </c>
      <c r="G6" t="s">
        <v>122</v>
      </c>
      <c r="H6">
        <v>0</v>
      </c>
      <c r="I6" s="19">
        <v>45524</v>
      </c>
      <c r="J6" s="19">
        <f t="shared" si="0"/>
        <v>45527</v>
      </c>
      <c r="L6">
        <f t="shared" si="1"/>
        <v>64</v>
      </c>
    </row>
    <row r="7" spans="1:12" x14ac:dyDescent="0.25">
      <c r="A7">
        <v>6</v>
      </c>
      <c r="B7">
        <v>3690</v>
      </c>
      <c r="C7">
        <v>486</v>
      </c>
      <c r="D7">
        <v>2</v>
      </c>
      <c r="E7" t="s">
        <v>124</v>
      </c>
      <c r="F7" s="19">
        <v>45463</v>
      </c>
      <c r="G7" t="s">
        <v>122</v>
      </c>
      <c r="H7">
        <v>0</v>
      </c>
      <c r="I7" s="19">
        <v>45528</v>
      </c>
      <c r="J7" s="19">
        <f t="shared" si="0"/>
        <v>45531</v>
      </c>
      <c r="L7">
        <f t="shared" si="1"/>
        <v>68</v>
      </c>
    </row>
    <row r="8" spans="1:12" x14ac:dyDescent="0.25">
      <c r="A8">
        <v>6</v>
      </c>
      <c r="B8">
        <v>2952</v>
      </c>
      <c r="C8">
        <v>633</v>
      </c>
      <c r="D8">
        <v>3</v>
      </c>
      <c r="E8" t="s">
        <v>133</v>
      </c>
      <c r="F8" s="19">
        <v>45477</v>
      </c>
      <c r="G8" t="s">
        <v>122</v>
      </c>
      <c r="H8">
        <v>0</v>
      </c>
      <c r="I8" s="19">
        <v>45541</v>
      </c>
      <c r="J8" s="19">
        <f t="shared" si="0"/>
        <v>45544</v>
      </c>
      <c r="L8">
        <f t="shared" si="1"/>
        <v>67</v>
      </c>
    </row>
    <row r="9" spans="1:12" x14ac:dyDescent="0.25">
      <c r="A9">
        <v>10</v>
      </c>
      <c r="B9">
        <v>2020</v>
      </c>
      <c r="C9">
        <v>298</v>
      </c>
      <c r="D9">
        <v>5</v>
      </c>
      <c r="E9" t="s">
        <v>133</v>
      </c>
      <c r="F9" s="19">
        <v>45477</v>
      </c>
      <c r="G9" t="s">
        <v>122</v>
      </c>
      <c r="H9">
        <v>0</v>
      </c>
      <c r="I9" s="19">
        <v>45634</v>
      </c>
      <c r="J9" s="19">
        <f t="shared" si="0"/>
        <v>45637</v>
      </c>
      <c r="L9">
        <f t="shared" si="1"/>
        <v>160</v>
      </c>
    </row>
    <row r="10" spans="1:12" x14ac:dyDescent="0.25">
      <c r="A10">
        <v>2</v>
      </c>
      <c r="B10">
        <v>3573</v>
      </c>
      <c r="C10">
        <v>160</v>
      </c>
      <c r="D10">
        <v>3</v>
      </c>
      <c r="E10" t="s">
        <v>133</v>
      </c>
      <c r="F10" s="19">
        <v>45484</v>
      </c>
      <c r="G10" t="s">
        <v>120</v>
      </c>
      <c r="H10">
        <v>0</v>
      </c>
      <c r="I10" s="19">
        <v>46099</v>
      </c>
      <c r="J10" s="19">
        <f t="shared" si="0"/>
        <v>46102</v>
      </c>
      <c r="L10">
        <f t="shared" si="1"/>
        <v>618</v>
      </c>
    </row>
    <row r="11" spans="1:12" x14ac:dyDescent="0.25">
      <c r="A11">
        <v>6</v>
      </c>
      <c r="B11">
        <v>2018</v>
      </c>
      <c r="C11">
        <v>451</v>
      </c>
      <c r="D11">
        <v>6</v>
      </c>
      <c r="E11" t="s">
        <v>133</v>
      </c>
      <c r="F11" s="19">
        <v>45491</v>
      </c>
      <c r="G11" t="s">
        <v>122</v>
      </c>
      <c r="H11">
        <v>0</v>
      </c>
      <c r="I11" s="19">
        <v>45701</v>
      </c>
      <c r="J11" s="19">
        <f t="shared" si="0"/>
        <v>45704</v>
      </c>
      <c r="L11">
        <f t="shared" si="1"/>
        <v>213</v>
      </c>
    </row>
    <row r="12" spans="1:12" x14ac:dyDescent="0.25">
      <c r="A12">
        <v>7</v>
      </c>
      <c r="B12">
        <v>2900</v>
      </c>
      <c r="C12">
        <v>306</v>
      </c>
      <c r="D12">
        <v>3</v>
      </c>
      <c r="E12" t="s">
        <v>133</v>
      </c>
      <c r="F12" s="19">
        <v>45498</v>
      </c>
      <c r="G12" t="s">
        <v>122</v>
      </c>
      <c r="H12">
        <v>0</v>
      </c>
      <c r="I12" s="19">
        <v>45564</v>
      </c>
      <c r="J12" s="19">
        <f t="shared" si="0"/>
        <v>45567</v>
      </c>
      <c r="L12">
        <f t="shared" si="1"/>
        <v>69</v>
      </c>
    </row>
    <row r="13" spans="1:12" x14ac:dyDescent="0.25">
      <c r="A13">
        <v>6</v>
      </c>
      <c r="B13">
        <v>2767</v>
      </c>
      <c r="C13">
        <v>467</v>
      </c>
      <c r="D13">
        <v>3</v>
      </c>
      <c r="E13" t="s">
        <v>124</v>
      </c>
      <c r="F13" s="19">
        <v>45505</v>
      </c>
      <c r="G13" t="s">
        <v>122</v>
      </c>
      <c r="H13">
        <v>0</v>
      </c>
      <c r="I13" s="19">
        <v>45568</v>
      </c>
      <c r="J13" s="19">
        <f t="shared" si="0"/>
        <v>45571</v>
      </c>
      <c r="L13">
        <f t="shared" si="1"/>
        <v>66</v>
      </c>
    </row>
    <row r="14" spans="1:12" x14ac:dyDescent="0.25">
      <c r="A14">
        <v>6</v>
      </c>
      <c r="B14">
        <v>3796</v>
      </c>
      <c r="C14">
        <v>688</v>
      </c>
      <c r="D14">
        <v>2</v>
      </c>
      <c r="E14" t="s">
        <v>133</v>
      </c>
      <c r="F14" s="19">
        <v>45512</v>
      </c>
      <c r="G14" t="s">
        <v>132</v>
      </c>
      <c r="H14">
        <v>0</v>
      </c>
      <c r="I14" s="19">
        <v>45571</v>
      </c>
      <c r="J14" s="19">
        <f t="shared" si="0"/>
        <v>45574</v>
      </c>
      <c r="L14">
        <f t="shared" si="1"/>
        <v>62</v>
      </c>
    </row>
    <row r="15" spans="1:12" x14ac:dyDescent="0.25">
      <c r="A15">
        <v>6</v>
      </c>
      <c r="B15">
        <v>2563</v>
      </c>
      <c r="C15">
        <v>407</v>
      </c>
      <c r="D15">
        <v>4</v>
      </c>
      <c r="E15" t="s">
        <v>121</v>
      </c>
      <c r="F15" s="19">
        <v>45519</v>
      </c>
      <c r="G15" t="s">
        <v>122</v>
      </c>
      <c r="H15">
        <v>0</v>
      </c>
      <c r="I15" s="19">
        <v>45620</v>
      </c>
      <c r="J15" s="19">
        <f t="shared" si="0"/>
        <v>45623</v>
      </c>
      <c r="L15">
        <f t="shared" si="1"/>
        <v>104</v>
      </c>
    </row>
    <row r="16" spans="1:12" x14ac:dyDescent="0.25">
      <c r="A16">
        <v>6</v>
      </c>
      <c r="B16">
        <v>1144</v>
      </c>
      <c r="C16">
        <v>193</v>
      </c>
      <c r="D16">
        <v>4</v>
      </c>
      <c r="E16" t="s">
        <v>121</v>
      </c>
      <c r="F16" s="19">
        <v>45519</v>
      </c>
      <c r="G16" t="s">
        <v>122</v>
      </c>
      <c r="H16">
        <v>0</v>
      </c>
      <c r="I16" s="19">
        <v>45687</v>
      </c>
      <c r="J16" s="19">
        <f t="shared" si="0"/>
        <v>45690</v>
      </c>
      <c r="L16">
        <f t="shared" si="1"/>
        <v>171</v>
      </c>
    </row>
    <row r="17" spans="1:12" x14ac:dyDescent="0.25">
      <c r="A17">
        <v>7</v>
      </c>
      <c r="B17">
        <v>1186</v>
      </c>
      <c r="C17">
        <v>397</v>
      </c>
      <c r="D17">
        <v>2</v>
      </c>
      <c r="E17" t="s">
        <v>121</v>
      </c>
      <c r="F17" s="19">
        <v>45526</v>
      </c>
      <c r="G17" t="s">
        <v>122</v>
      </c>
      <c r="H17">
        <v>0</v>
      </c>
      <c r="I17" s="19">
        <v>45729</v>
      </c>
      <c r="J17" s="19">
        <f t="shared" si="0"/>
        <v>45732</v>
      </c>
      <c r="L17">
        <f t="shared" si="1"/>
        <v>206</v>
      </c>
    </row>
    <row r="18" spans="1:12" x14ac:dyDescent="0.25">
      <c r="A18">
        <v>6</v>
      </c>
      <c r="B18">
        <v>3435</v>
      </c>
      <c r="C18">
        <v>362</v>
      </c>
      <c r="D18">
        <v>3</v>
      </c>
      <c r="E18" t="s">
        <v>121</v>
      </c>
      <c r="F18" s="19">
        <v>45533</v>
      </c>
      <c r="G18" t="s">
        <v>122</v>
      </c>
      <c r="H18">
        <v>0</v>
      </c>
      <c r="I18" s="19">
        <v>45589</v>
      </c>
      <c r="J18" s="19">
        <f t="shared" si="0"/>
        <v>45592</v>
      </c>
      <c r="L18">
        <f t="shared" si="1"/>
        <v>59</v>
      </c>
    </row>
    <row r="19" spans="1:12" x14ac:dyDescent="0.25">
      <c r="A19">
        <v>6</v>
      </c>
      <c r="B19">
        <v>1317</v>
      </c>
      <c r="C19">
        <v>292</v>
      </c>
      <c r="D19">
        <v>6</v>
      </c>
      <c r="E19" t="s">
        <v>121</v>
      </c>
      <c r="F19" s="19">
        <v>45533</v>
      </c>
      <c r="G19" t="s">
        <v>122</v>
      </c>
      <c r="H19">
        <v>0</v>
      </c>
      <c r="I19" s="19">
        <v>45602</v>
      </c>
      <c r="J19" s="19">
        <f t="shared" si="0"/>
        <v>45605</v>
      </c>
      <c r="L19">
        <f t="shared" si="1"/>
        <v>72</v>
      </c>
    </row>
    <row r="20" spans="1:12" x14ac:dyDescent="0.25">
      <c r="A20">
        <v>6</v>
      </c>
      <c r="B20">
        <v>3083</v>
      </c>
      <c r="C20">
        <v>217</v>
      </c>
      <c r="D20">
        <v>4</v>
      </c>
      <c r="E20" t="s">
        <v>124</v>
      </c>
      <c r="F20" s="19">
        <v>45533</v>
      </c>
      <c r="G20" t="s">
        <v>122</v>
      </c>
      <c r="H20">
        <v>0</v>
      </c>
      <c r="I20" s="19">
        <v>45839</v>
      </c>
      <c r="J20" s="19">
        <f t="shared" si="0"/>
        <v>45842</v>
      </c>
      <c r="L20">
        <f t="shared" si="1"/>
        <v>309</v>
      </c>
    </row>
    <row r="21" spans="1:12" x14ac:dyDescent="0.25">
      <c r="A21">
        <v>6</v>
      </c>
      <c r="B21">
        <v>3757</v>
      </c>
      <c r="C21">
        <v>288</v>
      </c>
      <c r="D21">
        <v>2</v>
      </c>
      <c r="E21" t="s">
        <v>124</v>
      </c>
      <c r="F21" s="19">
        <v>45540</v>
      </c>
      <c r="G21" t="s">
        <v>122</v>
      </c>
      <c r="H21">
        <v>0</v>
      </c>
      <c r="I21" s="19">
        <v>45599</v>
      </c>
      <c r="J21" s="19">
        <f t="shared" si="0"/>
        <v>45602</v>
      </c>
      <c r="L21">
        <f t="shared" si="1"/>
        <v>62</v>
      </c>
    </row>
    <row r="22" spans="1:12" x14ac:dyDescent="0.25">
      <c r="A22">
        <v>6</v>
      </c>
      <c r="B22">
        <v>2919</v>
      </c>
      <c r="C22">
        <v>269</v>
      </c>
      <c r="D22">
        <v>4</v>
      </c>
      <c r="E22" t="s">
        <v>121</v>
      </c>
      <c r="F22" s="19">
        <v>45540</v>
      </c>
      <c r="G22" t="s">
        <v>122</v>
      </c>
      <c r="H22">
        <v>0</v>
      </c>
      <c r="I22" s="19">
        <v>45682</v>
      </c>
      <c r="J22" s="19">
        <f t="shared" si="0"/>
        <v>45685</v>
      </c>
      <c r="L22">
        <f t="shared" si="1"/>
        <v>145</v>
      </c>
    </row>
    <row r="23" spans="1:12" x14ac:dyDescent="0.25">
      <c r="A23">
        <v>6</v>
      </c>
      <c r="B23">
        <v>3021</v>
      </c>
      <c r="C23">
        <v>256</v>
      </c>
      <c r="D23">
        <v>3</v>
      </c>
      <c r="E23" t="s">
        <v>121</v>
      </c>
      <c r="F23" s="19">
        <v>45540</v>
      </c>
      <c r="G23" t="s">
        <v>122</v>
      </c>
      <c r="H23">
        <v>0</v>
      </c>
      <c r="I23" s="19">
        <v>45740</v>
      </c>
      <c r="J23" s="19">
        <f t="shared" si="0"/>
        <v>45743</v>
      </c>
      <c r="L23">
        <f t="shared" si="1"/>
        <v>203</v>
      </c>
    </row>
    <row r="24" spans="1:12" x14ac:dyDescent="0.25">
      <c r="A24">
        <v>10</v>
      </c>
      <c r="B24">
        <v>2898</v>
      </c>
      <c r="C24">
        <v>579</v>
      </c>
      <c r="D24">
        <v>3</v>
      </c>
      <c r="E24" t="s">
        <v>124</v>
      </c>
      <c r="F24" s="19">
        <v>45547</v>
      </c>
      <c r="G24" t="s">
        <v>122</v>
      </c>
      <c r="H24">
        <v>0</v>
      </c>
      <c r="I24" s="19">
        <v>45610</v>
      </c>
      <c r="J24" s="19">
        <f t="shared" si="0"/>
        <v>45613</v>
      </c>
      <c r="L24">
        <f t="shared" si="1"/>
        <v>66</v>
      </c>
    </row>
    <row r="25" spans="1:12" x14ac:dyDescent="0.25">
      <c r="A25">
        <v>6</v>
      </c>
      <c r="B25">
        <v>2765</v>
      </c>
      <c r="C25">
        <v>615</v>
      </c>
      <c r="D25">
        <v>4</v>
      </c>
      <c r="E25" t="s">
        <v>121</v>
      </c>
      <c r="F25" s="19">
        <v>45561</v>
      </c>
      <c r="G25" t="s">
        <v>125</v>
      </c>
      <c r="H25">
        <v>0</v>
      </c>
      <c r="I25" s="19">
        <v>45644</v>
      </c>
      <c r="J25" s="19">
        <f t="shared" si="0"/>
        <v>45647</v>
      </c>
      <c r="L25">
        <f t="shared" si="1"/>
        <v>86</v>
      </c>
    </row>
    <row r="26" spans="1:12" x14ac:dyDescent="0.25">
      <c r="A26">
        <v>6</v>
      </c>
      <c r="B26">
        <v>3353</v>
      </c>
      <c r="C26">
        <v>357</v>
      </c>
      <c r="D26">
        <v>3</v>
      </c>
      <c r="E26" t="s">
        <v>121</v>
      </c>
      <c r="F26" s="19">
        <v>45561</v>
      </c>
      <c r="G26" t="s">
        <v>122</v>
      </c>
      <c r="H26">
        <v>0</v>
      </c>
      <c r="I26" s="19">
        <v>45682</v>
      </c>
      <c r="J26" s="19">
        <f t="shared" si="0"/>
        <v>45685</v>
      </c>
      <c r="L26">
        <f t="shared" si="1"/>
        <v>124</v>
      </c>
    </row>
    <row r="27" spans="1:12" x14ac:dyDescent="0.25">
      <c r="A27">
        <v>6</v>
      </c>
      <c r="B27">
        <v>2821</v>
      </c>
      <c r="C27">
        <v>228</v>
      </c>
      <c r="D27">
        <v>4</v>
      </c>
      <c r="E27" t="s">
        <v>121</v>
      </c>
      <c r="F27" s="19">
        <v>45562</v>
      </c>
      <c r="G27" t="s">
        <v>122</v>
      </c>
      <c r="H27">
        <v>0</v>
      </c>
      <c r="I27" s="19">
        <v>45680</v>
      </c>
      <c r="J27" s="19">
        <f t="shared" si="0"/>
        <v>45683</v>
      </c>
      <c r="L27">
        <f t="shared" si="1"/>
        <v>121</v>
      </c>
    </row>
    <row r="28" spans="1:12" x14ac:dyDescent="0.25">
      <c r="A28">
        <v>6</v>
      </c>
      <c r="B28">
        <v>3356</v>
      </c>
      <c r="C28">
        <v>472</v>
      </c>
      <c r="D28">
        <v>4</v>
      </c>
      <c r="E28" t="s">
        <v>124</v>
      </c>
      <c r="F28" s="19">
        <v>45568</v>
      </c>
      <c r="G28" t="s">
        <v>122</v>
      </c>
      <c r="H28">
        <v>0</v>
      </c>
      <c r="I28" s="19">
        <v>45618</v>
      </c>
      <c r="J28" s="19">
        <f t="shared" si="0"/>
        <v>45621</v>
      </c>
      <c r="L28">
        <f t="shared" si="1"/>
        <v>53</v>
      </c>
    </row>
    <row r="29" spans="1:12" x14ac:dyDescent="0.25">
      <c r="A29">
        <v>10</v>
      </c>
      <c r="B29">
        <v>2866</v>
      </c>
      <c r="C29">
        <v>307</v>
      </c>
      <c r="D29">
        <v>2</v>
      </c>
      <c r="E29" t="s">
        <v>124</v>
      </c>
      <c r="F29" s="19">
        <v>45568</v>
      </c>
      <c r="G29" t="s">
        <v>122</v>
      </c>
      <c r="H29">
        <v>0</v>
      </c>
      <c r="I29" s="19">
        <v>45636</v>
      </c>
      <c r="J29" s="19">
        <f t="shared" si="0"/>
        <v>45639</v>
      </c>
      <c r="L29">
        <f t="shared" si="1"/>
        <v>71</v>
      </c>
    </row>
    <row r="30" spans="1:12" x14ac:dyDescent="0.25">
      <c r="A30">
        <v>6</v>
      </c>
      <c r="B30">
        <v>2452</v>
      </c>
      <c r="C30">
        <v>264</v>
      </c>
      <c r="D30">
        <v>4</v>
      </c>
      <c r="E30" t="s">
        <v>121</v>
      </c>
      <c r="F30" s="19">
        <v>45568</v>
      </c>
      <c r="G30" t="s">
        <v>122</v>
      </c>
      <c r="H30">
        <v>0</v>
      </c>
      <c r="I30" s="19">
        <v>45644</v>
      </c>
      <c r="J30" s="19">
        <f t="shared" si="0"/>
        <v>45647</v>
      </c>
      <c r="L30">
        <f t="shared" si="1"/>
        <v>79</v>
      </c>
    </row>
    <row r="31" spans="1:12" x14ac:dyDescent="0.25">
      <c r="A31">
        <v>6</v>
      </c>
      <c r="B31">
        <v>2196</v>
      </c>
      <c r="C31">
        <v>245</v>
      </c>
      <c r="D31">
        <v>5</v>
      </c>
      <c r="E31" t="s">
        <v>121</v>
      </c>
      <c r="F31" s="19">
        <v>45568</v>
      </c>
      <c r="G31" t="s">
        <v>122</v>
      </c>
      <c r="H31">
        <v>0</v>
      </c>
      <c r="I31" s="19">
        <v>45701</v>
      </c>
      <c r="J31" s="19">
        <f t="shared" si="0"/>
        <v>45704</v>
      </c>
      <c r="L31">
        <f t="shared" si="1"/>
        <v>136</v>
      </c>
    </row>
    <row r="32" spans="1:12" x14ac:dyDescent="0.25">
      <c r="A32">
        <v>10</v>
      </c>
      <c r="B32">
        <v>3237</v>
      </c>
      <c r="C32">
        <v>264</v>
      </c>
      <c r="D32">
        <v>3</v>
      </c>
      <c r="E32" t="s">
        <v>124</v>
      </c>
      <c r="F32" s="19">
        <v>45575</v>
      </c>
      <c r="G32" t="s">
        <v>122</v>
      </c>
      <c r="H32">
        <v>0</v>
      </c>
      <c r="I32" s="19">
        <v>45634</v>
      </c>
      <c r="J32" s="19">
        <f t="shared" si="0"/>
        <v>45637</v>
      </c>
      <c r="L32">
        <f t="shared" si="1"/>
        <v>62</v>
      </c>
    </row>
    <row r="33" spans="1:12" x14ac:dyDescent="0.25">
      <c r="A33">
        <v>6</v>
      </c>
      <c r="B33">
        <v>3869</v>
      </c>
      <c r="C33">
        <v>273</v>
      </c>
      <c r="D33">
        <v>2</v>
      </c>
      <c r="E33" t="s">
        <v>124</v>
      </c>
      <c r="F33" s="19">
        <v>45575</v>
      </c>
      <c r="G33" t="s">
        <v>122</v>
      </c>
      <c r="H33">
        <v>0</v>
      </c>
      <c r="I33" s="19">
        <v>45635</v>
      </c>
      <c r="J33" s="19">
        <f t="shared" si="0"/>
        <v>45638</v>
      </c>
      <c r="L33">
        <f t="shared" si="1"/>
        <v>63</v>
      </c>
    </row>
    <row r="34" spans="1:12" x14ac:dyDescent="0.25">
      <c r="A34">
        <v>6</v>
      </c>
      <c r="B34">
        <v>3368</v>
      </c>
      <c r="C34">
        <v>587</v>
      </c>
      <c r="D34">
        <v>3</v>
      </c>
      <c r="E34" t="s">
        <v>121</v>
      </c>
      <c r="F34" s="19">
        <v>45575</v>
      </c>
      <c r="G34" t="s">
        <v>122</v>
      </c>
      <c r="H34">
        <v>0</v>
      </c>
      <c r="I34" s="19">
        <v>45637</v>
      </c>
      <c r="J34" s="19">
        <f t="shared" si="0"/>
        <v>45640</v>
      </c>
      <c r="L34">
        <f t="shared" si="1"/>
        <v>65</v>
      </c>
    </row>
    <row r="35" spans="1:12" x14ac:dyDescent="0.25">
      <c r="A35">
        <v>6</v>
      </c>
      <c r="B35">
        <v>3819</v>
      </c>
      <c r="C35">
        <v>309</v>
      </c>
      <c r="D35">
        <v>2</v>
      </c>
      <c r="E35" t="s">
        <v>124</v>
      </c>
      <c r="F35" s="19">
        <v>45575</v>
      </c>
      <c r="G35" t="s">
        <v>122</v>
      </c>
      <c r="H35">
        <v>0</v>
      </c>
      <c r="I35" s="19">
        <v>45642</v>
      </c>
      <c r="J35" s="19">
        <f t="shared" si="0"/>
        <v>45645</v>
      </c>
      <c r="L35">
        <f t="shared" si="1"/>
        <v>70</v>
      </c>
    </row>
    <row r="36" spans="1:12" x14ac:dyDescent="0.25">
      <c r="A36">
        <v>10</v>
      </c>
      <c r="B36">
        <v>1119</v>
      </c>
      <c r="C36">
        <v>242</v>
      </c>
      <c r="D36">
        <v>4</v>
      </c>
      <c r="E36" t="s">
        <v>121</v>
      </c>
      <c r="F36" s="19">
        <v>45575</v>
      </c>
      <c r="G36" t="s">
        <v>122</v>
      </c>
      <c r="H36">
        <v>0</v>
      </c>
      <c r="I36" s="19">
        <v>45659</v>
      </c>
      <c r="J36" s="19">
        <f t="shared" si="0"/>
        <v>45662</v>
      </c>
      <c r="L36">
        <f t="shared" si="1"/>
        <v>87</v>
      </c>
    </row>
    <row r="37" spans="1:12" x14ac:dyDescent="0.25">
      <c r="A37">
        <v>10</v>
      </c>
      <c r="B37">
        <v>3836</v>
      </c>
      <c r="C37">
        <v>256</v>
      </c>
      <c r="D37">
        <v>2</v>
      </c>
      <c r="E37" t="s">
        <v>124</v>
      </c>
      <c r="F37" s="19">
        <v>45582</v>
      </c>
      <c r="G37" t="s">
        <v>122</v>
      </c>
      <c r="H37">
        <v>0</v>
      </c>
      <c r="I37" s="19">
        <v>45645</v>
      </c>
      <c r="J37" s="19">
        <f t="shared" si="0"/>
        <v>45648</v>
      </c>
      <c r="L37">
        <f t="shared" si="1"/>
        <v>66</v>
      </c>
    </row>
    <row r="38" spans="1:12" x14ac:dyDescent="0.25">
      <c r="A38">
        <v>6</v>
      </c>
      <c r="B38">
        <v>2963</v>
      </c>
      <c r="C38">
        <v>546</v>
      </c>
      <c r="D38">
        <v>3</v>
      </c>
      <c r="E38" t="s">
        <v>121</v>
      </c>
      <c r="F38" s="19">
        <v>45582</v>
      </c>
      <c r="G38" t="s">
        <v>122</v>
      </c>
      <c r="H38">
        <v>0</v>
      </c>
      <c r="I38" s="19">
        <v>45678</v>
      </c>
      <c r="J38" s="19">
        <f t="shared" si="0"/>
        <v>45681</v>
      </c>
      <c r="L38">
        <f t="shared" si="1"/>
        <v>99</v>
      </c>
    </row>
    <row r="39" spans="1:12" x14ac:dyDescent="0.25">
      <c r="A39">
        <v>6</v>
      </c>
      <c r="B39">
        <v>3346</v>
      </c>
      <c r="C39">
        <v>204</v>
      </c>
      <c r="D39">
        <v>3</v>
      </c>
      <c r="E39" t="s">
        <v>121</v>
      </c>
      <c r="F39" s="19">
        <v>45582</v>
      </c>
      <c r="G39" t="s">
        <v>122</v>
      </c>
      <c r="H39">
        <v>0</v>
      </c>
      <c r="I39" s="19">
        <v>45699</v>
      </c>
      <c r="J39" s="19">
        <f t="shared" si="0"/>
        <v>45702</v>
      </c>
      <c r="L39">
        <f t="shared" si="1"/>
        <v>120</v>
      </c>
    </row>
    <row r="40" spans="1:12" x14ac:dyDescent="0.25">
      <c r="A40">
        <v>5</v>
      </c>
      <c r="B40">
        <v>2729</v>
      </c>
      <c r="C40">
        <v>117</v>
      </c>
      <c r="D40">
        <v>3</v>
      </c>
      <c r="E40" t="s">
        <v>121</v>
      </c>
      <c r="F40" s="19">
        <v>45582</v>
      </c>
      <c r="G40" t="s">
        <v>122</v>
      </c>
      <c r="H40">
        <v>0</v>
      </c>
      <c r="I40" s="19">
        <v>45784</v>
      </c>
      <c r="J40" s="19">
        <f t="shared" si="0"/>
        <v>45787</v>
      </c>
      <c r="L40">
        <f t="shared" si="1"/>
        <v>205</v>
      </c>
    </row>
    <row r="41" spans="1:12" x14ac:dyDescent="0.25">
      <c r="A41">
        <v>7</v>
      </c>
      <c r="B41">
        <v>2188</v>
      </c>
      <c r="C41">
        <v>81</v>
      </c>
      <c r="D41">
        <v>5</v>
      </c>
      <c r="E41" t="s">
        <v>121</v>
      </c>
      <c r="F41" s="19">
        <v>45582</v>
      </c>
      <c r="G41" t="s">
        <v>122</v>
      </c>
      <c r="H41">
        <v>0</v>
      </c>
      <c r="I41" s="19">
        <v>45789</v>
      </c>
      <c r="J41" s="19">
        <f t="shared" si="0"/>
        <v>45792</v>
      </c>
      <c r="L41">
        <f t="shared" si="1"/>
        <v>210</v>
      </c>
    </row>
    <row r="42" spans="1:12" x14ac:dyDescent="0.25">
      <c r="A42">
        <v>7</v>
      </c>
      <c r="B42">
        <v>2555</v>
      </c>
      <c r="C42">
        <v>496</v>
      </c>
      <c r="D42">
        <v>4</v>
      </c>
      <c r="E42" t="s">
        <v>124</v>
      </c>
      <c r="F42" s="19">
        <v>45589</v>
      </c>
      <c r="G42" t="s">
        <v>122</v>
      </c>
      <c r="H42">
        <v>0</v>
      </c>
      <c r="I42" s="19">
        <v>45647</v>
      </c>
      <c r="J42" s="19">
        <f t="shared" si="0"/>
        <v>45650</v>
      </c>
      <c r="L42">
        <f t="shared" si="1"/>
        <v>61</v>
      </c>
    </row>
    <row r="43" spans="1:12" x14ac:dyDescent="0.25">
      <c r="A43">
        <v>6</v>
      </c>
      <c r="B43">
        <v>3752</v>
      </c>
      <c r="C43">
        <v>376</v>
      </c>
      <c r="D43">
        <v>2</v>
      </c>
      <c r="E43" t="s">
        <v>124</v>
      </c>
      <c r="F43" s="19">
        <v>45589</v>
      </c>
      <c r="G43" t="s">
        <v>122</v>
      </c>
      <c r="H43">
        <v>0</v>
      </c>
      <c r="I43" s="19">
        <v>45653</v>
      </c>
      <c r="J43" s="19">
        <f t="shared" si="0"/>
        <v>45656</v>
      </c>
      <c r="L43">
        <f t="shared" si="1"/>
        <v>67</v>
      </c>
    </row>
    <row r="44" spans="1:12" x14ac:dyDescent="0.25">
      <c r="A44">
        <v>5</v>
      </c>
      <c r="B44">
        <v>3432</v>
      </c>
      <c r="C44">
        <v>498</v>
      </c>
      <c r="D44">
        <v>2</v>
      </c>
      <c r="E44" t="s">
        <v>121</v>
      </c>
      <c r="F44" s="19">
        <v>45589</v>
      </c>
      <c r="G44" t="s">
        <v>125</v>
      </c>
      <c r="H44">
        <v>0</v>
      </c>
      <c r="I44" s="19">
        <v>45761</v>
      </c>
      <c r="J44" s="19">
        <f t="shared" si="0"/>
        <v>45764</v>
      </c>
      <c r="L44">
        <f t="shared" si="1"/>
        <v>175</v>
      </c>
    </row>
    <row r="45" spans="1:12" x14ac:dyDescent="0.25">
      <c r="A45">
        <v>10</v>
      </c>
      <c r="B45">
        <v>3776</v>
      </c>
      <c r="C45">
        <v>312</v>
      </c>
      <c r="D45">
        <v>2</v>
      </c>
      <c r="E45" t="s">
        <v>121</v>
      </c>
      <c r="F45" s="19">
        <v>45596</v>
      </c>
      <c r="G45" t="s">
        <v>122</v>
      </c>
      <c r="H45">
        <v>0</v>
      </c>
      <c r="I45" s="19">
        <v>45661</v>
      </c>
      <c r="J45" s="19">
        <f t="shared" si="0"/>
        <v>45664</v>
      </c>
      <c r="L45">
        <f t="shared" si="1"/>
        <v>68</v>
      </c>
    </row>
    <row r="46" spans="1:12" x14ac:dyDescent="0.25">
      <c r="A46">
        <v>4</v>
      </c>
      <c r="B46">
        <v>3953</v>
      </c>
      <c r="C46">
        <v>252</v>
      </c>
      <c r="D46">
        <v>2</v>
      </c>
      <c r="E46" t="s">
        <v>124</v>
      </c>
      <c r="F46" s="19">
        <v>45603</v>
      </c>
      <c r="G46" t="s">
        <v>122</v>
      </c>
      <c r="H46">
        <v>0</v>
      </c>
      <c r="I46" s="19">
        <v>45659</v>
      </c>
      <c r="J46" s="19">
        <f t="shared" si="0"/>
        <v>45662</v>
      </c>
      <c r="L46">
        <f t="shared" si="1"/>
        <v>59</v>
      </c>
    </row>
    <row r="47" spans="1:12" x14ac:dyDescent="0.25">
      <c r="A47">
        <v>10</v>
      </c>
      <c r="B47">
        <v>3434</v>
      </c>
      <c r="C47">
        <v>408</v>
      </c>
      <c r="D47">
        <v>4</v>
      </c>
      <c r="E47" t="s">
        <v>121</v>
      </c>
      <c r="F47" s="19">
        <v>45603</v>
      </c>
      <c r="G47" t="s">
        <v>122</v>
      </c>
      <c r="H47">
        <v>0</v>
      </c>
      <c r="I47" s="19">
        <v>45665</v>
      </c>
      <c r="J47" s="19">
        <f t="shared" ref="J47:J105" si="2">I47+3</f>
        <v>45668</v>
      </c>
      <c r="L47">
        <f t="shared" ref="L47:L105" si="3">J47-F47</f>
        <v>65</v>
      </c>
    </row>
    <row r="48" spans="1:12" x14ac:dyDescent="0.25">
      <c r="A48">
        <v>6</v>
      </c>
      <c r="B48">
        <v>2931</v>
      </c>
      <c r="C48">
        <v>594</v>
      </c>
      <c r="D48">
        <v>4</v>
      </c>
      <c r="E48" t="s">
        <v>121</v>
      </c>
      <c r="F48" s="19">
        <v>45603</v>
      </c>
      <c r="G48" t="s">
        <v>125</v>
      </c>
      <c r="H48">
        <v>0</v>
      </c>
      <c r="I48" s="19">
        <v>45665</v>
      </c>
      <c r="J48" s="19">
        <f t="shared" si="2"/>
        <v>45668</v>
      </c>
      <c r="L48">
        <f t="shared" si="3"/>
        <v>65</v>
      </c>
    </row>
    <row r="49" spans="1:12" x14ac:dyDescent="0.25">
      <c r="A49">
        <v>10</v>
      </c>
      <c r="B49">
        <v>3694</v>
      </c>
      <c r="C49">
        <v>353</v>
      </c>
      <c r="D49">
        <v>2</v>
      </c>
      <c r="E49" t="s">
        <v>124</v>
      </c>
      <c r="F49" s="19">
        <v>45610</v>
      </c>
      <c r="G49" t="s">
        <v>122</v>
      </c>
      <c r="H49">
        <v>0</v>
      </c>
      <c r="I49" s="19">
        <v>45665</v>
      </c>
      <c r="J49" s="19">
        <f t="shared" si="2"/>
        <v>45668</v>
      </c>
      <c r="L49">
        <f t="shared" si="3"/>
        <v>58</v>
      </c>
    </row>
    <row r="50" spans="1:12" x14ac:dyDescent="0.25">
      <c r="A50">
        <v>5</v>
      </c>
      <c r="B50">
        <v>3889</v>
      </c>
      <c r="C50">
        <v>343</v>
      </c>
      <c r="D50">
        <v>2</v>
      </c>
      <c r="E50" t="s">
        <v>124</v>
      </c>
      <c r="F50" s="19">
        <v>45610</v>
      </c>
      <c r="G50" t="s">
        <v>122</v>
      </c>
      <c r="H50">
        <v>0</v>
      </c>
      <c r="I50" s="19">
        <v>45670</v>
      </c>
      <c r="J50" s="19">
        <f t="shared" si="2"/>
        <v>45673</v>
      </c>
      <c r="L50">
        <f t="shared" si="3"/>
        <v>63</v>
      </c>
    </row>
    <row r="51" spans="1:12" x14ac:dyDescent="0.25">
      <c r="A51">
        <v>7</v>
      </c>
      <c r="B51">
        <v>2790</v>
      </c>
      <c r="C51">
        <v>211</v>
      </c>
      <c r="D51">
        <v>4</v>
      </c>
      <c r="E51" t="s">
        <v>121</v>
      </c>
      <c r="F51" s="19">
        <v>45610</v>
      </c>
      <c r="G51" t="s">
        <v>122</v>
      </c>
      <c r="H51">
        <v>0</v>
      </c>
      <c r="I51" s="19">
        <v>45677</v>
      </c>
      <c r="J51" s="19">
        <f t="shared" si="2"/>
        <v>45680</v>
      </c>
      <c r="L51">
        <f t="shared" si="3"/>
        <v>70</v>
      </c>
    </row>
    <row r="52" spans="1:12" x14ac:dyDescent="0.25">
      <c r="A52">
        <v>10</v>
      </c>
      <c r="B52">
        <v>2820</v>
      </c>
      <c r="C52">
        <v>354</v>
      </c>
      <c r="D52">
        <v>4</v>
      </c>
      <c r="E52" t="s">
        <v>121</v>
      </c>
      <c r="F52" s="19">
        <v>45610</v>
      </c>
      <c r="G52" t="s">
        <v>122</v>
      </c>
      <c r="H52">
        <v>0</v>
      </c>
      <c r="I52" s="19">
        <v>45681</v>
      </c>
      <c r="J52" s="19">
        <f t="shared" si="2"/>
        <v>45684</v>
      </c>
      <c r="L52">
        <f t="shared" si="3"/>
        <v>74</v>
      </c>
    </row>
    <row r="53" spans="1:12" x14ac:dyDescent="0.25">
      <c r="A53">
        <v>6</v>
      </c>
      <c r="B53">
        <v>1916</v>
      </c>
      <c r="C53">
        <v>247</v>
      </c>
      <c r="D53">
        <v>5</v>
      </c>
      <c r="E53" t="s">
        <v>121</v>
      </c>
      <c r="F53" s="19">
        <v>45610</v>
      </c>
      <c r="G53" t="s">
        <v>122</v>
      </c>
      <c r="H53">
        <v>0</v>
      </c>
      <c r="I53" s="19">
        <v>45699</v>
      </c>
      <c r="J53" s="19">
        <f t="shared" si="2"/>
        <v>45702</v>
      </c>
      <c r="L53">
        <f t="shared" si="3"/>
        <v>92</v>
      </c>
    </row>
    <row r="54" spans="1:12" x14ac:dyDescent="0.25">
      <c r="A54">
        <v>6</v>
      </c>
      <c r="B54">
        <v>2824</v>
      </c>
      <c r="C54">
        <v>425</v>
      </c>
      <c r="D54">
        <v>4</v>
      </c>
      <c r="E54" t="s">
        <v>121</v>
      </c>
      <c r="F54" s="19">
        <v>45610</v>
      </c>
      <c r="G54" t="s">
        <v>122</v>
      </c>
      <c r="H54">
        <v>0</v>
      </c>
      <c r="I54" s="19">
        <v>45701</v>
      </c>
      <c r="J54" s="19">
        <f t="shared" si="2"/>
        <v>45704</v>
      </c>
      <c r="L54">
        <f t="shared" si="3"/>
        <v>94</v>
      </c>
    </row>
    <row r="55" spans="1:12" x14ac:dyDescent="0.25">
      <c r="A55">
        <v>6</v>
      </c>
      <c r="B55">
        <v>1942</v>
      </c>
      <c r="C55">
        <v>240</v>
      </c>
      <c r="D55">
        <v>6</v>
      </c>
      <c r="E55" t="s">
        <v>121</v>
      </c>
      <c r="F55" s="19">
        <v>45610</v>
      </c>
      <c r="G55" t="s">
        <v>122</v>
      </c>
      <c r="H55">
        <v>0</v>
      </c>
      <c r="I55" s="19">
        <v>45703</v>
      </c>
      <c r="J55" s="19">
        <f t="shared" si="2"/>
        <v>45706</v>
      </c>
      <c r="L55">
        <f t="shared" si="3"/>
        <v>96</v>
      </c>
    </row>
    <row r="56" spans="1:12" x14ac:dyDescent="0.25">
      <c r="A56">
        <v>10</v>
      </c>
      <c r="B56">
        <v>1748</v>
      </c>
      <c r="C56">
        <v>254</v>
      </c>
      <c r="D56">
        <v>7</v>
      </c>
      <c r="E56" t="s">
        <v>121</v>
      </c>
      <c r="F56" s="19">
        <v>45610</v>
      </c>
      <c r="G56" t="s">
        <v>122</v>
      </c>
      <c r="H56">
        <v>0</v>
      </c>
      <c r="I56" s="19">
        <v>45748</v>
      </c>
      <c r="J56" s="19">
        <f t="shared" si="2"/>
        <v>45751</v>
      </c>
      <c r="L56">
        <f t="shared" si="3"/>
        <v>141</v>
      </c>
    </row>
    <row r="57" spans="1:12" x14ac:dyDescent="0.25">
      <c r="A57">
        <v>6</v>
      </c>
      <c r="B57">
        <v>301</v>
      </c>
      <c r="C57">
        <v>503</v>
      </c>
      <c r="D57">
        <v>5</v>
      </c>
      <c r="E57" t="s">
        <v>121</v>
      </c>
      <c r="F57" s="19">
        <v>45610</v>
      </c>
      <c r="G57" t="s">
        <v>125</v>
      </c>
      <c r="H57">
        <v>0</v>
      </c>
      <c r="I57" s="19">
        <v>45756</v>
      </c>
      <c r="J57" s="19">
        <f t="shared" si="2"/>
        <v>45759</v>
      </c>
      <c r="L57">
        <f t="shared" si="3"/>
        <v>149</v>
      </c>
    </row>
    <row r="58" spans="1:12" x14ac:dyDescent="0.25">
      <c r="A58">
        <v>6</v>
      </c>
      <c r="B58">
        <v>3178</v>
      </c>
      <c r="C58">
        <v>447</v>
      </c>
      <c r="D58">
        <v>3</v>
      </c>
      <c r="E58" t="s">
        <v>121</v>
      </c>
      <c r="F58" s="19">
        <v>45610</v>
      </c>
      <c r="G58" t="s">
        <v>122</v>
      </c>
      <c r="H58">
        <v>0</v>
      </c>
      <c r="I58" s="19">
        <v>45757</v>
      </c>
      <c r="J58" s="19">
        <f t="shared" si="2"/>
        <v>45760</v>
      </c>
      <c r="L58">
        <f t="shared" si="3"/>
        <v>150</v>
      </c>
    </row>
    <row r="59" spans="1:12" x14ac:dyDescent="0.25">
      <c r="A59">
        <v>10</v>
      </c>
      <c r="B59">
        <v>2831</v>
      </c>
      <c r="C59">
        <v>85</v>
      </c>
      <c r="D59">
        <v>3</v>
      </c>
      <c r="E59" t="s">
        <v>121</v>
      </c>
      <c r="F59" s="19">
        <v>45610</v>
      </c>
      <c r="G59" t="s">
        <v>122</v>
      </c>
      <c r="H59">
        <v>0</v>
      </c>
      <c r="I59" s="19">
        <v>45790</v>
      </c>
      <c r="J59" s="19">
        <f t="shared" si="2"/>
        <v>45793</v>
      </c>
      <c r="L59">
        <f t="shared" si="3"/>
        <v>183</v>
      </c>
    </row>
    <row r="60" spans="1:12" x14ac:dyDescent="0.25">
      <c r="A60">
        <v>10</v>
      </c>
      <c r="B60">
        <v>2819</v>
      </c>
      <c r="C60">
        <v>236</v>
      </c>
      <c r="D60">
        <v>4</v>
      </c>
      <c r="E60" t="s">
        <v>121</v>
      </c>
      <c r="F60" s="19">
        <v>45616</v>
      </c>
      <c r="G60" t="s">
        <v>122</v>
      </c>
      <c r="H60">
        <v>0</v>
      </c>
      <c r="I60" s="19">
        <v>45756</v>
      </c>
      <c r="J60" s="19">
        <f t="shared" si="2"/>
        <v>45759</v>
      </c>
      <c r="L60">
        <f t="shared" si="3"/>
        <v>143</v>
      </c>
    </row>
    <row r="61" spans="1:12" x14ac:dyDescent="0.25">
      <c r="A61">
        <v>10</v>
      </c>
      <c r="B61">
        <v>2844</v>
      </c>
      <c r="C61">
        <v>342</v>
      </c>
      <c r="D61">
        <v>5</v>
      </c>
      <c r="E61" t="s">
        <v>121</v>
      </c>
      <c r="F61" s="19">
        <v>45616</v>
      </c>
      <c r="G61" t="s">
        <v>122</v>
      </c>
      <c r="H61">
        <v>0</v>
      </c>
      <c r="I61" s="19">
        <v>45771</v>
      </c>
      <c r="J61" s="19">
        <f t="shared" si="2"/>
        <v>45774</v>
      </c>
      <c r="L61">
        <f t="shared" si="3"/>
        <v>158</v>
      </c>
    </row>
    <row r="62" spans="1:12" x14ac:dyDescent="0.25">
      <c r="A62">
        <v>10</v>
      </c>
      <c r="B62">
        <v>3093</v>
      </c>
      <c r="C62">
        <v>233</v>
      </c>
      <c r="D62">
        <v>2</v>
      </c>
      <c r="E62" t="s">
        <v>121</v>
      </c>
      <c r="F62" s="19">
        <v>45617</v>
      </c>
      <c r="G62" t="s">
        <v>122</v>
      </c>
      <c r="H62">
        <v>0</v>
      </c>
      <c r="I62" s="19">
        <v>45698</v>
      </c>
      <c r="J62" s="19">
        <f t="shared" si="2"/>
        <v>45701</v>
      </c>
      <c r="L62">
        <f t="shared" si="3"/>
        <v>84</v>
      </c>
    </row>
    <row r="63" spans="1:12" x14ac:dyDescent="0.25">
      <c r="A63">
        <v>10</v>
      </c>
      <c r="B63">
        <v>3232</v>
      </c>
      <c r="C63">
        <v>407</v>
      </c>
      <c r="D63">
        <v>3</v>
      </c>
      <c r="E63" t="s">
        <v>121</v>
      </c>
      <c r="F63" s="19">
        <v>45624</v>
      </c>
      <c r="G63" t="s">
        <v>122</v>
      </c>
      <c r="H63">
        <v>0</v>
      </c>
      <c r="I63" s="19">
        <v>45713</v>
      </c>
      <c r="J63" s="19">
        <f t="shared" si="2"/>
        <v>45716</v>
      </c>
      <c r="L63">
        <f t="shared" si="3"/>
        <v>92</v>
      </c>
    </row>
    <row r="64" spans="1:12" x14ac:dyDescent="0.25">
      <c r="A64">
        <v>6</v>
      </c>
      <c r="B64">
        <v>3522</v>
      </c>
      <c r="C64">
        <v>306</v>
      </c>
      <c r="D64">
        <v>4</v>
      </c>
      <c r="E64" t="s">
        <v>121</v>
      </c>
      <c r="F64" s="19">
        <v>45624</v>
      </c>
      <c r="G64" t="s">
        <v>122</v>
      </c>
      <c r="H64">
        <v>0</v>
      </c>
      <c r="I64" s="19">
        <v>45757</v>
      </c>
      <c r="J64" s="19">
        <f t="shared" si="2"/>
        <v>45760</v>
      </c>
      <c r="L64">
        <f t="shared" si="3"/>
        <v>136</v>
      </c>
    </row>
    <row r="65" spans="1:12" x14ac:dyDescent="0.25">
      <c r="A65">
        <v>2</v>
      </c>
      <c r="B65">
        <v>3387</v>
      </c>
      <c r="C65">
        <v>19</v>
      </c>
      <c r="D65">
        <v>3</v>
      </c>
      <c r="E65" t="s">
        <v>121</v>
      </c>
      <c r="F65" s="19">
        <v>45624</v>
      </c>
      <c r="G65" t="s">
        <v>122</v>
      </c>
      <c r="H65">
        <v>0</v>
      </c>
      <c r="I65" s="19">
        <v>45856</v>
      </c>
      <c r="J65" s="19">
        <f t="shared" si="2"/>
        <v>45859</v>
      </c>
      <c r="L65">
        <f t="shared" si="3"/>
        <v>235</v>
      </c>
    </row>
    <row r="66" spans="1:12" x14ac:dyDescent="0.25">
      <c r="A66">
        <v>10</v>
      </c>
      <c r="B66">
        <v>1051</v>
      </c>
      <c r="C66">
        <v>264</v>
      </c>
      <c r="D66">
        <v>5</v>
      </c>
      <c r="E66" t="s">
        <v>121</v>
      </c>
      <c r="F66" s="19">
        <v>45624</v>
      </c>
      <c r="G66" t="s">
        <v>122</v>
      </c>
      <c r="H66">
        <v>0</v>
      </c>
      <c r="I66" s="19">
        <v>45856</v>
      </c>
      <c r="J66" s="19">
        <f t="shared" si="2"/>
        <v>45859</v>
      </c>
      <c r="L66">
        <f t="shared" si="3"/>
        <v>235</v>
      </c>
    </row>
    <row r="67" spans="1:12" x14ac:dyDescent="0.25">
      <c r="A67">
        <v>6</v>
      </c>
      <c r="B67">
        <v>2871</v>
      </c>
      <c r="C67">
        <v>579</v>
      </c>
      <c r="D67">
        <v>2</v>
      </c>
      <c r="E67" t="s">
        <v>121</v>
      </c>
      <c r="F67" s="19">
        <v>45631</v>
      </c>
      <c r="G67" t="s">
        <v>125</v>
      </c>
      <c r="H67">
        <v>0</v>
      </c>
      <c r="I67" s="19">
        <v>45680</v>
      </c>
      <c r="J67" s="19">
        <f t="shared" si="2"/>
        <v>45683</v>
      </c>
      <c r="L67">
        <f t="shared" si="3"/>
        <v>52</v>
      </c>
    </row>
    <row r="68" spans="1:12" x14ac:dyDescent="0.25">
      <c r="A68">
        <v>6</v>
      </c>
      <c r="B68">
        <v>2814</v>
      </c>
      <c r="C68">
        <v>306</v>
      </c>
      <c r="D68">
        <v>4</v>
      </c>
      <c r="E68" t="s">
        <v>121</v>
      </c>
      <c r="F68" s="19">
        <v>45631</v>
      </c>
      <c r="G68" t="s">
        <v>122</v>
      </c>
      <c r="H68">
        <v>0</v>
      </c>
      <c r="I68" s="19">
        <v>45686</v>
      </c>
      <c r="J68" s="19">
        <f t="shared" si="2"/>
        <v>45689</v>
      </c>
      <c r="L68">
        <f t="shared" si="3"/>
        <v>58</v>
      </c>
    </row>
    <row r="69" spans="1:12" x14ac:dyDescent="0.25">
      <c r="A69">
        <v>10</v>
      </c>
      <c r="B69">
        <v>3980</v>
      </c>
      <c r="C69">
        <v>351</v>
      </c>
      <c r="D69">
        <v>2</v>
      </c>
      <c r="E69" t="s">
        <v>121</v>
      </c>
      <c r="F69" s="19">
        <v>45631</v>
      </c>
      <c r="G69" t="s">
        <v>122</v>
      </c>
      <c r="H69">
        <v>0</v>
      </c>
      <c r="I69" s="19">
        <v>45690</v>
      </c>
      <c r="J69" s="19">
        <f t="shared" si="2"/>
        <v>45693</v>
      </c>
      <c r="L69">
        <f t="shared" si="3"/>
        <v>62</v>
      </c>
    </row>
    <row r="70" spans="1:12" x14ac:dyDescent="0.25">
      <c r="A70">
        <v>6</v>
      </c>
      <c r="B70">
        <v>3252</v>
      </c>
      <c r="C70">
        <v>394</v>
      </c>
      <c r="D70">
        <v>3</v>
      </c>
      <c r="E70" t="s">
        <v>123</v>
      </c>
      <c r="F70" s="19">
        <v>45631</v>
      </c>
      <c r="G70" t="s">
        <v>122</v>
      </c>
      <c r="H70">
        <v>0</v>
      </c>
      <c r="I70" s="19">
        <v>45690</v>
      </c>
      <c r="J70" s="19">
        <f t="shared" si="2"/>
        <v>45693</v>
      </c>
      <c r="L70">
        <f t="shared" si="3"/>
        <v>62</v>
      </c>
    </row>
    <row r="71" spans="1:12" x14ac:dyDescent="0.25">
      <c r="A71">
        <v>6</v>
      </c>
      <c r="B71">
        <v>3900</v>
      </c>
      <c r="C71">
        <v>253</v>
      </c>
      <c r="D71">
        <v>2</v>
      </c>
      <c r="E71" t="s">
        <v>123</v>
      </c>
      <c r="F71" s="19">
        <v>45631</v>
      </c>
      <c r="G71" t="s">
        <v>122</v>
      </c>
      <c r="H71">
        <v>0</v>
      </c>
      <c r="I71" s="19">
        <v>45693</v>
      </c>
      <c r="J71" s="19">
        <f t="shared" si="2"/>
        <v>45696</v>
      </c>
      <c r="L71">
        <f t="shared" si="3"/>
        <v>65</v>
      </c>
    </row>
    <row r="72" spans="1:12" x14ac:dyDescent="0.25">
      <c r="A72">
        <v>6</v>
      </c>
      <c r="B72">
        <v>3779</v>
      </c>
      <c r="C72">
        <v>235</v>
      </c>
      <c r="D72">
        <v>2</v>
      </c>
      <c r="E72" t="s">
        <v>121</v>
      </c>
      <c r="F72" s="19">
        <v>45631</v>
      </c>
      <c r="G72" t="s">
        <v>122</v>
      </c>
      <c r="H72">
        <v>0</v>
      </c>
      <c r="I72" s="19">
        <v>45697</v>
      </c>
      <c r="J72" s="19">
        <f t="shared" si="2"/>
        <v>45700</v>
      </c>
      <c r="L72">
        <f t="shared" si="3"/>
        <v>69</v>
      </c>
    </row>
    <row r="73" spans="1:12" x14ac:dyDescent="0.25">
      <c r="A73">
        <v>10</v>
      </c>
      <c r="B73">
        <v>3800</v>
      </c>
      <c r="C73">
        <v>51</v>
      </c>
      <c r="D73">
        <v>3</v>
      </c>
      <c r="E73" t="s">
        <v>123</v>
      </c>
      <c r="F73" s="19">
        <v>45631</v>
      </c>
      <c r="G73" t="s">
        <v>122</v>
      </c>
      <c r="H73">
        <v>0</v>
      </c>
      <c r="I73" s="19">
        <v>46198</v>
      </c>
      <c r="J73" s="19">
        <f t="shared" si="2"/>
        <v>46201</v>
      </c>
      <c r="L73">
        <f t="shared" si="3"/>
        <v>570</v>
      </c>
    </row>
    <row r="74" spans="1:12" x14ac:dyDescent="0.25">
      <c r="A74">
        <v>6</v>
      </c>
      <c r="B74">
        <v>1178</v>
      </c>
      <c r="C74">
        <v>470</v>
      </c>
      <c r="D74">
        <v>5</v>
      </c>
      <c r="E74" t="s">
        <v>121</v>
      </c>
      <c r="F74" s="19">
        <v>45638</v>
      </c>
      <c r="G74" t="s">
        <v>122</v>
      </c>
      <c r="H74">
        <v>0</v>
      </c>
      <c r="I74" s="19">
        <v>45711</v>
      </c>
      <c r="J74" s="19">
        <f t="shared" si="2"/>
        <v>45714</v>
      </c>
      <c r="L74">
        <f t="shared" si="3"/>
        <v>76</v>
      </c>
    </row>
    <row r="75" spans="1:12" x14ac:dyDescent="0.25">
      <c r="A75">
        <v>7</v>
      </c>
      <c r="B75">
        <v>2744</v>
      </c>
      <c r="C75">
        <v>502</v>
      </c>
      <c r="D75">
        <v>4</v>
      </c>
      <c r="E75" t="s">
        <v>124</v>
      </c>
      <c r="F75" s="19">
        <v>45645</v>
      </c>
      <c r="G75" t="s">
        <v>122</v>
      </c>
      <c r="H75">
        <v>0</v>
      </c>
      <c r="I75" s="19">
        <v>45708</v>
      </c>
      <c r="J75" s="19">
        <f t="shared" si="2"/>
        <v>45711</v>
      </c>
      <c r="L75">
        <f t="shared" si="3"/>
        <v>66</v>
      </c>
    </row>
    <row r="76" spans="1:12" x14ac:dyDescent="0.25">
      <c r="A76">
        <v>6</v>
      </c>
      <c r="B76">
        <v>2675</v>
      </c>
      <c r="C76">
        <v>289</v>
      </c>
      <c r="D76">
        <v>4</v>
      </c>
      <c r="E76" t="s">
        <v>121</v>
      </c>
      <c r="F76" s="19">
        <v>45645</v>
      </c>
      <c r="G76" t="s">
        <v>122</v>
      </c>
      <c r="H76">
        <v>0</v>
      </c>
      <c r="I76" s="19">
        <v>45715</v>
      </c>
      <c r="J76" s="19">
        <f t="shared" si="2"/>
        <v>45718</v>
      </c>
      <c r="L76">
        <f t="shared" si="3"/>
        <v>73</v>
      </c>
    </row>
    <row r="77" spans="1:12" x14ac:dyDescent="0.25">
      <c r="A77">
        <v>6</v>
      </c>
      <c r="B77">
        <v>2321</v>
      </c>
      <c r="C77">
        <v>92</v>
      </c>
      <c r="D77">
        <v>6</v>
      </c>
      <c r="E77" t="s">
        <v>121</v>
      </c>
      <c r="F77" s="19">
        <v>45652</v>
      </c>
      <c r="G77" t="s">
        <v>122</v>
      </c>
      <c r="H77">
        <v>0</v>
      </c>
      <c r="I77" s="19">
        <v>45802</v>
      </c>
      <c r="J77" s="19">
        <f t="shared" si="2"/>
        <v>45805</v>
      </c>
      <c r="L77">
        <f t="shared" si="3"/>
        <v>153</v>
      </c>
    </row>
    <row r="78" spans="1:12" x14ac:dyDescent="0.25">
      <c r="A78">
        <v>10</v>
      </c>
      <c r="B78">
        <v>4046</v>
      </c>
      <c r="C78">
        <v>165</v>
      </c>
      <c r="D78">
        <v>2</v>
      </c>
      <c r="E78" t="s">
        <v>124</v>
      </c>
      <c r="F78" s="19">
        <v>45659</v>
      </c>
      <c r="G78" t="s">
        <v>122</v>
      </c>
      <c r="H78">
        <v>0</v>
      </c>
      <c r="I78" s="19">
        <v>45705</v>
      </c>
      <c r="J78" s="19">
        <f t="shared" si="2"/>
        <v>45708</v>
      </c>
      <c r="L78">
        <f t="shared" si="3"/>
        <v>49</v>
      </c>
    </row>
    <row r="79" spans="1:12" x14ac:dyDescent="0.25">
      <c r="A79">
        <v>6</v>
      </c>
      <c r="B79">
        <v>1954</v>
      </c>
      <c r="C79">
        <v>549</v>
      </c>
      <c r="D79">
        <v>6</v>
      </c>
      <c r="E79" t="s">
        <v>124</v>
      </c>
      <c r="F79" s="19">
        <v>45659</v>
      </c>
      <c r="G79" t="s">
        <v>125</v>
      </c>
      <c r="H79">
        <v>0</v>
      </c>
      <c r="I79" s="19">
        <v>45710</v>
      </c>
      <c r="J79" s="19">
        <f t="shared" si="2"/>
        <v>45713</v>
      </c>
      <c r="L79">
        <f t="shared" si="3"/>
        <v>54</v>
      </c>
    </row>
    <row r="80" spans="1:12" x14ac:dyDescent="0.25">
      <c r="A80">
        <v>6</v>
      </c>
      <c r="B80">
        <v>3023</v>
      </c>
      <c r="C80">
        <v>523</v>
      </c>
      <c r="D80">
        <v>3</v>
      </c>
      <c r="E80" t="s">
        <v>124</v>
      </c>
      <c r="F80" s="19">
        <v>45659</v>
      </c>
      <c r="G80" t="s">
        <v>122</v>
      </c>
      <c r="H80">
        <v>0</v>
      </c>
      <c r="I80" s="19">
        <v>45712</v>
      </c>
      <c r="J80" s="19">
        <f t="shared" si="2"/>
        <v>45715</v>
      </c>
      <c r="L80">
        <f t="shared" si="3"/>
        <v>56</v>
      </c>
    </row>
    <row r="81" spans="1:12" x14ac:dyDescent="0.25">
      <c r="A81">
        <v>7</v>
      </c>
      <c r="B81">
        <v>2884</v>
      </c>
      <c r="C81">
        <v>351</v>
      </c>
      <c r="D81">
        <v>4</v>
      </c>
      <c r="E81" t="s">
        <v>124</v>
      </c>
      <c r="F81" s="19">
        <v>45659</v>
      </c>
      <c r="G81" t="s">
        <v>122</v>
      </c>
      <c r="H81">
        <v>0</v>
      </c>
      <c r="I81" s="19">
        <v>45718</v>
      </c>
      <c r="J81" s="19">
        <f t="shared" si="2"/>
        <v>45721</v>
      </c>
      <c r="L81">
        <f t="shared" si="3"/>
        <v>62</v>
      </c>
    </row>
    <row r="82" spans="1:12" x14ac:dyDescent="0.25">
      <c r="A82">
        <v>6</v>
      </c>
      <c r="B82">
        <v>3206</v>
      </c>
      <c r="C82">
        <v>140</v>
      </c>
      <c r="D82">
        <v>3</v>
      </c>
      <c r="E82" t="s">
        <v>121</v>
      </c>
      <c r="F82" s="19">
        <v>45659</v>
      </c>
      <c r="G82" t="s">
        <v>122</v>
      </c>
      <c r="H82">
        <v>0</v>
      </c>
      <c r="I82" s="19">
        <v>45740</v>
      </c>
      <c r="J82" s="19">
        <f t="shared" si="2"/>
        <v>45743</v>
      </c>
      <c r="L82">
        <f t="shared" si="3"/>
        <v>84</v>
      </c>
    </row>
    <row r="83" spans="1:12" x14ac:dyDescent="0.25">
      <c r="A83">
        <v>6</v>
      </c>
      <c r="B83">
        <v>2706</v>
      </c>
      <c r="C83">
        <v>176</v>
      </c>
      <c r="D83">
        <v>3</v>
      </c>
      <c r="E83" t="s">
        <v>121</v>
      </c>
      <c r="F83" s="19">
        <v>45659</v>
      </c>
      <c r="G83" t="s">
        <v>122</v>
      </c>
      <c r="H83">
        <v>0</v>
      </c>
      <c r="I83" s="19">
        <v>45756</v>
      </c>
      <c r="J83" s="19">
        <f t="shared" si="2"/>
        <v>45759</v>
      </c>
      <c r="L83">
        <f t="shared" si="3"/>
        <v>100</v>
      </c>
    </row>
    <row r="84" spans="1:12" x14ac:dyDescent="0.25">
      <c r="A84">
        <v>7</v>
      </c>
      <c r="B84">
        <v>2625</v>
      </c>
      <c r="C84">
        <v>426</v>
      </c>
      <c r="D84">
        <v>4</v>
      </c>
      <c r="E84" t="s">
        <v>121</v>
      </c>
      <c r="F84" s="19">
        <v>45659</v>
      </c>
      <c r="G84" t="s">
        <v>122</v>
      </c>
      <c r="H84">
        <v>0</v>
      </c>
      <c r="I84" s="19">
        <v>45784</v>
      </c>
      <c r="J84" s="19">
        <f t="shared" si="2"/>
        <v>45787</v>
      </c>
      <c r="L84">
        <f t="shared" si="3"/>
        <v>128</v>
      </c>
    </row>
    <row r="85" spans="1:12" x14ac:dyDescent="0.25">
      <c r="A85">
        <v>10</v>
      </c>
      <c r="B85">
        <v>2899</v>
      </c>
      <c r="C85">
        <v>232</v>
      </c>
      <c r="D85">
        <v>4</v>
      </c>
      <c r="E85" t="s">
        <v>121</v>
      </c>
      <c r="F85" s="19">
        <v>45659</v>
      </c>
      <c r="G85" t="s">
        <v>122</v>
      </c>
      <c r="H85">
        <v>0</v>
      </c>
      <c r="I85" s="19">
        <v>45809</v>
      </c>
      <c r="J85" s="19">
        <f t="shared" si="2"/>
        <v>45812</v>
      </c>
      <c r="L85">
        <f t="shared" si="3"/>
        <v>153</v>
      </c>
    </row>
    <row r="86" spans="1:12" x14ac:dyDescent="0.25">
      <c r="A86">
        <v>6</v>
      </c>
      <c r="B86">
        <v>1868</v>
      </c>
      <c r="C86">
        <v>333</v>
      </c>
      <c r="D86">
        <v>5</v>
      </c>
      <c r="E86" t="s">
        <v>121</v>
      </c>
      <c r="F86" s="19">
        <v>45659</v>
      </c>
      <c r="G86" t="s">
        <v>122</v>
      </c>
      <c r="H86">
        <v>0</v>
      </c>
      <c r="I86" s="19">
        <v>45884</v>
      </c>
      <c r="J86" s="19">
        <f t="shared" si="2"/>
        <v>45887</v>
      </c>
      <c r="L86">
        <f t="shared" si="3"/>
        <v>228</v>
      </c>
    </row>
    <row r="87" spans="1:12" x14ac:dyDescent="0.25">
      <c r="A87">
        <v>5</v>
      </c>
      <c r="B87">
        <v>3417</v>
      </c>
      <c r="C87">
        <v>368</v>
      </c>
      <c r="D87">
        <v>4</v>
      </c>
      <c r="E87" t="s">
        <v>121</v>
      </c>
      <c r="F87" s="19">
        <v>45659</v>
      </c>
      <c r="G87" t="s">
        <v>120</v>
      </c>
      <c r="H87">
        <v>0</v>
      </c>
      <c r="I87" s="19">
        <v>45891</v>
      </c>
      <c r="J87" s="19">
        <f t="shared" si="2"/>
        <v>45894</v>
      </c>
      <c r="L87">
        <f t="shared" si="3"/>
        <v>235</v>
      </c>
    </row>
    <row r="88" spans="1:12" x14ac:dyDescent="0.25">
      <c r="A88">
        <v>5</v>
      </c>
      <c r="B88">
        <v>4008</v>
      </c>
      <c r="C88">
        <v>544</v>
      </c>
      <c r="D88">
        <v>2</v>
      </c>
      <c r="E88" t="s">
        <v>124</v>
      </c>
      <c r="F88" s="19">
        <v>45666</v>
      </c>
      <c r="G88" t="s">
        <v>120</v>
      </c>
      <c r="H88">
        <v>0</v>
      </c>
      <c r="I88" s="19">
        <v>45715</v>
      </c>
      <c r="J88" s="19">
        <f t="shared" si="2"/>
        <v>45718</v>
      </c>
      <c r="L88">
        <f t="shared" si="3"/>
        <v>52</v>
      </c>
    </row>
    <row r="89" spans="1:12" x14ac:dyDescent="0.25">
      <c r="A89">
        <v>10</v>
      </c>
      <c r="B89">
        <v>645</v>
      </c>
      <c r="C89">
        <v>243</v>
      </c>
      <c r="D89">
        <v>2</v>
      </c>
      <c r="E89" t="s">
        <v>124</v>
      </c>
      <c r="F89" s="19">
        <v>45666</v>
      </c>
      <c r="G89" t="s">
        <v>122</v>
      </c>
      <c r="H89">
        <v>0</v>
      </c>
      <c r="I89" s="19">
        <v>45719</v>
      </c>
      <c r="J89" s="19">
        <f t="shared" si="2"/>
        <v>45722</v>
      </c>
      <c r="L89">
        <f t="shared" si="3"/>
        <v>56</v>
      </c>
    </row>
    <row r="90" spans="1:12" x14ac:dyDescent="0.25">
      <c r="A90">
        <v>7</v>
      </c>
      <c r="B90">
        <v>2778</v>
      </c>
      <c r="C90">
        <v>404</v>
      </c>
      <c r="D90">
        <v>3</v>
      </c>
      <c r="E90" t="s">
        <v>124</v>
      </c>
      <c r="F90" s="19">
        <v>45666</v>
      </c>
      <c r="G90" t="s">
        <v>122</v>
      </c>
      <c r="H90">
        <v>0</v>
      </c>
      <c r="I90" s="19">
        <v>45722</v>
      </c>
      <c r="J90" s="19">
        <f t="shared" si="2"/>
        <v>45725</v>
      </c>
      <c r="L90">
        <f t="shared" si="3"/>
        <v>59</v>
      </c>
    </row>
    <row r="91" spans="1:12" x14ac:dyDescent="0.25">
      <c r="A91">
        <v>5</v>
      </c>
      <c r="B91">
        <v>4042</v>
      </c>
      <c r="C91">
        <v>536</v>
      </c>
      <c r="D91">
        <v>2</v>
      </c>
      <c r="E91" t="s">
        <v>124</v>
      </c>
      <c r="F91" s="19">
        <v>45666</v>
      </c>
      <c r="G91" t="s">
        <v>125</v>
      </c>
      <c r="H91">
        <v>0</v>
      </c>
      <c r="I91" s="19">
        <v>45723</v>
      </c>
      <c r="J91" s="19">
        <f t="shared" si="2"/>
        <v>45726</v>
      </c>
      <c r="L91">
        <f t="shared" si="3"/>
        <v>60</v>
      </c>
    </row>
    <row r="92" spans="1:12" x14ac:dyDescent="0.25">
      <c r="A92">
        <v>6</v>
      </c>
      <c r="B92">
        <v>3152</v>
      </c>
      <c r="C92">
        <v>392</v>
      </c>
      <c r="D92">
        <v>3</v>
      </c>
      <c r="E92" t="s">
        <v>121</v>
      </c>
      <c r="F92" s="19">
        <v>45666</v>
      </c>
      <c r="G92" t="s">
        <v>122</v>
      </c>
      <c r="H92">
        <v>0</v>
      </c>
      <c r="I92" s="19">
        <v>45728</v>
      </c>
      <c r="J92" s="19">
        <f t="shared" si="2"/>
        <v>45731</v>
      </c>
      <c r="L92">
        <f t="shared" si="3"/>
        <v>65</v>
      </c>
    </row>
    <row r="93" spans="1:12" x14ac:dyDescent="0.25">
      <c r="A93">
        <v>7</v>
      </c>
      <c r="B93">
        <v>2890</v>
      </c>
      <c r="C93">
        <v>137</v>
      </c>
      <c r="D93">
        <v>4</v>
      </c>
      <c r="E93" t="s">
        <v>124</v>
      </c>
      <c r="F93" s="19">
        <v>45666</v>
      </c>
      <c r="G93" t="s">
        <v>122</v>
      </c>
      <c r="H93">
        <v>0</v>
      </c>
      <c r="I93" s="19">
        <v>45733</v>
      </c>
      <c r="J93" s="19">
        <f t="shared" si="2"/>
        <v>45736</v>
      </c>
      <c r="L93">
        <f t="shared" si="3"/>
        <v>70</v>
      </c>
    </row>
    <row r="94" spans="1:12" x14ac:dyDescent="0.25">
      <c r="A94">
        <v>6</v>
      </c>
      <c r="B94">
        <v>2225</v>
      </c>
      <c r="C94">
        <v>196</v>
      </c>
      <c r="D94">
        <v>7</v>
      </c>
      <c r="E94" t="s">
        <v>121</v>
      </c>
      <c r="F94" s="19">
        <v>45666</v>
      </c>
      <c r="G94" t="s">
        <v>120</v>
      </c>
      <c r="H94">
        <v>0</v>
      </c>
      <c r="I94" s="19">
        <v>46063</v>
      </c>
      <c r="J94" s="19">
        <f t="shared" si="2"/>
        <v>46066</v>
      </c>
      <c r="L94">
        <f t="shared" si="3"/>
        <v>400</v>
      </c>
    </row>
    <row r="95" spans="1:12" x14ac:dyDescent="0.25">
      <c r="A95">
        <v>7</v>
      </c>
      <c r="B95">
        <v>2906</v>
      </c>
      <c r="C95">
        <v>145</v>
      </c>
      <c r="D95">
        <v>3</v>
      </c>
      <c r="E95" t="s">
        <v>121</v>
      </c>
      <c r="F95" s="19">
        <v>45673</v>
      </c>
      <c r="G95" t="s">
        <v>122</v>
      </c>
      <c r="H95">
        <v>0</v>
      </c>
      <c r="I95" s="19">
        <v>45743</v>
      </c>
      <c r="J95" s="19">
        <f t="shared" si="2"/>
        <v>45746</v>
      </c>
      <c r="L95">
        <f t="shared" si="3"/>
        <v>73</v>
      </c>
    </row>
    <row r="96" spans="1:12" x14ac:dyDescent="0.25">
      <c r="A96">
        <v>6</v>
      </c>
      <c r="B96">
        <v>2146</v>
      </c>
      <c r="C96">
        <v>198</v>
      </c>
      <c r="D96">
        <v>6</v>
      </c>
      <c r="E96" t="s">
        <v>124</v>
      </c>
      <c r="F96" s="19">
        <v>45673</v>
      </c>
      <c r="G96" t="s">
        <v>122</v>
      </c>
      <c r="H96">
        <v>0</v>
      </c>
      <c r="I96" s="19">
        <v>45745</v>
      </c>
      <c r="J96" s="19">
        <f t="shared" si="2"/>
        <v>45748</v>
      </c>
      <c r="L96">
        <f t="shared" si="3"/>
        <v>75</v>
      </c>
    </row>
    <row r="97" spans="1:12" x14ac:dyDescent="0.25">
      <c r="A97">
        <v>6</v>
      </c>
      <c r="B97">
        <v>3054</v>
      </c>
      <c r="C97">
        <v>449</v>
      </c>
      <c r="D97">
        <v>3</v>
      </c>
      <c r="E97" t="s">
        <v>121</v>
      </c>
      <c r="F97" s="19">
        <v>45673</v>
      </c>
      <c r="G97" t="s">
        <v>122</v>
      </c>
      <c r="H97">
        <v>0</v>
      </c>
      <c r="I97" s="19">
        <v>45750</v>
      </c>
      <c r="J97" s="19">
        <f t="shared" si="2"/>
        <v>45753</v>
      </c>
      <c r="L97">
        <f t="shared" si="3"/>
        <v>80</v>
      </c>
    </row>
    <row r="98" spans="1:12" x14ac:dyDescent="0.25">
      <c r="A98">
        <v>6</v>
      </c>
      <c r="B98">
        <v>4038</v>
      </c>
      <c r="C98">
        <v>424</v>
      </c>
      <c r="D98">
        <v>2</v>
      </c>
      <c r="E98" t="s">
        <v>121</v>
      </c>
      <c r="F98" s="19">
        <v>45673</v>
      </c>
      <c r="G98" t="s">
        <v>120</v>
      </c>
      <c r="H98">
        <v>0</v>
      </c>
      <c r="I98" s="19">
        <v>45835</v>
      </c>
      <c r="J98" s="19">
        <f t="shared" si="2"/>
        <v>45838</v>
      </c>
      <c r="L98">
        <f t="shared" si="3"/>
        <v>165</v>
      </c>
    </row>
    <row r="99" spans="1:12" x14ac:dyDescent="0.25">
      <c r="A99">
        <v>5</v>
      </c>
      <c r="B99">
        <v>3816</v>
      </c>
      <c r="C99">
        <v>525</v>
      </c>
      <c r="D99">
        <v>2</v>
      </c>
      <c r="E99" t="s">
        <v>121</v>
      </c>
      <c r="F99" s="19">
        <v>45680</v>
      </c>
      <c r="G99" t="s">
        <v>125</v>
      </c>
      <c r="H99">
        <v>0</v>
      </c>
      <c r="I99" s="19">
        <v>45734</v>
      </c>
      <c r="J99" s="19">
        <f t="shared" si="2"/>
        <v>45737</v>
      </c>
      <c r="L99">
        <f t="shared" si="3"/>
        <v>57</v>
      </c>
    </row>
    <row r="100" spans="1:12" x14ac:dyDescent="0.25">
      <c r="A100">
        <v>10</v>
      </c>
      <c r="B100">
        <v>3358</v>
      </c>
      <c r="C100">
        <v>150</v>
      </c>
      <c r="D100">
        <v>3</v>
      </c>
      <c r="E100" t="s">
        <v>124</v>
      </c>
      <c r="F100" s="19">
        <v>45680</v>
      </c>
      <c r="G100" t="s">
        <v>122</v>
      </c>
      <c r="H100">
        <v>0</v>
      </c>
      <c r="I100" s="19">
        <v>45737</v>
      </c>
      <c r="J100" s="19">
        <f t="shared" si="2"/>
        <v>45740</v>
      </c>
      <c r="L100">
        <f t="shared" si="3"/>
        <v>60</v>
      </c>
    </row>
    <row r="101" spans="1:12" x14ac:dyDescent="0.25">
      <c r="A101">
        <v>5</v>
      </c>
      <c r="B101">
        <v>3594</v>
      </c>
      <c r="C101">
        <v>356</v>
      </c>
      <c r="D101">
        <v>3</v>
      </c>
      <c r="E101" t="s">
        <v>121</v>
      </c>
      <c r="F101" s="19">
        <v>45680</v>
      </c>
      <c r="G101" t="s">
        <v>120</v>
      </c>
      <c r="H101">
        <v>0</v>
      </c>
      <c r="I101" s="19">
        <v>45903</v>
      </c>
      <c r="J101" s="19">
        <f t="shared" si="2"/>
        <v>45906</v>
      </c>
      <c r="L101">
        <f t="shared" si="3"/>
        <v>226</v>
      </c>
    </row>
    <row r="102" spans="1:12" x14ac:dyDescent="0.25">
      <c r="A102">
        <v>6</v>
      </c>
      <c r="B102">
        <v>2430</v>
      </c>
      <c r="C102">
        <v>285</v>
      </c>
      <c r="D102">
        <v>4</v>
      </c>
      <c r="E102" t="s">
        <v>124</v>
      </c>
      <c r="F102" s="19">
        <v>45687</v>
      </c>
      <c r="G102" t="s">
        <v>122</v>
      </c>
      <c r="H102">
        <v>0</v>
      </c>
      <c r="I102" s="19">
        <v>45742</v>
      </c>
      <c r="J102" s="19">
        <f t="shared" si="2"/>
        <v>45745</v>
      </c>
      <c r="L102">
        <f t="shared" si="3"/>
        <v>58</v>
      </c>
    </row>
    <row r="103" spans="1:12" x14ac:dyDescent="0.25">
      <c r="A103">
        <v>20</v>
      </c>
      <c r="B103">
        <v>3969</v>
      </c>
      <c r="C103">
        <v>196</v>
      </c>
      <c r="D103">
        <v>2</v>
      </c>
      <c r="E103" t="s">
        <v>124</v>
      </c>
      <c r="F103" s="19">
        <v>45687</v>
      </c>
      <c r="G103" t="s">
        <v>122</v>
      </c>
      <c r="H103">
        <v>0</v>
      </c>
      <c r="I103" s="19">
        <v>45743</v>
      </c>
      <c r="J103" s="19">
        <f t="shared" si="2"/>
        <v>45746</v>
      </c>
      <c r="L103">
        <f t="shared" si="3"/>
        <v>59</v>
      </c>
    </row>
    <row r="104" spans="1:12" x14ac:dyDescent="0.25">
      <c r="A104">
        <v>6</v>
      </c>
      <c r="B104">
        <v>2800</v>
      </c>
      <c r="C104">
        <v>514</v>
      </c>
      <c r="D104">
        <v>4</v>
      </c>
      <c r="E104" t="s">
        <v>124</v>
      </c>
      <c r="F104" s="19">
        <v>45687</v>
      </c>
      <c r="G104" t="s">
        <v>120</v>
      </c>
      <c r="H104">
        <v>0</v>
      </c>
      <c r="I104" s="19">
        <v>45745</v>
      </c>
      <c r="J104" s="19">
        <f t="shared" si="2"/>
        <v>45748</v>
      </c>
      <c r="L104">
        <f t="shared" si="3"/>
        <v>61</v>
      </c>
    </row>
    <row r="105" spans="1:12" x14ac:dyDescent="0.25">
      <c r="A105">
        <v>10</v>
      </c>
      <c r="B105">
        <v>3382</v>
      </c>
      <c r="C105">
        <v>141</v>
      </c>
      <c r="D105">
        <v>3</v>
      </c>
      <c r="E105" t="s">
        <v>124</v>
      </c>
      <c r="F105" s="19">
        <v>45687</v>
      </c>
      <c r="G105" t="s">
        <v>122</v>
      </c>
      <c r="H105">
        <v>0</v>
      </c>
      <c r="I105" s="19">
        <v>45746</v>
      </c>
      <c r="J105" s="19">
        <f t="shared" si="2"/>
        <v>45749</v>
      </c>
      <c r="L105">
        <f t="shared" si="3"/>
        <v>62</v>
      </c>
    </row>
    <row r="106" spans="1:12" x14ac:dyDescent="0.25">
      <c r="A106">
        <v>6</v>
      </c>
      <c r="B106">
        <v>897</v>
      </c>
      <c r="C106">
        <v>363</v>
      </c>
      <c r="D106">
        <v>7</v>
      </c>
      <c r="E106" t="s">
        <v>121</v>
      </c>
      <c r="F106" s="19">
        <v>45687</v>
      </c>
      <c r="G106" t="s">
        <v>122</v>
      </c>
      <c r="H106">
        <v>0</v>
      </c>
      <c r="I106" s="19">
        <v>45750</v>
      </c>
      <c r="J106" s="19">
        <f t="shared" ref="J106:J169" si="4">I106+3</f>
        <v>45753</v>
      </c>
      <c r="L106">
        <f t="shared" ref="L106:L169" si="5">J106-F106</f>
        <v>66</v>
      </c>
    </row>
    <row r="107" spans="1:12" x14ac:dyDescent="0.25">
      <c r="A107">
        <v>10</v>
      </c>
      <c r="B107">
        <v>4112</v>
      </c>
      <c r="C107">
        <v>243</v>
      </c>
      <c r="D107">
        <v>2</v>
      </c>
      <c r="E107" t="s">
        <v>121</v>
      </c>
      <c r="F107" s="19">
        <v>45687</v>
      </c>
      <c r="G107" t="s">
        <v>122</v>
      </c>
      <c r="H107">
        <v>0</v>
      </c>
      <c r="I107" s="19">
        <v>45753</v>
      </c>
      <c r="J107" s="19">
        <f t="shared" si="4"/>
        <v>45756</v>
      </c>
      <c r="L107">
        <f t="shared" si="5"/>
        <v>69</v>
      </c>
    </row>
    <row r="108" spans="1:12" x14ac:dyDescent="0.25">
      <c r="A108">
        <v>6</v>
      </c>
      <c r="B108">
        <v>548</v>
      </c>
      <c r="C108">
        <v>105</v>
      </c>
      <c r="D108">
        <v>4</v>
      </c>
      <c r="E108" t="s">
        <v>121</v>
      </c>
      <c r="F108" s="19">
        <v>45687</v>
      </c>
      <c r="G108" t="s">
        <v>122</v>
      </c>
      <c r="H108">
        <v>0</v>
      </c>
      <c r="I108" s="19">
        <v>45775</v>
      </c>
      <c r="J108" s="19">
        <f t="shared" si="4"/>
        <v>45778</v>
      </c>
      <c r="L108">
        <f t="shared" si="5"/>
        <v>91</v>
      </c>
    </row>
    <row r="109" spans="1:12" x14ac:dyDescent="0.25">
      <c r="A109">
        <v>10</v>
      </c>
      <c r="B109">
        <v>1187</v>
      </c>
      <c r="C109">
        <v>249</v>
      </c>
      <c r="D109">
        <v>3</v>
      </c>
      <c r="E109" t="s">
        <v>121</v>
      </c>
      <c r="F109" s="19">
        <v>45687</v>
      </c>
      <c r="G109" t="s">
        <v>122</v>
      </c>
      <c r="H109">
        <v>0</v>
      </c>
      <c r="I109" s="19">
        <v>45838</v>
      </c>
      <c r="J109" s="19">
        <f t="shared" si="4"/>
        <v>45841</v>
      </c>
      <c r="L109">
        <f t="shared" si="5"/>
        <v>154</v>
      </c>
    </row>
    <row r="110" spans="1:12" x14ac:dyDescent="0.25">
      <c r="A110">
        <v>10</v>
      </c>
      <c r="B110">
        <v>3976</v>
      </c>
      <c r="C110">
        <v>11</v>
      </c>
      <c r="D110">
        <v>3</v>
      </c>
      <c r="E110" t="s">
        <v>124</v>
      </c>
      <c r="F110" s="19">
        <v>45687</v>
      </c>
      <c r="G110" t="s">
        <v>122</v>
      </c>
      <c r="H110">
        <v>0</v>
      </c>
      <c r="I110" s="19">
        <v>46072</v>
      </c>
      <c r="J110" s="19">
        <f t="shared" si="4"/>
        <v>46075</v>
      </c>
      <c r="L110">
        <f t="shared" si="5"/>
        <v>388</v>
      </c>
    </row>
    <row r="111" spans="1:12" x14ac:dyDescent="0.25">
      <c r="A111">
        <v>10</v>
      </c>
      <c r="B111">
        <v>4053</v>
      </c>
      <c r="C111">
        <v>259</v>
      </c>
      <c r="D111">
        <v>2</v>
      </c>
      <c r="E111" t="s">
        <v>121</v>
      </c>
      <c r="F111" s="19">
        <v>45694</v>
      </c>
      <c r="G111" t="s">
        <v>122</v>
      </c>
      <c r="H111">
        <v>0</v>
      </c>
      <c r="I111" s="19">
        <v>45745</v>
      </c>
      <c r="J111" s="19">
        <f t="shared" si="4"/>
        <v>45748</v>
      </c>
      <c r="L111">
        <f t="shared" si="5"/>
        <v>54</v>
      </c>
    </row>
    <row r="112" spans="1:12" x14ac:dyDescent="0.25">
      <c r="A112">
        <v>6</v>
      </c>
      <c r="B112">
        <v>3914</v>
      </c>
      <c r="C112">
        <v>498</v>
      </c>
      <c r="D112">
        <v>2</v>
      </c>
      <c r="E112" t="s">
        <v>123</v>
      </c>
      <c r="F112" s="19">
        <v>45694</v>
      </c>
      <c r="G112" t="s">
        <v>122</v>
      </c>
      <c r="H112">
        <v>0</v>
      </c>
      <c r="I112" s="19">
        <v>45750</v>
      </c>
      <c r="J112" s="19">
        <f t="shared" si="4"/>
        <v>45753</v>
      </c>
      <c r="L112">
        <f t="shared" si="5"/>
        <v>59</v>
      </c>
    </row>
    <row r="113" spans="1:12" x14ac:dyDescent="0.25">
      <c r="A113">
        <v>7</v>
      </c>
      <c r="B113">
        <v>2954</v>
      </c>
      <c r="C113">
        <v>373</v>
      </c>
      <c r="D113">
        <v>3</v>
      </c>
      <c r="E113" t="s">
        <v>121</v>
      </c>
      <c r="F113" s="19">
        <v>45694</v>
      </c>
      <c r="G113" t="s">
        <v>122</v>
      </c>
      <c r="H113">
        <v>0</v>
      </c>
      <c r="I113" s="19">
        <v>45837</v>
      </c>
      <c r="J113" s="19">
        <f t="shared" si="4"/>
        <v>45840</v>
      </c>
      <c r="L113">
        <f t="shared" si="5"/>
        <v>146</v>
      </c>
    </row>
    <row r="114" spans="1:12" x14ac:dyDescent="0.25">
      <c r="A114">
        <v>6</v>
      </c>
      <c r="B114">
        <v>1180</v>
      </c>
      <c r="C114">
        <v>140</v>
      </c>
      <c r="D114">
        <v>3</v>
      </c>
      <c r="E114" t="s">
        <v>121</v>
      </c>
      <c r="F114" s="19">
        <v>45694</v>
      </c>
      <c r="G114" t="s">
        <v>122</v>
      </c>
      <c r="H114">
        <v>0</v>
      </c>
      <c r="I114" s="19">
        <v>45868</v>
      </c>
      <c r="J114" s="19">
        <f t="shared" si="4"/>
        <v>45871</v>
      </c>
      <c r="L114">
        <f t="shared" si="5"/>
        <v>177</v>
      </c>
    </row>
    <row r="115" spans="1:12" x14ac:dyDescent="0.25">
      <c r="A115">
        <v>10</v>
      </c>
      <c r="B115">
        <v>4311</v>
      </c>
      <c r="C115">
        <v>155</v>
      </c>
      <c r="D115">
        <v>2</v>
      </c>
      <c r="E115" t="s">
        <v>121</v>
      </c>
      <c r="F115" s="19">
        <v>45701</v>
      </c>
      <c r="G115" t="s">
        <v>122</v>
      </c>
      <c r="H115">
        <v>0</v>
      </c>
      <c r="I115" s="19">
        <v>45748</v>
      </c>
      <c r="J115" s="19">
        <f t="shared" si="4"/>
        <v>45751</v>
      </c>
      <c r="L115">
        <f t="shared" si="5"/>
        <v>50</v>
      </c>
    </row>
    <row r="116" spans="1:12" x14ac:dyDescent="0.25">
      <c r="A116">
        <v>7</v>
      </c>
      <c r="B116">
        <v>3354</v>
      </c>
      <c r="C116">
        <v>138</v>
      </c>
      <c r="D116">
        <v>3</v>
      </c>
      <c r="E116" t="s">
        <v>123</v>
      </c>
      <c r="F116" s="19">
        <v>45701</v>
      </c>
      <c r="G116" t="s">
        <v>122</v>
      </c>
      <c r="H116">
        <v>0</v>
      </c>
      <c r="I116" s="19">
        <v>45750</v>
      </c>
      <c r="J116" s="19">
        <f t="shared" si="4"/>
        <v>45753</v>
      </c>
      <c r="L116">
        <f t="shared" si="5"/>
        <v>52</v>
      </c>
    </row>
    <row r="117" spans="1:12" x14ac:dyDescent="0.25">
      <c r="A117">
        <v>6</v>
      </c>
      <c r="B117">
        <v>2969</v>
      </c>
      <c r="C117">
        <v>441</v>
      </c>
      <c r="D117">
        <v>4</v>
      </c>
      <c r="E117" t="s">
        <v>121</v>
      </c>
      <c r="F117" s="19">
        <v>45701</v>
      </c>
      <c r="G117" t="s">
        <v>122</v>
      </c>
      <c r="H117">
        <v>0</v>
      </c>
      <c r="I117" s="19">
        <v>45754</v>
      </c>
      <c r="J117" s="19">
        <f t="shared" si="4"/>
        <v>45757</v>
      </c>
      <c r="L117">
        <f t="shared" si="5"/>
        <v>56</v>
      </c>
    </row>
    <row r="118" spans="1:12" x14ac:dyDescent="0.25">
      <c r="A118">
        <v>6</v>
      </c>
      <c r="B118">
        <v>3954</v>
      </c>
      <c r="C118">
        <v>139</v>
      </c>
      <c r="D118">
        <v>2</v>
      </c>
      <c r="E118" t="s">
        <v>123</v>
      </c>
      <c r="F118" s="19">
        <v>45701</v>
      </c>
      <c r="G118" t="s">
        <v>122</v>
      </c>
      <c r="H118">
        <v>0</v>
      </c>
      <c r="I118" s="19">
        <v>45755</v>
      </c>
      <c r="J118" s="19">
        <f t="shared" si="4"/>
        <v>45758</v>
      </c>
      <c r="L118">
        <f t="shared" si="5"/>
        <v>57</v>
      </c>
    </row>
    <row r="119" spans="1:12" x14ac:dyDescent="0.25">
      <c r="A119">
        <v>10</v>
      </c>
      <c r="B119">
        <v>2817</v>
      </c>
      <c r="C119">
        <v>193</v>
      </c>
      <c r="D119">
        <v>4</v>
      </c>
      <c r="E119" t="s">
        <v>121</v>
      </c>
      <c r="F119" s="19">
        <v>45701</v>
      </c>
      <c r="G119" t="s">
        <v>122</v>
      </c>
      <c r="H119">
        <v>0</v>
      </c>
      <c r="I119" s="19">
        <v>45757</v>
      </c>
      <c r="J119" s="19">
        <f t="shared" si="4"/>
        <v>45760</v>
      </c>
      <c r="L119">
        <f t="shared" si="5"/>
        <v>59</v>
      </c>
    </row>
    <row r="120" spans="1:12" x14ac:dyDescent="0.25">
      <c r="A120">
        <v>10</v>
      </c>
      <c r="B120">
        <v>4035</v>
      </c>
      <c r="C120">
        <v>117</v>
      </c>
      <c r="D120">
        <v>2</v>
      </c>
      <c r="E120" t="s">
        <v>121</v>
      </c>
      <c r="F120" s="19">
        <v>45701</v>
      </c>
      <c r="G120" t="s">
        <v>122</v>
      </c>
      <c r="H120">
        <v>0</v>
      </c>
      <c r="I120" s="19">
        <v>45770</v>
      </c>
      <c r="J120" s="19">
        <f t="shared" si="4"/>
        <v>45773</v>
      </c>
      <c r="L120">
        <f t="shared" si="5"/>
        <v>72</v>
      </c>
    </row>
    <row r="121" spans="1:12" x14ac:dyDescent="0.25">
      <c r="A121">
        <v>10</v>
      </c>
      <c r="B121">
        <v>3300</v>
      </c>
      <c r="C121">
        <v>259</v>
      </c>
      <c r="D121">
        <v>3</v>
      </c>
      <c r="E121" t="s">
        <v>121</v>
      </c>
      <c r="F121" s="19">
        <v>45701</v>
      </c>
      <c r="G121" t="s">
        <v>122</v>
      </c>
      <c r="H121">
        <v>0</v>
      </c>
      <c r="I121" s="19">
        <v>45797</v>
      </c>
      <c r="J121" s="19">
        <f t="shared" si="4"/>
        <v>45800</v>
      </c>
      <c r="L121">
        <f t="shared" si="5"/>
        <v>99</v>
      </c>
    </row>
    <row r="122" spans="1:12" x14ac:dyDescent="0.25">
      <c r="A122">
        <v>6</v>
      </c>
      <c r="B122">
        <v>3004</v>
      </c>
      <c r="C122">
        <v>452</v>
      </c>
      <c r="D122">
        <v>3</v>
      </c>
      <c r="E122" t="s">
        <v>121</v>
      </c>
      <c r="F122" s="19">
        <v>45701</v>
      </c>
      <c r="G122" t="s">
        <v>125</v>
      </c>
      <c r="H122">
        <v>0</v>
      </c>
      <c r="I122" s="19">
        <v>45807</v>
      </c>
      <c r="J122" s="19">
        <f t="shared" si="4"/>
        <v>45810</v>
      </c>
      <c r="L122">
        <f t="shared" si="5"/>
        <v>109</v>
      </c>
    </row>
    <row r="123" spans="1:12" x14ac:dyDescent="0.25">
      <c r="A123">
        <v>6</v>
      </c>
      <c r="B123">
        <v>3720</v>
      </c>
      <c r="C123">
        <v>26</v>
      </c>
      <c r="D123">
        <v>3</v>
      </c>
      <c r="E123" t="s">
        <v>121</v>
      </c>
      <c r="F123" s="19">
        <v>45701</v>
      </c>
      <c r="G123" t="s">
        <v>122</v>
      </c>
      <c r="H123">
        <v>0</v>
      </c>
      <c r="I123" s="19">
        <v>45906</v>
      </c>
      <c r="J123" s="19">
        <f t="shared" si="4"/>
        <v>45909</v>
      </c>
      <c r="L123">
        <f t="shared" si="5"/>
        <v>208</v>
      </c>
    </row>
    <row r="124" spans="1:12" x14ac:dyDescent="0.25">
      <c r="A124">
        <v>5</v>
      </c>
      <c r="B124">
        <v>3437</v>
      </c>
      <c r="C124">
        <v>339</v>
      </c>
      <c r="D124">
        <v>3</v>
      </c>
      <c r="E124" t="s">
        <v>121</v>
      </c>
      <c r="F124" s="19">
        <v>45701</v>
      </c>
      <c r="G124" t="s">
        <v>131</v>
      </c>
      <c r="H124">
        <v>0</v>
      </c>
      <c r="I124" s="19">
        <v>45920</v>
      </c>
      <c r="J124" s="19">
        <f t="shared" si="4"/>
        <v>45923</v>
      </c>
      <c r="L124">
        <f t="shared" si="5"/>
        <v>222</v>
      </c>
    </row>
    <row r="125" spans="1:12" x14ac:dyDescent="0.25">
      <c r="A125">
        <v>6</v>
      </c>
      <c r="B125">
        <v>3424</v>
      </c>
      <c r="C125">
        <v>34</v>
      </c>
      <c r="D125">
        <v>4</v>
      </c>
      <c r="E125" t="s">
        <v>123</v>
      </c>
      <c r="F125" s="19">
        <v>45701</v>
      </c>
      <c r="G125" t="s">
        <v>130</v>
      </c>
      <c r="H125">
        <v>0</v>
      </c>
      <c r="I125" s="19">
        <v>46225</v>
      </c>
      <c r="J125" s="19">
        <f t="shared" si="4"/>
        <v>46228</v>
      </c>
      <c r="L125">
        <f t="shared" si="5"/>
        <v>527</v>
      </c>
    </row>
    <row r="126" spans="1:12" x14ac:dyDescent="0.25">
      <c r="A126">
        <v>6</v>
      </c>
      <c r="B126">
        <v>3787</v>
      </c>
      <c r="C126">
        <v>278</v>
      </c>
      <c r="D126">
        <v>2</v>
      </c>
      <c r="E126" t="s">
        <v>121</v>
      </c>
      <c r="F126" s="19">
        <v>45708</v>
      </c>
      <c r="G126" t="s">
        <v>122</v>
      </c>
      <c r="H126">
        <v>0</v>
      </c>
      <c r="I126" s="19">
        <v>45763</v>
      </c>
      <c r="J126" s="19">
        <f t="shared" si="4"/>
        <v>45766</v>
      </c>
      <c r="L126">
        <f t="shared" si="5"/>
        <v>58</v>
      </c>
    </row>
    <row r="127" spans="1:12" x14ac:dyDescent="0.25">
      <c r="A127">
        <v>6</v>
      </c>
      <c r="B127">
        <v>2987</v>
      </c>
      <c r="C127">
        <v>496</v>
      </c>
      <c r="D127">
        <v>3</v>
      </c>
      <c r="E127" t="s">
        <v>123</v>
      </c>
      <c r="F127" s="19">
        <v>45708</v>
      </c>
      <c r="G127" t="s">
        <v>120</v>
      </c>
      <c r="H127">
        <v>0</v>
      </c>
      <c r="I127" s="19">
        <v>45763</v>
      </c>
      <c r="J127" s="19">
        <f t="shared" si="4"/>
        <v>45766</v>
      </c>
      <c r="L127">
        <f t="shared" si="5"/>
        <v>58</v>
      </c>
    </row>
    <row r="128" spans="1:12" x14ac:dyDescent="0.25">
      <c r="A128">
        <v>6</v>
      </c>
      <c r="B128">
        <v>3730</v>
      </c>
      <c r="C128">
        <v>495</v>
      </c>
      <c r="D128">
        <v>2</v>
      </c>
      <c r="E128" t="s">
        <v>121</v>
      </c>
      <c r="F128" s="19">
        <v>45708</v>
      </c>
      <c r="G128" t="s">
        <v>125</v>
      </c>
      <c r="H128">
        <v>0</v>
      </c>
      <c r="I128" s="19">
        <v>45764</v>
      </c>
      <c r="J128" s="19">
        <f t="shared" si="4"/>
        <v>45767</v>
      </c>
      <c r="L128">
        <f t="shared" si="5"/>
        <v>59</v>
      </c>
    </row>
    <row r="129" spans="1:12" x14ac:dyDescent="0.25">
      <c r="A129">
        <v>7</v>
      </c>
      <c r="B129">
        <v>3902</v>
      </c>
      <c r="C129">
        <v>275</v>
      </c>
      <c r="D129">
        <v>2</v>
      </c>
      <c r="E129" t="s">
        <v>121</v>
      </c>
      <c r="F129" s="19">
        <v>45708</v>
      </c>
      <c r="G129" t="s">
        <v>122</v>
      </c>
      <c r="H129">
        <v>0</v>
      </c>
      <c r="I129" s="19">
        <v>45766</v>
      </c>
      <c r="J129" s="19">
        <f t="shared" si="4"/>
        <v>45769</v>
      </c>
      <c r="L129">
        <f t="shared" si="5"/>
        <v>61</v>
      </c>
    </row>
    <row r="130" spans="1:12" x14ac:dyDescent="0.25">
      <c r="A130">
        <v>5</v>
      </c>
      <c r="B130">
        <v>3072</v>
      </c>
      <c r="C130">
        <v>493</v>
      </c>
      <c r="D130">
        <v>3</v>
      </c>
      <c r="E130" t="s">
        <v>121</v>
      </c>
      <c r="F130" s="19">
        <v>45708</v>
      </c>
      <c r="G130" t="s">
        <v>132</v>
      </c>
      <c r="H130">
        <v>0</v>
      </c>
      <c r="I130" s="19">
        <v>45766</v>
      </c>
      <c r="J130" s="19">
        <f t="shared" si="4"/>
        <v>45769</v>
      </c>
      <c r="L130">
        <f t="shared" si="5"/>
        <v>61</v>
      </c>
    </row>
    <row r="131" spans="1:12" x14ac:dyDescent="0.25">
      <c r="A131">
        <v>6</v>
      </c>
      <c r="B131">
        <v>2139</v>
      </c>
      <c r="C131">
        <v>128</v>
      </c>
      <c r="D131">
        <v>6</v>
      </c>
      <c r="E131" t="s">
        <v>123</v>
      </c>
      <c r="F131" s="19">
        <v>45708</v>
      </c>
      <c r="G131" t="s">
        <v>122</v>
      </c>
      <c r="H131">
        <v>0</v>
      </c>
      <c r="I131" s="19">
        <v>45766</v>
      </c>
      <c r="J131" s="19">
        <f t="shared" si="4"/>
        <v>45769</v>
      </c>
      <c r="L131">
        <f t="shared" si="5"/>
        <v>61</v>
      </c>
    </row>
    <row r="132" spans="1:12" x14ac:dyDescent="0.25">
      <c r="A132">
        <v>6</v>
      </c>
      <c r="B132">
        <v>2616</v>
      </c>
      <c r="C132">
        <v>228</v>
      </c>
      <c r="D132">
        <v>4</v>
      </c>
      <c r="E132" t="s">
        <v>121</v>
      </c>
      <c r="F132" s="19">
        <v>45708</v>
      </c>
      <c r="G132" t="s">
        <v>122</v>
      </c>
      <c r="H132">
        <v>0</v>
      </c>
      <c r="I132" s="19">
        <v>45789</v>
      </c>
      <c r="J132" s="19">
        <f t="shared" si="4"/>
        <v>45792</v>
      </c>
      <c r="L132">
        <f t="shared" si="5"/>
        <v>84</v>
      </c>
    </row>
    <row r="133" spans="1:12" x14ac:dyDescent="0.25">
      <c r="A133">
        <v>6</v>
      </c>
      <c r="B133">
        <v>1997</v>
      </c>
      <c r="C133">
        <v>452</v>
      </c>
      <c r="D133">
        <v>5</v>
      </c>
      <c r="E133" t="s">
        <v>121</v>
      </c>
      <c r="F133" s="19">
        <v>45708</v>
      </c>
      <c r="G133" t="s">
        <v>122</v>
      </c>
      <c r="H133">
        <v>0</v>
      </c>
      <c r="I133" s="19">
        <v>45796</v>
      </c>
      <c r="J133" s="19">
        <f t="shared" si="4"/>
        <v>45799</v>
      </c>
      <c r="L133">
        <f t="shared" si="5"/>
        <v>91</v>
      </c>
    </row>
    <row r="134" spans="1:12" x14ac:dyDescent="0.25">
      <c r="A134">
        <v>6</v>
      </c>
      <c r="B134">
        <v>1226</v>
      </c>
      <c r="C134">
        <v>436</v>
      </c>
      <c r="D134">
        <v>3</v>
      </c>
      <c r="E134" t="s">
        <v>121</v>
      </c>
      <c r="F134" s="19">
        <v>45708</v>
      </c>
      <c r="G134" t="s">
        <v>125</v>
      </c>
      <c r="H134">
        <v>0</v>
      </c>
      <c r="I134" s="19">
        <v>45823</v>
      </c>
      <c r="J134" s="19">
        <f t="shared" si="4"/>
        <v>45826</v>
      </c>
      <c r="L134">
        <f t="shared" si="5"/>
        <v>118</v>
      </c>
    </row>
    <row r="135" spans="1:12" x14ac:dyDescent="0.25">
      <c r="A135">
        <v>7</v>
      </c>
      <c r="B135">
        <v>2861</v>
      </c>
      <c r="C135">
        <v>478</v>
      </c>
      <c r="D135">
        <v>4</v>
      </c>
      <c r="E135" t="s">
        <v>121</v>
      </c>
      <c r="F135" s="19">
        <v>45715</v>
      </c>
      <c r="G135" t="s">
        <v>122</v>
      </c>
      <c r="H135">
        <v>0</v>
      </c>
      <c r="I135" s="19">
        <v>45757</v>
      </c>
      <c r="J135" s="19">
        <f t="shared" si="4"/>
        <v>45760</v>
      </c>
      <c r="L135">
        <f t="shared" si="5"/>
        <v>45</v>
      </c>
    </row>
    <row r="136" spans="1:12" x14ac:dyDescent="0.25">
      <c r="A136">
        <v>10</v>
      </c>
      <c r="B136">
        <v>3403</v>
      </c>
      <c r="C136">
        <v>136</v>
      </c>
      <c r="D136">
        <v>3</v>
      </c>
      <c r="E136" t="s">
        <v>121</v>
      </c>
      <c r="F136" s="19">
        <v>45715</v>
      </c>
      <c r="G136" t="s">
        <v>122</v>
      </c>
      <c r="H136">
        <v>0</v>
      </c>
      <c r="I136" s="19">
        <v>45765</v>
      </c>
      <c r="J136" s="19">
        <f t="shared" si="4"/>
        <v>45768</v>
      </c>
      <c r="L136">
        <f t="shared" si="5"/>
        <v>53</v>
      </c>
    </row>
    <row r="137" spans="1:12" x14ac:dyDescent="0.25">
      <c r="A137">
        <v>6</v>
      </c>
      <c r="B137">
        <v>3539</v>
      </c>
      <c r="C137">
        <v>183</v>
      </c>
      <c r="D137">
        <v>3</v>
      </c>
      <c r="E137" t="s">
        <v>123</v>
      </c>
      <c r="F137" s="19">
        <v>45715</v>
      </c>
      <c r="G137" t="s">
        <v>122</v>
      </c>
      <c r="H137">
        <v>0</v>
      </c>
      <c r="I137" s="19">
        <v>45768</v>
      </c>
      <c r="J137" s="19">
        <f t="shared" si="4"/>
        <v>45771</v>
      </c>
      <c r="L137">
        <f t="shared" si="5"/>
        <v>56</v>
      </c>
    </row>
    <row r="138" spans="1:12" x14ac:dyDescent="0.25">
      <c r="A138">
        <v>5</v>
      </c>
      <c r="B138">
        <v>3486</v>
      </c>
      <c r="C138">
        <v>490</v>
      </c>
      <c r="D138">
        <v>3</v>
      </c>
      <c r="E138" t="s">
        <v>123</v>
      </c>
      <c r="F138" s="19">
        <v>45715</v>
      </c>
      <c r="G138" t="s">
        <v>132</v>
      </c>
      <c r="H138">
        <v>0</v>
      </c>
      <c r="I138" s="19">
        <v>45769</v>
      </c>
      <c r="J138" s="19">
        <f t="shared" si="4"/>
        <v>45772</v>
      </c>
      <c r="L138">
        <f t="shared" si="5"/>
        <v>57</v>
      </c>
    </row>
    <row r="139" spans="1:12" x14ac:dyDescent="0.25">
      <c r="A139">
        <v>10</v>
      </c>
      <c r="B139">
        <v>651</v>
      </c>
      <c r="C139">
        <v>130</v>
      </c>
      <c r="D139">
        <v>2</v>
      </c>
      <c r="E139" t="s">
        <v>121</v>
      </c>
      <c r="F139" s="19">
        <v>45715</v>
      </c>
      <c r="G139" t="s">
        <v>122</v>
      </c>
      <c r="H139">
        <v>0</v>
      </c>
      <c r="I139" s="19">
        <v>45771</v>
      </c>
      <c r="J139" s="19">
        <f t="shared" si="4"/>
        <v>45774</v>
      </c>
      <c r="L139">
        <f t="shared" si="5"/>
        <v>59</v>
      </c>
    </row>
    <row r="140" spans="1:12" x14ac:dyDescent="0.25">
      <c r="A140">
        <v>10</v>
      </c>
      <c r="B140">
        <v>3485</v>
      </c>
      <c r="C140">
        <v>221</v>
      </c>
      <c r="D140">
        <v>3</v>
      </c>
      <c r="E140" t="s">
        <v>123</v>
      </c>
      <c r="F140" s="19">
        <v>45715</v>
      </c>
      <c r="G140" t="s">
        <v>122</v>
      </c>
      <c r="H140">
        <v>0</v>
      </c>
      <c r="I140" s="19">
        <v>45771</v>
      </c>
      <c r="J140" s="19">
        <f t="shared" si="4"/>
        <v>45774</v>
      </c>
      <c r="L140">
        <f t="shared" si="5"/>
        <v>59</v>
      </c>
    </row>
    <row r="141" spans="1:12" x14ac:dyDescent="0.25">
      <c r="A141">
        <v>6</v>
      </c>
      <c r="B141">
        <v>3386</v>
      </c>
      <c r="C141">
        <v>487</v>
      </c>
      <c r="D141">
        <v>3</v>
      </c>
      <c r="E141" t="s">
        <v>123</v>
      </c>
      <c r="F141" s="19">
        <v>45715</v>
      </c>
      <c r="G141" t="s">
        <v>120</v>
      </c>
      <c r="H141">
        <v>0</v>
      </c>
      <c r="I141" s="19">
        <v>45772</v>
      </c>
      <c r="J141" s="19">
        <f t="shared" si="4"/>
        <v>45775</v>
      </c>
      <c r="L141">
        <f t="shared" si="5"/>
        <v>60</v>
      </c>
    </row>
    <row r="142" spans="1:12" x14ac:dyDescent="0.25">
      <c r="A142">
        <v>6</v>
      </c>
      <c r="B142">
        <v>3940</v>
      </c>
      <c r="C142">
        <v>447</v>
      </c>
      <c r="D142">
        <v>2</v>
      </c>
      <c r="E142" t="s">
        <v>121</v>
      </c>
      <c r="F142" s="19">
        <v>45715</v>
      </c>
      <c r="G142" t="s">
        <v>122</v>
      </c>
      <c r="H142">
        <v>0</v>
      </c>
      <c r="I142" s="19">
        <v>45777</v>
      </c>
      <c r="J142" s="19">
        <f t="shared" si="4"/>
        <v>45780</v>
      </c>
      <c r="L142">
        <f t="shared" si="5"/>
        <v>65</v>
      </c>
    </row>
    <row r="143" spans="1:12" x14ac:dyDescent="0.25">
      <c r="A143">
        <v>6</v>
      </c>
      <c r="B143">
        <v>4106</v>
      </c>
      <c r="C143">
        <v>294</v>
      </c>
      <c r="D143">
        <v>2</v>
      </c>
      <c r="E143" t="s">
        <v>123</v>
      </c>
      <c r="F143" s="19">
        <v>45715</v>
      </c>
      <c r="G143" t="s">
        <v>122</v>
      </c>
      <c r="H143">
        <v>0</v>
      </c>
      <c r="I143" s="19">
        <v>45782</v>
      </c>
      <c r="J143" s="19">
        <f t="shared" si="4"/>
        <v>45785</v>
      </c>
      <c r="L143">
        <f t="shared" si="5"/>
        <v>70</v>
      </c>
    </row>
    <row r="144" spans="1:12" x14ac:dyDescent="0.25">
      <c r="A144">
        <v>6</v>
      </c>
      <c r="B144">
        <v>2358</v>
      </c>
      <c r="C144">
        <v>456</v>
      </c>
      <c r="D144">
        <v>4</v>
      </c>
      <c r="E144" t="s">
        <v>121</v>
      </c>
      <c r="F144" s="19">
        <v>45715</v>
      </c>
      <c r="G144" t="s">
        <v>122</v>
      </c>
      <c r="H144">
        <v>0</v>
      </c>
      <c r="I144" s="19">
        <v>45792</v>
      </c>
      <c r="J144" s="19">
        <f t="shared" si="4"/>
        <v>45795</v>
      </c>
      <c r="L144">
        <f t="shared" si="5"/>
        <v>80</v>
      </c>
    </row>
    <row r="145" spans="1:12" x14ac:dyDescent="0.25">
      <c r="A145">
        <v>6</v>
      </c>
      <c r="B145">
        <v>3540</v>
      </c>
      <c r="C145">
        <v>171</v>
      </c>
      <c r="D145">
        <v>3</v>
      </c>
      <c r="E145" t="s">
        <v>121</v>
      </c>
      <c r="F145" s="19">
        <v>45715</v>
      </c>
      <c r="G145" t="s">
        <v>122</v>
      </c>
      <c r="H145">
        <v>0</v>
      </c>
      <c r="I145" s="19">
        <v>45825</v>
      </c>
      <c r="J145" s="19">
        <f t="shared" si="4"/>
        <v>45828</v>
      </c>
      <c r="L145">
        <f t="shared" si="5"/>
        <v>113</v>
      </c>
    </row>
    <row r="146" spans="1:12" x14ac:dyDescent="0.25">
      <c r="A146">
        <v>10</v>
      </c>
      <c r="B146">
        <v>1746</v>
      </c>
      <c r="C146">
        <v>335</v>
      </c>
      <c r="D146">
        <v>7</v>
      </c>
      <c r="E146" t="s">
        <v>121</v>
      </c>
      <c r="F146" s="19">
        <v>45715</v>
      </c>
      <c r="G146" t="s">
        <v>122</v>
      </c>
      <c r="H146">
        <v>0</v>
      </c>
      <c r="I146" s="19">
        <v>45840</v>
      </c>
      <c r="J146" s="19">
        <f t="shared" si="4"/>
        <v>45843</v>
      </c>
      <c r="L146">
        <f t="shared" si="5"/>
        <v>128</v>
      </c>
    </row>
    <row r="147" spans="1:12" x14ac:dyDescent="0.25">
      <c r="A147">
        <v>6</v>
      </c>
      <c r="B147">
        <v>3051</v>
      </c>
      <c r="C147">
        <v>40</v>
      </c>
      <c r="D147">
        <v>4</v>
      </c>
      <c r="E147" t="s">
        <v>121</v>
      </c>
      <c r="F147" s="19">
        <v>45715</v>
      </c>
      <c r="G147" t="s">
        <v>122</v>
      </c>
      <c r="H147">
        <v>0</v>
      </c>
      <c r="I147" s="19">
        <v>45854</v>
      </c>
      <c r="J147" s="19">
        <f t="shared" si="4"/>
        <v>45857</v>
      </c>
      <c r="L147">
        <f t="shared" si="5"/>
        <v>142</v>
      </c>
    </row>
    <row r="148" spans="1:12" x14ac:dyDescent="0.25">
      <c r="A148">
        <v>6</v>
      </c>
      <c r="B148">
        <v>4101</v>
      </c>
      <c r="C148">
        <v>187</v>
      </c>
      <c r="D148">
        <v>3</v>
      </c>
      <c r="E148" t="s">
        <v>123</v>
      </c>
      <c r="F148" s="19">
        <v>45715</v>
      </c>
      <c r="G148" t="s">
        <v>120</v>
      </c>
      <c r="H148">
        <v>0</v>
      </c>
      <c r="I148" s="19">
        <v>46072</v>
      </c>
      <c r="J148" s="19">
        <f t="shared" si="4"/>
        <v>46075</v>
      </c>
      <c r="L148">
        <f t="shared" si="5"/>
        <v>360</v>
      </c>
    </row>
    <row r="149" spans="1:12" x14ac:dyDescent="0.25">
      <c r="A149">
        <v>5</v>
      </c>
      <c r="B149">
        <v>4133</v>
      </c>
      <c r="C149">
        <v>486</v>
      </c>
      <c r="D149">
        <v>2</v>
      </c>
      <c r="E149" t="s">
        <v>123</v>
      </c>
      <c r="F149" s="19">
        <v>45722</v>
      </c>
      <c r="G149" t="s">
        <v>120</v>
      </c>
      <c r="H149">
        <v>0</v>
      </c>
      <c r="I149" s="19">
        <v>45773</v>
      </c>
      <c r="J149" s="19">
        <f t="shared" si="4"/>
        <v>45776</v>
      </c>
      <c r="L149">
        <f t="shared" si="5"/>
        <v>54</v>
      </c>
    </row>
    <row r="150" spans="1:12" x14ac:dyDescent="0.25">
      <c r="A150">
        <v>5</v>
      </c>
      <c r="B150">
        <v>574</v>
      </c>
      <c r="C150">
        <v>481</v>
      </c>
      <c r="D150">
        <v>4</v>
      </c>
      <c r="E150" t="s">
        <v>123</v>
      </c>
      <c r="F150" s="19">
        <v>45722</v>
      </c>
      <c r="G150" t="s">
        <v>125</v>
      </c>
      <c r="H150">
        <v>0</v>
      </c>
      <c r="I150" s="19">
        <v>45778</v>
      </c>
      <c r="J150" s="19">
        <f t="shared" si="4"/>
        <v>45781</v>
      </c>
      <c r="L150">
        <f t="shared" si="5"/>
        <v>59</v>
      </c>
    </row>
    <row r="151" spans="1:12" x14ac:dyDescent="0.25">
      <c r="A151">
        <v>10</v>
      </c>
      <c r="B151">
        <v>4139</v>
      </c>
      <c r="C151">
        <v>444</v>
      </c>
      <c r="D151">
        <v>2</v>
      </c>
      <c r="E151" t="s">
        <v>123</v>
      </c>
      <c r="F151" s="19">
        <v>45722</v>
      </c>
      <c r="G151" t="s">
        <v>122</v>
      </c>
      <c r="H151">
        <v>0</v>
      </c>
      <c r="I151" s="19">
        <v>45780</v>
      </c>
      <c r="J151" s="19">
        <f t="shared" si="4"/>
        <v>45783</v>
      </c>
      <c r="L151">
        <f t="shared" si="5"/>
        <v>61</v>
      </c>
    </row>
    <row r="152" spans="1:12" x14ac:dyDescent="0.25">
      <c r="A152">
        <v>5</v>
      </c>
      <c r="B152">
        <v>4164</v>
      </c>
      <c r="C152">
        <v>479</v>
      </c>
      <c r="D152">
        <v>2</v>
      </c>
      <c r="E152" t="s">
        <v>121</v>
      </c>
      <c r="F152" s="19">
        <v>45722</v>
      </c>
      <c r="G152" t="s">
        <v>120</v>
      </c>
      <c r="H152">
        <v>0</v>
      </c>
      <c r="I152" s="19">
        <v>45780</v>
      </c>
      <c r="J152" s="19">
        <f t="shared" si="4"/>
        <v>45783</v>
      </c>
      <c r="L152">
        <f t="shared" si="5"/>
        <v>61</v>
      </c>
    </row>
    <row r="153" spans="1:12" x14ac:dyDescent="0.25">
      <c r="A153">
        <v>6</v>
      </c>
      <c r="B153">
        <v>3877</v>
      </c>
      <c r="C153">
        <v>316</v>
      </c>
      <c r="D153">
        <v>2</v>
      </c>
      <c r="E153" t="s">
        <v>123</v>
      </c>
      <c r="F153" s="19">
        <v>45722</v>
      </c>
      <c r="G153" t="s">
        <v>122</v>
      </c>
      <c r="H153">
        <v>0</v>
      </c>
      <c r="I153" s="19">
        <v>45782</v>
      </c>
      <c r="J153" s="19">
        <f t="shared" si="4"/>
        <v>45785</v>
      </c>
      <c r="L153">
        <f t="shared" si="5"/>
        <v>63</v>
      </c>
    </row>
    <row r="154" spans="1:12" x14ac:dyDescent="0.25">
      <c r="A154">
        <v>5</v>
      </c>
      <c r="B154">
        <v>3908</v>
      </c>
      <c r="C154">
        <v>476</v>
      </c>
      <c r="D154">
        <v>2</v>
      </c>
      <c r="E154" t="s">
        <v>121</v>
      </c>
      <c r="F154" s="19">
        <v>45722</v>
      </c>
      <c r="G154" t="s">
        <v>120</v>
      </c>
      <c r="H154">
        <v>0</v>
      </c>
      <c r="I154" s="19">
        <v>45783</v>
      </c>
      <c r="J154" s="19">
        <f t="shared" si="4"/>
        <v>45786</v>
      </c>
      <c r="L154">
        <f t="shared" si="5"/>
        <v>64</v>
      </c>
    </row>
    <row r="155" spans="1:12" x14ac:dyDescent="0.25">
      <c r="A155">
        <v>7</v>
      </c>
      <c r="B155">
        <v>2868</v>
      </c>
      <c r="C155">
        <v>148</v>
      </c>
      <c r="D155">
        <v>4</v>
      </c>
      <c r="E155" t="s">
        <v>123</v>
      </c>
      <c r="F155" s="19">
        <v>45722</v>
      </c>
      <c r="G155" t="s">
        <v>122</v>
      </c>
      <c r="H155">
        <v>0</v>
      </c>
      <c r="I155" s="19">
        <v>45783</v>
      </c>
      <c r="J155" s="19">
        <f t="shared" si="4"/>
        <v>45786</v>
      </c>
      <c r="L155">
        <f t="shared" si="5"/>
        <v>64</v>
      </c>
    </row>
    <row r="156" spans="1:12" x14ac:dyDescent="0.25">
      <c r="A156">
        <v>10</v>
      </c>
      <c r="B156">
        <v>1168</v>
      </c>
      <c r="C156">
        <v>246</v>
      </c>
      <c r="D156">
        <v>5</v>
      </c>
      <c r="E156" t="s">
        <v>121</v>
      </c>
      <c r="F156" s="19">
        <v>45722</v>
      </c>
      <c r="G156" t="s">
        <v>122</v>
      </c>
      <c r="H156">
        <v>0</v>
      </c>
      <c r="I156" s="19">
        <v>45783</v>
      </c>
      <c r="J156" s="19">
        <f t="shared" si="4"/>
        <v>45786</v>
      </c>
      <c r="L156">
        <f t="shared" si="5"/>
        <v>64</v>
      </c>
    </row>
    <row r="157" spans="1:12" x14ac:dyDescent="0.25">
      <c r="A157">
        <v>6</v>
      </c>
      <c r="B157">
        <v>2599</v>
      </c>
      <c r="C157">
        <v>79</v>
      </c>
      <c r="D157">
        <v>5</v>
      </c>
      <c r="E157" t="s">
        <v>121</v>
      </c>
      <c r="F157" s="19">
        <v>45729</v>
      </c>
      <c r="G157" t="s">
        <v>122</v>
      </c>
      <c r="H157">
        <v>0</v>
      </c>
      <c r="I157" s="19">
        <v>45837</v>
      </c>
      <c r="J157" s="19">
        <f t="shared" si="4"/>
        <v>45840</v>
      </c>
      <c r="L157">
        <f t="shared" si="5"/>
        <v>111</v>
      </c>
    </row>
    <row r="158" spans="1:12" x14ac:dyDescent="0.25">
      <c r="A158">
        <v>6</v>
      </c>
      <c r="B158">
        <v>4155</v>
      </c>
      <c r="C158">
        <v>466</v>
      </c>
      <c r="D158">
        <v>2</v>
      </c>
      <c r="E158" t="s">
        <v>123</v>
      </c>
      <c r="F158" s="19">
        <v>45736</v>
      </c>
      <c r="G158" t="s">
        <v>120</v>
      </c>
      <c r="H158">
        <v>0</v>
      </c>
      <c r="I158" s="19">
        <v>45793</v>
      </c>
      <c r="J158" s="19">
        <f t="shared" si="4"/>
        <v>45796</v>
      </c>
      <c r="L158">
        <f t="shared" si="5"/>
        <v>60</v>
      </c>
    </row>
    <row r="159" spans="1:12" x14ac:dyDescent="0.25">
      <c r="A159">
        <v>10</v>
      </c>
      <c r="B159">
        <v>3221</v>
      </c>
      <c r="C159">
        <v>146</v>
      </c>
      <c r="D159">
        <v>2</v>
      </c>
      <c r="E159" t="s">
        <v>123</v>
      </c>
      <c r="F159" s="19">
        <v>45736</v>
      </c>
      <c r="G159" t="s">
        <v>122</v>
      </c>
      <c r="H159">
        <v>0</v>
      </c>
      <c r="I159" s="19">
        <v>45804</v>
      </c>
      <c r="J159" s="19">
        <f t="shared" si="4"/>
        <v>45807</v>
      </c>
      <c r="L159">
        <f t="shared" si="5"/>
        <v>71</v>
      </c>
    </row>
    <row r="160" spans="1:12" x14ac:dyDescent="0.25">
      <c r="A160">
        <v>6</v>
      </c>
      <c r="B160">
        <v>2418</v>
      </c>
      <c r="C160">
        <v>173</v>
      </c>
      <c r="D160">
        <v>5</v>
      </c>
      <c r="E160" t="s">
        <v>121</v>
      </c>
      <c r="F160" s="19">
        <v>45736</v>
      </c>
      <c r="G160" t="s">
        <v>122</v>
      </c>
      <c r="H160">
        <v>0</v>
      </c>
      <c r="I160" s="19">
        <v>45862</v>
      </c>
      <c r="J160" s="19">
        <f t="shared" si="4"/>
        <v>45865</v>
      </c>
      <c r="L160">
        <f t="shared" si="5"/>
        <v>129</v>
      </c>
    </row>
    <row r="161" spans="1:12" x14ac:dyDescent="0.25">
      <c r="A161">
        <v>6</v>
      </c>
      <c r="B161">
        <v>3925</v>
      </c>
      <c r="C161">
        <v>55</v>
      </c>
      <c r="D161">
        <v>3</v>
      </c>
      <c r="E161" t="s">
        <v>123</v>
      </c>
      <c r="F161" s="19">
        <v>45736</v>
      </c>
      <c r="G161" t="s">
        <v>122</v>
      </c>
      <c r="H161">
        <v>0</v>
      </c>
      <c r="I161" s="19">
        <v>46126</v>
      </c>
      <c r="J161" s="19">
        <f t="shared" si="4"/>
        <v>46129</v>
      </c>
      <c r="L161">
        <f t="shared" si="5"/>
        <v>393</v>
      </c>
    </row>
    <row r="162" spans="1:12" x14ac:dyDescent="0.25">
      <c r="A162">
        <v>6</v>
      </c>
      <c r="B162">
        <v>4227</v>
      </c>
      <c r="C162">
        <v>304</v>
      </c>
      <c r="D162">
        <v>2</v>
      </c>
      <c r="E162" t="s">
        <v>121</v>
      </c>
      <c r="F162" s="19">
        <v>45743</v>
      </c>
      <c r="G162" t="s">
        <v>122</v>
      </c>
      <c r="H162">
        <v>0</v>
      </c>
      <c r="I162" s="19">
        <v>45794</v>
      </c>
      <c r="J162" s="19">
        <f t="shared" si="4"/>
        <v>45797</v>
      </c>
      <c r="L162">
        <f t="shared" si="5"/>
        <v>54</v>
      </c>
    </row>
    <row r="163" spans="1:12" x14ac:dyDescent="0.25">
      <c r="A163">
        <v>5</v>
      </c>
      <c r="B163">
        <v>4147</v>
      </c>
      <c r="C163">
        <v>212</v>
      </c>
      <c r="D163">
        <v>2</v>
      </c>
      <c r="E163" t="s">
        <v>121</v>
      </c>
      <c r="F163" s="19">
        <v>45743</v>
      </c>
      <c r="G163" t="s">
        <v>122</v>
      </c>
      <c r="H163">
        <v>0</v>
      </c>
      <c r="I163" s="19">
        <v>45796</v>
      </c>
      <c r="J163" s="19">
        <f t="shared" si="4"/>
        <v>45799</v>
      </c>
      <c r="L163">
        <f t="shared" si="5"/>
        <v>56</v>
      </c>
    </row>
    <row r="164" spans="1:12" x14ac:dyDescent="0.25">
      <c r="A164">
        <v>6</v>
      </c>
      <c r="B164">
        <v>2981</v>
      </c>
      <c r="C164">
        <v>462</v>
      </c>
      <c r="D164">
        <v>4</v>
      </c>
      <c r="E164" t="s">
        <v>121</v>
      </c>
      <c r="F164" s="19">
        <v>45743</v>
      </c>
      <c r="G164" t="s">
        <v>125</v>
      </c>
      <c r="H164">
        <v>0</v>
      </c>
      <c r="I164" s="19">
        <v>45797</v>
      </c>
      <c r="J164" s="19">
        <f t="shared" si="4"/>
        <v>45800</v>
      </c>
      <c r="L164">
        <f t="shared" si="5"/>
        <v>57</v>
      </c>
    </row>
    <row r="165" spans="1:12" x14ac:dyDescent="0.25">
      <c r="A165">
        <v>10</v>
      </c>
      <c r="B165">
        <v>3968</v>
      </c>
      <c r="C165">
        <v>290</v>
      </c>
      <c r="D165">
        <v>2</v>
      </c>
      <c r="E165" t="s">
        <v>123</v>
      </c>
      <c r="F165" s="19">
        <v>45743</v>
      </c>
      <c r="G165" t="s">
        <v>122</v>
      </c>
      <c r="H165">
        <v>0</v>
      </c>
      <c r="I165" s="19">
        <v>45802</v>
      </c>
      <c r="J165" s="19">
        <f t="shared" si="4"/>
        <v>45805</v>
      </c>
      <c r="L165">
        <f t="shared" si="5"/>
        <v>62</v>
      </c>
    </row>
    <row r="166" spans="1:12" x14ac:dyDescent="0.25">
      <c r="A166">
        <v>6</v>
      </c>
      <c r="B166">
        <v>4217</v>
      </c>
      <c r="C166">
        <v>101</v>
      </c>
      <c r="D166">
        <v>2</v>
      </c>
      <c r="E166" t="s">
        <v>123</v>
      </c>
      <c r="F166" s="19">
        <v>45750</v>
      </c>
      <c r="G166" t="s">
        <v>122</v>
      </c>
      <c r="H166">
        <v>0</v>
      </c>
      <c r="I166" s="19">
        <v>45802</v>
      </c>
      <c r="J166" s="19">
        <f t="shared" si="4"/>
        <v>45805</v>
      </c>
      <c r="L166">
        <f t="shared" si="5"/>
        <v>55</v>
      </c>
    </row>
    <row r="167" spans="1:12" x14ac:dyDescent="0.25">
      <c r="A167">
        <v>10</v>
      </c>
      <c r="B167">
        <v>4025</v>
      </c>
      <c r="C167">
        <v>412</v>
      </c>
      <c r="D167">
        <v>2</v>
      </c>
      <c r="E167" t="s">
        <v>123</v>
      </c>
      <c r="F167" s="19">
        <v>45750</v>
      </c>
      <c r="G167" t="s">
        <v>122</v>
      </c>
      <c r="H167">
        <v>0</v>
      </c>
      <c r="I167" s="19">
        <v>45805</v>
      </c>
      <c r="J167" s="19">
        <f t="shared" si="4"/>
        <v>45808</v>
      </c>
      <c r="L167">
        <f t="shared" si="5"/>
        <v>58</v>
      </c>
    </row>
    <row r="168" spans="1:12" x14ac:dyDescent="0.25">
      <c r="A168">
        <v>10</v>
      </c>
      <c r="B168">
        <v>4027</v>
      </c>
      <c r="C168">
        <v>106</v>
      </c>
      <c r="D168">
        <v>2</v>
      </c>
      <c r="E168" t="s">
        <v>121</v>
      </c>
      <c r="F168" s="19">
        <v>45750</v>
      </c>
      <c r="G168" t="s">
        <v>122</v>
      </c>
      <c r="H168">
        <v>0</v>
      </c>
      <c r="I168" s="19">
        <v>45805</v>
      </c>
      <c r="J168" s="19">
        <f t="shared" si="4"/>
        <v>45808</v>
      </c>
      <c r="L168">
        <f t="shared" si="5"/>
        <v>58</v>
      </c>
    </row>
    <row r="169" spans="1:12" x14ac:dyDescent="0.25">
      <c r="A169">
        <v>5</v>
      </c>
      <c r="B169">
        <v>3159</v>
      </c>
      <c r="C169">
        <v>452</v>
      </c>
      <c r="D169">
        <v>3</v>
      </c>
      <c r="E169" t="s">
        <v>123</v>
      </c>
      <c r="F169" s="19">
        <v>45750</v>
      </c>
      <c r="G169" t="s">
        <v>131</v>
      </c>
      <c r="H169">
        <v>0</v>
      </c>
      <c r="I169" s="19">
        <v>45807</v>
      </c>
      <c r="J169" s="19">
        <f t="shared" si="4"/>
        <v>45810</v>
      </c>
      <c r="L169">
        <f t="shared" si="5"/>
        <v>60</v>
      </c>
    </row>
    <row r="170" spans="1:12" x14ac:dyDescent="0.25">
      <c r="A170">
        <v>6</v>
      </c>
      <c r="B170">
        <v>3461</v>
      </c>
      <c r="C170">
        <v>200</v>
      </c>
      <c r="D170">
        <v>3</v>
      </c>
      <c r="E170" t="s">
        <v>123</v>
      </c>
      <c r="F170" s="19">
        <v>45750</v>
      </c>
      <c r="G170" t="s">
        <v>122</v>
      </c>
      <c r="H170">
        <v>0</v>
      </c>
      <c r="I170" s="19">
        <v>45808</v>
      </c>
      <c r="J170" s="19">
        <f t="shared" ref="J170:J233" si="6">I170+3</f>
        <v>45811</v>
      </c>
      <c r="L170">
        <f t="shared" ref="L170:L233" si="7">J170-F170</f>
        <v>61</v>
      </c>
    </row>
    <row r="171" spans="1:12" x14ac:dyDescent="0.25">
      <c r="A171">
        <v>6</v>
      </c>
      <c r="B171">
        <v>4115</v>
      </c>
      <c r="C171">
        <v>451</v>
      </c>
      <c r="D171">
        <v>2</v>
      </c>
      <c r="E171" t="s">
        <v>123</v>
      </c>
      <c r="F171" s="19">
        <v>45750</v>
      </c>
      <c r="G171" t="s">
        <v>125</v>
      </c>
      <c r="H171">
        <v>0</v>
      </c>
      <c r="I171" s="19">
        <v>45808</v>
      </c>
      <c r="J171" s="19">
        <f t="shared" si="6"/>
        <v>45811</v>
      </c>
      <c r="L171">
        <f t="shared" si="7"/>
        <v>61</v>
      </c>
    </row>
    <row r="172" spans="1:12" x14ac:dyDescent="0.25">
      <c r="A172">
        <v>3</v>
      </c>
      <c r="B172">
        <v>4017</v>
      </c>
      <c r="C172">
        <v>449</v>
      </c>
      <c r="D172">
        <v>2</v>
      </c>
      <c r="E172" t="s">
        <v>123</v>
      </c>
      <c r="F172" s="19">
        <v>45750</v>
      </c>
      <c r="G172" t="s">
        <v>120</v>
      </c>
      <c r="H172">
        <v>0</v>
      </c>
      <c r="I172" s="19">
        <v>45810</v>
      </c>
      <c r="J172" s="19">
        <f t="shared" si="6"/>
        <v>45813</v>
      </c>
      <c r="L172">
        <f t="shared" si="7"/>
        <v>63</v>
      </c>
    </row>
    <row r="173" spans="1:12" x14ac:dyDescent="0.25">
      <c r="A173">
        <v>6</v>
      </c>
      <c r="B173">
        <v>2875</v>
      </c>
      <c r="C173">
        <v>445</v>
      </c>
      <c r="D173">
        <v>4</v>
      </c>
      <c r="E173" t="s">
        <v>123</v>
      </c>
      <c r="F173" s="19">
        <v>45750</v>
      </c>
      <c r="G173" t="s">
        <v>120</v>
      </c>
      <c r="H173">
        <v>0</v>
      </c>
      <c r="I173" s="19">
        <v>45814</v>
      </c>
      <c r="J173" s="19">
        <f t="shared" si="6"/>
        <v>45817</v>
      </c>
      <c r="L173">
        <f t="shared" si="7"/>
        <v>67</v>
      </c>
    </row>
    <row r="174" spans="1:12" x14ac:dyDescent="0.25">
      <c r="A174">
        <v>6</v>
      </c>
      <c r="B174">
        <v>2836</v>
      </c>
      <c r="C174">
        <v>330</v>
      </c>
      <c r="D174">
        <v>4</v>
      </c>
      <c r="E174" t="s">
        <v>121</v>
      </c>
      <c r="F174" s="19">
        <v>45750</v>
      </c>
      <c r="G174" t="s">
        <v>122</v>
      </c>
      <c r="H174">
        <v>0</v>
      </c>
      <c r="I174" s="19">
        <v>45822</v>
      </c>
      <c r="J174" s="19">
        <f t="shared" si="6"/>
        <v>45825</v>
      </c>
      <c r="L174">
        <f t="shared" si="7"/>
        <v>75</v>
      </c>
    </row>
    <row r="175" spans="1:12" x14ac:dyDescent="0.25">
      <c r="A175">
        <v>6</v>
      </c>
      <c r="B175">
        <v>2597</v>
      </c>
      <c r="C175">
        <v>201</v>
      </c>
      <c r="D175">
        <v>5</v>
      </c>
      <c r="E175" t="s">
        <v>121</v>
      </c>
      <c r="F175" s="19">
        <v>45750</v>
      </c>
      <c r="G175" t="s">
        <v>122</v>
      </c>
      <c r="H175">
        <v>0</v>
      </c>
      <c r="I175" s="19">
        <v>45828</v>
      </c>
      <c r="J175" s="19">
        <f t="shared" si="6"/>
        <v>45831</v>
      </c>
      <c r="L175">
        <f t="shared" si="7"/>
        <v>81</v>
      </c>
    </row>
    <row r="176" spans="1:12" x14ac:dyDescent="0.25">
      <c r="A176">
        <v>10</v>
      </c>
      <c r="B176">
        <v>2864</v>
      </c>
      <c r="C176">
        <v>194</v>
      </c>
      <c r="D176">
        <v>4</v>
      </c>
      <c r="E176" t="s">
        <v>121</v>
      </c>
      <c r="F176" s="19">
        <v>45750</v>
      </c>
      <c r="G176" t="s">
        <v>122</v>
      </c>
      <c r="H176">
        <v>0</v>
      </c>
      <c r="I176" s="19">
        <v>45845</v>
      </c>
      <c r="J176" s="19">
        <f t="shared" si="6"/>
        <v>45848</v>
      </c>
      <c r="L176">
        <f t="shared" si="7"/>
        <v>98</v>
      </c>
    </row>
    <row r="177" spans="1:12" x14ac:dyDescent="0.25">
      <c r="A177">
        <v>6</v>
      </c>
      <c r="B177">
        <v>3605</v>
      </c>
      <c r="C177">
        <v>225</v>
      </c>
      <c r="D177">
        <v>3</v>
      </c>
      <c r="E177" t="s">
        <v>121</v>
      </c>
      <c r="F177" s="19">
        <v>45750</v>
      </c>
      <c r="G177" t="s">
        <v>122</v>
      </c>
      <c r="H177">
        <v>0</v>
      </c>
      <c r="I177" s="19">
        <v>45862</v>
      </c>
      <c r="J177" s="19">
        <f t="shared" si="6"/>
        <v>45865</v>
      </c>
      <c r="L177">
        <f t="shared" si="7"/>
        <v>115</v>
      </c>
    </row>
    <row r="178" spans="1:12" x14ac:dyDescent="0.25">
      <c r="A178">
        <v>10</v>
      </c>
      <c r="B178">
        <v>2517</v>
      </c>
      <c r="C178">
        <v>134</v>
      </c>
      <c r="D178">
        <v>6</v>
      </c>
      <c r="E178" t="s">
        <v>121</v>
      </c>
      <c r="F178" s="19">
        <v>45750</v>
      </c>
      <c r="G178" t="s">
        <v>122</v>
      </c>
      <c r="H178">
        <v>0</v>
      </c>
      <c r="I178" s="19">
        <v>45907</v>
      </c>
      <c r="J178" s="19">
        <f t="shared" si="6"/>
        <v>45910</v>
      </c>
      <c r="L178">
        <f t="shared" si="7"/>
        <v>160</v>
      </c>
    </row>
    <row r="179" spans="1:12" x14ac:dyDescent="0.25">
      <c r="A179">
        <v>10</v>
      </c>
      <c r="B179">
        <v>1185</v>
      </c>
      <c r="C179">
        <v>83</v>
      </c>
      <c r="D179">
        <v>5</v>
      </c>
      <c r="E179" t="s">
        <v>121</v>
      </c>
      <c r="F179" s="19">
        <v>45750</v>
      </c>
      <c r="G179" t="s">
        <v>122</v>
      </c>
      <c r="H179">
        <v>0</v>
      </c>
      <c r="I179" s="19">
        <v>45909</v>
      </c>
      <c r="J179" s="19">
        <f t="shared" si="6"/>
        <v>45912</v>
      </c>
      <c r="L179">
        <f t="shared" si="7"/>
        <v>162</v>
      </c>
    </row>
    <row r="180" spans="1:12" x14ac:dyDescent="0.25">
      <c r="A180">
        <v>6</v>
      </c>
      <c r="B180">
        <v>3574</v>
      </c>
      <c r="C180">
        <v>449</v>
      </c>
      <c r="D180">
        <v>3</v>
      </c>
      <c r="E180" t="s">
        <v>121</v>
      </c>
      <c r="F180" s="19">
        <v>45757</v>
      </c>
      <c r="G180" t="s">
        <v>120</v>
      </c>
      <c r="H180">
        <v>0</v>
      </c>
      <c r="I180" s="19">
        <v>45810</v>
      </c>
      <c r="J180" s="19">
        <f t="shared" si="6"/>
        <v>45813</v>
      </c>
      <c r="L180">
        <f t="shared" si="7"/>
        <v>56</v>
      </c>
    </row>
    <row r="181" spans="1:12" x14ac:dyDescent="0.25">
      <c r="A181">
        <v>5</v>
      </c>
      <c r="B181">
        <v>3860</v>
      </c>
      <c r="C181">
        <v>448</v>
      </c>
      <c r="D181">
        <v>2</v>
      </c>
      <c r="E181" t="s">
        <v>123</v>
      </c>
      <c r="F181" s="19">
        <v>45757</v>
      </c>
      <c r="G181" t="s">
        <v>120</v>
      </c>
      <c r="H181">
        <v>0</v>
      </c>
      <c r="I181" s="19">
        <v>45811</v>
      </c>
      <c r="J181" s="19">
        <f t="shared" si="6"/>
        <v>45814</v>
      </c>
      <c r="L181">
        <f t="shared" si="7"/>
        <v>57</v>
      </c>
    </row>
    <row r="182" spans="1:12" x14ac:dyDescent="0.25">
      <c r="A182">
        <v>6</v>
      </c>
      <c r="B182">
        <v>4223</v>
      </c>
      <c r="C182">
        <v>448</v>
      </c>
      <c r="D182">
        <v>2</v>
      </c>
      <c r="E182" t="s">
        <v>123</v>
      </c>
      <c r="F182" s="19">
        <v>45757</v>
      </c>
      <c r="G182" t="s">
        <v>120</v>
      </c>
      <c r="H182">
        <v>0</v>
      </c>
      <c r="I182" s="19">
        <v>45811</v>
      </c>
      <c r="J182" s="19">
        <f t="shared" si="6"/>
        <v>45814</v>
      </c>
      <c r="L182">
        <f t="shared" si="7"/>
        <v>57</v>
      </c>
    </row>
    <row r="183" spans="1:12" x14ac:dyDescent="0.25">
      <c r="A183">
        <v>6</v>
      </c>
      <c r="B183">
        <v>4151</v>
      </c>
      <c r="C183">
        <v>368</v>
      </c>
      <c r="D183">
        <v>2</v>
      </c>
      <c r="E183" t="s">
        <v>121</v>
      </c>
      <c r="F183" s="19">
        <v>45757</v>
      </c>
      <c r="G183" t="s">
        <v>122</v>
      </c>
      <c r="H183">
        <v>0</v>
      </c>
      <c r="I183" s="19">
        <v>45813</v>
      </c>
      <c r="J183" s="19">
        <f t="shared" si="6"/>
        <v>45816</v>
      </c>
      <c r="L183">
        <f t="shared" si="7"/>
        <v>59</v>
      </c>
    </row>
    <row r="184" spans="1:12" x14ac:dyDescent="0.25">
      <c r="A184">
        <v>10</v>
      </c>
      <c r="B184">
        <v>4171</v>
      </c>
      <c r="C184">
        <v>291</v>
      </c>
      <c r="D184">
        <v>2</v>
      </c>
      <c r="E184" t="s">
        <v>123</v>
      </c>
      <c r="F184" s="19">
        <v>45757</v>
      </c>
      <c r="G184" t="s">
        <v>122</v>
      </c>
      <c r="H184">
        <v>0</v>
      </c>
      <c r="I184" s="19">
        <v>45814</v>
      </c>
      <c r="J184" s="19">
        <f t="shared" si="6"/>
        <v>45817</v>
      </c>
      <c r="L184">
        <f t="shared" si="7"/>
        <v>60</v>
      </c>
    </row>
    <row r="185" spans="1:12" x14ac:dyDescent="0.25">
      <c r="A185">
        <v>6</v>
      </c>
      <c r="B185">
        <v>3987</v>
      </c>
      <c r="C185">
        <v>357</v>
      </c>
      <c r="D185">
        <v>2</v>
      </c>
      <c r="E185" t="s">
        <v>123</v>
      </c>
      <c r="F185" s="19">
        <v>45757</v>
      </c>
      <c r="G185" t="s">
        <v>122</v>
      </c>
      <c r="H185">
        <v>0</v>
      </c>
      <c r="I185" s="19">
        <v>45817</v>
      </c>
      <c r="J185" s="19">
        <f t="shared" si="6"/>
        <v>45820</v>
      </c>
      <c r="L185">
        <f t="shared" si="7"/>
        <v>63</v>
      </c>
    </row>
    <row r="186" spans="1:12" x14ac:dyDescent="0.25">
      <c r="A186">
        <v>10</v>
      </c>
      <c r="B186">
        <v>2087</v>
      </c>
      <c r="C186">
        <v>146</v>
      </c>
      <c r="D186">
        <v>6</v>
      </c>
      <c r="E186" t="s">
        <v>121</v>
      </c>
      <c r="F186" s="19">
        <v>45757</v>
      </c>
      <c r="G186" t="s">
        <v>122</v>
      </c>
      <c r="H186">
        <v>0</v>
      </c>
      <c r="I186" s="19">
        <v>45862</v>
      </c>
      <c r="J186" s="19">
        <f t="shared" si="6"/>
        <v>45865</v>
      </c>
      <c r="L186">
        <f t="shared" si="7"/>
        <v>108</v>
      </c>
    </row>
    <row r="187" spans="1:12" x14ac:dyDescent="0.25">
      <c r="A187">
        <v>10</v>
      </c>
      <c r="B187">
        <v>2758</v>
      </c>
      <c r="C187">
        <v>76</v>
      </c>
      <c r="D187">
        <v>5</v>
      </c>
      <c r="E187" t="s">
        <v>121</v>
      </c>
      <c r="F187" s="19">
        <v>45757</v>
      </c>
      <c r="G187" t="s">
        <v>122</v>
      </c>
      <c r="H187">
        <v>0</v>
      </c>
      <c r="I187" s="19">
        <v>45863</v>
      </c>
      <c r="J187" s="19">
        <f t="shared" si="6"/>
        <v>45866</v>
      </c>
      <c r="L187">
        <f t="shared" si="7"/>
        <v>109</v>
      </c>
    </row>
    <row r="188" spans="1:12" x14ac:dyDescent="0.25">
      <c r="A188">
        <v>14</v>
      </c>
      <c r="B188">
        <v>1849</v>
      </c>
      <c r="C188">
        <v>195</v>
      </c>
      <c r="D188">
        <v>5</v>
      </c>
      <c r="E188" t="s">
        <v>121</v>
      </c>
      <c r="F188" s="19">
        <v>45757</v>
      </c>
      <c r="G188" t="s">
        <v>122</v>
      </c>
      <c r="H188">
        <v>0</v>
      </c>
      <c r="I188" s="19">
        <v>45866</v>
      </c>
      <c r="J188" s="19">
        <f t="shared" si="6"/>
        <v>45869</v>
      </c>
      <c r="L188">
        <f t="shared" si="7"/>
        <v>112</v>
      </c>
    </row>
    <row r="189" spans="1:12" x14ac:dyDescent="0.25">
      <c r="A189">
        <v>10</v>
      </c>
      <c r="B189">
        <v>2502</v>
      </c>
      <c r="C189">
        <v>25</v>
      </c>
      <c r="D189">
        <v>5</v>
      </c>
      <c r="E189" t="s">
        <v>121</v>
      </c>
      <c r="F189" s="19">
        <v>45757</v>
      </c>
      <c r="G189" t="s">
        <v>122</v>
      </c>
      <c r="H189">
        <v>0</v>
      </c>
      <c r="I189" s="19">
        <v>45869</v>
      </c>
      <c r="J189" s="19">
        <f t="shared" si="6"/>
        <v>45872</v>
      </c>
      <c r="L189">
        <f t="shared" si="7"/>
        <v>115</v>
      </c>
    </row>
    <row r="190" spans="1:12" x14ac:dyDescent="0.25">
      <c r="A190">
        <v>10</v>
      </c>
      <c r="B190">
        <v>4320</v>
      </c>
      <c r="C190">
        <v>65</v>
      </c>
      <c r="D190">
        <v>2</v>
      </c>
      <c r="E190" t="s">
        <v>121</v>
      </c>
      <c r="F190" s="19">
        <v>45757</v>
      </c>
      <c r="G190" t="s">
        <v>122</v>
      </c>
      <c r="H190">
        <v>0</v>
      </c>
      <c r="I190" s="19">
        <v>45897</v>
      </c>
      <c r="J190" s="19">
        <f t="shared" si="6"/>
        <v>45900</v>
      </c>
      <c r="L190">
        <f t="shared" si="7"/>
        <v>143</v>
      </c>
    </row>
    <row r="191" spans="1:12" x14ac:dyDescent="0.25">
      <c r="A191">
        <v>6</v>
      </c>
      <c r="B191">
        <v>3334</v>
      </c>
      <c r="C191">
        <v>98</v>
      </c>
      <c r="D191">
        <v>5</v>
      </c>
      <c r="E191" t="s">
        <v>123</v>
      </c>
      <c r="F191" s="19">
        <v>45757</v>
      </c>
      <c r="G191" t="s">
        <v>132</v>
      </c>
      <c r="H191">
        <v>0</v>
      </c>
      <c r="I191" s="19">
        <v>46161</v>
      </c>
      <c r="J191" s="19">
        <f t="shared" si="6"/>
        <v>46164</v>
      </c>
      <c r="L191">
        <f t="shared" si="7"/>
        <v>407</v>
      </c>
    </row>
    <row r="192" spans="1:12" x14ac:dyDescent="0.25">
      <c r="A192">
        <v>10</v>
      </c>
      <c r="B192">
        <v>4181</v>
      </c>
      <c r="C192">
        <v>14</v>
      </c>
      <c r="D192">
        <v>3</v>
      </c>
      <c r="E192" t="s">
        <v>123</v>
      </c>
      <c r="F192" s="19">
        <v>45757</v>
      </c>
      <c r="G192" t="s">
        <v>130</v>
      </c>
      <c r="H192">
        <v>9</v>
      </c>
      <c r="I192" s="19">
        <v>46245</v>
      </c>
      <c r="J192" s="19">
        <f t="shared" si="6"/>
        <v>46248</v>
      </c>
      <c r="L192">
        <f t="shared" si="7"/>
        <v>491</v>
      </c>
    </row>
    <row r="193" spans="1:12" x14ac:dyDescent="0.25">
      <c r="A193">
        <v>6</v>
      </c>
      <c r="B193">
        <v>3448</v>
      </c>
      <c r="C193">
        <v>298</v>
      </c>
      <c r="D193">
        <v>3</v>
      </c>
      <c r="E193" t="s">
        <v>121</v>
      </c>
      <c r="F193" s="19">
        <v>45764</v>
      </c>
      <c r="G193" t="s">
        <v>122</v>
      </c>
      <c r="H193">
        <v>0</v>
      </c>
      <c r="I193" s="19">
        <v>45815</v>
      </c>
      <c r="J193" s="19">
        <f t="shared" si="6"/>
        <v>45818</v>
      </c>
      <c r="L193">
        <f t="shared" si="7"/>
        <v>54</v>
      </c>
    </row>
    <row r="194" spans="1:12" x14ac:dyDescent="0.25">
      <c r="A194">
        <v>6</v>
      </c>
      <c r="B194">
        <v>4126</v>
      </c>
      <c r="C194">
        <v>441</v>
      </c>
      <c r="D194">
        <v>2</v>
      </c>
      <c r="E194" t="s">
        <v>123</v>
      </c>
      <c r="F194" s="19">
        <v>45764</v>
      </c>
      <c r="G194" t="s">
        <v>132</v>
      </c>
      <c r="H194">
        <v>0</v>
      </c>
      <c r="I194" s="19">
        <v>45818</v>
      </c>
      <c r="J194" s="19">
        <f t="shared" si="6"/>
        <v>45821</v>
      </c>
      <c r="L194">
        <f t="shared" si="7"/>
        <v>57</v>
      </c>
    </row>
    <row r="195" spans="1:12" x14ac:dyDescent="0.25">
      <c r="A195">
        <v>3</v>
      </c>
      <c r="B195">
        <v>4195</v>
      </c>
      <c r="C195">
        <v>211</v>
      </c>
      <c r="D195">
        <v>2</v>
      </c>
      <c r="E195" t="s">
        <v>123</v>
      </c>
      <c r="F195" s="19">
        <v>45764</v>
      </c>
      <c r="G195" t="s">
        <v>122</v>
      </c>
      <c r="H195">
        <v>0</v>
      </c>
      <c r="I195" s="19">
        <v>45818</v>
      </c>
      <c r="J195" s="19">
        <f t="shared" si="6"/>
        <v>45821</v>
      </c>
      <c r="L195">
        <f t="shared" si="7"/>
        <v>57</v>
      </c>
    </row>
    <row r="196" spans="1:12" x14ac:dyDescent="0.25">
      <c r="A196">
        <v>6</v>
      </c>
      <c r="B196">
        <v>2222</v>
      </c>
      <c r="C196">
        <v>70</v>
      </c>
      <c r="D196">
        <v>6</v>
      </c>
      <c r="E196" t="s">
        <v>121</v>
      </c>
      <c r="F196" s="19">
        <v>45764</v>
      </c>
      <c r="G196" t="s">
        <v>122</v>
      </c>
      <c r="H196">
        <v>0</v>
      </c>
      <c r="I196" s="19">
        <v>45841</v>
      </c>
      <c r="J196" s="19">
        <f t="shared" si="6"/>
        <v>45844</v>
      </c>
      <c r="L196">
        <f t="shared" si="7"/>
        <v>80</v>
      </c>
    </row>
    <row r="197" spans="1:12" x14ac:dyDescent="0.25">
      <c r="A197">
        <v>10</v>
      </c>
      <c r="B197">
        <v>3262</v>
      </c>
      <c r="C197">
        <v>360</v>
      </c>
      <c r="D197">
        <v>3</v>
      </c>
      <c r="E197" t="s">
        <v>121</v>
      </c>
      <c r="F197" s="19">
        <v>45764</v>
      </c>
      <c r="G197" t="s">
        <v>122</v>
      </c>
      <c r="H197">
        <v>0</v>
      </c>
      <c r="I197" s="19">
        <v>45844</v>
      </c>
      <c r="J197" s="19">
        <f t="shared" si="6"/>
        <v>45847</v>
      </c>
      <c r="L197">
        <f t="shared" si="7"/>
        <v>83</v>
      </c>
    </row>
    <row r="198" spans="1:12" x14ac:dyDescent="0.25">
      <c r="A198">
        <v>10</v>
      </c>
      <c r="B198">
        <v>3423</v>
      </c>
      <c r="C198">
        <v>43</v>
      </c>
      <c r="D198">
        <v>4</v>
      </c>
      <c r="E198" t="s">
        <v>121</v>
      </c>
      <c r="F198" s="19">
        <v>45764</v>
      </c>
      <c r="G198" t="s">
        <v>122</v>
      </c>
      <c r="H198">
        <v>0</v>
      </c>
      <c r="I198" s="19">
        <v>46020</v>
      </c>
      <c r="J198" s="19">
        <f t="shared" si="6"/>
        <v>46023</v>
      </c>
      <c r="L198">
        <f t="shared" si="7"/>
        <v>259</v>
      </c>
    </row>
    <row r="199" spans="1:12" x14ac:dyDescent="0.25">
      <c r="A199">
        <v>10</v>
      </c>
      <c r="B199">
        <v>4170</v>
      </c>
      <c r="C199">
        <v>189</v>
      </c>
      <c r="D199">
        <v>2</v>
      </c>
      <c r="E199" t="s">
        <v>121</v>
      </c>
      <c r="F199" s="19">
        <v>45771</v>
      </c>
      <c r="G199" t="s">
        <v>122</v>
      </c>
      <c r="H199">
        <v>0</v>
      </c>
      <c r="I199" s="19">
        <v>45819</v>
      </c>
      <c r="J199" s="19">
        <f t="shared" si="6"/>
        <v>45822</v>
      </c>
      <c r="L199">
        <f t="shared" si="7"/>
        <v>51</v>
      </c>
    </row>
    <row r="200" spans="1:12" x14ac:dyDescent="0.25">
      <c r="A200">
        <v>6</v>
      </c>
      <c r="B200">
        <v>2937</v>
      </c>
      <c r="C200">
        <v>289</v>
      </c>
      <c r="D200">
        <v>5</v>
      </c>
      <c r="E200" t="s">
        <v>123</v>
      </c>
      <c r="F200" s="19">
        <v>45771</v>
      </c>
      <c r="G200" t="s">
        <v>122</v>
      </c>
      <c r="H200">
        <v>0</v>
      </c>
      <c r="I200" s="19">
        <v>45824</v>
      </c>
      <c r="J200" s="19">
        <f t="shared" si="6"/>
        <v>45827</v>
      </c>
      <c r="L200">
        <f t="shared" si="7"/>
        <v>56</v>
      </c>
    </row>
    <row r="201" spans="1:12" x14ac:dyDescent="0.25">
      <c r="A201">
        <v>10</v>
      </c>
      <c r="B201">
        <v>4058</v>
      </c>
      <c r="C201">
        <v>231</v>
      </c>
      <c r="D201">
        <v>2</v>
      </c>
      <c r="E201" t="s">
        <v>123</v>
      </c>
      <c r="F201" s="19">
        <v>45771</v>
      </c>
      <c r="G201" t="s">
        <v>122</v>
      </c>
      <c r="H201">
        <v>0</v>
      </c>
      <c r="I201" s="19">
        <v>45825</v>
      </c>
      <c r="J201" s="19">
        <f t="shared" si="6"/>
        <v>45828</v>
      </c>
      <c r="L201">
        <f t="shared" si="7"/>
        <v>57</v>
      </c>
    </row>
    <row r="202" spans="1:12" x14ac:dyDescent="0.25">
      <c r="A202">
        <v>6</v>
      </c>
      <c r="B202">
        <v>3482</v>
      </c>
      <c r="C202">
        <v>51</v>
      </c>
      <c r="D202">
        <v>3</v>
      </c>
      <c r="E202" t="s">
        <v>123</v>
      </c>
      <c r="F202" s="19">
        <v>45771</v>
      </c>
      <c r="G202" t="s">
        <v>122</v>
      </c>
      <c r="H202">
        <v>0</v>
      </c>
      <c r="I202" s="19">
        <v>45829</v>
      </c>
      <c r="J202" s="19">
        <f t="shared" si="6"/>
        <v>45832</v>
      </c>
      <c r="L202">
        <f t="shared" si="7"/>
        <v>61</v>
      </c>
    </row>
    <row r="203" spans="1:12" x14ac:dyDescent="0.25">
      <c r="A203">
        <v>6</v>
      </c>
      <c r="B203">
        <v>3564</v>
      </c>
      <c r="C203">
        <v>369</v>
      </c>
      <c r="D203">
        <v>4</v>
      </c>
      <c r="E203" t="s">
        <v>121</v>
      </c>
      <c r="F203" s="19">
        <v>45771</v>
      </c>
      <c r="G203" t="s">
        <v>122</v>
      </c>
      <c r="H203">
        <v>0</v>
      </c>
      <c r="I203" s="19">
        <v>45835</v>
      </c>
      <c r="J203" s="19">
        <f t="shared" si="6"/>
        <v>45838</v>
      </c>
      <c r="L203">
        <f t="shared" si="7"/>
        <v>67</v>
      </c>
    </row>
    <row r="204" spans="1:12" x14ac:dyDescent="0.25">
      <c r="A204">
        <v>10</v>
      </c>
      <c r="B204">
        <v>2278</v>
      </c>
      <c r="C204">
        <v>114</v>
      </c>
      <c r="D204">
        <v>6</v>
      </c>
      <c r="E204" t="s">
        <v>121</v>
      </c>
      <c r="F204" s="19">
        <v>45771</v>
      </c>
      <c r="G204" t="s">
        <v>122</v>
      </c>
      <c r="H204">
        <v>0</v>
      </c>
      <c r="I204" s="19">
        <v>45837</v>
      </c>
      <c r="J204" s="19">
        <f t="shared" si="6"/>
        <v>45840</v>
      </c>
      <c r="L204">
        <f t="shared" si="7"/>
        <v>69</v>
      </c>
    </row>
    <row r="205" spans="1:12" x14ac:dyDescent="0.25">
      <c r="A205">
        <v>5</v>
      </c>
      <c r="B205">
        <v>3401</v>
      </c>
      <c r="C205">
        <v>411</v>
      </c>
      <c r="D205">
        <v>3</v>
      </c>
      <c r="E205" t="s">
        <v>121</v>
      </c>
      <c r="F205" s="19">
        <v>45771</v>
      </c>
      <c r="G205" t="s">
        <v>120</v>
      </c>
      <c r="H205">
        <v>0</v>
      </c>
      <c r="I205" s="19">
        <v>45848</v>
      </c>
      <c r="J205" s="19">
        <f t="shared" si="6"/>
        <v>45851</v>
      </c>
      <c r="L205">
        <f t="shared" si="7"/>
        <v>80</v>
      </c>
    </row>
    <row r="206" spans="1:12" x14ac:dyDescent="0.25">
      <c r="A206">
        <v>6</v>
      </c>
      <c r="B206">
        <v>2928</v>
      </c>
      <c r="C206">
        <v>50</v>
      </c>
      <c r="D206">
        <v>3</v>
      </c>
      <c r="E206" t="s">
        <v>121</v>
      </c>
      <c r="F206" s="19">
        <v>45771</v>
      </c>
      <c r="G206" t="s">
        <v>122</v>
      </c>
      <c r="H206">
        <v>0</v>
      </c>
      <c r="I206" s="19">
        <v>45848</v>
      </c>
      <c r="J206" s="19">
        <f t="shared" si="6"/>
        <v>45851</v>
      </c>
      <c r="L206">
        <f t="shared" si="7"/>
        <v>80</v>
      </c>
    </row>
    <row r="207" spans="1:12" x14ac:dyDescent="0.25">
      <c r="A207">
        <v>6</v>
      </c>
      <c r="B207">
        <v>3069</v>
      </c>
      <c r="C207">
        <v>61</v>
      </c>
      <c r="D207">
        <v>4</v>
      </c>
      <c r="E207" t="s">
        <v>121</v>
      </c>
      <c r="F207" s="19">
        <v>45771</v>
      </c>
      <c r="G207" t="s">
        <v>122</v>
      </c>
      <c r="H207">
        <v>0</v>
      </c>
      <c r="I207" s="19">
        <v>45850</v>
      </c>
      <c r="J207" s="19">
        <f t="shared" si="6"/>
        <v>45853</v>
      </c>
      <c r="L207">
        <f t="shared" si="7"/>
        <v>82</v>
      </c>
    </row>
    <row r="208" spans="1:12" x14ac:dyDescent="0.25">
      <c r="A208">
        <v>6</v>
      </c>
      <c r="B208">
        <v>3478</v>
      </c>
      <c r="C208">
        <v>391</v>
      </c>
      <c r="D208">
        <v>3</v>
      </c>
      <c r="E208" t="s">
        <v>121</v>
      </c>
      <c r="F208" s="19">
        <v>45771</v>
      </c>
      <c r="G208" t="s">
        <v>120</v>
      </c>
      <c r="H208">
        <v>0</v>
      </c>
      <c r="I208" s="19">
        <v>45868</v>
      </c>
      <c r="J208" s="19">
        <f t="shared" si="6"/>
        <v>45871</v>
      </c>
      <c r="L208">
        <f t="shared" si="7"/>
        <v>100</v>
      </c>
    </row>
    <row r="209" spans="1:12" x14ac:dyDescent="0.25">
      <c r="A209">
        <v>6</v>
      </c>
      <c r="B209">
        <v>2891</v>
      </c>
      <c r="C209">
        <v>227</v>
      </c>
      <c r="D209">
        <v>4</v>
      </c>
      <c r="E209" t="s">
        <v>121</v>
      </c>
      <c r="F209" s="19">
        <v>45771</v>
      </c>
      <c r="G209" t="s">
        <v>122</v>
      </c>
      <c r="H209">
        <v>0</v>
      </c>
      <c r="I209" s="19">
        <v>45871</v>
      </c>
      <c r="J209" s="19">
        <f t="shared" si="6"/>
        <v>45874</v>
      </c>
      <c r="L209">
        <f t="shared" si="7"/>
        <v>103</v>
      </c>
    </row>
    <row r="210" spans="1:12" x14ac:dyDescent="0.25">
      <c r="A210">
        <v>6</v>
      </c>
      <c r="B210">
        <v>4337</v>
      </c>
      <c r="C210">
        <v>382</v>
      </c>
      <c r="D210">
        <v>2</v>
      </c>
      <c r="E210" t="s">
        <v>121</v>
      </c>
      <c r="F210" s="19">
        <v>45771</v>
      </c>
      <c r="G210" t="s">
        <v>120</v>
      </c>
      <c r="H210">
        <v>0</v>
      </c>
      <c r="I210" s="19">
        <v>45877</v>
      </c>
      <c r="J210" s="19">
        <f t="shared" si="6"/>
        <v>45880</v>
      </c>
      <c r="L210">
        <f t="shared" si="7"/>
        <v>109</v>
      </c>
    </row>
    <row r="211" spans="1:12" x14ac:dyDescent="0.25">
      <c r="A211">
        <v>6</v>
      </c>
      <c r="B211">
        <v>2494</v>
      </c>
      <c r="C211">
        <v>378</v>
      </c>
      <c r="D211">
        <v>5</v>
      </c>
      <c r="E211" t="s">
        <v>121</v>
      </c>
      <c r="F211" s="19">
        <v>45771</v>
      </c>
      <c r="G211" t="s">
        <v>125</v>
      </c>
      <c r="H211">
        <v>0</v>
      </c>
      <c r="I211" s="19">
        <v>45881</v>
      </c>
      <c r="J211" s="19">
        <f t="shared" si="6"/>
        <v>45884</v>
      </c>
      <c r="L211">
        <f t="shared" si="7"/>
        <v>113</v>
      </c>
    </row>
    <row r="212" spans="1:12" x14ac:dyDescent="0.25">
      <c r="A212">
        <v>7</v>
      </c>
      <c r="B212">
        <v>3480</v>
      </c>
      <c r="C212">
        <v>336</v>
      </c>
      <c r="D212">
        <v>3</v>
      </c>
      <c r="E212" t="s">
        <v>121</v>
      </c>
      <c r="F212" s="19">
        <v>45771</v>
      </c>
      <c r="G212" t="s">
        <v>122</v>
      </c>
      <c r="H212">
        <v>0</v>
      </c>
      <c r="I212" s="19">
        <v>45899</v>
      </c>
      <c r="J212" s="19">
        <f t="shared" si="6"/>
        <v>45902</v>
      </c>
      <c r="L212">
        <f t="shared" si="7"/>
        <v>131</v>
      </c>
    </row>
    <row r="213" spans="1:12" x14ac:dyDescent="0.25">
      <c r="A213">
        <v>6</v>
      </c>
      <c r="B213">
        <v>3473</v>
      </c>
      <c r="C213">
        <v>48</v>
      </c>
      <c r="D213">
        <v>4</v>
      </c>
      <c r="E213" t="s">
        <v>121</v>
      </c>
      <c r="F213" s="19">
        <v>45771</v>
      </c>
      <c r="G213" t="s">
        <v>122</v>
      </c>
      <c r="H213">
        <v>0</v>
      </c>
      <c r="I213" s="19">
        <v>46113</v>
      </c>
      <c r="J213" s="19">
        <f t="shared" si="6"/>
        <v>46116</v>
      </c>
      <c r="L213">
        <f t="shared" si="7"/>
        <v>345</v>
      </c>
    </row>
    <row r="214" spans="1:12" x14ac:dyDescent="0.25">
      <c r="A214">
        <v>10</v>
      </c>
      <c r="B214">
        <v>3912</v>
      </c>
      <c r="C214">
        <v>17</v>
      </c>
      <c r="D214">
        <v>3</v>
      </c>
      <c r="E214" t="s">
        <v>121</v>
      </c>
      <c r="F214" s="19">
        <v>45771</v>
      </c>
      <c r="G214" t="s">
        <v>122</v>
      </c>
      <c r="H214">
        <v>0</v>
      </c>
      <c r="I214" s="19">
        <v>46131</v>
      </c>
      <c r="J214" s="19">
        <f t="shared" si="6"/>
        <v>46134</v>
      </c>
      <c r="L214">
        <f t="shared" si="7"/>
        <v>363</v>
      </c>
    </row>
    <row r="215" spans="1:12" x14ac:dyDescent="0.25">
      <c r="A215">
        <v>5</v>
      </c>
      <c r="B215">
        <v>3543</v>
      </c>
      <c r="C215">
        <v>425</v>
      </c>
      <c r="D215">
        <v>3</v>
      </c>
      <c r="E215" t="s">
        <v>123</v>
      </c>
      <c r="F215" s="19">
        <v>45778</v>
      </c>
      <c r="G215" t="s">
        <v>120</v>
      </c>
      <c r="H215">
        <v>0</v>
      </c>
      <c r="I215" s="19">
        <v>45834</v>
      </c>
      <c r="J215" s="19">
        <f t="shared" si="6"/>
        <v>45837</v>
      </c>
      <c r="L215">
        <f t="shared" si="7"/>
        <v>59</v>
      </c>
    </row>
    <row r="216" spans="1:12" x14ac:dyDescent="0.25">
      <c r="A216">
        <v>6</v>
      </c>
      <c r="B216">
        <v>4256</v>
      </c>
      <c r="C216">
        <v>241</v>
      </c>
      <c r="D216">
        <v>2</v>
      </c>
      <c r="E216" t="s">
        <v>121</v>
      </c>
      <c r="F216" s="19">
        <v>45778</v>
      </c>
      <c r="G216" t="s">
        <v>122</v>
      </c>
      <c r="H216">
        <v>0</v>
      </c>
      <c r="I216" s="19">
        <v>45849</v>
      </c>
      <c r="J216" s="19">
        <f t="shared" si="6"/>
        <v>45852</v>
      </c>
      <c r="L216">
        <f t="shared" si="7"/>
        <v>74</v>
      </c>
    </row>
    <row r="217" spans="1:12" x14ac:dyDescent="0.25">
      <c r="A217">
        <v>10</v>
      </c>
      <c r="B217">
        <v>3449</v>
      </c>
      <c r="C217">
        <v>240</v>
      </c>
      <c r="D217">
        <v>4</v>
      </c>
      <c r="E217" t="s">
        <v>121</v>
      </c>
      <c r="F217" s="19">
        <v>45778</v>
      </c>
      <c r="G217" t="s">
        <v>122</v>
      </c>
      <c r="H217">
        <v>0</v>
      </c>
      <c r="I217" s="19">
        <v>45850</v>
      </c>
      <c r="J217" s="19">
        <f t="shared" si="6"/>
        <v>45853</v>
      </c>
      <c r="L217">
        <f t="shared" si="7"/>
        <v>75</v>
      </c>
    </row>
    <row r="218" spans="1:12" x14ac:dyDescent="0.25">
      <c r="A218">
        <v>5</v>
      </c>
      <c r="B218">
        <v>3105</v>
      </c>
      <c r="C218">
        <v>369</v>
      </c>
      <c r="D218">
        <v>4</v>
      </c>
      <c r="E218" t="s">
        <v>121</v>
      </c>
      <c r="F218" s="19">
        <v>45778</v>
      </c>
      <c r="G218" t="s">
        <v>132</v>
      </c>
      <c r="H218">
        <v>0</v>
      </c>
      <c r="I218" s="19">
        <v>45890</v>
      </c>
      <c r="J218" s="19">
        <f t="shared" si="6"/>
        <v>45893</v>
      </c>
      <c r="L218">
        <f t="shared" si="7"/>
        <v>115</v>
      </c>
    </row>
    <row r="219" spans="1:12" x14ac:dyDescent="0.25">
      <c r="A219">
        <v>7</v>
      </c>
      <c r="B219">
        <v>3034</v>
      </c>
      <c r="C219">
        <v>262</v>
      </c>
      <c r="D219">
        <v>3</v>
      </c>
      <c r="E219" t="s">
        <v>121</v>
      </c>
      <c r="F219" s="19">
        <v>45778</v>
      </c>
      <c r="G219" t="s">
        <v>122</v>
      </c>
      <c r="H219">
        <v>0</v>
      </c>
      <c r="I219" s="19">
        <v>45948</v>
      </c>
      <c r="J219" s="19">
        <f t="shared" si="6"/>
        <v>45951</v>
      </c>
      <c r="L219">
        <f t="shared" si="7"/>
        <v>173</v>
      </c>
    </row>
    <row r="220" spans="1:12" x14ac:dyDescent="0.25">
      <c r="A220">
        <v>10</v>
      </c>
      <c r="B220">
        <v>3119</v>
      </c>
      <c r="C220">
        <v>87</v>
      </c>
      <c r="D220">
        <v>4</v>
      </c>
      <c r="E220" t="s">
        <v>121</v>
      </c>
      <c r="F220" s="19">
        <v>45785</v>
      </c>
      <c r="G220" t="s">
        <v>122</v>
      </c>
      <c r="H220">
        <v>0</v>
      </c>
      <c r="I220" s="19">
        <v>45824</v>
      </c>
      <c r="J220" s="19">
        <f t="shared" si="6"/>
        <v>45827</v>
      </c>
      <c r="L220">
        <f t="shared" si="7"/>
        <v>42</v>
      </c>
    </row>
    <row r="221" spans="1:12" x14ac:dyDescent="0.25">
      <c r="A221">
        <v>6</v>
      </c>
      <c r="B221">
        <v>4152</v>
      </c>
      <c r="C221">
        <v>267</v>
      </c>
      <c r="D221">
        <v>2</v>
      </c>
      <c r="E221" t="s">
        <v>119</v>
      </c>
      <c r="F221" s="19">
        <v>45785</v>
      </c>
      <c r="G221" t="s">
        <v>122</v>
      </c>
      <c r="H221">
        <v>0</v>
      </c>
      <c r="I221" s="19">
        <v>45831</v>
      </c>
      <c r="J221" s="19">
        <f t="shared" si="6"/>
        <v>45834</v>
      </c>
      <c r="L221">
        <f t="shared" si="7"/>
        <v>49</v>
      </c>
    </row>
    <row r="222" spans="1:12" x14ac:dyDescent="0.25">
      <c r="A222">
        <v>10</v>
      </c>
      <c r="B222">
        <v>1197</v>
      </c>
      <c r="C222">
        <v>81</v>
      </c>
      <c r="D222">
        <v>4</v>
      </c>
      <c r="E222" t="s">
        <v>119</v>
      </c>
      <c r="F222" s="19">
        <v>45785</v>
      </c>
      <c r="G222" t="s">
        <v>122</v>
      </c>
      <c r="H222">
        <v>0</v>
      </c>
      <c r="I222" s="19">
        <v>45835</v>
      </c>
      <c r="J222" s="19">
        <f t="shared" si="6"/>
        <v>45838</v>
      </c>
      <c r="L222">
        <f t="shared" si="7"/>
        <v>53</v>
      </c>
    </row>
    <row r="223" spans="1:12" x14ac:dyDescent="0.25">
      <c r="A223">
        <v>6</v>
      </c>
      <c r="B223">
        <v>4043</v>
      </c>
      <c r="C223">
        <v>417</v>
      </c>
      <c r="D223">
        <v>2</v>
      </c>
      <c r="E223" t="s">
        <v>119</v>
      </c>
      <c r="F223" s="19">
        <v>45785</v>
      </c>
      <c r="G223" t="s">
        <v>120</v>
      </c>
      <c r="H223">
        <v>0</v>
      </c>
      <c r="I223" s="19">
        <v>45842</v>
      </c>
      <c r="J223" s="19">
        <f t="shared" si="6"/>
        <v>45845</v>
      </c>
      <c r="L223">
        <f t="shared" si="7"/>
        <v>60</v>
      </c>
    </row>
    <row r="224" spans="1:12" x14ac:dyDescent="0.25">
      <c r="A224">
        <v>10</v>
      </c>
      <c r="B224">
        <v>1166</v>
      </c>
      <c r="C224">
        <v>393</v>
      </c>
      <c r="D224">
        <v>4</v>
      </c>
      <c r="E224" t="s">
        <v>123</v>
      </c>
      <c r="F224" s="19">
        <v>45785</v>
      </c>
      <c r="G224" t="s">
        <v>122</v>
      </c>
      <c r="H224">
        <v>0</v>
      </c>
      <c r="I224" s="19">
        <v>45842</v>
      </c>
      <c r="J224" s="19">
        <f t="shared" si="6"/>
        <v>45845</v>
      </c>
      <c r="L224">
        <f t="shared" si="7"/>
        <v>60</v>
      </c>
    </row>
    <row r="225" spans="1:12" x14ac:dyDescent="0.25">
      <c r="A225">
        <v>8</v>
      </c>
      <c r="B225">
        <v>3254</v>
      </c>
      <c r="C225">
        <v>377</v>
      </c>
      <c r="D225">
        <v>3</v>
      </c>
      <c r="E225" t="s">
        <v>121</v>
      </c>
      <c r="F225" s="19">
        <v>45785</v>
      </c>
      <c r="G225" t="s">
        <v>122</v>
      </c>
      <c r="H225">
        <v>0</v>
      </c>
      <c r="I225" s="19">
        <v>45858</v>
      </c>
      <c r="J225" s="19">
        <f t="shared" si="6"/>
        <v>45861</v>
      </c>
      <c r="L225">
        <f t="shared" si="7"/>
        <v>76</v>
      </c>
    </row>
    <row r="226" spans="1:12" x14ac:dyDescent="0.25">
      <c r="A226">
        <v>6</v>
      </c>
      <c r="B226">
        <v>2439</v>
      </c>
      <c r="C226">
        <v>366</v>
      </c>
      <c r="D226">
        <v>5</v>
      </c>
      <c r="E226" t="s">
        <v>121</v>
      </c>
      <c r="F226" s="19">
        <v>45785</v>
      </c>
      <c r="G226" t="s">
        <v>125</v>
      </c>
      <c r="H226">
        <v>0</v>
      </c>
      <c r="I226" s="19">
        <v>45893</v>
      </c>
      <c r="J226" s="19">
        <f t="shared" si="6"/>
        <v>45896</v>
      </c>
      <c r="L226">
        <f t="shared" si="7"/>
        <v>111</v>
      </c>
    </row>
    <row r="227" spans="1:12" x14ac:dyDescent="0.25">
      <c r="A227">
        <v>3</v>
      </c>
      <c r="B227">
        <v>4221</v>
      </c>
      <c r="C227">
        <v>5</v>
      </c>
      <c r="D227">
        <v>3</v>
      </c>
      <c r="E227" t="s">
        <v>119</v>
      </c>
      <c r="F227" s="19">
        <v>45785</v>
      </c>
      <c r="G227" t="s">
        <v>122</v>
      </c>
      <c r="H227">
        <v>0</v>
      </c>
      <c r="I227" s="19">
        <v>46184</v>
      </c>
      <c r="J227" s="19">
        <f t="shared" si="6"/>
        <v>46187</v>
      </c>
      <c r="L227">
        <f t="shared" si="7"/>
        <v>402</v>
      </c>
    </row>
    <row r="228" spans="1:12" x14ac:dyDescent="0.25">
      <c r="A228">
        <v>5</v>
      </c>
      <c r="B228">
        <v>3664</v>
      </c>
      <c r="C228">
        <v>414</v>
      </c>
      <c r="D228">
        <v>3</v>
      </c>
      <c r="E228" t="s">
        <v>119</v>
      </c>
      <c r="F228" s="19">
        <v>45792</v>
      </c>
      <c r="G228" t="s">
        <v>120</v>
      </c>
      <c r="H228">
        <v>0</v>
      </c>
      <c r="I228" s="19">
        <v>45845</v>
      </c>
      <c r="J228" s="19">
        <f t="shared" si="6"/>
        <v>45848</v>
      </c>
      <c r="L228">
        <f t="shared" si="7"/>
        <v>56</v>
      </c>
    </row>
    <row r="229" spans="1:12" x14ac:dyDescent="0.25">
      <c r="A229">
        <v>5</v>
      </c>
      <c r="B229">
        <v>4107</v>
      </c>
      <c r="C229">
        <v>414</v>
      </c>
      <c r="D229">
        <v>2</v>
      </c>
      <c r="E229" t="s">
        <v>119</v>
      </c>
      <c r="F229" s="19">
        <v>45792</v>
      </c>
      <c r="G229" t="s">
        <v>120</v>
      </c>
      <c r="H229">
        <v>0</v>
      </c>
      <c r="I229" s="19">
        <v>45845</v>
      </c>
      <c r="J229" s="19">
        <f t="shared" si="6"/>
        <v>45848</v>
      </c>
      <c r="L229">
        <f t="shared" si="7"/>
        <v>56</v>
      </c>
    </row>
    <row r="230" spans="1:12" x14ac:dyDescent="0.25">
      <c r="A230">
        <v>10</v>
      </c>
      <c r="B230">
        <v>4129</v>
      </c>
      <c r="C230">
        <v>251</v>
      </c>
      <c r="D230">
        <v>2</v>
      </c>
      <c r="E230" t="s">
        <v>119</v>
      </c>
      <c r="F230" s="19">
        <v>45792</v>
      </c>
      <c r="G230" t="s">
        <v>122</v>
      </c>
      <c r="H230">
        <v>0</v>
      </c>
      <c r="I230" s="19">
        <v>45847</v>
      </c>
      <c r="J230" s="19">
        <f t="shared" si="6"/>
        <v>45850</v>
      </c>
      <c r="L230">
        <f t="shared" si="7"/>
        <v>58</v>
      </c>
    </row>
    <row r="231" spans="1:12" x14ac:dyDescent="0.25">
      <c r="A231">
        <v>10</v>
      </c>
      <c r="B231">
        <v>595</v>
      </c>
      <c r="C231">
        <v>113</v>
      </c>
      <c r="D231">
        <v>6</v>
      </c>
      <c r="E231" t="s">
        <v>119</v>
      </c>
      <c r="F231" s="19">
        <v>45792</v>
      </c>
      <c r="G231" t="s">
        <v>122</v>
      </c>
      <c r="H231">
        <v>0</v>
      </c>
      <c r="I231" s="19">
        <v>45849</v>
      </c>
      <c r="J231" s="19">
        <f t="shared" si="6"/>
        <v>45852</v>
      </c>
      <c r="L231">
        <f t="shared" si="7"/>
        <v>60</v>
      </c>
    </row>
    <row r="232" spans="1:12" x14ac:dyDescent="0.25">
      <c r="A232">
        <v>6</v>
      </c>
      <c r="B232">
        <v>3994</v>
      </c>
      <c r="C232">
        <v>407</v>
      </c>
      <c r="D232">
        <v>2</v>
      </c>
      <c r="E232" t="s">
        <v>119</v>
      </c>
      <c r="F232" s="19">
        <v>45792</v>
      </c>
      <c r="G232" t="s">
        <v>131</v>
      </c>
      <c r="H232">
        <v>0</v>
      </c>
      <c r="I232" s="19">
        <v>45852</v>
      </c>
      <c r="J232" s="19">
        <f t="shared" si="6"/>
        <v>45855</v>
      </c>
      <c r="L232">
        <f t="shared" si="7"/>
        <v>63</v>
      </c>
    </row>
    <row r="233" spans="1:12" x14ac:dyDescent="0.25">
      <c r="A233">
        <v>10</v>
      </c>
      <c r="B233">
        <v>4250</v>
      </c>
      <c r="C233">
        <v>218</v>
      </c>
      <c r="D233">
        <v>2</v>
      </c>
      <c r="E233" t="s">
        <v>119</v>
      </c>
      <c r="F233" s="19">
        <v>45792</v>
      </c>
      <c r="G233" t="s">
        <v>122</v>
      </c>
      <c r="H233">
        <v>0</v>
      </c>
      <c r="I233" s="19">
        <v>45862</v>
      </c>
      <c r="J233" s="19">
        <f t="shared" si="6"/>
        <v>45865</v>
      </c>
      <c r="L233">
        <f t="shared" si="7"/>
        <v>73</v>
      </c>
    </row>
    <row r="234" spans="1:12" x14ac:dyDescent="0.25">
      <c r="A234">
        <v>6</v>
      </c>
      <c r="B234">
        <v>2385</v>
      </c>
      <c r="C234">
        <v>278</v>
      </c>
      <c r="D234">
        <v>5</v>
      </c>
      <c r="E234" t="s">
        <v>121</v>
      </c>
      <c r="F234" s="19">
        <v>45793</v>
      </c>
      <c r="G234" t="s">
        <v>122</v>
      </c>
      <c r="H234">
        <v>0</v>
      </c>
      <c r="I234" s="19">
        <v>45874</v>
      </c>
      <c r="J234" s="19">
        <f t="shared" ref="J234:J297" si="8">I234+3</f>
        <v>45877</v>
      </c>
      <c r="L234">
        <f t="shared" ref="L234:L297" si="9">J234-F234</f>
        <v>84</v>
      </c>
    </row>
    <row r="235" spans="1:12" x14ac:dyDescent="0.25">
      <c r="A235">
        <v>10</v>
      </c>
      <c r="B235">
        <v>3363</v>
      </c>
      <c r="C235">
        <v>415</v>
      </c>
      <c r="D235">
        <v>4</v>
      </c>
      <c r="E235" t="s">
        <v>123</v>
      </c>
      <c r="F235" s="19">
        <v>45799</v>
      </c>
      <c r="G235" t="s">
        <v>125</v>
      </c>
      <c r="H235">
        <v>0</v>
      </c>
      <c r="I235" s="19">
        <v>45844</v>
      </c>
      <c r="J235" s="19">
        <f t="shared" si="8"/>
        <v>45847</v>
      </c>
      <c r="L235">
        <f t="shared" si="9"/>
        <v>48</v>
      </c>
    </row>
    <row r="236" spans="1:12" x14ac:dyDescent="0.25">
      <c r="A236">
        <v>6</v>
      </c>
      <c r="B236">
        <v>3601</v>
      </c>
      <c r="C236">
        <v>222</v>
      </c>
      <c r="D236">
        <v>4</v>
      </c>
      <c r="E236" t="s">
        <v>121</v>
      </c>
      <c r="F236" s="19">
        <v>45799</v>
      </c>
      <c r="G236" t="s">
        <v>122</v>
      </c>
      <c r="H236">
        <v>0</v>
      </c>
      <c r="I236" s="19">
        <v>45849</v>
      </c>
      <c r="J236" s="19">
        <f t="shared" si="8"/>
        <v>45852</v>
      </c>
      <c r="L236">
        <f t="shared" si="9"/>
        <v>53</v>
      </c>
    </row>
    <row r="237" spans="1:12" x14ac:dyDescent="0.25">
      <c r="A237">
        <v>10</v>
      </c>
      <c r="B237">
        <v>998</v>
      </c>
      <c r="C237">
        <v>45</v>
      </c>
      <c r="D237">
        <v>6</v>
      </c>
      <c r="E237" t="s">
        <v>121</v>
      </c>
      <c r="F237" s="19">
        <v>45799</v>
      </c>
      <c r="G237" t="s">
        <v>122</v>
      </c>
      <c r="H237">
        <v>0</v>
      </c>
      <c r="I237" s="19">
        <v>45858</v>
      </c>
      <c r="J237" s="19">
        <f t="shared" si="8"/>
        <v>45861</v>
      </c>
      <c r="L237">
        <f t="shared" si="9"/>
        <v>62</v>
      </c>
    </row>
    <row r="238" spans="1:12" x14ac:dyDescent="0.25">
      <c r="A238">
        <v>6</v>
      </c>
      <c r="B238">
        <v>2049</v>
      </c>
      <c r="C238">
        <v>327</v>
      </c>
      <c r="D238">
        <v>6</v>
      </c>
      <c r="E238" t="s">
        <v>121</v>
      </c>
      <c r="F238" s="19">
        <v>45799</v>
      </c>
      <c r="G238" t="s">
        <v>122</v>
      </c>
      <c r="H238">
        <v>0</v>
      </c>
      <c r="I238" s="19">
        <v>45862</v>
      </c>
      <c r="J238" s="19">
        <f t="shared" si="8"/>
        <v>45865</v>
      </c>
      <c r="L238">
        <f t="shared" si="9"/>
        <v>66</v>
      </c>
    </row>
    <row r="239" spans="1:12" x14ac:dyDescent="0.25">
      <c r="A239">
        <v>5</v>
      </c>
      <c r="B239">
        <v>4204</v>
      </c>
      <c r="C239">
        <v>394</v>
      </c>
      <c r="D239">
        <v>2</v>
      </c>
      <c r="E239" t="s">
        <v>123</v>
      </c>
      <c r="F239" s="19">
        <v>45799</v>
      </c>
      <c r="G239" t="s">
        <v>120</v>
      </c>
      <c r="H239">
        <v>0</v>
      </c>
      <c r="I239" s="19">
        <v>45865</v>
      </c>
      <c r="J239" s="19">
        <f t="shared" si="8"/>
        <v>45868</v>
      </c>
      <c r="L239">
        <f t="shared" si="9"/>
        <v>69</v>
      </c>
    </row>
    <row r="240" spans="1:12" x14ac:dyDescent="0.25">
      <c r="A240">
        <v>10</v>
      </c>
      <c r="B240">
        <v>4350</v>
      </c>
      <c r="C240">
        <v>250</v>
      </c>
      <c r="D240">
        <v>2</v>
      </c>
      <c r="E240" t="s">
        <v>121</v>
      </c>
      <c r="F240" s="19">
        <v>45799</v>
      </c>
      <c r="G240" t="s">
        <v>122</v>
      </c>
      <c r="H240">
        <v>0</v>
      </c>
      <c r="I240" s="19">
        <v>45870</v>
      </c>
      <c r="J240" s="19">
        <f t="shared" si="8"/>
        <v>45873</v>
      </c>
      <c r="L240">
        <f t="shared" si="9"/>
        <v>74</v>
      </c>
    </row>
    <row r="241" spans="1:12" x14ac:dyDescent="0.25">
      <c r="A241">
        <v>6</v>
      </c>
      <c r="B241">
        <v>4326</v>
      </c>
      <c r="C241">
        <v>389</v>
      </c>
      <c r="D241">
        <v>2</v>
      </c>
      <c r="E241" t="s">
        <v>121</v>
      </c>
      <c r="F241" s="19">
        <v>45799</v>
      </c>
      <c r="G241" t="s">
        <v>120</v>
      </c>
      <c r="H241">
        <v>0</v>
      </c>
      <c r="I241" s="19">
        <v>45870</v>
      </c>
      <c r="J241" s="19">
        <f t="shared" si="8"/>
        <v>45873</v>
      </c>
      <c r="L241">
        <f t="shared" si="9"/>
        <v>74</v>
      </c>
    </row>
    <row r="242" spans="1:12" x14ac:dyDescent="0.25">
      <c r="A242">
        <v>6</v>
      </c>
      <c r="B242">
        <v>3767</v>
      </c>
      <c r="C242">
        <v>278</v>
      </c>
      <c r="D242">
        <v>3</v>
      </c>
      <c r="E242" t="s">
        <v>121</v>
      </c>
      <c r="F242" s="19">
        <v>45799</v>
      </c>
      <c r="G242" t="s">
        <v>132</v>
      </c>
      <c r="H242">
        <v>0</v>
      </c>
      <c r="I242" s="19">
        <v>45981</v>
      </c>
      <c r="J242" s="19">
        <f t="shared" si="8"/>
        <v>45984</v>
      </c>
      <c r="L242">
        <f t="shared" si="9"/>
        <v>185</v>
      </c>
    </row>
    <row r="243" spans="1:12" x14ac:dyDescent="0.25">
      <c r="A243">
        <v>6</v>
      </c>
      <c r="B243">
        <v>3590</v>
      </c>
      <c r="C243">
        <v>401</v>
      </c>
      <c r="D243">
        <v>3</v>
      </c>
      <c r="E243" t="s">
        <v>121</v>
      </c>
      <c r="F243" s="19">
        <v>45806</v>
      </c>
      <c r="G243" t="s">
        <v>120</v>
      </c>
      <c r="H243">
        <v>0</v>
      </c>
      <c r="I243" s="19">
        <v>45858</v>
      </c>
      <c r="J243" s="19">
        <f t="shared" si="8"/>
        <v>45861</v>
      </c>
      <c r="L243">
        <f t="shared" si="9"/>
        <v>55</v>
      </c>
    </row>
    <row r="244" spans="1:12" x14ac:dyDescent="0.25">
      <c r="A244">
        <v>10</v>
      </c>
      <c r="B244">
        <v>2996</v>
      </c>
      <c r="C244">
        <v>316</v>
      </c>
      <c r="D244">
        <v>4</v>
      </c>
      <c r="E244" t="s">
        <v>121</v>
      </c>
      <c r="F244" s="19">
        <v>45806</v>
      </c>
      <c r="G244" t="s">
        <v>122</v>
      </c>
      <c r="H244">
        <v>0</v>
      </c>
      <c r="I244" s="19">
        <v>45859</v>
      </c>
      <c r="J244" s="19">
        <f t="shared" si="8"/>
        <v>45862</v>
      </c>
      <c r="L244">
        <f t="shared" si="9"/>
        <v>56</v>
      </c>
    </row>
    <row r="245" spans="1:12" x14ac:dyDescent="0.25">
      <c r="A245">
        <v>6</v>
      </c>
      <c r="B245">
        <v>3835</v>
      </c>
      <c r="C245">
        <v>196</v>
      </c>
      <c r="D245">
        <v>2</v>
      </c>
      <c r="E245" t="s">
        <v>123</v>
      </c>
      <c r="F245" s="19">
        <v>45806</v>
      </c>
      <c r="G245" t="s">
        <v>122</v>
      </c>
      <c r="H245">
        <v>0</v>
      </c>
      <c r="I245" s="19">
        <v>45860</v>
      </c>
      <c r="J245" s="19">
        <f t="shared" si="8"/>
        <v>45863</v>
      </c>
      <c r="L245">
        <f t="shared" si="9"/>
        <v>57</v>
      </c>
    </row>
    <row r="246" spans="1:12" x14ac:dyDescent="0.25">
      <c r="A246">
        <v>3</v>
      </c>
      <c r="B246">
        <v>4322</v>
      </c>
      <c r="C246">
        <v>395</v>
      </c>
      <c r="D246">
        <v>2</v>
      </c>
      <c r="E246" t="s">
        <v>123</v>
      </c>
      <c r="F246" s="19">
        <v>45806</v>
      </c>
      <c r="G246" t="s">
        <v>120</v>
      </c>
      <c r="H246">
        <v>0</v>
      </c>
      <c r="I246" s="19">
        <v>45864</v>
      </c>
      <c r="J246" s="19">
        <f t="shared" si="8"/>
        <v>45867</v>
      </c>
      <c r="L246">
        <f t="shared" si="9"/>
        <v>61</v>
      </c>
    </row>
    <row r="247" spans="1:12" x14ac:dyDescent="0.25">
      <c r="A247">
        <v>5</v>
      </c>
      <c r="B247">
        <v>3028</v>
      </c>
      <c r="C247">
        <v>388</v>
      </c>
      <c r="D247">
        <v>3</v>
      </c>
      <c r="E247" t="s">
        <v>121</v>
      </c>
      <c r="F247" s="19">
        <v>45806</v>
      </c>
      <c r="G247" t="s">
        <v>120</v>
      </c>
      <c r="H247">
        <v>0</v>
      </c>
      <c r="I247" s="19">
        <v>45871</v>
      </c>
      <c r="J247" s="19">
        <f t="shared" si="8"/>
        <v>45874</v>
      </c>
      <c r="L247">
        <f t="shared" si="9"/>
        <v>68</v>
      </c>
    </row>
    <row r="248" spans="1:12" x14ac:dyDescent="0.25">
      <c r="A248">
        <v>20</v>
      </c>
      <c r="B248">
        <v>3535</v>
      </c>
      <c r="C248">
        <v>232</v>
      </c>
      <c r="D248">
        <v>3</v>
      </c>
      <c r="E248" t="s">
        <v>121</v>
      </c>
      <c r="F248" s="19">
        <v>45806</v>
      </c>
      <c r="G248" t="s">
        <v>122</v>
      </c>
      <c r="H248">
        <v>0</v>
      </c>
      <c r="I248" s="19">
        <v>45901</v>
      </c>
      <c r="J248" s="19">
        <f t="shared" si="8"/>
        <v>45904</v>
      </c>
      <c r="L248">
        <f t="shared" si="9"/>
        <v>98</v>
      </c>
    </row>
    <row r="249" spans="1:12" x14ac:dyDescent="0.25">
      <c r="A249">
        <v>6</v>
      </c>
      <c r="B249">
        <v>145</v>
      </c>
      <c r="C249">
        <v>6</v>
      </c>
      <c r="D249">
        <v>5</v>
      </c>
      <c r="E249" t="s">
        <v>121</v>
      </c>
      <c r="F249" s="19">
        <v>45806</v>
      </c>
      <c r="G249" t="s">
        <v>122</v>
      </c>
      <c r="H249">
        <v>0</v>
      </c>
      <c r="I249" s="19">
        <v>45905</v>
      </c>
      <c r="J249" s="19">
        <f t="shared" si="8"/>
        <v>45908</v>
      </c>
      <c r="L249">
        <f t="shared" si="9"/>
        <v>102</v>
      </c>
    </row>
    <row r="250" spans="1:12" x14ac:dyDescent="0.25">
      <c r="A250">
        <v>5</v>
      </c>
      <c r="B250">
        <v>4032</v>
      </c>
      <c r="C250">
        <v>395</v>
      </c>
      <c r="D250">
        <v>2</v>
      </c>
      <c r="E250" t="s">
        <v>121</v>
      </c>
      <c r="F250" s="19">
        <v>45813</v>
      </c>
      <c r="G250" t="s">
        <v>120</v>
      </c>
      <c r="H250">
        <v>0</v>
      </c>
      <c r="I250" s="19">
        <v>45864</v>
      </c>
      <c r="J250" s="19">
        <f t="shared" si="8"/>
        <v>45867</v>
      </c>
      <c r="L250">
        <f t="shared" si="9"/>
        <v>54</v>
      </c>
    </row>
    <row r="251" spans="1:12" x14ac:dyDescent="0.25">
      <c r="A251">
        <v>5</v>
      </c>
      <c r="B251">
        <v>3663</v>
      </c>
      <c r="C251">
        <v>394</v>
      </c>
      <c r="D251">
        <v>3</v>
      </c>
      <c r="E251" t="s">
        <v>123</v>
      </c>
      <c r="F251" s="19">
        <v>45813</v>
      </c>
      <c r="G251" t="s">
        <v>125</v>
      </c>
      <c r="H251">
        <v>0</v>
      </c>
      <c r="I251" s="19">
        <v>45865</v>
      </c>
      <c r="J251" s="19">
        <f t="shared" si="8"/>
        <v>45868</v>
      </c>
      <c r="L251">
        <f t="shared" si="9"/>
        <v>55</v>
      </c>
    </row>
    <row r="252" spans="1:12" x14ac:dyDescent="0.25">
      <c r="A252">
        <v>5</v>
      </c>
      <c r="B252">
        <v>4176</v>
      </c>
      <c r="C252">
        <v>393</v>
      </c>
      <c r="D252">
        <v>2</v>
      </c>
      <c r="E252" t="s">
        <v>123</v>
      </c>
      <c r="F252" s="19">
        <v>45813</v>
      </c>
      <c r="G252" t="s">
        <v>120</v>
      </c>
      <c r="H252">
        <v>0</v>
      </c>
      <c r="I252" s="19">
        <v>45866</v>
      </c>
      <c r="J252" s="19">
        <f t="shared" si="8"/>
        <v>45869</v>
      </c>
      <c r="L252">
        <f t="shared" si="9"/>
        <v>56</v>
      </c>
    </row>
    <row r="253" spans="1:12" x14ac:dyDescent="0.25">
      <c r="A253">
        <v>6</v>
      </c>
      <c r="B253">
        <v>3544</v>
      </c>
      <c r="C253">
        <v>143</v>
      </c>
      <c r="D253">
        <v>3</v>
      </c>
      <c r="E253" t="s">
        <v>121</v>
      </c>
      <c r="F253" s="19">
        <v>45813</v>
      </c>
      <c r="G253" t="s">
        <v>122</v>
      </c>
      <c r="H253">
        <v>0</v>
      </c>
      <c r="I253" s="19">
        <v>45870</v>
      </c>
      <c r="J253" s="19">
        <f t="shared" si="8"/>
        <v>45873</v>
      </c>
      <c r="L253">
        <f t="shared" si="9"/>
        <v>60</v>
      </c>
    </row>
    <row r="254" spans="1:12" x14ac:dyDescent="0.25">
      <c r="A254">
        <v>20</v>
      </c>
      <c r="B254">
        <v>3464</v>
      </c>
      <c r="C254">
        <v>262</v>
      </c>
      <c r="D254">
        <v>3</v>
      </c>
      <c r="E254" t="s">
        <v>123</v>
      </c>
      <c r="F254" s="19">
        <v>45813</v>
      </c>
      <c r="G254" t="s">
        <v>122</v>
      </c>
      <c r="H254">
        <v>0</v>
      </c>
      <c r="I254" s="19">
        <v>45871</v>
      </c>
      <c r="J254" s="19">
        <f t="shared" si="8"/>
        <v>45874</v>
      </c>
      <c r="L254">
        <f t="shared" si="9"/>
        <v>61</v>
      </c>
    </row>
    <row r="255" spans="1:12" x14ac:dyDescent="0.25">
      <c r="A255">
        <v>10</v>
      </c>
      <c r="B255">
        <v>3253</v>
      </c>
      <c r="C255">
        <v>184</v>
      </c>
      <c r="D255">
        <v>3</v>
      </c>
      <c r="E255" t="s">
        <v>121</v>
      </c>
      <c r="F255" s="19">
        <v>45813</v>
      </c>
      <c r="G255" t="s">
        <v>122</v>
      </c>
      <c r="H255">
        <v>0</v>
      </c>
      <c r="I255" s="19">
        <v>45889</v>
      </c>
      <c r="J255" s="19">
        <f t="shared" si="8"/>
        <v>45892</v>
      </c>
      <c r="L255">
        <f t="shared" si="9"/>
        <v>79</v>
      </c>
    </row>
    <row r="256" spans="1:12" x14ac:dyDescent="0.25">
      <c r="A256">
        <v>3</v>
      </c>
      <c r="B256">
        <v>3572</v>
      </c>
      <c r="C256">
        <v>220</v>
      </c>
      <c r="D256">
        <v>3</v>
      </c>
      <c r="E256" t="s">
        <v>121</v>
      </c>
      <c r="F256" s="19">
        <v>45813</v>
      </c>
      <c r="G256" t="s">
        <v>120</v>
      </c>
      <c r="H256">
        <v>0</v>
      </c>
      <c r="I256" s="19">
        <v>46039</v>
      </c>
      <c r="J256" s="19">
        <f t="shared" si="8"/>
        <v>46042</v>
      </c>
      <c r="L256">
        <f t="shared" si="9"/>
        <v>229</v>
      </c>
    </row>
    <row r="257" spans="1:12" x14ac:dyDescent="0.25">
      <c r="A257">
        <v>10</v>
      </c>
      <c r="B257">
        <v>4198</v>
      </c>
      <c r="C257">
        <v>132</v>
      </c>
      <c r="D257">
        <v>2</v>
      </c>
      <c r="E257" t="s">
        <v>123</v>
      </c>
      <c r="F257" s="19">
        <v>45820</v>
      </c>
      <c r="G257" t="s">
        <v>122</v>
      </c>
      <c r="H257">
        <v>0</v>
      </c>
      <c r="I257" s="19">
        <v>45867</v>
      </c>
      <c r="J257" s="19">
        <f t="shared" si="8"/>
        <v>45870</v>
      </c>
      <c r="L257">
        <f t="shared" si="9"/>
        <v>50</v>
      </c>
    </row>
    <row r="258" spans="1:12" x14ac:dyDescent="0.25">
      <c r="A258">
        <v>6</v>
      </c>
      <c r="B258">
        <v>3350</v>
      </c>
      <c r="C258">
        <v>388</v>
      </c>
      <c r="D258">
        <v>3</v>
      </c>
      <c r="E258" t="s">
        <v>123</v>
      </c>
      <c r="F258" s="19">
        <v>45820</v>
      </c>
      <c r="G258" t="s">
        <v>120</v>
      </c>
      <c r="H258">
        <v>0</v>
      </c>
      <c r="I258" s="19">
        <v>45871</v>
      </c>
      <c r="J258" s="19">
        <f t="shared" si="8"/>
        <v>45874</v>
      </c>
      <c r="L258">
        <f t="shared" si="9"/>
        <v>54</v>
      </c>
    </row>
    <row r="259" spans="1:12" x14ac:dyDescent="0.25">
      <c r="A259">
        <v>5</v>
      </c>
      <c r="B259">
        <v>4180</v>
      </c>
      <c r="C259">
        <v>388</v>
      </c>
      <c r="D259">
        <v>2</v>
      </c>
      <c r="E259" t="s">
        <v>123</v>
      </c>
      <c r="F259" s="19">
        <v>45820</v>
      </c>
      <c r="G259" t="s">
        <v>120</v>
      </c>
      <c r="H259">
        <v>0</v>
      </c>
      <c r="I259" s="19">
        <v>45871</v>
      </c>
      <c r="J259" s="19">
        <f t="shared" si="8"/>
        <v>45874</v>
      </c>
      <c r="L259">
        <f t="shared" si="9"/>
        <v>54</v>
      </c>
    </row>
    <row r="260" spans="1:12" x14ac:dyDescent="0.25">
      <c r="A260">
        <v>5</v>
      </c>
      <c r="B260">
        <v>3630</v>
      </c>
      <c r="C260">
        <v>386</v>
      </c>
      <c r="D260">
        <v>3</v>
      </c>
      <c r="E260" t="s">
        <v>123</v>
      </c>
      <c r="F260" s="19">
        <v>45820</v>
      </c>
      <c r="G260" t="s">
        <v>120</v>
      </c>
      <c r="H260">
        <v>0</v>
      </c>
      <c r="I260" s="19">
        <v>45873</v>
      </c>
      <c r="J260" s="19">
        <f t="shared" si="8"/>
        <v>45876</v>
      </c>
      <c r="L260">
        <f t="shared" si="9"/>
        <v>56</v>
      </c>
    </row>
    <row r="261" spans="1:12" x14ac:dyDescent="0.25">
      <c r="A261">
        <v>5</v>
      </c>
      <c r="B261">
        <v>3990</v>
      </c>
      <c r="C261">
        <v>381</v>
      </c>
      <c r="D261">
        <v>2</v>
      </c>
      <c r="E261" t="s">
        <v>123</v>
      </c>
      <c r="F261" s="19">
        <v>45820</v>
      </c>
      <c r="G261" t="s">
        <v>132</v>
      </c>
      <c r="H261">
        <v>0</v>
      </c>
      <c r="I261" s="19">
        <v>45878</v>
      </c>
      <c r="J261" s="19">
        <f t="shared" si="8"/>
        <v>45881</v>
      </c>
      <c r="L261">
        <f t="shared" si="9"/>
        <v>61</v>
      </c>
    </row>
    <row r="262" spans="1:12" x14ac:dyDescent="0.25">
      <c r="A262">
        <v>10</v>
      </c>
      <c r="B262">
        <v>4356</v>
      </c>
      <c r="C262">
        <v>381</v>
      </c>
      <c r="D262">
        <v>2</v>
      </c>
      <c r="E262" t="s">
        <v>123</v>
      </c>
      <c r="F262" s="19">
        <v>45820</v>
      </c>
      <c r="G262" t="s">
        <v>120</v>
      </c>
      <c r="H262">
        <v>0</v>
      </c>
      <c r="I262" s="19">
        <v>45878</v>
      </c>
      <c r="J262" s="19">
        <f t="shared" si="8"/>
        <v>45881</v>
      </c>
      <c r="L262">
        <f t="shared" si="9"/>
        <v>61</v>
      </c>
    </row>
    <row r="263" spans="1:12" x14ac:dyDescent="0.25">
      <c r="A263">
        <v>6</v>
      </c>
      <c r="B263">
        <v>3297</v>
      </c>
      <c r="C263">
        <v>380</v>
      </c>
      <c r="D263">
        <v>3</v>
      </c>
      <c r="E263" t="s">
        <v>123</v>
      </c>
      <c r="F263" s="19">
        <v>45820</v>
      </c>
      <c r="G263" t="s">
        <v>120</v>
      </c>
      <c r="H263">
        <v>0</v>
      </c>
      <c r="I263" s="19">
        <v>45879</v>
      </c>
      <c r="J263" s="19">
        <f t="shared" si="8"/>
        <v>45882</v>
      </c>
      <c r="L263">
        <f t="shared" si="9"/>
        <v>62</v>
      </c>
    </row>
    <row r="264" spans="1:12" x14ac:dyDescent="0.25">
      <c r="A264">
        <v>6</v>
      </c>
      <c r="B264">
        <v>3898</v>
      </c>
      <c r="C264">
        <v>294</v>
      </c>
      <c r="D264">
        <v>2</v>
      </c>
      <c r="E264" t="s">
        <v>121</v>
      </c>
      <c r="F264" s="19">
        <v>45820</v>
      </c>
      <c r="G264" t="s">
        <v>122</v>
      </c>
      <c r="H264">
        <v>0</v>
      </c>
      <c r="I264" s="19">
        <v>45910</v>
      </c>
      <c r="J264" s="19">
        <f t="shared" si="8"/>
        <v>45913</v>
      </c>
      <c r="L264">
        <f t="shared" si="9"/>
        <v>93</v>
      </c>
    </row>
    <row r="265" spans="1:12" x14ac:dyDescent="0.25">
      <c r="A265">
        <v>5</v>
      </c>
      <c r="B265">
        <v>4055</v>
      </c>
      <c r="C265">
        <v>324</v>
      </c>
      <c r="D265">
        <v>3</v>
      </c>
      <c r="E265" t="s">
        <v>121</v>
      </c>
      <c r="F265" s="19">
        <v>45820</v>
      </c>
      <c r="G265" t="s">
        <v>120</v>
      </c>
      <c r="H265">
        <v>0</v>
      </c>
      <c r="I265" s="19">
        <v>45935</v>
      </c>
      <c r="J265" s="19">
        <f t="shared" si="8"/>
        <v>45938</v>
      </c>
      <c r="L265">
        <f t="shared" si="9"/>
        <v>118</v>
      </c>
    </row>
    <row r="266" spans="1:12" x14ac:dyDescent="0.25">
      <c r="A266">
        <v>3</v>
      </c>
      <c r="B266">
        <v>3981</v>
      </c>
      <c r="C266">
        <v>120</v>
      </c>
      <c r="D266">
        <v>2</v>
      </c>
      <c r="E266" t="s">
        <v>123</v>
      </c>
      <c r="F266" s="19">
        <v>45826</v>
      </c>
      <c r="G266" t="s">
        <v>122</v>
      </c>
      <c r="H266">
        <v>0</v>
      </c>
      <c r="I266" s="19">
        <v>45876</v>
      </c>
      <c r="J266" s="19">
        <f t="shared" si="8"/>
        <v>45879</v>
      </c>
      <c r="L266">
        <f t="shared" si="9"/>
        <v>53</v>
      </c>
    </row>
    <row r="267" spans="1:12" x14ac:dyDescent="0.25">
      <c r="A267">
        <v>10</v>
      </c>
      <c r="B267">
        <v>4436</v>
      </c>
      <c r="C267">
        <v>155</v>
      </c>
      <c r="D267">
        <v>2</v>
      </c>
      <c r="E267" t="s">
        <v>123</v>
      </c>
      <c r="F267" s="19">
        <v>45826</v>
      </c>
      <c r="G267" t="s">
        <v>122</v>
      </c>
      <c r="H267">
        <v>0</v>
      </c>
      <c r="I267" s="19">
        <v>45876</v>
      </c>
      <c r="J267" s="19">
        <f t="shared" si="8"/>
        <v>45879</v>
      </c>
      <c r="L267">
        <f t="shared" si="9"/>
        <v>53</v>
      </c>
    </row>
    <row r="268" spans="1:12" x14ac:dyDescent="0.25">
      <c r="A268">
        <v>10</v>
      </c>
      <c r="B268">
        <v>4089</v>
      </c>
      <c r="C268">
        <v>20</v>
      </c>
      <c r="D268">
        <v>2</v>
      </c>
      <c r="E268" t="s">
        <v>121</v>
      </c>
      <c r="F268" s="19">
        <v>45826</v>
      </c>
      <c r="G268" t="s">
        <v>122</v>
      </c>
      <c r="H268">
        <v>0</v>
      </c>
      <c r="I268" s="19">
        <v>45881</v>
      </c>
      <c r="J268" s="19">
        <f t="shared" si="8"/>
        <v>45884</v>
      </c>
      <c r="L268">
        <f t="shared" si="9"/>
        <v>58</v>
      </c>
    </row>
    <row r="269" spans="1:12" x14ac:dyDescent="0.25">
      <c r="A269">
        <v>3</v>
      </c>
      <c r="B269">
        <v>4216</v>
      </c>
      <c r="C269">
        <v>378</v>
      </c>
      <c r="D269">
        <v>2</v>
      </c>
      <c r="E269" t="s">
        <v>123</v>
      </c>
      <c r="F269" s="19">
        <v>45826</v>
      </c>
      <c r="G269" t="s">
        <v>132</v>
      </c>
      <c r="H269">
        <v>0</v>
      </c>
      <c r="I269" s="19">
        <v>45881</v>
      </c>
      <c r="J269" s="19">
        <f t="shared" si="8"/>
        <v>45884</v>
      </c>
      <c r="L269">
        <f t="shared" si="9"/>
        <v>58</v>
      </c>
    </row>
    <row r="270" spans="1:12" x14ac:dyDescent="0.25">
      <c r="A270">
        <v>6</v>
      </c>
      <c r="B270">
        <v>3985</v>
      </c>
      <c r="C270">
        <v>373</v>
      </c>
      <c r="D270">
        <v>2</v>
      </c>
      <c r="E270" t="s">
        <v>123</v>
      </c>
      <c r="F270" s="19">
        <v>45826</v>
      </c>
      <c r="G270" t="s">
        <v>120</v>
      </c>
      <c r="H270">
        <v>0</v>
      </c>
      <c r="I270" s="19">
        <v>45886</v>
      </c>
      <c r="J270" s="19">
        <f t="shared" si="8"/>
        <v>45889</v>
      </c>
      <c r="L270">
        <f t="shared" si="9"/>
        <v>63</v>
      </c>
    </row>
    <row r="271" spans="1:12" x14ac:dyDescent="0.25">
      <c r="A271">
        <v>5</v>
      </c>
      <c r="B271">
        <v>4083</v>
      </c>
      <c r="C271">
        <v>372</v>
      </c>
      <c r="D271">
        <v>2</v>
      </c>
      <c r="E271" t="s">
        <v>123</v>
      </c>
      <c r="F271" s="19">
        <v>45826</v>
      </c>
      <c r="G271" t="s">
        <v>120</v>
      </c>
      <c r="H271">
        <v>0</v>
      </c>
      <c r="I271" s="19">
        <v>45887</v>
      </c>
      <c r="J271" s="19">
        <f t="shared" si="8"/>
        <v>45890</v>
      </c>
      <c r="L271">
        <f t="shared" si="9"/>
        <v>64</v>
      </c>
    </row>
    <row r="272" spans="1:12" x14ac:dyDescent="0.25">
      <c r="A272">
        <v>6</v>
      </c>
      <c r="B272">
        <v>3662</v>
      </c>
      <c r="C272">
        <v>306</v>
      </c>
      <c r="D272">
        <v>3</v>
      </c>
      <c r="E272" t="s">
        <v>121</v>
      </c>
      <c r="F272" s="19">
        <v>45826</v>
      </c>
      <c r="G272" t="s">
        <v>122</v>
      </c>
      <c r="H272">
        <v>0</v>
      </c>
      <c r="I272" s="19">
        <v>45889</v>
      </c>
      <c r="J272" s="19">
        <f t="shared" si="8"/>
        <v>45892</v>
      </c>
      <c r="L272">
        <f t="shared" si="9"/>
        <v>66</v>
      </c>
    </row>
    <row r="273" spans="1:12" x14ac:dyDescent="0.25">
      <c r="A273">
        <v>6</v>
      </c>
      <c r="B273">
        <v>4021</v>
      </c>
      <c r="C273">
        <v>228</v>
      </c>
      <c r="D273">
        <v>2</v>
      </c>
      <c r="E273" t="s">
        <v>121</v>
      </c>
      <c r="F273" s="19">
        <v>45826</v>
      </c>
      <c r="G273" t="s">
        <v>122</v>
      </c>
      <c r="H273">
        <v>0</v>
      </c>
      <c r="I273" s="19">
        <v>45891</v>
      </c>
      <c r="J273" s="19">
        <f t="shared" si="8"/>
        <v>45894</v>
      </c>
      <c r="L273">
        <f t="shared" si="9"/>
        <v>68</v>
      </c>
    </row>
    <row r="274" spans="1:12" x14ac:dyDescent="0.25">
      <c r="A274">
        <v>2</v>
      </c>
      <c r="B274">
        <v>3207</v>
      </c>
      <c r="C274">
        <v>253</v>
      </c>
      <c r="D274">
        <v>3</v>
      </c>
      <c r="E274" t="s">
        <v>121</v>
      </c>
      <c r="F274" s="19">
        <v>45826</v>
      </c>
      <c r="G274" t="s">
        <v>122</v>
      </c>
      <c r="H274">
        <v>0</v>
      </c>
      <c r="I274" s="19">
        <v>45895</v>
      </c>
      <c r="J274" s="19">
        <f t="shared" si="8"/>
        <v>45898</v>
      </c>
      <c r="L274">
        <f t="shared" si="9"/>
        <v>72</v>
      </c>
    </row>
    <row r="275" spans="1:12" x14ac:dyDescent="0.25">
      <c r="A275">
        <v>6</v>
      </c>
      <c r="B275">
        <v>3211</v>
      </c>
      <c r="C275">
        <v>332</v>
      </c>
      <c r="D275">
        <v>4</v>
      </c>
      <c r="E275" t="s">
        <v>121</v>
      </c>
      <c r="F275" s="19">
        <v>45826</v>
      </c>
      <c r="G275" t="s">
        <v>125</v>
      </c>
      <c r="H275">
        <v>0</v>
      </c>
      <c r="I275" s="19">
        <v>45927</v>
      </c>
      <c r="J275" s="19">
        <f t="shared" si="8"/>
        <v>45930</v>
      </c>
      <c r="L275">
        <f t="shared" si="9"/>
        <v>104</v>
      </c>
    </row>
    <row r="276" spans="1:12" x14ac:dyDescent="0.25">
      <c r="A276">
        <v>20</v>
      </c>
      <c r="B276">
        <v>3734</v>
      </c>
      <c r="C276">
        <v>194</v>
      </c>
      <c r="D276">
        <v>3</v>
      </c>
      <c r="E276" t="s">
        <v>121</v>
      </c>
      <c r="F276" s="19">
        <v>45826</v>
      </c>
      <c r="G276" t="s">
        <v>122</v>
      </c>
      <c r="H276">
        <v>0</v>
      </c>
      <c r="I276" s="19">
        <v>45939</v>
      </c>
      <c r="J276" s="19">
        <f t="shared" si="8"/>
        <v>45942</v>
      </c>
      <c r="L276">
        <f t="shared" si="9"/>
        <v>116</v>
      </c>
    </row>
    <row r="277" spans="1:12" x14ac:dyDescent="0.25">
      <c r="A277">
        <v>5</v>
      </c>
      <c r="B277">
        <v>3795</v>
      </c>
      <c r="C277">
        <v>79</v>
      </c>
      <c r="D277">
        <v>3</v>
      </c>
      <c r="E277" t="s">
        <v>121</v>
      </c>
      <c r="F277" s="19">
        <v>45826</v>
      </c>
      <c r="G277" t="s">
        <v>122</v>
      </c>
      <c r="H277">
        <v>0</v>
      </c>
      <c r="I277" s="19">
        <v>45977</v>
      </c>
      <c r="J277" s="19">
        <f t="shared" si="8"/>
        <v>45980</v>
      </c>
      <c r="L277">
        <f t="shared" si="9"/>
        <v>154</v>
      </c>
    </row>
    <row r="278" spans="1:12" x14ac:dyDescent="0.25">
      <c r="A278">
        <v>3</v>
      </c>
      <c r="B278">
        <v>3357</v>
      </c>
      <c r="C278">
        <v>251</v>
      </c>
      <c r="D278">
        <v>4</v>
      </c>
      <c r="E278" t="s">
        <v>121</v>
      </c>
      <c r="F278" s="19">
        <v>45826</v>
      </c>
      <c r="G278" t="s">
        <v>132</v>
      </c>
      <c r="H278">
        <v>0</v>
      </c>
      <c r="I278" s="19">
        <v>46008</v>
      </c>
      <c r="J278" s="19">
        <f t="shared" si="8"/>
        <v>46011</v>
      </c>
      <c r="L278">
        <f t="shared" si="9"/>
        <v>185</v>
      </c>
    </row>
    <row r="279" spans="1:12" x14ac:dyDescent="0.25">
      <c r="A279">
        <v>6</v>
      </c>
      <c r="B279">
        <v>4818</v>
      </c>
      <c r="C279">
        <v>240</v>
      </c>
      <c r="D279">
        <v>2</v>
      </c>
      <c r="E279" t="s">
        <v>121</v>
      </c>
      <c r="F279" s="19">
        <v>45826</v>
      </c>
      <c r="G279" t="s">
        <v>120</v>
      </c>
      <c r="H279">
        <v>0</v>
      </c>
      <c r="I279" s="19">
        <v>46019</v>
      </c>
      <c r="J279" s="19">
        <f t="shared" si="8"/>
        <v>46022</v>
      </c>
      <c r="L279">
        <f t="shared" si="9"/>
        <v>196</v>
      </c>
    </row>
    <row r="280" spans="1:12" x14ac:dyDescent="0.25">
      <c r="A280">
        <v>10</v>
      </c>
      <c r="B280">
        <v>3617</v>
      </c>
      <c r="C280">
        <v>57</v>
      </c>
      <c r="D280">
        <v>3</v>
      </c>
      <c r="E280" t="s">
        <v>121</v>
      </c>
      <c r="F280" s="19">
        <v>45826</v>
      </c>
      <c r="G280" t="s">
        <v>122</v>
      </c>
      <c r="H280">
        <v>0</v>
      </c>
      <c r="I280" s="19">
        <v>46117</v>
      </c>
      <c r="J280" s="19">
        <f t="shared" si="8"/>
        <v>46120</v>
      </c>
      <c r="L280">
        <f t="shared" si="9"/>
        <v>294</v>
      </c>
    </row>
    <row r="281" spans="1:12" x14ac:dyDescent="0.25">
      <c r="A281">
        <v>10</v>
      </c>
      <c r="B281">
        <v>4241</v>
      </c>
      <c r="C281">
        <v>12</v>
      </c>
      <c r="D281">
        <v>2</v>
      </c>
      <c r="E281" t="s">
        <v>121</v>
      </c>
      <c r="F281" s="19">
        <v>45833</v>
      </c>
      <c r="G281" t="s">
        <v>122</v>
      </c>
      <c r="H281">
        <v>0</v>
      </c>
      <c r="I281" s="19">
        <v>45882</v>
      </c>
      <c r="J281" s="19">
        <f t="shared" si="8"/>
        <v>45885</v>
      </c>
      <c r="L281">
        <f t="shared" si="9"/>
        <v>52</v>
      </c>
    </row>
    <row r="282" spans="1:12" x14ac:dyDescent="0.25">
      <c r="A282">
        <v>6</v>
      </c>
      <c r="B282">
        <v>4163</v>
      </c>
      <c r="C282">
        <v>376</v>
      </c>
      <c r="D282">
        <v>2</v>
      </c>
      <c r="E282" t="s">
        <v>123</v>
      </c>
      <c r="F282" s="19">
        <v>45833</v>
      </c>
      <c r="G282" t="s">
        <v>120</v>
      </c>
      <c r="H282">
        <v>0</v>
      </c>
      <c r="I282" s="19">
        <v>45883</v>
      </c>
      <c r="J282" s="19">
        <f t="shared" si="8"/>
        <v>45886</v>
      </c>
      <c r="L282">
        <f t="shared" si="9"/>
        <v>53</v>
      </c>
    </row>
    <row r="283" spans="1:12" x14ac:dyDescent="0.25">
      <c r="A283">
        <v>6</v>
      </c>
      <c r="B283">
        <v>4303</v>
      </c>
      <c r="C283">
        <v>373</v>
      </c>
      <c r="D283">
        <v>2</v>
      </c>
      <c r="E283" t="s">
        <v>123</v>
      </c>
      <c r="F283" s="19">
        <v>45833</v>
      </c>
      <c r="G283" t="s">
        <v>125</v>
      </c>
      <c r="H283">
        <v>0</v>
      </c>
      <c r="I283" s="19">
        <v>45886</v>
      </c>
      <c r="J283" s="19">
        <f t="shared" si="8"/>
        <v>45889</v>
      </c>
      <c r="L283">
        <f t="shared" si="9"/>
        <v>56</v>
      </c>
    </row>
    <row r="284" spans="1:12" x14ac:dyDescent="0.25">
      <c r="A284">
        <v>10</v>
      </c>
      <c r="B284">
        <v>3699</v>
      </c>
      <c r="C284">
        <v>193</v>
      </c>
      <c r="D284">
        <v>3</v>
      </c>
      <c r="E284" t="s">
        <v>123</v>
      </c>
      <c r="F284" s="19">
        <v>45833</v>
      </c>
      <c r="G284" t="s">
        <v>122</v>
      </c>
      <c r="H284">
        <v>0</v>
      </c>
      <c r="I284" s="19">
        <v>45887</v>
      </c>
      <c r="J284" s="19">
        <f t="shared" si="8"/>
        <v>45890</v>
      </c>
      <c r="L284">
        <f t="shared" si="9"/>
        <v>57</v>
      </c>
    </row>
    <row r="285" spans="1:12" x14ac:dyDescent="0.25">
      <c r="A285">
        <v>10</v>
      </c>
      <c r="B285">
        <v>4257</v>
      </c>
      <c r="C285">
        <v>174</v>
      </c>
      <c r="D285">
        <v>2</v>
      </c>
      <c r="E285" t="s">
        <v>121</v>
      </c>
      <c r="F285" s="19">
        <v>45833</v>
      </c>
      <c r="G285" t="s">
        <v>122</v>
      </c>
      <c r="H285">
        <v>0</v>
      </c>
      <c r="I285" s="19">
        <v>45887</v>
      </c>
      <c r="J285" s="19">
        <f t="shared" si="8"/>
        <v>45890</v>
      </c>
      <c r="L285">
        <f t="shared" si="9"/>
        <v>57</v>
      </c>
    </row>
    <row r="286" spans="1:12" x14ac:dyDescent="0.25">
      <c r="A286">
        <v>6</v>
      </c>
      <c r="B286">
        <v>3768</v>
      </c>
      <c r="C286">
        <v>128</v>
      </c>
      <c r="D286">
        <v>3</v>
      </c>
      <c r="E286" t="s">
        <v>121</v>
      </c>
      <c r="F286" s="19">
        <v>45833</v>
      </c>
      <c r="G286" t="s">
        <v>122</v>
      </c>
      <c r="H286">
        <v>0</v>
      </c>
      <c r="I286" s="19">
        <v>45889</v>
      </c>
      <c r="J286" s="19">
        <f t="shared" si="8"/>
        <v>45892</v>
      </c>
      <c r="L286">
        <f t="shared" si="9"/>
        <v>59</v>
      </c>
    </row>
    <row r="287" spans="1:12" x14ac:dyDescent="0.25">
      <c r="A287">
        <v>6</v>
      </c>
      <c r="B287">
        <v>4145</v>
      </c>
      <c r="C287">
        <v>368</v>
      </c>
      <c r="D287">
        <v>2</v>
      </c>
      <c r="E287" t="s">
        <v>123</v>
      </c>
      <c r="F287" s="19">
        <v>45833</v>
      </c>
      <c r="G287" t="s">
        <v>131</v>
      </c>
      <c r="H287">
        <v>0</v>
      </c>
      <c r="I287" s="19">
        <v>45891</v>
      </c>
      <c r="J287" s="19">
        <f t="shared" si="8"/>
        <v>45894</v>
      </c>
      <c r="L287">
        <f t="shared" si="9"/>
        <v>61</v>
      </c>
    </row>
    <row r="288" spans="1:12" x14ac:dyDescent="0.25">
      <c r="A288">
        <v>5</v>
      </c>
      <c r="B288">
        <v>3238</v>
      </c>
      <c r="C288">
        <v>365</v>
      </c>
      <c r="D288">
        <v>3</v>
      </c>
      <c r="E288" t="s">
        <v>123</v>
      </c>
      <c r="F288" s="19">
        <v>45833</v>
      </c>
      <c r="G288" t="s">
        <v>131</v>
      </c>
      <c r="H288">
        <v>0</v>
      </c>
      <c r="I288" s="19">
        <v>45894</v>
      </c>
      <c r="J288" s="19">
        <f t="shared" si="8"/>
        <v>45897</v>
      </c>
      <c r="L288">
        <f t="shared" si="9"/>
        <v>64</v>
      </c>
    </row>
    <row r="289" spans="1:12" x14ac:dyDescent="0.25">
      <c r="A289">
        <v>10</v>
      </c>
      <c r="B289">
        <v>3059</v>
      </c>
      <c r="C289">
        <v>32</v>
      </c>
      <c r="D289">
        <v>4</v>
      </c>
      <c r="E289" t="s">
        <v>121</v>
      </c>
      <c r="F289" s="19">
        <v>45833</v>
      </c>
      <c r="G289" t="s">
        <v>122</v>
      </c>
      <c r="H289">
        <v>0</v>
      </c>
      <c r="I289" s="19">
        <v>45911</v>
      </c>
      <c r="J289" s="19">
        <f t="shared" si="8"/>
        <v>45914</v>
      </c>
      <c r="L289">
        <f t="shared" si="9"/>
        <v>81</v>
      </c>
    </row>
    <row r="290" spans="1:12" x14ac:dyDescent="0.25">
      <c r="A290">
        <v>5</v>
      </c>
      <c r="B290">
        <v>3428</v>
      </c>
      <c r="C290">
        <v>305</v>
      </c>
      <c r="D290">
        <v>3</v>
      </c>
      <c r="E290" t="s">
        <v>121</v>
      </c>
      <c r="F290" s="19">
        <v>45833</v>
      </c>
      <c r="G290" t="s">
        <v>120</v>
      </c>
      <c r="H290">
        <v>0</v>
      </c>
      <c r="I290" s="19">
        <v>45954</v>
      </c>
      <c r="J290" s="19">
        <f t="shared" si="8"/>
        <v>45957</v>
      </c>
      <c r="L290">
        <f t="shared" si="9"/>
        <v>124</v>
      </c>
    </row>
    <row r="291" spans="1:12" x14ac:dyDescent="0.25">
      <c r="A291">
        <v>10</v>
      </c>
      <c r="B291">
        <v>2951</v>
      </c>
      <c r="C291">
        <v>140</v>
      </c>
      <c r="D291">
        <v>3</v>
      </c>
      <c r="E291" t="s">
        <v>121</v>
      </c>
      <c r="F291" s="19">
        <v>45833</v>
      </c>
      <c r="G291" t="s">
        <v>122</v>
      </c>
      <c r="H291">
        <v>0</v>
      </c>
      <c r="I291" s="19">
        <v>45965</v>
      </c>
      <c r="J291" s="19">
        <f t="shared" si="8"/>
        <v>45968</v>
      </c>
      <c r="L291">
        <f t="shared" si="9"/>
        <v>135</v>
      </c>
    </row>
    <row r="292" spans="1:12" x14ac:dyDescent="0.25">
      <c r="A292">
        <v>10</v>
      </c>
      <c r="B292">
        <v>3103</v>
      </c>
      <c r="C292">
        <v>34</v>
      </c>
      <c r="D292">
        <v>4</v>
      </c>
      <c r="E292" t="s">
        <v>121</v>
      </c>
      <c r="F292" s="19">
        <v>45833</v>
      </c>
      <c r="G292" t="s">
        <v>122</v>
      </c>
      <c r="H292">
        <v>0</v>
      </c>
      <c r="I292" s="19">
        <v>45969</v>
      </c>
      <c r="J292" s="19">
        <f t="shared" si="8"/>
        <v>45972</v>
      </c>
      <c r="L292">
        <f t="shared" si="9"/>
        <v>139</v>
      </c>
    </row>
    <row r="293" spans="1:12" x14ac:dyDescent="0.25">
      <c r="A293">
        <v>10</v>
      </c>
      <c r="B293">
        <v>4270</v>
      </c>
      <c r="C293">
        <v>330</v>
      </c>
      <c r="D293">
        <v>2</v>
      </c>
      <c r="E293" t="s">
        <v>123</v>
      </c>
      <c r="F293" s="19">
        <v>45840</v>
      </c>
      <c r="G293" t="s">
        <v>122</v>
      </c>
      <c r="H293">
        <v>0</v>
      </c>
      <c r="I293" s="19">
        <v>45890</v>
      </c>
      <c r="J293" s="19">
        <f t="shared" si="8"/>
        <v>45893</v>
      </c>
      <c r="L293">
        <f t="shared" si="9"/>
        <v>53</v>
      </c>
    </row>
    <row r="294" spans="1:12" x14ac:dyDescent="0.25">
      <c r="A294">
        <v>5</v>
      </c>
      <c r="B294">
        <v>3665</v>
      </c>
      <c r="C294">
        <v>368</v>
      </c>
      <c r="D294">
        <v>3</v>
      </c>
      <c r="E294" t="s">
        <v>121</v>
      </c>
      <c r="F294" s="19">
        <v>45840</v>
      </c>
      <c r="G294" t="s">
        <v>120</v>
      </c>
      <c r="H294">
        <v>0</v>
      </c>
      <c r="I294" s="19">
        <v>45891</v>
      </c>
      <c r="J294" s="19">
        <f t="shared" si="8"/>
        <v>45894</v>
      </c>
      <c r="L294">
        <f t="shared" si="9"/>
        <v>54</v>
      </c>
    </row>
    <row r="295" spans="1:12" x14ac:dyDescent="0.25">
      <c r="A295">
        <v>5</v>
      </c>
      <c r="B295">
        <v>4309</v>
      </c>
      <c r="C295">
        <v>367</v>
      </c>
      <c r="D295">
        <v>2</v>
      </c>
      <c r="E295" t="s">
        <v>123</v>
      </c>
      <c r="F295" s="19">
        <v>45840</v>
      </c>
      <c r="G295" t="s">
        <v>120</v>
      </c>
      <c r="H295">
        <v>0</v>
      </c>
      <c r="I295" s="19">
        <v>45892</v>
      </c>
      <c r="J295" s="19">
        <f t="shared" si="8"/>
        <v>45895</v>
      </c>
      <c r="L295">
        <f t="shared" si="9"/>
        <v>55</v>
      </c>
    </row>
    <row r="296" spans="1:12" x14ac:dyDescent="0.25">
      <c r="A296">
        <v>5</v>
      </c>
      <c r="B296">
        <v>3173</v>
      </c>
      <c r="C296">
        <v>239</v>
      </c>
      <c r="D296">
        <v>3</v>
      </c>
      <c r="E296" t="s">
        <v>123</v>
      </c>
      <c r="F296" s="19">
        <v>45840</v>
      </c>
      <c r="G296" t="s">
        <v>122</v>
      </c>
      <c r="H296">
        <v>0</v>
      </c>
      <c r="I296" s="19">
        <v>45897</v>
      </c>
      <c r="J296" s="19">
        <f t="shared" si="8"/>
        <v>45900</v>
      </c>
      <c r="L296">
        <f t="shared" si="9"/>
        <v>60</v>
      </c>
    </row>
    <row r="297" spans="1:12" x14ac:dyDescent="0.25">
      <c r="A297">
        <v>10</v>
      </c>
      <c r="B297">
        <v>4343</v>
      </c>
      <c r="C297">
        <v>359</v>
      </c>
      <c r="D297">
        <v>2</v>
      </c>
      <c r="E297" t="s">
        <v>123</v>
      </c>
      <c r="F297" s="19">
        <v>45840</v>
      </c>
      <c r="G297" t="s">
        <v>120</v>
      </c>
      <c r="H297">
        <v>0</v>
      </c>
      <c r="I297" s="19">
        <v>45900</v>
      </c>
      <c r="J297" s="19">
        <f t="shared" si="8"/>
        <v>45903</v>
      </c>
      <c r="L297">
        <f t="shared" si="9"/>
        <v>63</v>
      </c>
    </row>
    <row r="298" spans="1:12" x14ac:dyDescent="0.25">
      <c r="A298">
        <v>6</v>
      </c>
      <c r="B298">
        <v>3519</v>
      </c>
      <c r="C298">
        <v>347</v>
      </c>
      <c r="D298">
        <v>3</v>
      </c>
      <c r="E298" t="s">
        <v>121</v>
      </c>
      <c r="F298" s="19">
        <v>45840</v>
      </c>
      <c r="G298" t="s">
        <v>122</v>
      </c>
      <c r="H298">
        <v>0</v>
      </c>
      <c r="I298" s="19">
        <v>45904</v>
      </c>
      <c r="J298" s="19">
        <f t="shared" ref="J298:J361" si="10">I298+3</f>
        <v>45907</v>
      </c>
      <c r="L298">
        <f t="shared" ref="L298:L361" si="11">J298-F298</f>
        <v>67</v>
      </c>
    </row>
    <row r="299" spans="1:12" x14ac:dyDescent="0.25">
      <c r="A299">
        <v>5</v>
      </c>
      <c r="B299">
        <v>4208</v>
      </c>
      <c r="C299">
        <v>258</v>
      </c>
      <c r="D299">
        <v>2</v>
      </c>
      <c r="E299" t="s">
        <v>121</v>
      </c>
      <c r="F299" s="19">
        <v>45840</v>
      </c>
      <c r="G299" t="s">
        <v>122</v>
      </c>
      <c r="H299">
        <v>0</v>
      </c>
      <c r="I299" s="19">
        <v>45916</v>
      </c>
      <c r="J299" s="19">
        <f t="shared" si="10"/>
        <v>45919</v>
      </c>
      <c r="L299">
        <f t="shared" si="11"/>
        <v>79</v>
      </c>
    </row>
    <row r="300" spans="1:12" x14ac:dyDescent="0.25">
      <c r="A300">
        <v>6</v>
      </c>
      <c r="B300">
        <v>4384</v>
      </c>
      <c r="C300">
        <v>56</v>
      </c>
      <c r="D300">
        <v>2</v>
      </c>
      <c r="E300" t="s">
        <v>121</v>
      </c>
      <c r="F300" s="19">
        <v>45840</v>
      </c>
      <c r="G300" t="s">
        <v>122</v>
      </c>
      <c r="H300">
        <v>0</v>
      </c>
      <c r="I300" s="19">
        <v>45926</v>
      </c>
      <c r="J300" s="19">
        <f t="shared" si="10"/>
        <v>45929</v>
      </c>
      <c r="L300">
        <f t="shared" si="11"/>
        <v>89</v>
      </c>
    </row>
    <row r="301" spans="1:12" x14ac:dyDescent="0.25">
      <c r="A301">
        <v>10</v>
      </c>
      <c r="B301">
        <v>3680</v>
      </c>
      <c r="C301">
        <v>320</v>
      </c>
      <c r="D301">
        <v>3</v>
      </c>
      <c r="E301" t="s">
        <v>121</v>
      </c>
      <c r="F301" s="19">
        <v>45840</v>
      </c>
      <c r="G301" t="s">
        <v>122</v>
      </c>
      <c r="H301">
        <v>0</v>
      </c>
      <c r="I301" s="19">
        <v>45929</v>
      </c>
      <c r="J301" s="19">
        <f t="shared" si="10"/>
        <v>45932</v>
      </c>
      <c r="L301">
        <f t="shared" si="11"/>
        <v>92</v>
      </c>
    </row>
    <row r="302" spans="1:12" x14ac:dyDescent="0.25">
      <c r="A302">
        <v>5</v>
      </c>
      <c r="B302">
        <v>4314</v>
      </c>
      <c r="C302">
        <v>317</v>
      </c>
      <c r="D302">
        <v>2</v>
      </c>
      <c r="E302" t="s">
        <v>121</v>
      </c>
      <c r="F302" s="19">
        <v>45840</v>
      </c>
      <c r="G302" t="s">
        <v>120</v>
      </c>
      <c r="H302">
        <v>0</v>
      </c>
      <c r="I302" s="19">
        <v>45942</v>
      </c>
      <c r="J302" s="19">
        <f t="shared" si="10"/>
        <v>45945</v>
      </c>
      <c r="L302">
        <f t="shared" si="11"/>
        <v>105</v>
      </c>
    </row>
    <row r="303" spans="1:12" x14ac:dyDescent="0.25">
      <c r="A303">
        <v>5</v>
      </c>
      <c r="B303">
        <v>4418</v>
      </c>
      <c r="C303">
        <v>364</v>
      </c>
      <c r="D303">
        <v>2</v>
      </c>
      <c r="E303" t="s">
        <v>121</v>
      </c>
      <c r="F303" s="19">
        <v>45847</v>
      </c>
      <c r="G303" t="s">
        <v>120</v>
      </c>
      <c r="H303">
        <v>0</v>
      </c>
      <c r="I303" s="19">
        <v>45895</v>
      </c>
      <c r="J303" s="19">
        <f t="shared" si="10"/>
        <v>45898</v>
      </c>
      <c r="L303">
        <f t="shared" si="11"/>
        <v>51</v>
      </c>
    </row>
    <row r="304" spans="1:12" x14ac:dyDescent="0.25">
      <c r="A304">
        <v>5</v>
      </c>
      <c r="B304">
        <v>2862</v>
      </c>
      <c r="C304">
        <v>361</v>
      </c>
      <c r="D304">
        <v>4</v>
      </c>
      <c r="E304" t="s">
        <v>119</v>
      </c>
      <c r="F304" s="19">
        <v>45847</v>
      </c>
      <c r="G304" t="s">
        <v>120</v>
      </c>
      <c r="H304">
        <v>0</v>
      </c>
      <c r="I304" s="19">
        <v>45898</v>
      </c>
      <c r="J304" s="19">
        <f t="shared" si="10"/>
        <v>45901</v>
      </c>
      <c r="L304">
        <f t="shared" si="11"/>
        <v>54</v>
      </c>
    </row>
    <row r="305" spans="1:12" x14ac:dyDescent="0.25">
      <c r="A305">
        <v>2</v>
      </c>
      <c r="B305">
        <v>3651</v>
      </c>
      <c r="C305">
        <v>359</v>
      </c>
      <c r="D305">
        <v>3</v>
      </c>
      <c r="E305" t="s">
        <v>119</v>
      </c>
      <c r="F305" s="19">
        <v>45847</v>
      </c>
      <c r="G305" t="s">
        <v>120</v>
      </c>
      <c r="H305">
        <v>0</v>
      </c>
      <c r="I305" s="19">
        <v>45900</v>
      </c>
      <c r="J305" s="19">
        <f t="shared" si="10"/>
        <v>45903</v>
      </c>
      <c r="L305">
        <f t="shared" si="11"/>
        <v>56</v>
      </c>
    </row>
    <row r="306" spans="1:12" x14ac:dyDescent="0.25">
      <c r="A306">
        <v>2</v>
      </c>
      <c r="B306">
        <v>4378</v>
      </c>
      <c r="C306">
        <v>359</v>
      </c>
      <c r="D306">
        <v>2</v>
      </c>
      <c r="E306" t="s">
        <v>119</v>
      </c>
      <c r="F306" s="19">
        <v>45847</v>
      </c>
      <c r="G306" t="s">
        <v>120</v>
      </c>
      <c r="H306">
        <v>0</v>
      </c>
      <c r="I306" s="19">
        <v>45900</v>
      </c>
      <c r="J306" s="19">
        <f t="shared" si="10"/>
        <v>45903</v>
      </c>
      <c r="L306">
        <f t="shared" si="11"/>
        <v>56</v>
      </c>
    </row>
    <row r="307" spans="1:12" x14ac:dyDescent="0.25">
      <c r="A307">
        <v>3</v>
      </c>
      <c r="B307">
        <v>4358</v>
      </c>
      <c r="C307">
        <v>358</v>
      </c>
      <c r="D307">
        <v>2</v>
      </c>
      <c r="E307" t="s">
        <v>119</v>
      </c>
      <c r="F307" s="19">
        <v>45847</v>
      </c>
      <c r="G307" t="s">
        <v>120</v>
      </c>
      <c r="H307">
        <v>0</v>
      </c>
      <c r="I307" s="19">
        <v>45901</v>
      </c>
      <c r="J307" s="19">
        <f t="shared" si="10"/>
        <v>45904</v>
      </c>
      <c r="L307">
        <f t="shared" si="11"/>
        <v>57</v>
      </c>
    </row>
    <row r="308" spans="1:12" x14ac:dyDescent="0.25">
      <c r="A308">
        <v>5</v>
      </c>
      <c r="B308">
        <v>4183</v>
      </c>
      <c r="C308">
        <v>358</v>
      </c>
      <c r="D308">
        <v>2</v>
      </c>
      <c r="E308" t="s">
        <v>119</v>
      </c>
      <c r="F308" s="19">
        <v>45847</v>
      </c>
      <c r="G308" t="s">
        <v>120</v>
      </c>
      <c r="H308">
        <v>0</v>
      </c>
      <c r="I308" s="19">
        <v>45901</v>
      </c>
      <c r="J308" s="19">
        <f t="shared" si="10"/>
        <v>45904</v>
      </c>
      <c r="L308">
        <f t="shared" si="11"/>
        <v>57</v>
      </c>
    </row>
    <row r="309" spans="1:12" x14ac:dyDescent="0.25">
      <c r="A309">
        <v>5</v>
      </c>
      <c r="B309">
        <v>3025</v>
      </c>
      <c r="C309">
        <v>356</v>
      </c>
      <c r="D309">
        <v>3</v>
      </c>
      <c r="E309" t="s">
        <v>121</v>
      </c>
      <c r="F309" s="19">
        <v>45847</v>
      </c>
      <c r="G309" t="s">
        <v>131</v>
      </c>
      <c r="H309">
        <v>0</v>
      </c>
      <c r="I309" s="19">
        <v>45903</v>
      </c>
      <c r="J309" s="19">
        <f t="shared" si="10"/>
        <v>45906</v>
      </c>
      <c r="L309">
        <f t="shared" si="11"/>
        <v>59</v>
      </c>
    </row>
    <row r="310" spans="1:12" x14ac:dyDescent="0.25">
      <c r="A310">
        <v>5</v>
      </c>
      <c r="B310">
        <v>4485</v>
      </c>
      <c r="C310">
        <v>352</v>
      </c>
      <c r="D310">
        <v>2</v>
      </c>
      <c r="E310" t="s">
        <v>119</v>
      </c>
      <c r="F310" s="19">
        <v>45847</v>
      </c>
      <c r="G310" t="s">
        <v>120</v>
      </c>
      <c r="H310">
        <v>0</v>
      </c>
      <c r="I310" s="19">
        <v>45907</v>
      </c>
      <c r="J310" s="19">
        <f t="shared" si="10"/>
        <v>45910</v>
      </c>
      <c r="L310">
        <f t="shared" si="11"/>
        <v>63</v>
      </c>
    </row>
    <row r="311" spans="1:12" x14ac:dyDescent="0.25">
      <c r="A311">
        <v>5</v>
      </c>
      <c r="B311">
        <v>3075</v>
      </c>
      <c r="C311">
        <v>350</v>
      </c>
      <c r="D311">
        <v>4</v>
      </c>
      <c r="E311" t="s">
        <v>119</v>
      </c>
      <c r="F311" s="19">
        <v>45847</v>
      </c>
      <c r="G311" t="s">
        <v>131</v>
      </c>
      <c r="H311">
        <v>0</v>
      </c>
      <c r="I311" s="19">
        <v>45909</v>
      </c>
      <c r="J311" s="19">
        <f t="shared" si="10"/>
        <v>45912</v>
      </c>
      <c r="L311">
        <f t="shared" si="11"/>
        <v>65</v>
      </c>
    </row>
    <row r="312" spans="1:12" x14ac:dyDescent="0.25">
      <c r="A312">
        <v>6</v>
      </c>
      <c r="B312">
        <v>3295</v>
      </c>
      <c r="C312">
        <v>346</v>
      </c>
      <c r="D312">
        <v>4</v>
      </c>
      <c r="E312" t="s">
        <v>119</v>
      </c>
      <c r="F312" s="19">
        <v>45847</v>
      </c>
      <c r="G312" t="s">
        <v>132</v>
      </c>
      <c r="H312">
        <v>0</v>
      </c>
      <c r="I312" s="19">
        <v>45913</v>
      </c>
      <c r="J312" s="19">
        <f t="shared" si="10"/>
        <v>45916</v>
      </c>
      <c r="L312">
        <f t="shared" si="11"/>
        <v>69</v>
      </c>
    </row>
    <row r="313" spans="1:12" x14ac:dyDescent="0.25">
      <c r="A313">
        <v>7</v>
      </c>
      <c r="B313">
        <v>4537</v>
      </c>
      <c r="C313">
        <v>13</v>
      </c>
      <c r="D313">
        <v>2</v>
      </c>
      <c r="E313" t="s">
        <v>121</v>
      </c>
      <c r="F313" s="19">
        <v>45847</v>
      </c>
      <c r="G313" t="s">
        <v>122</v>
      </c>
      <c r="H313">
        <v>0</v>
      </c>
      <c r="I313" s="19">
        <v>45918</v>
      </c>
      <c r="J313" s="19">
        <f t="shared" si="10"/>
        <v>45921</v>
      </c>
      <c r="L313">
        <f t="shared" si="11"/>
        <v>74</v>
      </c>
    </row>
    <row r="314" spans="1:12" x14ac:dyDescent="0.25">
      <c r="A314">
        <v>10</v>
      </c>
      <c r="B314">
        <v>3817</v>
      </c>
      <c r="C314">
        <v>58</v>
      </c>
      <c r="D314">
        <v>2</v>
      </c>
      <c r="E314" t="s">
        <v>121</v>
      </c>
      <c r="F314" s="19">
        <v>45847</v>
      </c>
      <c r="G314" t="s">
        <v>122</v>
      </c>
      <c r="H314">
        <v>0</v>
      </c>
      <c r="I314" s="19">
        <v>46018</v>
      </c>
      <c r="J314" s="19">
        <f t="shared" si="10"/>
        <v>46021</v>
      </c>
      <c r="L314">
        <f t="shared" si="11"/>
        <v>174</v>
      </c>
    </row>
    <row r="315" spans="1:12" x14ac:dyDescent="0.25">
      <c r="A315">
        <v>2</v>
      </c>
      <c r="B315">
        <v>3506</v>
      </c>
      <c r="C315">
        <v>217</v>
      </c>
      <c r="D315">
        <v>2</v>
      </c>
      <c r="E315" t="s">
        <v>121</v>
      </c>
      <c r="F315" s="19">
        <v>45847</v>
      </c>
      <c r="G315" t="s">
        <v>132</v>
      </c>
      <c r="H315">
        <v>0</v>
      </c>
      <c r="I315" s="19">
        <v>46042</v>
      </c>
      <c r="J315" s="19">
        <f t="shared" si="10"/>
        <v>46045</v>
      </c>
      <c r="L315">
        <f t="shared" si="11"/>
        <v>198</v>
      </c>
    </row>
    <row r="316" spans="1:12" x14ac:dyDescent="0.25">
      <c r="A316">
        <v>6</v>
      </c>
      <c r="B316">
        <v>4219</v>
      </c>
      <c r="C316">
        <v>61</v>
      </c>
      <c r="D316">
        <v>3</v>
      </c>
      <c r="E316" t="s">
        <v>119</v>
      </c>
      <c r="F316" s="19">
        <v>45847</v>
      </c>
      <c r="G316" t="s">
        <v>130</v>
      </c>
      <c r="H316">
        <v>0</v>
      </c>
      <c r="I316" s="19">
        <v>46198</v>
      </c>
      <c r="J316" s="19">
        <f t="shared" si="10"/>
        <v>46201</v>
      </c>
      <c r="L316">
        <f t="shared" si="11"/>
        <v>354</v>
      </c>
    </row>
    <row r="317" spans="1:12" x14ac:dyDescent="0.25">
      <c r="A317">
        <v>6</v>
      </c>
      <c r="B317">
        <v>2885</v>
      </c>
      <c r="C317">
        <v>260</v>
      </c>
      <c r="D317">
        <v>4</v>
      </c>
      <c r="E317" t="s">
        <v>119</v>
      </c>
      <c r="F317" s="19">
        <v>45854</v>
      </c>
      <c r="G317" t="s">
        <v>122</v>
      </c>
      <c r="H317">
        <v>0</v>
      </c>
      <c r="I317" s="19">
        <v>45892</v>
      </c>
      <c r="J317" s="19">
        <f t="shared" si="10"/>
        <v>45895</v>
      </c>
      <c r="L317">
        <f t="shared" si="11"/>
        <v>41</v>
      </c>
    </row>
    <row r="318" spans="1:12" x14ac:dyDescent="0.25">
      <c r="A318">
        <v>10</v>
      </c>
      <c r="B318">
        <v>3655</v>
      </c>
      <c r="C318">
        <v>285</v>
      </c>
      <c r="D318">
        <v>3</v>
      </c>
      <c r="E318" t="s">
        <v>119</v>
      </c>
      <c r="F318" s="19">
        <v>45854</v>
      </c>
      <c r="G318" t="s">
        <v>122</v>
      </c>
      <c r="H318">
        <v>0</v>
      </c>
      <c r="I318" s="19">
        <v>45904</v>
      </c>
      <c r="J318" s="19">
        <f t="shared" si="10"/>
        <v>45907</v>
      </c>
      <c r="L318">
        <f t="shared" si="11"/>
        <v>53</v>
      </c>
    </row>
    <row r="319" spans="1:12" x14ac:dyDescent="0.25">
      <c r="A319">
        <v>5</v>
      </c>
      <c r="B319">
        <v>4306</v>
      </c>
      <c r="C319">
        <v>352</v>
      </c>
      <c r="D319">
        <v>2</v>
      </c>
      <c r="E319" t="s">
        <v>119</v>
      </c>
      <c r="F319" s="19">
        <v>45854</v>
      </c>
      <c r="G319" t="s">
        <v>120</v>
      </c>
      <c r="H319">
        <v>0</v>
      </c>
      <c r="I319" s="19">
        <v>45907</v>
      </c>
      <c r="J319" s="19">
        <f t="shared" si="10"/>
        <v>45910</v>
      </c>
      <c r="L319">
        <f t="shared" si="11"/>
        <v>56</v>
      </c>
    </row>
    <row r="320" spans="1:12" x14ac:dyDescent="0.25">
      <c r="A320">
        <v>6</v>
      </c>
      <c r="B320">
        <v>2643</v>
      </c>
      <c r="C320">
        <v>351</v>
      </c>
      <c r="D320">
        <v>4</v>
      </c>
      <c r="E320" t="s">
        <v>119</v>
      </c>
      <c r="F320" s="19">
        <v>45854</v>
      </c>
      <c r="G320" t="s">
        <v>131</v>
      </c>
      <c r="H320">
        <v>0</v>
      </c>
      <c r="I320" s="19">
        <v>45908</v>
      </c>
      <c r="J320" s="19">
        <f t="shared" si="10"/>
        <v>45911</v>
      </c>
      <c r="L320">
        <f t="shared" si="11"/>
        <v>57</v>
      </c>
    </row>
    <row r="321" spans="1:12" x14ac:dyDescent="0.25">
      <c r="A321">
        <v>5</v>
      </c>
      <c r="B321">
        <v>3376</v>
      </c>
      <c r="C321">
        <v>348</v>
      </c>
      <c r="D321">
        <v>4</v>
      </c>
      <c r="E321" t="s">
        <v>121</v>
      </c>
      <c r="F321" s="19">
        <v>45854</v>
      </c>
      <c r="G321" t="s">
        <v>120</v>
      </c>
      <c r="H321">
        <v>0</v>
      </c>
      <c r="I321" s="19">
        <v>45911</v>
      </c>
      <c r="J321" s="19">
        <f t="shared" si="10"/>
        <v>45914</v>
      </c>
      <c r="L321">
        <f t="shared" si="11"/>
        <v>60</v>
      </c>
    </row>
    <row r="322" spans="1:12" x14ac:dyDescent="0.25">
      <c r="A322">
        <v>5</v>
      </c>
      <c r="B322">
        <v>4236</v>
      </c>
      <c r="C322">
        <v>342</v>
      </c>
      <c r="D322">
        <v>2</v>
      </c>
      <c r="E322" t="s">
        <v>121</v>
      </c>
      <c r="F322" s="19">
        <v>45854</v>
      </c>
      <c r="G322" t="s">
        <v>120</v>
      </c>
      <c r="H322">
        <v>0</v>
      </c>
      <c r="I322" s="19">
        <v>45917</v>
      </c>
      <c r="J322" s="19">
        <f t="shared" si="10"/>
        <v>45920</v>
      </c>
      <c r="L322">
        <f t="shared" si="11"/>
        <v>66</v>
      </c>
    </row>
    <row r="323" spans="1:12" x14ac:dyDescent="0.25">
      <c r="A323">
        <v>10</v>
      </c>
      <c r="B323">
        <v>3512</v>
      </c>
      <c r="C323">
        <v>6</v>
      </c>
      <c r="D323">
        <v>4</v>
      </c>
      <c r="E323" t="s">
        <v>121</v>
      </c>
      <c r="F323" s="19">
        <v>45854</v>
      </c>
      <c r="G323" t="s">
        <v>122</v>
      </c>
      <c r="H323">
        <v>0</v>
      </c>
      <c r="I323" s="19">
        <v>46000</v>
      </c>
      <c r="J323" s="19">
        <f t="shared" si="10"/>
        <v>46003</v>
      </c>
      <c r="L323">
        <f t="shared" si="11"/>
        <v>149</v>
      </c>
    </row>
    <row r="324" spans="1:12" x14ac:dyDescent="0.25">
      <c r="A324">
        <v>3</v>
      </c>
      <c r="B324">
        <v>4665</v>
      </c>
      <c r="C324">
        <v>243</v>
      </c>
      <c r="D324">
        <v>2</v>
      </c>
      <c r="E324" t="s">
        <v>121</v>
      </c>
      <c r="F324" s="19">
        <v>45854</v>
      </c>
      <c r="G324" t="s">
        <v>120</v>
      </c>
      <c r="H324">
        <v>0</v>
      </c>
      <c r="I324" s="19">
        <v>46016</v>
      </c>
      <c r="J324" s="19">
        <f t="shared" si="10"/>
        <v>46019</v>
      </c>
      <c r="L324">
        <f t="shared" si="11"/>
        <v>165</v>
      </c>
    </row>
    <row r="325" spans="1:12" x14ac:dyDescent="0.25">
      <c r="A325">
        <v>3</v>
      </c>
      <c r="B325">
        <v>2927</v>
      </c>
      <c r="C325">
        <v>69</v>
      </c>
      <c r="D325">
        <v>4</v>
      </c>
      <c r="E325" t="s">
        <v>121</v>
      </c>
      <c r="F325" s="19">
        <v>45854</v>
      </c>
      <c r="G325" t="s">
        <v>132</v>
      </c>
      <c r="H325">
        <v>0</v>
      </c>
      <c r="I325" s="19">
        <v>46190</v>
      </c>
      <c r="J325" s="19">
        <f t="shared" si="10"/>
        <v>46193</v>
      </c>
      <c r="L325">
        <f t="shared" si="11"/>
        <v>339</v>
      </c>
    </row>
    <row r="326" spans="1:12" x14ac:dyDescent="0.25">
      <c r="A326">
        <v>10</v>
      </c>
      <c r="B326">
        <v>1658</v>
      </c>
      <c r="C326">
        <v>12</v>
      </c>
      <c r="D326">
        <v>7</v>
      </c>
      <c r="E326" t="s">
        <v>121</v>
      </c>
      <c r="F326" s="19">
        <v>45860</v>
      </c>
      <c r="G326" t="s">
        <v>122</v>
      </c>
      <c r="H326">
        <v>0</v>
      </c>
      <c r="I326" s="19">
        <v>46036</v>
      </c>
      <c r="J326" s="19">
        <f t="shared" si="10"/>
        <v>46039</v>
      </c>
      <c r="L326">
        <f t="shared" si="11"/>
        <v>179</v>
      </c>
    </row>
    <row r="327" spans="1:12" x14ac:dyDescent="0.25">
      <c r="A327">
        <v>6</v>
      </c>
      <c r="B327">
        <v>3775</v>
      </c>
      <c r="C327">
        <v>353</v>
      </c>
      <c r="D327">
        <v>2</v>
      </c>
      <c r="E327" t="s">
        <v>135</v>
      </c>
      <c r="F327" s="19">
        <v>45861</v>
      </c>
      <c r="G327" t="s">
        <v>120</v>
      </c>
      <c r="H327">
        <v>0</v>
      </c>
      <c r="I327" s="19">
        <v>45906</v>
      </c>
      <c r="J327" s="19">
        <f t="shared" si="10"/>
        <v>45909</v>
      </c>
      <c r="L327">
        <f t="shared" si="11"/>
        <v>48</v>
      </c>
    </row>
    <row r="328" spans="1:12" x14ac:dyDescent="0.25">
      <c r="A328">
        <v>6</v>
      </c>
      <c r="B328">
        <v>3631</v>
      </c>
      <c r="C328">
        <v>348</v>
      </c>
      <c r="D328">
        <v>3</v>
      </c>
      <c r="E328" t="s">
        <v>135</v>
      </c>
      <c r="F328" s="19">
        <v>45861</v>
      </c>
      <c r="G328" t="s">
        <v>120</v>
      </c>
      <c r="H328">
        <v>0</v>
      </c>
      <c r="I328" s="19">
        <v>45911</v>
      </c>
      <c r="J328" s="19">
        <f t="shared" si="10"/>
        <v>45914</v>
      </c>
      <c r="L328">
        <f t="shared" si="11"/>
        <v>53</v>
      </c>
    </row>
    <row r="329" spans="1:12" x14ac:dyDescent="0.25">
      <c r="A329">
        <v>10</v>
      </c>
      <c r="B329">
        <v>4283</v>
      </c>
      <c r="C329">
        <v>219</v>
      </c>
      <c r="D329">
        <v>2</v>
      </c>
      <c r="E329" t="s">
        <v>135</v>
      </c>
      <c r="F329" s="19">
        <v>45861</v>
      </c>
      <c r="G329" t="s">
        <v>122</v>
      </c>
      <c r="H329">
        <v>0</v>
      </c>
      <c r="I329" s="19">
        <v>45914</v>
      </c>
      <c r="J329" s="19">
        <f t="shared" si="10"/>
        <v>45917</v>
      </c>
      <c r="L329">
        <f t="shared" si="11"/>
        <v>56</v>
      </c>
    </row>
    <row r="330" spans="1:12" x14ac:dyDescent="0.25">
      <c r="A330">
        <v>5</v>
      </c>
      <c r="B330">
        <v>4410</v>
      </c>
      <c r="C330">
        <v>344</v>
      </c>
      <c r="D330">
        <v>2</v>
      </c>
      <c r="E330" t="s">
        <v>135</v>
      </c>
      <c r="F330" s="19">
        <v>45861</v>
      </c>
      <c r="G330" t="s">
        <v>120</v>
      </c>
      <c r="H330">
        <v>0</v>
      </c>
      <c r="I330" s="19">
        <v>45915</v>
      </c>
      <c r="J330" s="19">
        <f t="shared" si="10"/>
        <v>45918</v>
      </c>
      <c r="L330">
        <f t="shared" si="11"/>
        <v>57</v>
      </c>
    </row>
    <row r="331" spans="1:12" x14ac:dyDescent="0.25">
      <c r="A331">
        <v>5</v>
      </c>
      <c r="B331">
        <v>3560</v>
      </c>
      <c r="C331">
        <v>343</v>
      </c>
      <c r="D331">
        <v>3</v>
      </c>
      <c r="E331" t="s">
        <v>135</v>
      </c>
      <c r="F331" s="19">
        <v>45861</v>
      </c>
      <c r="G331" t="s">
        <v>120</v>
      </c>
      <c r="H331">
        <v>0</v>
      </c>
      <c r="I331" s="19">
        <v>45916</v>
      </c>
      <c r="J331" s="19">
        <f t="shared" si="10"/>
        <v>45919</v>
      </c>
      <c r="L331">
        <f t="shared" si="11"/>
        <v>58</v>
      </c>
    </row>
    <row r="332" spans="1:12" x14ac:dyDescent="0.25">
      <c r="A332">
        <v>10</v>
      </c>
      <c r="B332">
        <v>3517</v>
      </c>
      <c r="C332">
        <v>101</v>
      </c>
      <c r="D332">
        <v>3</v>
      </c>
      <c r="E332" t="s">
        <v>135</v>
      </c>
      <c r="F332" s="19">
        <v>45861</v>
      </c>
      <c r="G332" t="s">
        <v>122</v>
      </c>
      <c r="H332">
        <v>0</v>
      </c>
      <c r="I332" s="19">
        <v>45916</v>
      </c>
      <c r="J332" s="19">
        <f t="shared" si="10"/>
        <v>45919</v>
      </c>
      <c r="L332">
        <f t="shared" si="11"/>
        <v>58</v>
      </c>
    </row>
    <row r="333" spans="1:12" x14ac:dyDescent="0.25">
      <c r="A333">
        <v>10</v>
      </c>
      <c r="B333">
        <v>4486</v>
      </c>
      <c r="C333">
        <v>167</v>
      </c>
      <c r="D333">
        <v>2</v>
      </c>
      <c r="E333" t="s">
        <v>121</v>
      </c>
      <c r="F333" s="19">
        <v>45861</v>
      </c>
      <c r="G333" t="s">
        <v>122</v>
      </c>
      <c r="H333">
        <v>0</v>
      </c>
      <c r="I333" s="19">
        <v>45916</v>
      </c>
      <c r="J333" s="19">
        <f t="shared" si="10"/>
        <v>45919</v>
      </c>
      <c r="L333">
        <f t="shared" si="11"/>
        <v>58</v>
      </c>
    </row>
    <row r="334" spans="1:12" x14ac:dyDescent="0.25">
      <c r="A334">
        <v>5</v>
      </c>
      <c r="B334">
        <v>2822</v>
      </c>
      <c r="C334">
        <v>337</v>
      </c>
      <c r="D334">
        <v>4</v>
      </c>
      <c r="E334" t="s">
        <v>135</v>
      </c>
      <c r="F334" s="19">
        <v>45861</v>
      </c>
      <c r="G334" t="s">
        <v>120</v>
      </c>
      <c r="H334">
        <v>0</v>
      </c>
      <c r="I334" s="19">
        <v>45922</v>
      </c>
      <c r="J334" s="19">
        <f t="shared" si="10"/>
        <v>45925</v>
      </c>
      <c r="L334">
        <f t="shared" si="11"/>
        <v>64</v>
      </c>
    </row>
    <row r="335" spans="1:12" x14ac:dyDescent="0.25">
      <c r="A335">
        <v>6</v>
      </c>
      <c r="B335">
        <v>4456</v>
      </c>
      <c r="C335">
        <v>329</v>
      </c>
      <c r="D335">
        <v>2</v>
      </c>
      <c r="E335" t="s">
        <v>135</v>
      </c>
      <c r="F335" s="19">
        <v>45861</v>
      </c>
      <c r="G335" t="s">
        <v>122</v>
      </c>
      <c r="H335">
        <v>0</v>
      </c>
      <c r="I335" s="19">
        <v>45922</v>
      </c>
      <c r="J335" s="19">
        <f t="shared" si="10"/>
        <v>45925</v>
      </c>
      <c r="L335">
        <f t="shared" si="11"/>
        <v>64</v>
      </c>
    </row>
    <row r="336" spans="1:12" x14ac:dyDescent="0.25">
      <c r="A336">
        <v>5</v>
      </c>
      <c r="B336">
        <v>2303</v>
      </c>
      <c r="C336">
        <v>328</v>
      </c>
      <c r="D336">
        <v>6</v>
      </c>
      <c r="E336" t="s">
        <v>135</v>
      </c>
      <c r="F336" s="19">
        <v>45861</v>
      </c>
      <c r="G336" t="s">
        <v>132</v>
      </c>
      <c r="H336">
        <v>0</v>
      </c>
      <c r="I336" s="19">
        <v>45931</v>
      </c>
      <c r="J336" s="19">
        <f t="shared" si="10"/>
        <v>45934</v>
      </c>
      <c r="L336">
        <f t="shared" si="11"/>
        <v>73</v>
      </c>
    </row>
    <row r="337" spans="1:12" x14ac:dyDescent="0.25">
      <c r="A337">
        <v>2</v>
      </c>
      <c r="B337">
        <v>3810</v>
      </c>
      <c r="C337">
        <v>25</v>
      </c>
      <c r="D337">
        <v>3</v>
      </c>
      <c r="E337" t="s">
        <v>121</v>
      </c>
      <c r="F337" s="19">
        <v>45862</v>
      </c>
      <c r="G337" t="s">
        <v>122</v>
      </c>
      <c r="H337">
        <v>0</v>
      </c>
      <c r="I337" s="19">
        <v>46023</v>
      </c>
      <c r="J337" s="19">
        <f t="shared" si="10"/>
        <v>46026</v>
      </c>
      <c r="L337">
        <f t="shared" si="11"/>
        <v>164</v>
      </c>
    </row>
    <row r="338" spans="1:12" x14ac:dyDescent="0.25">
      <c r="A338">
        <v>5</v>
      </c>
      <c r="B338">
        <v>4068</v>
      </c>
      <c r="C338">
        <v>159</v>
      </c>
      <c r="D338">
        <v>2</v>
      </c>
      <c r="E338" t="s">
        <v>119</v>
      </c>
      <c r="F338" s="19">
        <v>45868</v>
      </c>
      <c r="G338" t="s">
        <v>122</v>
      </c>
      <c r="H338">
        <v>0</v>
      </c>
      <c r="I338" s="19">
        <v>45917</v>
      </c>
      <c r="J338" s="19">
        <f t="shared" si="10"/>
        <v>45920</v>
      </c>
      <c r="L338">
        <f t="shared" si="11"/>
        <v>52</v>
      </c>
    </row>
    <row r="339" spans="1:12" x14ac:dyDescent="0.25">
      <c r="A339">
        <v>10</v>
      </c>
      <c r="B339">
        <v>4445</v>
      </c>
      <c r="C339">
        <v>256</v>
      </c>
      <c r="D339">
        <v>2</v>
      </c>
      <c r="E339" t="s">
        <v>121</v>
      </c>
      <c r="F339" s="19">
        <v>45868</v>
      </c>
      <c r="G339" t="s">
        <v>122</v>
      </c>
      <c r="H339">
        <v>0</v>
      </c>
      <c r="I339" s="19">
        <v>45919</v>
      </c>
      <c r="J339" s="19">
        <f t="shared" si="10"/>
        <v>45922</v>
      </c>
      <c r="L339">
        <f t="shared" si="11"/>
        <v>54</v>
      </c>
    </row>
    <row r="340" spans="1:12" x14ac:dyDescent="0.25">
      <c r="A340">
        <v>10</v>
      </c>
      <c r="B340">
        <v>3326</v>
      </c>
      <c r="C340">
        <v>42</v>
      </c>
      <c r="D340">
        <v>3</v>
      </c>
      <c r="E340" t="s">
        <v>121</v>
      </c>
      <c r="F340" s="19">
        <v>45868</v>
      </c>
      <c r="G340" t="s">
        <v>122</v>
      </c>
      <c r="H340">
        <v>0</v>
      </c>
      <c r="I340" s="19">
        <v>45920</v>
      </c>
      <c r="J340" s="19">
        <f t="shared" si="10"/>
        <v>45923</v>
      </c>
      <c r="L340">
        <f t="shared" si="11"/>
        <v>55</v>
      </c>
    </row>
    <row r="341" spans="1:12" x14ac:dyDescent="0.25">
      <c r="A341">
        <v>3</v>
      </c>
      <c r="B341">
        <v>4324</v>
      </c>
      <c r="C341">
        <v>339</v>
      </c>
      <c r="D341">
        <v>2</v>
      </c>
      <c r="E341" t="s">
        <v>121</v>
      </c>
      <c r="F341" s="19">
        <v>45868</v>
      </c>
      <c r="G341" t="s">
        <v>120</v>
      </c>
      <c r="H341">
        <v>0</v>
      </c>
      <c r="I341" s="19">
        <v>45920</v>
      </c>
      <c r="J341" s="19">
        <f t="shared" si="10"/>
        <v>45923</v>
      </c>
      <c r="L341">
        <f t="shared" si="11"/>
        <v>55</v>
      </c>
    </row>
    <row r="342" spans="1:12" x14ac:dyDescent="0.25">
      <c r="A342">
        <v>5</v>
      </c>
      <c r="B342">
        <v>4397</v>
      </c>
      <c r="C342">
        <v>339</v>
      </c>
      <c r="D342">
        <v>2</v>
      </c>
      <c r="E342" t="s">
        <v>119</v>
      </c>
      <c r="F342" s="19">
        <v>45868</v>
      </c>
      <c r="G342" t="s">
        <v>120</v>
      </c>
      <c r="H342">
        <v>0</v>
      </c>
      <c r="I342" s="19">
        <v>45920</v>
      </c>
      <c r="J342" s="19">
        <f t="shared" si="10"/>
        <v>45923</v>
      </c>
      <c r="L342">
        <f t="shared" si="11"/>
        <v>55</v>
      </c>
    </row>
    <row r="343" spans="1:12" x14ac:dyDescent="0.25">
      <c r="A343">
        <v>5</v>
      </c>
      <c r="B343">
        <v>3782</v>
      </c>
      <c r="C343">
        <v>337</v>
      </c>
      <c r="D343">
        <v>3</v>
      </c>
      <c r="E343" t="s">
        <v>119</v>
      </c>
      <c r="F343" s="19">
        <v>45868</v>
      </c>
      <c r="G343" t="s">
        <v>132</v>
      </c>
      <c r="H343">
        <v>0</v>
      </c>
      <c r="I343" s="19">
        <v>45922</v>
      </c>
      <c r="J343" s="19">
        <f t="shared" si="10"/>
        <v>45925</v>
      </c>
      <c r="L343">
        <f t="shared" si="11"/>
        <v>57</v>
      </c>
    </row>
    <row r="344" spans="1:12" x14ac:dyDescent="0.25">
      <c r="A344">
        <v>10</v>
      </c>
      <c r="B344">
        <v>3962</v>
      </c>
      <c r="C344">
        <v>337</v>
      </c>
      <c r="D344">
        <v>2</v>
      </c>
      <c r="E344" t="s">
        <v>119</v>
      </c>
      <c r="F344" s="19">
        <v>45868</v>
      </c>
      <c r="G344" t="s">
        <v>120</v>
      </c>
      <c r="H344">
        <v>0</v>
      </c>
      <c r="I344" s="19">
        <v>45922</v>
      </c>
      <c r="J344" s="19">
        <f t="shared" si="10"/>
        <v>45925</v>
      </c>
      <c r="L344">
        <f t="shared" si="11"/>
        <v>57</v>
      </c>
    </row>
    <row r="345" spans="1:12" x14ac:dyDescent="0.25">
      <c r="A345">
        <v>6</v>
      </c>
      <c r="B345">
        <v>3009</v>
      </c>
      <c r="C345">
        <v>334</v>
      </c>
      <c r="D345">
        <v>4</v>
      </c>
      <c r="E345" t="s">
        <v>119</v>
      </c>
      <c r="F345" s="19">
        <v>45868</v>
      </c>
      <c r="G345" t="s">
        <v>120</v>
      </c>
      <c r="H345">
        <v>0</v>
      </c>
      <c r="I345" s="19">
        <v>45925</v>
      </c>
      <c r="J345" s="19">
        <f t="shared" si="10"/>
        <v>45928</v>
      </c>
      <c r="L345">
        <f t="shared" si="11"/>
        <v>60</v>
      </c>
    </row>
    <row r="346" spans="1:12" x14ac:dyDescent="0.25">
      <c r="A346">
        <v>10</v>
      </c>
      <c r="B346">
        <v>4449</v>
      </c>
      <c r="C346">
        <v>155</v>
      </c>
      <c r="D346">
        <v>2</v>
      </c>
      <c r="E346" t="s">
        <v>119</v>
      </c>
      <c r="F346" s="19">
        <v>45868</v>
      </c>
      <c r="G346" t="s">
        <v>122</v>
      </c>
      <c r="H346">
        <v>0</v>
      </c>
      <c r="I346" s="19">
        <v>45925</v>
      </c>
      <c r="J346" s="19">
        <f t="shared" si="10"/>
        <v>45928</v>
      </c>
      <c r="L346">
        <f t="shared" si="11"/>
        <v>60</v>
      </c>
    </row>
    <row r="347" spans="1:12" x14ac:dyDescent="0.25">
      <c r="A347">
        <v>7</v>
      </c>
      <c r="B347">
        <v>4375</v>
      </c>
      <c r="C347">
        <v>308</v>
      </c>
      <c r="D347">
        <v>2</v>
      </c>
      <c r="E347" t="s">
        <v>119</v>
      </c>
      <c r="F347" s="19">
        <v>45868</v>
      </c>
      <c r="G347" t="s">
        <v>122</v>
      </c>
      <c r="H347">
        <v>0</v>
      </c>
      <c r="I347" s="19">
        <v>45927</v>
      </c>
      <c r="J347" s="19">
        <f t="shared" si="10"/>
        <v>45930</v>
      </c>
      <c r="L347">
        <f t="shared" si="11"/>
        <v>62</v>
      </c>
    </row>
    <row r="348" spans="1:12" x14ac:dyDescent="0.25">
      <c r="A348">
        <v>5</v>
      </c>
      <c r="B348">
        <v>4260</v>
      </c>
      <c r="C348">
        <v>331</v>
      </c>
      <c r="D348">
        <v>2</v>
      </c>
      <c r="E348" t="s">
        <v>119</v>
      </c>
      <c r="F348" s="19">
        <v>45868</v>
      </c>
      <c r="G348" t="s">
        <v>120</v>
      </c>
      <c r="H348">
        <v>0</v>
      </c>
      <c r="I348" s="19">
        <v>45928</v>
      </c>
      <c r="J348" s="19">
        <f t="shared" si="10"/>
        <v>45931</v>
      </c>
      <c r="L348">
        <f t="shared" si="11"/>
        <v>63</v>
      </c>
    </row>
    <row r="349" spans="1:12" x14ac:dyDescent="0.25">
      <c r="A349">
        <v>10</v>
      </c>
      <c r="B349">
        <v>2756</v>
      </c>
      <c r="C349">
        <v>163</v>
      </c>
      <c r="D349">
        <v>3</v>
      </c>
      <c r="E349" t="s">
        <v>121</v>
      </c>
      <c r="F349" s="19">
        <v>45868</v>
      </c>
      <c r="G349" t="s">
        <v>122</v>
      </c>
      <c r="H349">
        <v>0</v>
      </c>
      <c r="I349" s="19">
        <v>45942</v>
      </c>
      <c r="J349" s="19">
        <f t="shared" si="10"/>
        <v>45945</v>
      </c>
      <c r="L349">
        <f t="shared" si="11"/>
        <v>77</v>
      </c>
    </row>
    <row r="350" spans="1:12" x14ac:dyDescent="0.25">
      <c r="A350">
        <v>5</v>
      </c>
      <c r="B350">
        <v>3725</v>
      </c>
      <c r="C350">
        <v>278</v>
      </c>
      <c r="D350">
        <v>3</v>
      </c>
      <c r="E350" t="s">
        <v>121</v>
      </c>
      <c r="F350" s="19">
        <v>45868</v>
      </c>
      <c r="G350" t="s">
        <v>122</v>
      </c>
      <c r="H350">
        <v>0</v>
      </c>
      <c r="I350" s="19">
        <v>45975</v>
      </c>
      <c r="J350" s="19">
        <f t="shared" si="10"/>
        <v>45978</v>
      </c>
      <c r="L350">
        <f t="shared" si="11"/>
        <v>110</v>
      </c>
    </row>
    <row r="351" spans="1:12" x14ac:dyDescent="0.25">
      <c r="A351">
        <v>10</v>
      </c>
      <c r="B351">
        <v>2669</v>
      </c>
      <c r="C351">
        <v>18</v>
      </c>
      <c r="D351">
        <v>4</v>
      </c>
      <c r="E351" t="s">
        <v>121</v>
      </c>
      <c r="F351" s="19">
        <v>45868</v>
      </c>
      <c r="G351" t="s">
        <v>122</v>
      </c>
      <c r="H351">
        <v>0</v>
      </c>
      <c r="I351" s="19">
        <v>46058</v>
      </c>
      <c r="J351" s="19">
        <f t="shared" si="10"/>
        <v>46061</v>
      </c>
      <c r="L351">
        <f t="shared" si="11"/>
        <v>193</v>
      </c>
    </row>
    <row r="352" spans="1:12" x14ac:dyDescent="0.25">
      <c r="A352">
        <v>10</v>
      </c>
      <c r="B352">
        <v>1137</v>
      </c>
      <c r="C352">
        <v>11</v>
      </c>
      <c r="D352">
        <v>5</v>
      </c>
      <c r="E352" t="s">
        <v>121</v>
      </c>
      <c r="F352" s="19">
        <v>45868</v>
      </c>
      <c r="G352" t="s">
        <v>122</v>
      </c>
      <c r="H352">
        <v>0</v>
      </c>
      <c r="I352" s="19">
        <v>46069</v>
      </c>
      <c r="J352" s="19">
        <f t="shared" si="10"/>
        <v>46072</v>
      </c>
      <c r="L352">
        <f t="shared" si="11"/>
        <v>204</v>
      </c>
    </row>
    <row r="353" spans="1:12" x14ac:dyDescent="0.25">
      <c r="A353">
        <v>10</v>
      </c>
      <c r="B353">
        <v>3586</v>
      </c>
      <c r="C353">
        <v>184</v>
      </c>
      <c r="D353">
        <v>4</v>
      </c>
      <c r="E353" t="s">
        <v>121</v>
      </c>
      <c r="F353" s="19">
        <v>45868</v>
      </c>
      <c r="G353" t="s">
        <v>131</v>
      </c>
      <c r="H353">
        <v>0</v>
      </c>
      <c r="I353" s="19">
        <v>46075</v>
      </c>
      <c r="J353" s="19">
        <f t="shared" si="10"/>
        <v>46078</v>
      </c>
      <c r="L353">
        <f t="shared" si="11"/>
        <v>210</v>
      </c>
    </row>
    <row r="354" spans="1:12" x14ac:dyDescent="0.25">
      <c r="A354">
        <v>2</v>
      </c>
      <c r="B354">
        <v>2238</v>
      </c>
      <c r="C354">
        <v>0</v>
      </c>
      <c r="D354">
        <v>6</v>
      </c>
      <c r="E354" t="s">
        <v>121</v>
      </c>
      <c r="F354" s="19">
        <v>45868</v>
      </c>
      <c r="G354" t="s">
        <v>122</v>
      </c>
      <c r="H354">
        <v>0</v>
      </c>
      <c r="I354" s="19">
        <v>46080</v>
      </c>
      <c r="J354" s="19">
        <f t="shared" si="10"/>
        <v>46083</v>
      </c>
      <c r="L354">
        <f t="shared" si="11"/>
        <v>215</v>
      </c>
    </row>
    <row r="355" spans="1:12" x14ac:dyDescent="0.25">
      <c r="A355">
        <v>10</v>
      </c>
      <c r="B355">
        <v>4565</v>
      </c>
      <c r="C355">
        <v>211</v>
      </c>
      <c r="D355">
        <v>2</v>
      </c>
      <c r="E355" t="s">
        <v>121</v>
      </c>
      <c r="F355" s="19">
        <v>45875</v>
      </c>
      <c r="G355" t="s">
        <v>122</v>
      </c>
      <c r="H355">
        <v>0</v>
      </c>
      <c r="I355" s="19">
        <v>45925</v>
      </c>
      <c r="J355" s="19">
        <f t="shared" si="10"/>
        <v>45928</v>
      </c>
      <c r="L355">
        <f t="shared" si="11"/>
        <v>53</v>
      </c>
    </row>
    <row r="356" spans="1:12" x14ac:dyDescent="0.25">
      <c r="A356">
        <v>6</v>
      </c>
      <c r="B356">
        <v>3578</v>
      </c>
      <c r="C356">
        <v>261</v>
      </c>
      <c r="D356">
        <v>3</v>
      </c>
      <c r="E356" t="s">
        <v>123</v>
      </c>
      <c r="F356" s="19">
        <v>45875</v>
      </c>
      <c r="G356" t="s">
        <v>122</v>
      </c>
      <c r="H356">
        <v>0</v>
      </c>
      <c r="I356" s="19">
        <v>45928</v>
      </c>
      <c r="J356" s="19">
        <f t="shared" si="10"/>
        <v>45931</v>
      </c>
      <c r="L356">
        <f t="shared" si="11"/>
        <v>56</v>
      </c>
    </row>
    <row r="357" spans="1:12" x14ac:dyDescent="0.25">
      <c r="A357">
        <v>5</v>
      </c>
      <c r="B357">
        <v>4400</v>
      </c>
      <c r="C357">
        <v>331</v>
      </c>
      <c r="D357">
        <v>2</v>
      </c>
      <c r="E357" t="s">
        <v>121</v>
      </c>
      <c r="F357" s="19">
        <v>45875</v>
      </c>
      <c r="G357" t="s">
        <v>120</v>
      </c>
      <c r="H357">
        <v>0</v>
      </c>
      <c r="I357" s="19">
        <v>45928</v>
      </c>
      <c r="J357" s="19">
        <f t="shared" si="10"/>
        <v>45931</v>
      </c>
      <c r="L357">
        <f t="shared" si="11"/>
        <v>56</v>
      </c>
    </row>
    <row r="358" spans="1:12" x14ac:dyDescent="0.25">
      <c r="A358">
        <v>6</v>
      </c>
      <c r="B358">
        <v>3123</v>
      </c>
      <c r="C358">
        <v>328</v>
      </c>
      <c r="D358">
        <v>4</v>
      </c>
      <c r="E358" t="s">
        <v>123</v>
      </c>
      <c r="F358" s="19">
        <v>45875</v>
      </c>
      <c r="G358" t="s">
        <v>120</v>
      </c>
      <c r="H358">
        <v>0</v>
      </c>
      <c r="I358" s="19">
        <v>45931</v>
      </c>
      <c r="J358" s="19">
        <f t="shared" si="10"/>
        <v>45934</v>
      </c>
      <c r="L358">
        <f t="shared" si="11"/>
        <v>59</v>
      </c>
    </row>
    <row r="359" spans="1:12" x14ac:dyDescent="0.25">
      <c r="A359">
        <v>6</v>
      </c>
      <c r="B359">
        <v>2730</v>
      </c>
      <c r="C359">
        <v>221</v>
      </c>
      <c r="D359">
        <v>5</v>
      </c>
      <c r="E359" t="s">
        <v>121</v>
      </c>
      <c r="F359" s="19">
        <v>45875</v>
      </c>
      <c r="G359" t="s">
        <v>122</v>
      </c>
      <c r="H359">
        <v>0</v>
      </c>
      <c r="I359" s="19">
        <v>45931</v>
      </c>
      <c r="J359" s="19">
        <f t="shared" si="10"/>
        <v>45934</v>
      </c>
      <c r="L359">
        <f t="shared" si="11"/>
        <v>59</v>
      </c>
    </row>
    <row r="360" spans="1:12" x14ac:dyDescent="0.25">
      <c r="A360">
        <v>5</v>
      </c>
      <c r="B360">
        <v>4120</v>
      </c>
      <c r="C360">
        <v>328</v>
      </c>
      <c r="D360">
        <v>2</v>
      </c>
      <c r="E360" t="s">
        <v>121</v>
      </c>
      <c r="F360" s="19">
        <v>45875</v>
      </c>
      <c r="G360" t="s">
        <v>120</v>
      </c>
      <c r="H360">
        <v>0</v>
      </c>
      <c r="I360" s="19">
        <v>45931</v>
      </c>
      <c r="J360" s="19">
        <f t="shared" si="10"/>
        <v>45934</v>
      </c>
      <c r="L360">
        <f t="shared" si="11"/>
        <v>59</v>
      </c>
    </row>
    <row r="361" spans="1:12" x14ac:dyDescent="0.25">
      <c r="A361">
        <v>6</v>
      </c>
      <c r="B361">
        <v>3612</v>
      </c>
      <c r="C361">
        <v>248</v>
      </c>
      <c r="D361">
        <v>3</v>
      </c>
      <c r="E361" t="s">
        <v>121</v>
      </c>
      <c r="F361" s="19">
        <v>45875</v>
      </c>
      <c r="G361" t="s">
        <v>122</v>
      </c>
      <c r="H361">
        <v>0</v>
      </c>
      <c r="I361" s="19">
        <v>45933</v>
      </c>
      <c r="J361" s="19">
        <f t="shared" si="10"/>
        <v>45936</v>
      </c>
      <c r="L361">
        <f t="shared" si="11"/>
        <v>61</v>
      </c>
    </row>
    <row r="362" spans="1:12" x14ac:dyDescent="0.25">
      <c r="A362">
        <v>6</v>
      </c>
      <c r="B362">
        <v>2457</v>
      </c>
      <c r="C362">
        <v>326</v>
      </c>
      <c r="D362">
        <v>6</v>
      </c>
      <c r="E362" t="s">
        <v>123</v>
      </c>
      <c r="F362" s="19">
        <v>45875</v>
      </c>
      <c r="G362" t="s">
        <v>132</v>
      </c>
      <c r="H362">
        <v>0</v>
      </c>
      <c r="I362" s="19">
        <v>45933</v>
      </c>
      <c r="J362" s="19">
        <f t="shared" ref="J362:J425" si="12">I362+3</f>
        <v>45936</v>
      </c>
      <c r="L362">
        <f t="shared" ref="L362:L425" si="13">J362-F362</f>
        <v>61</v>
      </c>
    </row>
    <row r="363" spans="1:12" x14ac:dyDescent="0.25">
      <c r="A363">
        <v>3</v>
      </c>
      <c r="B363">
        <v>4210</v>
      </c>
      <c r="C363">
        <v>326</v>
      </c>
      <c r="D363">
        <v>2</v>
      </c>
      <c r="E363" t="s">
        <v>123</v>
      </c>
      <c r="F363" s="19">
        <v>45875</v>
      </c>
      <c r="G363" t="s">
        <v>120</v>
      </c>
      <c r="H363">
        <v>0</v>
      </c>
      <c r="I363" s="19">
        <v>45933</v>
      </c>
      <c r="J363" s="19">
        <f t="shared" si="12"/>
        <v>45936</v>
      </c>
      <c r="L363">
        <f t="shared" si="13"/>
        <v>61</v>
      </c>
    </row>
    <row r="364" spans="1:12" x14ac:dyDescent="0.25">
      <c r="A364">
        <v>6</v>
      </c>
      <c r="B364">
        <v>3095</v>
      </c>
      <c r="C364">
        <v>323</v>
      </c>
      <c r="D364">
        <v>4</v>
      </c>
      <c r="E364" t="s">
        <v>123</v>
      </c>
      <c r="F364" s="19">
        <v>45875</v>
      </c>
      <c r="G364" t="s">
        <v>120</v>
      </c>
      <c r="H364">
        <v>0</v>
      </c>
      <c r="I364" s="19">
        <v>45936</v>
      </c>
      <c r="J364" s="19">
        <f t="shared" si="12"/>
        <v>45939</v>
      </c>
      <c r="L364">
        <f t="shared" si="13"/>
        <v>64</v>
      </c>
    </row>
    <row r="365" spans="1:12" x14ac:dyDescent="0.25">
      <c r="A365">
        <v>5</v>
      </c>
      <c r="B365">
        <v>4224</v>
      </c>
      <c r="C365">
        <v>325</v>
      </c>
      <c r="D365">
        <v>2</v>
      </c>
      <c r="E365" t="s">
        <v>121</v>
      </c>
      <c r="F365" s="19">
        <v>45882</v>
      </c>
      <c r="G365" t="s">
        <v>120</v>
      </c>
      <c r="H365">
        <v>0</v>
      </c>
      <c r="I365" s="19">
        <v>45934</v>
      </c>
      <c r="J365" s="19">
        <f t="shared" si="12"/>
        <v>45937</v>
      </c>
      <c r="L365">
        <f t="shared" si="13"/>
        <v>55</v>
      </c>
    </row>
    <row r="366" spans="1:12" x14ac:dyDescent="0.25">
      <c r="A366">
        <v>10</v>
      </c>
      <c r="B366">
        <v>3085</v>
      </c>
      <c r="C366">
        <v>10</v>
      </c>
      <c r="D366">
        <v>3</v>
      </c>
      <c r="E366" t="s">
        <v>121</v>
      </c>
      <c r="F366" s="19">
        <v>45882</v>
      </c>
      <c r="G366" t="s">
        <v>122</v>
      </c>
      <c r="H366">
        <v>0</v>
      </c>
      <c r="I366" s="19">
        <v>45935</v>
      </c>
      <c r="J366" s="19">
        <f t="shared" si="12"/>
        <v>45938</v>
      </c>
      <c r="L366">
        <f t="shared" si="13"/>
        <v>56</v>
      </c>
    </row>
    <row r="367" spans="1:12" x14ac:dyDescent="0.25">
      <c r="A367">
        <v>5</v>
      </c>
      <c r="B367">
        <v>4006</v>
      </c>
      <c r="C367">
        <v>323</v>
      </c>
      <c r="D367">
        <v>2</v>
      </c>
      <c r="E367" t="s">
        <v>123</v>
      </c>
      <c r="F367" s="19">
        <v>45882</v>
      </c>
      <c r="G367" t="s">
        <v>120</v>
      </c>
      <c r="H367">
        <v>0</v>
      </c>
      <c r="I367" s="19">
        <v>45936</v>
      </c>
      <c r="J367" s="19">
        <f t="shared" si="12"/>
        <v>45939</v>
      </c>
      <c r="L367">
        <f t="shared" si="13"/>
        <v>57</v>
      </c>
    </row>
    <row r="368" spans="1:12" x14ac:dyDescent="0.25">
      <c r="A368">
        <v>10</v>
      </c>
      <c r="B368">
        <v>4277</v>
      </c>
      <c r="C368">
        <v>119</v>
      </c>
      <c r="D368">
        <v>2</v>
      </c>
      <c r="E368" t="s">
        <v>123</v>
      </c>
      <c r="F368" s="19">
        <v>45882</v>
      </c>
      <c r="G368" t="s">
        <v>122</v>
      </c>
      <c r="H368">
        <v>0</v>
      </c>
      <c r="I368" s="19">
        <v>45937</v>
      </c>
      <c r="J368" s="19">
        <f t="shared" si="12"/>
        <v>45940</v>
      </c>
      <c r="L368">
        <f t="shared" si="13"/>
        <v>58</v>
      </c>
    </row>
    <row r="369" spans="1:12" x14ac:dyDescent="0.25">
      <c r="A369">
        <v>2</v>
      </c>
      <c r="B369">
        <v>4425</v>
      </c>
      <c r="C369">
        <v>319</v>
      </c>
      <c r="D369">
        <v>2</v>
      </c>
      <c r="E369" t="s">
        <v>123</v>
      </c>
      <c r="F369" s="19">
        <v>45882</v>
      </c>
      <c r="G369" t="s">
        <v>132</v>
      </c>
      <c r="H369">
        <v>0</v>
      </c>
      <c r="I369" s="19">
        <v>45940</v>
      </c>
      <c r="J369" s="19">
        <f t="shared" si="12"/>
        <v>45943</v>
      </c>
      <c r="L369">
        <f t="shared" si="13"/>
        <v>61</v>
      </c>
    </row>
    <row r="370" spans="1:12" x14ac:dyDescent="0.25">
      <c r="A370">
        <v>3</v>
      </c>
      <c r="B370">
        <v>3066</v>
      </c>
      <c r="C370">
        <v>318</v>
      </c>
      <c r="D370">
        <v>4</v>
      </c>
      <c r="E370" t="s">
        <v>121</v>
      </c>
      <c r="F370" s="19">
        <v>45882</v>
      </c>
      <c r="G370" t="s">
        <v>120</v>
      </c>
      <c r="H370">
        <v>0</v>
      </c>
      <c r="I370" s="19">
        <v>45941</v>
      </c>
      <c r="J370" s="19">
        <f t="shared" si="12"/>
        <v>45944</v>
      </c>
      <c r="L370">
        <f t="shared" si="13"/>
        <v>62</v>
      </c>
    </row>
    <row r="371" spans="1:12" x14ac:dyDescent="0.25">
      <c r="A371">
        <v>10</v>
      </c>
      <c r="B371">
        <v>3592</v>
      </c>
      <c r="C371">
        <v>174</v>
      </c>
      <c r="D371">
        <v>3</v>
      </c>
      <c r="E371" t="s">
        <v>123</v>
      </c>
      <c r="F371" s="19">
        <v>45882</v>
      </c>
      <c r="G371" t="s">
        <v>122</v>
      </c>
      <c r="H371">
        <v>0</v>
      </c>
      <c r="I371" s="19">
        <v>45944</v>
      </c>
      <c r="J371" s="19">
        <f t="shared" si="12"/>
        <v>45947</v>
      </c>
      <c r="L371">
        <f t="shared" si="13"/>
        <v>65</v>
      </c>
    </row>
    <row r="372" spans="1:12" x14ac:dyDescent="0.25">
      <c r="A372">
        <v>6</v>
      </c>
      <c r="B372">
        <v>2108</v>
      </c>
      <c r="C372">
        <v>208</v>
      </c>
      <c r="D372">
        <v>6</v>
      </c>
      <c r="E372" t="s">
        <v>121</v>
      </c>
      <c r="F372" s="19">
        <v>45882</v>
      </c>
      <c r="G372" t="s">
        <v>122</v>
      </c>
      <c r="H372">
        <v>0</v>
      </c>
      <c r="I372" s="19">
        <v>45944</v>
      </c>
      <c r="J372" s="19">
        <f t="shared" si="12"/>
        <v>45947</v>
      </c>
      <c r="L372">
        <f t="shared" si="13"/>
        <v>65</v>
      </c>
    </row>
    <row r="373" spans="1:12" x14ac:dyDescent="0.25">
      <c r="A373">
        <v>6</v>
      </c>
      <c r="B373">
        <v>577</v>
      </c>
      <c r="C373">
        <v>125</v>
      </c>
      <c r="D373">
        <v>5</v>
      </c>
      <c r="E373" t="s">
        <v>121</v>
      </c>
      <c r="F373" s="19">
        <v>45882</v>
      </c>
      <c r="G373" t="s">
        <v>122</v>
      </c>
      <c r="H373">
        <v>0</v>
      </c>
      <c r="I373" s="19">
        <v>45959</v>
      </c>
      <c r="J373" s="19">
        <f t="shared" si="12"/>
        <v>45962</v>
      </c>
      <c r="L373">
        <f t="shared" si="13"/>
        <v>80</v>
      </c>
    </row>
    <row r="374" spans="1:12" x14ac:dyDescent="0.25">
      <c r="A374">
        <v>10</v>
      </c>
      <c r="B374">
        <v>3745</v>
      </c>
      <c r="C374">
        <v>7</v>
      </c>
      <c r="D374">
        <v>3</v>
      </c>
      <c r="E374" t="s">
        <v>121</v>
      </c>
      <c r="F374" s="19">
        <v>45882</v>
      </c>
      <c r="G374" t="s">
        <v>122</v>
      </c>
      <c r="H374">
        <v>0</v>
      </c>
      <c r="I374" s="19">
        <v>46083</v>
      </c>
      <c r="J374" s="19">
        <f t="shared" si="12"/>
        <v>46086</v>
      </c>
      <c r="L374">
        <f t="shared" si="13"/>
        <v>204</v>
      </c>
    </row>
    <row r="375" spans="1:12" x14ac:dyDescent="0.25">
      <c r="A375">
        <v>5</v>
      </c>
      <c r="B375">
        <v>3781</v>
      </c>
      <c r="C375">
        <v>74</v>
      </c>
      <c r="D375">
        <v>3</v>
      </c>
      <c r="E375" t="s">
        <v>121</v>
      </c>
      <c r="F375" s="19">
        <v>45882</v>
      </c>
      <c r="G375" t="s">
        <v>132</v>
      </c>
      <c r="H375">
        <v>0</v>
      </c>
      <c r="I375" s="19">
        <v>46185</v>
      </c>
      <c r="J375" s="19">
        <f t="shared" si="12"/>
        <v>46188</v>
      </c>
      <c r="L375">
        <f t="shared" si="13"/>
        <v>306</v>
      </c>
    </row>
    <row r="376" spans="1:12" x14ac:dyDescent="0.25">
      <c r="A376">
        <v>5</v>
      </c>
      <c r="B376">
        <v>3728</v>
      </c>
      <c r="C376">
        <v>318</v>
      </c>
      <c r="D376">
        <v>3</v>
      </c>
      <c r="E376" t="s">
        <v>121</v>
      </c>
      <c r="F376" s="19">
        <v>45885</v>
      </c>
      <c r="G376" t="s">
        <v>120</v>
      </c>
      <c r="H376">
        <v>0</v>
      </c>
      <c r="I376" s="19">
        <v>45941</v>
      </c>
      <c r="J376" s="19">
        <f t="shared" si="12"/>
        <v>45944</v>
      </c>
      <c r="L376">
        <f t="shared" si="13"/>
        <v>59</v>
      </c>
    </row>
    <row r="377" spans="1:12" x14ac:dyDescent="0.25">
      <c r="A377">
        <v>10</v>
      </c>
      <c r="B377">
        <v>4134</v>
      </c>
      <c r="C377">
        <v>70</v>
      </c>
      <c r="D377">
        <v>2</v>
      </c>
      <c r="E377" t="s">
        <v>123</v>
      </c>
      <c r="F377" s="19">
        <v>45889</v>
      </c>
      <c r="G377" t="s">
        <v>122</v>
      </c>
      <c r="H377">
        <v>0</v>
      </c>
      <c r="I377" s="19">
        <v>45938</v>
      </c>
      <c r="J377" s="19">
        <f t="shared" si="12"/>
        <v>45941</v>
      </c>
      <c r="L377">
        <f t="shared" si="13"/>
        <v>52</v>
      </c>
    </row>
    <row r="378" spans="1:12" x14ac:dyDescent="0.25">
      <c r="A378">
        <v>2</v>
      </c>
      <c r="B378">
        <v>3079</v>
      </c>
      <c r="C378">
        <v>9</v>
      </c>
      <c r="D378">
        <v>3</v>
      </c>
      <c r="E378" t="s">
        <v>121</v>
      </c>
      <c r="F378" s="19">
        <v>45889</v>
      </c>
      <c r="G378" t="s">
        <v>122</v>
      </c>
      <c r="H378">
        <v>0</v>
      </c>
      <c r="I378" s="19">
        <v>45942</v>
      </c>
      <c r="J378" s="19">
        <f t="shared" si="12"/>
        <v>45945</v>
      </c>
      <c r="L378">
        <f t="shared" si="13"/>
        <v>56</v>
      </c>
    </row>
    <row r="379" spans="1:12" x14ac:dyDescent="0.25">
      <c r="A379">
        <v>10</v>
      </c>
      <c r="B379">
        <v>3804</v>
      </c>
      <c r="C379">
        <v>295</v>
      </c>
      <c r="D379">
        <v>3</v>
      </c>
      <c r="E379" t="s">
        <v>123</v>
      </c>
      <c r="F379" s="19">
        <v>45889</v>
      </c>
      <c r="G379" t="s">
        <v>122</v>
      </c>
      <c r="H379">
        <v>0</v>
      </c>
      <c r="I379" s="19">
        <v>45944</v>
      </c>
      <c r="J379" s="19">
        <f t="shared" si="12"/>
        <v>45947</v>
      </c>
      <c r="L379">
        <f t="shared" si="13"/>
        <v>58</v>
      </c>
    </row>
    <row r="380" spans="1:12" x14ac:dyDescent="0.25">
      <c r="A380">
        <v>6</v>
      </c>
      <c r="B380">
        <v>4263</v>
      </c>
      <c r="C380">
        <v>315</v>
      </c>
      <c r="D380">
        <v>2</v>
      </c>
      <c r="E380" t="s">
        <v>123</v>
      </c>
      <c r="F380" s="19">
        <v>45889</v>
      </c>
      <c r="G380" t="s">
        <v>120</v>
      </c>
      <c r="H380">
        <v>0</v>
      </c>
      <c r="I380" s="19">
        <v>45944</v>
      </c>
      <c r="J380" s="19">
        <f t="shared" si="12"/>
        <v>45947</v>
      </c>
      <c r="L380">
        <f t="shared" si="13"/>
        <v>58</v>
      </c>
    </row>
    <row r="381" spans="1:12" x14ac:dyDescent="0.25">
      <c r="A381">
        <v>6</v>
      </c>
      <c r="B381">
        <v>4369</v>
      </c>
      <c r="C381">
        <v>199</v>
      </c>
      <c r="D381">
        <v>2</v>
      </c>
      <c r="E381" t="s">
        <v>123</v>
      </c>
      <c r="F381" s="19">
        <v>45889</v>
      </c>
      <c r="G381" t="s">
        <v>122</v>
      </c>
      <c r="H381">
        <v>0</v>
      </c>
      <c r="I381" s="19">
        <v>45945</v>
      </c>
      <c r="J381" s="19">
        <f t="shared" si="12"/>
        <v>45948</v>
      </c>
      <c r="L381">
        <f t="shared" si="13"/>
        <v>59</v>
      </c>
    </row>
    <row r="382" spans="1:12" x14ac:dyDescent="0.25">
      <c r="A382">
        <v>3</v>
      </c>
      <c r="B382">
        <v>3711</v>
      </c>
      <c r="C382">
        <v>313</v>
      </c>
      <c r="D382">
        <v>3</v>
      </c>
      <c r="E382" t="s">
        <v>123</v>
      </c>
      <c r="F382" s="19">
        <v>45889</v>
      </c>
      <c r="G382" t="s">
        <v>120</v>
      </c>
      <c r="H382">
        <v>0</v>
      </c>
      <c r="I382" s="19">
        <v>45946</v>
      </c>
      <c r="J382" s="19">
        <f t="shared" si="12"/>
        <v>45949</v>
      </c>
      <c r="L382">
        <f t="shared" si="13"/>
        <v>60</v>
      </c>
    </row>
    <row r="383" spans="1:12" x14ac:dyDescent="0.25">
      <c r="A383">
        <v>10</v>
      </c>
      <c r="B383">
        <v>3330</v>
      </c>
      <c r="C383">
        <v>134</v>
      </c>
      <c r="D383">
        <v>4</v>
      </c>
      <c r="E383" t="s">
        <v>121</v>
      </c>
      <c r="F383" s="19">
        <v>45889</v>
      </c>
      <c r="G383" t="s">
        <v>122</v>
      </c>
      <c r="H383">
        <v>0</v>
      </c>
      <c r="I383" s="19">
        <v>45946</v>
      </c>
      <c r="J383" s="19">
        <f t="shared" si="12"/>
        <v>45949</v>
      </c>
      <c r="L383">
        <f t="shared" si="13"/>
        <v>60</v>
      </c>
    </row>
    <row r="384" spans="1:12" x14ac:dyDescent="0.25">
      <c r="A384">
        <v>6</v>
      </c>
      <c r="B384">
        <v>3704</v>
      </c>
      <c r="C384">
        <v>137</v>
      </c>
      <c r="D384">
        <v>3</v>
      </c>
      <c r="E384" t="s">
        <v>123</v>
      </c>
      <c r="F384" s="19">
        <v>45889</v>
      </c>
      <c r="G384" t="s">
        <v>122</v>
      </c>
      <c r="H384">
        <v>0</v>
      </c>
      <c r="I384" s="19">
        <v>45947</v>
      </c>
      <c r="J384" s="19">
        <f t="shared" si="12"/>
        <v>45950</v>
      </c>
      <c r="L384">
        <f t="shared" si="13"/>
        <v>61</v>
      </c>
    </row>
    <row r="385" spans="1:12" x14ac:dyDescent="0.25">
      <c r="A385">
        <v>5</v>
      </c>
      <c r="B385">
        <v>3060</v>
      </c>
      <c r="C385">
        <v>312</v>
      </c>
      <c r="D385">
        <v>4</v>
      </c>
      <c r="E385" t="s">
        <v>123</v>
      </c>
      <c r="F385" s="19">
        <v>45889</v>
      </c>
      <c r="G385" t="s">
        <v>120</v>
      </c>
      <c r="H385">
        <v>0</v>
      </c>
      <c r="I385" s="19">
        <v>45947</v>
      </c>
      <c r="J385" s="19">
        <f t="shared" si="12"/>
        <v>45950</v>
      </c>
      <c r="L385">
        <f t="shared" si="13"/>
        <v>61</v>
      </c>
    </row>
    <row r="386" spans="1:12" x14ac:dyDescent="0.25">
      <c r="A386">
        <v>10</v>
      </c>
      <c r="B386">
        <v>4077</v>
      </c>
      <c r="C386">
        <v>146</v>
      </c>
      <c r="D386">
        <v>2</v>
      </c>
      <c r="E386" t="s">
        <v>123</v>
      </c>
      <c r="F386" s="19">
        <v>45889</v>
      </c>
      <c r="G386" t="s">
        <v>122</v>
      </c>
      <c r="H386">
        <v>0</v>
      </c>
      <c r="I386" s="19">
        <v>45948</v>
      </c>
      <c r="J386" s="19">
        <f t="shared" si="12"/>
        <v>45951</v>
      </c>
      <c r="L386">
        <f t="shared" si="13"/>
        <v>62</v>
      </c>
    </row>
    <row r="387" spans="1:12" x14ac:dyDescent="0.25">
      <c r="A387">
        <v>5</v>
      </c>
      <c r="B387">
        <v>4159</v>
      </c>
      <c r="C387">
        <v>310</v>
      </c>
      <c r="D387">
        <v>2</v>
      </c>
      <c r="E387" t="s">
        <v>121</v>
      </c>
      <c r="F387" s="19">
        <v>45889</v>
      </c>
      <c r="G387" t="s">
        <v>131</v>
      </c>
      <c r="H387">
        <v>0</v>
      </c>
      <c r="I387" s="19">
        <v>45949</v>
      </c>
      <c r="J387" s="19">
        <f t="shared" si="12"/>
        <v>45952</v>
      </c>
      <c r="L387">
        <f t="shared" si="13"/>
        <v>63</v>
      </c>
    </row>
    <row r="388" spans="1:12" x14ac:dyDescent="0.25">
      <c r="A388">
        <v>2</v>
      </c>
      <c r="B388">
        <v>3674</v>
      </c>
      <c r="C388">
        <v>309</v>
      </c>
      <c r="D388">
        <v>3</v>
      </c>
      <c r="E388" t="s">
        <v>123</v>
      </c>
      <c r="F388" s="19">
        <v>45889</v>
      </c>
      <c r="G388" t="s">
        <v>120</v>
      </c>
      <c r="H388">
        <v>0</v>
      </c>
      <c r="I388" s="19">
        <v>45950</v>
      </c>
      <c r="J388" s="19">
        <f t="shared" si="12"/>
        <v>45953</v>
      </c>
      <c r="L388">
        <f t="shared" si="13"/>
        <v>64</v>
      </c>
    </row>
    <row r="389" spans="1:12" x14ac:dyDescent="0.25">
      <c r="A389">
        <v>10</v>
      </c>
      <c r="B389">
        <v>3036</v>
      </c>
      <c r="C389">
        <v>224</v>
      </c>
      <c r="D389">
        <v>4</v>
      </c>
      <c r="E389" t="s">
        <v>123</v>
      </c>
      <c r="F389" s="19">
        <v>45889</v>
      </c>
      <c r="G389" t="s">
        <v>122</v>
      </c>
      <c r="H389">
        <v>0</v>
      </c>
      <c r="I389" s="19">
        <v>45950</v>
      </c>
      <c r="J389" s="19">
        <f t="shared" si="12"/>
        <v>45953</v>
      </c>
      <c r="L389">
        <f t="shared" si="13"/>
        <v>64</v>
      </c>
    </row>
    <row r="390" spans="1:12" x14ac:dyDescent="0.25">
      <c r="A390">
        <v>2</v>
      </c>
      <c r="B390">
        <v>3708</v>
      </c>
      <c r="C390">
        <v>3</v>
      </c>
      <c r="D390">
        <v>3</v>
      </c>
      <c r="E390" t="s">
        <v>123</v>
      </c>
      <c r="F390" s="19">
        <v>45889</v>
      </c>
      <c r="G390" t="s">
        <v>122</v>
      </c>
      <c r="H390">
        <v>0</v>
      </c>
      <c r="I390" s="19">
        <v>45954</v>
      </c>
      <c r="J390" s="19">
        <f t="shared" si="12"/>
        <v>45957</v>
      </c>
      <c r="L390">
        <f t="shared" si="13"/>
        <v>68</v>
      </c>
    </row>
    <row r="391" spans="1:12" x14ac:dyDescent="0.25">
      <c r="A391">
        <v>5</v>
      </c>
      <c r="B391">
        <v>3074</v>
      </c>
      <c r="C391">
        <v>288</v>
      </c>
      <c r="D391">
        <v>4</v>
      </c>
      <c r="E391" t="s">
        <v>121</v>
      </c>
      <c r="F391" s="19">
        <v>45889</v>
      </c>
      <c r="G391" t="s">
        <v>120</v>
      </c>
      <c r="H391">
        <v>0</v>
      </c>
      <c r="I391" s="19">
        <v>45971</v>
      </c>
      <c r="J391" s="19">
        <f t="shared" si="12"/>
        <v>45974</v>
      </c>
      <c r="L391">
        <f t="shared" si="13"/>
        <v>85</v>
      </c>
    </row>
    <row r="392" spans="1:12" x14ac:dyDescent="0.25">
      <c r="A392">
        <v>10</v>
      </c>
      <c r="B392">
        <v>2549</v>
      </c>
      <c r="C392">
        <v>90</v>
      </c>
      <c r="D392">
        <v>5</v>
      </c>
      <c r="E392" t="s">
        <v>121</v>
      </c>
      <c r="F392" s="19">
        <v>45889</v>
      </c>
      <c r="G392" t="s">
        <v>122</v>
      </c>
      <c r="H392">
        <v>0</v>
      </c>
      <c r="I392" s="19">
        <v>45971</v>
      </c>
      <c r="J392" s="19">
        <f t="shared" si="12"/>
        <v>45974</v>
      </c>
      <c r="L392">
        <f t="shared" si="13"/>
        <v>85</v>
      </c>
    </row>
    <row r="393" spans="1:12" x14ac:dyDescent="0.25">
      <c r="A393">
        <v>6</v>
      </c>
      <c r="B393">
        <v>2709</v>
      </c>
      <c r="C393">
        <v>88</v>
      </c>
      <c r="D393">
        <v>5</v>
      </c>
      <c r="E393" t="s">
        <v>121</v>
      </c>
      <c r="F393" s="19">
        <v>45889</v>
      </c>
      <c r="G393" t="s">
        <v>122</v>
      </c>
      <c r="H393">
        <v>0</v>
      </c>
      <c r="I393" s="19">
        <v>45975</v>
      </c>
      <c r="J393" s="19">
        <f t="shared" si="12"/>
        <v>45978</v>
      </c>
      <c r="L393">
        <f t="shared" si="13"/>
        <v>89</v>
      </c>
    </row>
    <row r="394" spans="1:12" x14ac:dyDescent="0.25">
      <c r="A394">
        <v>5</v>
      </c>
      <c r="B394">
        <v>3693</v>
      </c>
      <c r="C394">
        <v>278</v>
      </c>
      <c r="D394">
        <v>3</v>
      </c>
      <c r="E394" t="s">
        <v>121</v>
      </c>
      <c r="F394" s="19">
        <v>45889</v>
      </c>
      <c r="G394" t="s">
        <v>120</v>
      </c>
      <c r="H394">
        <v>0</v>
      </c>
      <c r="I394" s="19">
        <v>45981</v>
      </c>
      <c r="J394" s="19">
        <f t="shared" si="12"/>
        <v>45984</v>
      </c>
      <c r="L394">
        <f t="shared" si="13"/>
        <v>95</v>
      </c>
    </row>
    <row r="395" spans="1:12" x14ac:dyDescent="0.25">
      <c r="A395">
        <v>6</v>
      </c>
      <c r="B395">
        <v>2545</v>
      </c>
      <c r="C395">
        <v>133</v>
      </c>
      <c r="D395">
        <v>5</v>
      </c>
      <c r="E395" t="s">
        <v>121</v>
      </c>
      <c r="F395" s="19">
        <v>45889</v>
      </c>
      <c r="G395" t="s">
        <v>122</v>
      </c>
      <c r="H395">
        <v>0</v>
      </c>
      <c r="I395" s="19">
        <v>45993</v>
      </c>
      <c r="J395" s="19">
        <f t="shared" si="12"/>
        <v>45996</v>
      </c>
      <c r="L395">
        <f t="shared" si="13"/>
        <v>107</v>
      </c>
    </row>
    <row r="396" spans="1:12" x14ac:dyDescent="0.25">
      <c r="A396">
        <v>10</v>
      </c>
      <c r="B396">
        <v>3450</v>
      </c>
      <c r="C396">
        <v>145</v>
      </c>
      <c r="D396">
        <v>3</v>
      </c>
      <c r="E396" t="s">
        <v>121</v>
      </c>
      <c r="F396" s="19">
        <v>45889</v>
      </c>
      <c r="G396" t="s">
        <v>122</v>
      </c>
      <c r="H396">
        <v>0</v>
      </c>
      <c r="I396" s="19">
        <v>46003</v>
      </c>
      <c r="J396" s="19">
        <f t="shared" si="12"/>
        <v>46006</v>
      </c>
      <c r="L396">
        <f t="shared" si="13"/>
        <v>117</v>
      </c>
    </row>
    <row r="397" spans="1:12" x14ac:dyDescent="0.25">
      <c r="A397">
        <v>10</v>
      </c>
      <c r="B397">
        <v>3716</v>
      </c>
      <c r="C397">
        <v>6</v>
      </c>
      <c r="D397">
        <v>3</v>
      </c>
      <c r="E397" t="s">
        <v>121</v>
      </c>
      <c r="F397" s="19">
        <v>45889</v>
      </c>
      <c r="G397" t="s">
        <v>122</v>
      </c>
      <c r="H397">
        <v>0</v>
      </c>
      <c r="I397" s="19">
        <v>46063</v>
      </c>
      <c r="J397" s="19">
        <f t="shared" si="12"/>
        <v>46066</v>
      </c>
      <c r="L397">
        <f t="shared" si="13"/>
        <v>177</v>
      </c>
    </row>
    <row r="398" spans="1:12" x14ac:dyDescent="0.25">
      <c r="A398">
        <v>6</v>
      </c>
      <c r="B398">
        <v>2634</v>
      </c>
      <c r="C398">
        <v>150</v>
      </c>
      <c r="D398">
        <v>5</v>
      </c>
      <c r="E398" t="s">
        <v>121</v>
      </c>
      <c r="F398" s="19">
        <v>45889</v>
      </c>
      <c r="G398" t="s">
        <v>131</v>
      </c>
      <c r="H398">
        <v>0</v>
      </c>
      <c r="I398" s="19">
        <v>46109</v>
      </c>
      <c r="J398" s="19">
        <f t="shared" si="12"/>
        <v>46112</v>
      </c>
      <c r="L398">
        <f t="shared" si="13"/>
        <v>223</v>
      </c>
    </row>
    <row r="399" spans="1:12" x14ac:dyDescent="0.25">
      <c r="A399">
        <v>3</v>
      </c>
      <c r="B399">
        <v>4740</v>
      </c>
      <c r="C399">
        <v>263</v>
      </c>
      <c r="D399">
        <v>2</v>
      </c>
      <c r="E399" t="s">
        <v>121</v>
      </c>
      <c r="F399" s="19">
        <v>45889</v>
      </c>
      <c r="G399" t="s">
        <v>120</v>
      </c>
      <c r="H399">
        <v>16</v>
      </c>
      <c r="I399" s="19">
        <v>45996</v>
      </c>
      <c r="J399" s="19">
        <f t="shared" si="12"/>
        <v>45999</v>
      </c>
      <c r="L399">
        <f t="shared" si="13"/>
        <v>110</v>
      </c>
    </row>
    <row r="400" spans="1:12" x14ac:dyDescent="0.25">
      <c r="A400">
        <v>6</v>
      </c>
      <c r="B400">
        <v>2923</v>
      </c>
      <c r="C400">
        <v>46</v>
      </c>
      <c r="D400">
        <v>5</v>
      </c>
      <c r="E400" t="s">
        <v>121</v>
      </c>
      <c r="F400" s="19">
        <v>45890</v>
      </c>
      <c r="G400" t="s">
        <v>122</v>
      </c>
      <c r="H400">
        <v>0</v>
      </c>
      <c r="I400" s="19">
        <v>45989</v>
      </c>
      <c r="J400" s="19">
        <f t="shared" si="12"/>
        <v>45992</v>
      </c>
      <c r="L400">
        <f t="shared" si="13"/>
        <v>102</v>
      </c>
    </row>
    <row r="401" spans="1:12" x14ac:dyDescent="0.25">
      <c r="A401">
        <v>10</v>
      </c>
      <c r="B401">
        <v>3431</v>
      </c>
      <c r="C401">
        <v>6</v>
      </c>
      <c r="D401">
        <v>4</v>
      </c>
      <c r="E401" t="s">
        <v>121</v>
      </c>
      <c r="F401" s="19">
        <v>45896</v>
      </c>
      <c r="G401" t="s">
        <v>122</v>
      </c>
      <c r="H401">
        <v>0</v>
      </c>
      <c r="I401" s="19">
        <v>45939</v>
      </c>
      <c r="J401" s="19">
        <f t="shared" si="12"/>
        <v>45942</v>
      </c>
      <c r="L401">
        <f t="shared" si="13"/>
        <v>46</v>
      </c>
    </row>
    <row r="402" spans="1:12" x14ac:dyDescent="0.25">
      <c r="A402">
        <v>3</v>
      </c>
      <c r="B402">
        <v>4531</v>
      </c>
      <c r="C402">
        <v>314</v>
      </c>
      <c r="D402">
        <v>2</v>
      </c>
      <c r="E402" t="s">
        <v>123</v>
      </c>
      <c r="F402" s="19">
        <v>45896</v>
      </c>
      <c r="G402" t="s">
        <v>120</v>
      </c>
      <c r="H402">
        <v>0</v>
      </c>
      <c r="I402" s="19">
        <v>45945</v>
      </c>
      <c r="J402" s="19">
        <f t="shared" si="12"/>
        <v>45948</v>
      </c>
      <c r="L402">
        <f t="shared" si="13"/>
        <v>52</v>
      </c>
    </row>
    <row r="403" spans="1:12" x14ac:dyDescent="0.25">
      <c r="A403">
        <v>5</v>
      </c>
      <c r="B403">
        <v>4287</v>
      </c>
      <c r="C403">
        <v>309</v>
      </c>
      <c r="D403">
        <v>2</v>
      </c>
      <c r="E403" t="s">
        <v>123</v>
      </c>
      <c r="F403" s="19">
        <v>45896</v>
      </c>
      <c r="G403" t="s">
        <v>120</v>
      </c>
      <c r="H403">
        <v>0</v>
      </c>
      <c r="I403" s="19">
        <v>45950</v>
      </c>
      <c r="J403" s="19">
        <f t="shared" si="12"/>
        <v>45953</v>
      </c>
      <c r="L403">
        <f t="shared" si="13"/>
        <v>57</v>
      </c>
    </row>
    <row r="404" spans="1:12" x14ac:dyDescent="0.25">
      <c r="A404">
        <v>5</v>
      </c>
      <c r="B404">
        <v>4541</v>
      </c>
      <c r="C404">
        <v>309</v>
      </c>
      <c r="D404">
        <v>2</v>
      </c>
      <c r="E404" t="s">
        <v>123</v>
      </c>
      <c r="F404" s="19">
        <v>45896</v>
      </c>
      <c r="G404" t="s">
        <v>120</v>
      </c>
      <c r="H404">
        <v>0</v>
      </c>
      <c r="I404" s="19">
        <v>45950</v>
      </c>
      <c r="J404" s="19">
        <f t="shared" si="12"/>
        <v>45953</v>
      </c>
      <c r="L404">
        <f t="shared" si="13"/>
        <v>57</v>
      </c>
    </row>
    <row r="405" spans="1:12" x14ac:dyDescent="0.25">
      <c r="A405">
        <v>5</v>
      </c>
      <c r="B405">
        <v>4345</v>
      </c>
      <c r="C405">
        <v>244</v>
      </c>
      <c r="D405">
        <v>2</v>
      </c>
      <c r="E405" t="s">
        <v>121</v>
      </c>
      <c r="F405" s="19">
        <v>45896</v>
      </c>
      <c r="G405" t="s">
        <v>122</v>
      </c>
      <c r="H405">
        <v>0</v>
      </c>
      <c r="I405" s="19">
        <v>45951</v>
      </c>
      <c r="J405" s="19">
        <f t="shared" si="12"/>
        <v>45954</v>
      </c>
      <c r="L405">
        <f t="shared" si="13"/>
        <v>58</v>
      </c>
    </row>
    <row r="406" spans="1:12" x14ac:dyDescent="0.25">
      <c r="A406">
        <v>6</v>
      </c>
      <c r="B406">
        <v>3753</v>
      </c>
      <c r="C406">
        <v>307</v>
      </c>
      <c r="D406">
        <v>3</v>
      </c>
      <c r="E406" t="s">
        <v>123</v>
      </c>
      <c r="F406" s="19">
        <v>45896</v>
      </c>
      <c r="G406" t="s">
        <v>120</v>
      </c>
      <c r="H406">
        <v>0</v>
      </c>
      <c r="I406" s="19">
        <v>45952</v>
      </c>
      <c r="J406" s="19">
        <f t="shared" si="12"/>
        <v>45955</v>
      </c>
      <c r="L406">
        <f t="shared" si="13"/>
        <v>59</v>
      </c>
    </row>
    <row r="407" spans="1:12" x14ac:dyDescent="0.25">
      <c r="A407">
        <v>6</v>
      </c>
      <c r="B407">
        <v>2924</v>
      </c>
      <c r="C407">
        <v>229</v>
      </c>
      <c r="D407">
        <v>5</v>
      </c>
      <c r="E407" t="s">
        <v>121</v>
      </c>
      <c r="F407" s="19">
        <v>45896</v>
      </c>
      <c r="G407" t="s">
        <v>122</v>
      </c>
      <c r="H407">
        <v>0</v>
      </c>
      <c r="I407" s="19">
        <v>45952</v>
      </c>
      <c r="J407" s="19">
        <f t="shared" si="12"/>
        <v>45955</v>
      </c>
      <c r="L407">
        <f t="shared" si="13"/>
        <v>59</v>
      </c>
    </row>
    <row r="408" spans="1:12" x14ac:dyDescent="0.25">
      <c r="A408">
        <v>10</v>
      </c>
      <c r="B408">
        <v>3596</v>
      </c>
      <c r="C408">
        <v>135</v>
      </c>
      <c r="D408">
        <v>3</v>
      </c>
      <c r="E408" t="s">
        <v>123</v>
      </c>
      <c r="F408" s="19">
        <v>45896</v>
      </c>
      <c r="G408" t="s">
        <v>122</v>
      </c>
      <c r="H408">
        <v>0</v>
      </c>
      <c r="I408" s="19">
        <v>45955</v>
      </c>
      <c r="J408" s="19">
        <f t="shared" si="12"/>
        <v>45958</v>
      </c>
      <c r="L408">
        <f t="shared" si="13"/>
        <v>62</v>
      </c>
    </row>
    <row r="409" spans="1:12" x14ac:dyDescent="0.25">
      <c r="A409">
        <v>5</v>
      </c>
      <c r="B409">
        <v>3020</v>
      </c>
      <c r="C409">
        <v>280</v>
      </c>
      <c r="D409">
        <v>4</v>
      </c>
      <c r="E409" t="s">
        <v>121</v>
      </c>
      <c r="F409" s="19">
        <v>45896</v>
      </c>
      <c r="G409" t="s">
        <v>122</v>
      </c>
      <c r="H409">
        <v>0</v>
      </c>
      <c r="I409" s="19">
        <v>45955</v>
      </c>
      <c r="J409" s="19">
        <f t="shared" si="12"/>
        <v>45958</v>
      </c>
      <c r="L409">
        <f t="shared" si="13"/>
        <v>62</v>
      </c>
    </row>
    <row r="410" spans="1:12" x14ac:dyDescent="0.25">
      <c r="A410">
        <v>6</v>
      </c>
      <c r="B410">
        <v>2570</v>
      </c>
      <c r="C410">
        <v>301</v>
      </c>
      <c r="D410">
        <v>4</v>
      </c>
      <c r="E410" t="s">
        <v>121</v>
      </c>
      <c r="F410" s="19">
        <v>45896</v>
      </c>
      <c r="G410" t="s">
        <v>125</v>
      </c>
      <c r="H410">
        <v>0</v>
      </c>
      <c r="I410" s="19">
        <v>45958</v>
      </c>
      <c r="J410" s="19">
        <f t="shared" si="12"/>
        <v>45961</v>
      </c>
      <c r="L410">
        <f t="shared" si="13"/>
        <v>65</v>
      </c>
    </row>
    <row r="411" spans="1:12" x14ac:dyDescent="0.25">
      <c r="A411">
        <v>3</v>
      </c>
      <c r="B411">
        <v>3731</v>
      </c>
      <c r="C411">
        <v>68</v>
      </c>
      <c r="D411">
        <v>3</v>
      </c>
      <c r="E411" t="s">
        <v>121</v>
      </c>
      <c r="F411" s="19">
        <v>45896</v>
      </c>
      <c r="G411" t="s">
        <v>122</v>
      </c>
      <c r="H411">
        <v>0</v>
      </c>
      <c r="I411" s="19">
        <v>45959</v>
      </c>
      <c r="J411" s="19">
        <f t="shared" si="12"/>
        <v>45962</v>
      </c>
      <c r="L411">
        <f t="shared" si="13"/>
        <v>66</v>
      </c>
    </row>
    <row r="412" spans="1:12" x14ac:dyDescent="0.25">
      <c r="A412">
        <v>6</v>
      </c>
      <c r="B412">
        <v>3554</v>
      </c>
      <c r="C412">
        <v>300</v>
      </c>
      <c r="D412">
        <v>3</v>
      </c>
      <c r="E412" t="s">
        <v>121</v>
      </c>
      <c r="F412" s="19">
        <v>45896</v>
      </c>
      <c r="G412" t="s">
        <v>125</v>
      </c>
      <c r="H412">
        <v>0</v>
      </c>
      <c r="I412" s="19">
        <v>45959</v>
      </c>
      <c r="J412" s="19">
        <f t="shared" si="12"/>
        <v>45962</v>
      </c>
      <c r="L412">
        <f t="shared" si="13"/>
        <v>66</v>
      </c>
    </row>
    <row r="413" spans="1:12" x14ac:dyDescent="0.25">
      <c r="A413">
        <v>3</v>
      </c>
      <c r="B413">
        <v>4125</v>
      </c>
      <c r="C413">
        <v>295</v>
      </c>
      <c r="D413">
        <v>2</v>
      </c>
      <c r="E413" t="s">
        <v>123</v>
      </c>
      <c r="F413" s="19">
        <v>45896</v>
      </c>
      <c r="G413" t="s">
        <v>131</v>
      </c>
      <c r="H413">
        <v>0</v>
      </c>
      <c r="I413" s="19">
        <v>45964</v>
      </c>
      <c r="J413" s="19">
        <f t="shared" si="12"/>
        <v>45967</v>
      </c>
      <c r="L413">
        <f t="shared" si="13"/>
        <v>71</v>
      </c>
    </row>
    <row r="414" spans="1:12" x14ac:dyDescent="0.25">
      <c r="A414">
        <v>10</v>
      </c>
      <c r="B414">
        <v>3909</v>
      </c>
      <c r="C414">
        <v>3</v>
      </c>
      <c r="D414">
        <v>3</v>
      </c>
      <c r="E414" t="s">
        <v>121</v>
      </c>
      <c r="F414" s="19">
        <v>45896</v>
      </c>
      <c r="G414" t="s">
        <v>122</v>
      </c>
      <c r="H414">
        <v>0</v>
      </c>
      <c r="I414" s="19">
        <v>46102</v>
      </c>
      <c r="J414" s="19">
        <f t="shared" si="12"/>
        <v>46105</v>
      </c>
      <c r="L414">
        <f t="shared" si="13"/>
        <v>209</v>
      </c>
    </row>
    <row r="415" spans="1:12" x14ac:dyDescent="0.25">
      <c r="A415">
        <v>10</v>
      </c>
      <c r="B415">
        <v>4059</v>
      </c>
      <c r="C415">
        <v>85</v>
      </c>
      <c r="D415">
        <v>3</v>
      </c>
      <c r="E415" t="s">
        <v>123</v>
      </c>
      <c r="F415" s="19">
        <v>45896</v>
      </c>
      <c r="G415" t="s">
        <v>122</v>
      </c>
      <c r="H415">
        <v>0</v>
      </c>
      <c r="I415" s="19">
        <v>46166</v>
      </c>
      <c r="J415" s="19">
        <f t="shared" si="12"/>
        <v>46169</v>
      </c>
      <c r="L415">
        <f t="shared" si="13"/>
        <v>273</v>
      </c>
    </row>
    <row r="416" spans="1:12" x14ac:dyDescent="0.25">
      <c r="A416">
        <v>5</v>
      </c>
      <c r="B416">
        <v>4339</v>
      </c>
      <c r="C416">
        <v>313</v>
      </c>
      <c r="D416">
        <v>2</v>
      </c>
      <c r="E416" t="s">
        <v>134</v>
      </c>
      <c r="F416" s="19">
        <v>45903</v>
      </c>
      <c r="G416" t="s">
        <v>120</v>
      </c>
      <c r="H416">
        <v>0</v>
      </c>
      <c r="I416" s="19">
        <v>45946</v>
      </c>
      <c r="J416" s="19">
        <f t="shared" si="12"/>
        <v>45949</v>
      </c>
      <c r="L416">
        <f t="shared" si="13"/>
        <v>46</v>
      </c>
    </row>
    <row r="417" spans="1:12" x14ac:dyDescent="0.25">
      <c r="A417">
        <v>10</v>
      </c>
      <c r="B417">
        <v>4024</v>
      </c>
      <c r="C417">
        <v>100</v>
      </c>
      <c r="D417">
        <v>2</v>
      </c>
      <c r="E417" t="s">
        <v>134</v>
      </c>
      <c r="F417" s="19">
        <v>45903</v>
      </c>
      <c r="G417" t="s">
        <v>122</v>
      </c>
      <c r="H417">
        <v>0</v>
      </c>
      <c r="I417" s="19">
        <v>45948</v>
      </c>
      <c r="J417" s="19">
        <f t="shared" si="12"/>
        <v>45951</v>
      </c>
      <c r="L417">
        <f t="shared" si="13"/>
        <v>48</v>
      </c>
    </row>
    <row r="418" spans="1:12" x14ac:dyDescent="0.25">
      <c r="A418">
        <v>3</v>
      </c>
      <c r="B418">
        <v>4416</v>
      </c>
      <c r="C418">
        <v>305</v>
      </c>
      <c r="D418">
        <v>2</v>
      </c>
      <c r="E418" t="s">
        <v>121</v>
      </c>
      <c r="F418" s="19">
        <v>45903</v>
      </c>
      <c r="G418" t="s">
        <v>120</v>
      </c>
      <c r="H418">
        <v>0</v>
      </c>
      <c r="I418" s="19">
        <v>45954</v>
      </c>
      <c r="J418" s="19">
        <f t="shared" si="12"/>
        <v>45957</v>
      </c>
      <c r="L418">
        <f t="shared" si="13"/>
        <v>54</v>
      </c>
    </row>
    <row r="419" spans="1:12" x14ac:dyDescent="0.25">
      <c r="A419">
        <v>5</v>
      </c>
      <c r="B419">
        <v>3763</v>
      </c>
      <c r="C419">
        <v>303</v>
      </c>
      <c r="D419">
        <v>3</v>
      </c>
      <c r="E419" t="s">
        <v>134</v>
      </c>
      <c r="F419" s="19">
        <v>45903</v>
      </c>
      <c r="G419" t="s">
        <v>120</v>
      </c>
      <c r="H419">
        <v>0</v>
      </c>
      <c r="I419" s="19">
        <v>45956</v>
      </c>
      <c r="J419" s="19">
        <f t="shared" si="12"/>
        <v>45959</v>
      </c>
      <c r="L419">
        <f t="shared" si="13"/>
        <v>56</v>
      </c>
    </row>
    <row r="420" spans="1:12" x14ac:dyDescent="0.25">
      <c r="A420">
        <v>2</v>
      </c>
      <c r="B420">
        <v>4389</v>
      </c>
      <c r="C420">
        <v>303</v>
      </c>
      <c r="D420">
        <v>2</v>
      </c>
      <c r="E420" t="s">
        <v>134</v>
      </c>
      <c r="F420" s="19">
        <v>45903</v>
      </c>
      <c r="G420" t="s">
        <v>120</v>
      </c>
      <c r="H420">
        <v>0</v>
      </c>
      <c r="I420" s="19">
        <v>45956</v>
      </c>
      <c r="J420" s="19">
        <f t="shared" si="12"/>
        <v>45959</v>
      </c>
      <c r="L420">
        <f t="shared" si="13"/>
        <v>56</v>
      </c>
    </row>
    <row r="421" spans="1:12" x14ac:dyDescent="0.25">
      <c r="A421">
        <v>5</v>
      </c>
      <c r="B421">
        <v>4469</v>
      </c>
      <c r="C421">
        <v>302</v>
      </c>
      <c r="D421">
        <v>2</v>
      </c>
      <c r="E421" t="s">
        <v>134</v>
      </c>
      <c r="F421" s="19">
        <v>45903</v>
      </c>
      <c r="G421" t="s">
        <v>120</v>
      </c>
      <c r="H421">
        <v>0</v>
      </c>
      <c r="I421" s="19">
        <v>45957</v>
      </c>
      <c r="J421" s="19">
        <f t="shared" si="12"/>
        <v>45960</v>
      </c>
      <c r="L421">
        <f t="shared" si="13"/>
        <v>57</v>
      </c>
    </row>
    <row r="422" spans="1:12" x14ac:dyDescent="0.25">
      <c r="A422">
        <v>2</v>
      </c>
      <c r="B422">
        <v>4535</v>
      </c>
      <c r="C422">
        <v>301</v>
      </c>
      <c r="D422">
        <v>2</v>
      </c>
      <c r="E422" t="s">
        <v>134</v>
      </c>
      <c r="F422" s="19">
        <v>45903</v>
      </c>
      <c r="G422" t="s">
        <v>120</v>
      </c>
      <c r="H422">
        <v>0</v>
      </c>
      <c r="I422" s="19">
        <v>45958</v>
      </c>
      <c r="J422" s="19">
        <f t="shared" si="12"/>
        <v>45961</v>
      </c>
      <c r="L422">
        <f t="shared" si="13"/>
        <v>58</v>
      </c>
    </row>
    <row r="423" spans="1:12" x14ac:dyDescent="0.25">
      <c r="A423">
        <v>5</v>
      </c>
      <c r="B423">
        <v>3784</v>
      </c>
      <c r="C423">
        <v>296</v>
      </c>
      <c r="D423">
        <v>3</v>
      </c>
      <c r="E423" t="s">
        <v>121</v>
      </c>
      <c r="F423" s="19">
        <v>45903</v>
      </c>
      <c r="G423" t="s">
        <v>120</v>
      </c>
      <c r="H423">
        <v>0</v>
      </c>
      <c r="I423" s="19">
        <v>45963</v>
      </c>
      <c r="J423" s="19">
        <f t="shared" si="12"/>
        <v>45966</v>
      </c>
      <c r="L423">
        <f t="shared" si="13"/>
        <v>63</v>
      </c>
    </row>
    <row r="424" spans="1:12" x14ac:dyDescent="0.25">
      <c r="A424">
        <v>3</v>
      </c>
      <c r="B424">
        <v>4500</v>
      </c>
      <c r="C424">
        <v>227</v>
      </c>
      <c r="D424">
        <v>2</v>
      </c>
      <c r="E424" t="s">
        <v>121</v>
      </c>
      <c r="F424" s="19">
        <v>45903</v>
      </c>
      <c r="G424" t="s">
        <v>120</v>
      </c>
      <c r="H424">
        <v>0</v>
      </c>
      <c r="I424" s="19">
        <v>46032</v>
      </c>
      <c r="J424" s="19">
        <f t="shared" si="12"/>
        <v>46035</v>
      </c>
      <c r="L424">
        <f t="shared" si="13"/>
        <v>132</v>
      </c>
    </row>
    <row r="425" spans="1:12" x14ac:dyDescent="0.25">
      <c r="A425">
        <v>5</v>
      </c>
      <c r="B425">
        <v>4492</v>
      </c>
      <c r="C425">
        <v>213</v>
      </c>
      <c r="D425">
        <v>2</v>
      </c>
      <c r="E425" t="s">
        <v>121</v>
      </c>
      <c r="F425" s="19">
        <v>45903</v>
      </c>
      <c r="G425" t="s">
        <v>120</v>
      </c>
      <c r="H425">
        <v>0</v>
      </c>
      <c r="I425" s="19">
        <v>46046</v>
      </c>
      <c r="J425" s="19">
        <f t="shared" si="12"/>
        <v>46049</v>
      </c>
      <c r="L425">
        <f t="shared" si="13"/>
        <v>146</v>
      </c>
    </row>
    <row r="426" spans="1:12" x14ac:dyDescent="0.25">
      <c r="A426">
        <v>10</v>
      </c>
      <c r="B426">
        <v>3562</v>
      </c>
      <c r="C426">
        <v>89</v>
      </c>
      <c r="D426">
        <v>3</v>
      </c>
      <c r="E426" t="s">
        <v>121</v>
      </c>
      <c r="F426" s="19">
        <v>45903</v>
      </c>
      <c r="G426" t="s">
        <v>122</v>
      </c>
      <c r="H426">
        <v>0</v>
      </c>
      <c r="I426" s="19">
        <v>46106</v>
      </c>
      <c r="J426" s="19">
        <f t="shared" ref="J426:J489" si="14">I426+3</f>
        <v>46109</v>
      </c>
      <c r="L426">
        <f t="shared" ref="L426:L489" si="15">J426-F426</f>
        <v>206</v>
      </c>
    </row>
    <row r="427" spans="1:12" x14ac:dyDescent="0.25">
      <c r="A427">
        <v>7</v>
      </c>
      <c r="B427">
        <v>2427</v>
      </c>
      <c r="C427">
        <v>184</v>
      </c>
      <c r="D427">
        <v>5</v>
      </c>
      <c r="E427" t="s">
        <v>121</v>
      </c>
      <c r="F427" s="19">
        <v>45910</v>
      </c>
      <c r="G427" t="s">
        <v>122</v>
      </c>
      <c r="H427">
        <v>0</v>
      </c>
      <c r="I427" s="19">
        <v>45959</v>
      </c>
      <c r="J427" s="19">
        <f t="shared" si="14"/>
        <v>45962</v>
      </c>
      <c r="L427">
        <f t="shared" si="15"/>
        <v>52</v>
      </c>
    </row>
    <row r="428" spans="1:12" x14ac:dyDescent="0.25">
      <c r="A428">
        <v>6</v>
      </c>
      <c r="B428">
        <v>3305</v>
      </c>
      <c r="C428">
        <v>237</v>
      </c>
      <c r="D428">
        <v>4</v>
      </c>
      <c r="E428" t="s">
        <v>121</v>
      </c>
      <c r="F428" s="19">
        <v>45910</v>
      </c>
      <c r="G428" t="s">
        <v>122</v>
      </c>
      <c r="H428">
        <v>0</v>
      </c>
      <c r="I428" s="19">
        <v>45962</v>
      </c>
      <c r="J428" s="19">
        <f t="shared" si="14"/>
        <v>45965</v>
      </c>
      <c r="L428">
        <f t="shared" si="15"/>
        <v>55</v>
      </c>
    </row>
    <row r="429" spans="1:12" x14ac:dyDescent="0.25">
      <c r="A429">
        <v>5</v>
      </c>
      <c r="B429">
        <v>4372</v>
      </c>
      <c r="C429">
        <v>296</v>
      </c>
      <c r="D429">
        <v>2</v>
      </c>
      <c r="E429" t="s">
        <v>121</v>
      </c>
      <c r="F429" s="19">
        <v>45910</v>
      </c>
      <c r="G429" t="s">
        <v>131</v>
      </c>
      <c r="H429">
        <v>0</v>
      </c>
      <c r="I429" s="19">
        <v>45963</v>
      </c>
      <c r="J429" s="19">
        <f t="shared" si="14"/>
        <v>45966</v>
      </c>
      <c r="L429">
        <f t="shared" si="15"/>
        <v>56</v>
      </c>
    </row>
    <row r="430" spans="1:12" x14ac:dyDescent="0.25">
      <c r="A430">
        <v>3</v>
      </c>
      <c r="B430">
        <v>3944</v>
      </c>
      <c r="C430">
        <v>295</v>
      </c>
      <c r="D430">
        <v>2</v>
      </c>
      <c r="E430" t="s">
        <v>119</v>
      </c>
      <c r="F430" s="19">
        <v>45910</v>
      </c>
      <c r="G430" t="s">
        <v>132</v>
      </c>
      <c r="H430">
        <v>0</v>
      </c>
      <c r="I430" s="19">
        <v>45964</v>
      </c>
      <c r="J430" s="19">
        <f t="shared" si="14"/>
        <v>45967</v>
      </c>
      <c r="L430">
        <f t="shared" si="15"/>
        <v>57</v>
      </c>
    </row>
    <row r="431" spans="1:12" x14ac:dyDescent="0.25">
      <c r="A431">
        <v>5</v>
      </c>
      <c r="B431">
        <v>4525</v>
      </c>
      <c r="C431">
        <v>295</v>
      </c>
      <c r="D431">
        <v>2</v>
      </c>
      <c r="E431" t="s">
        <v>119</v>
      </c>
      <c r="F431" s="19">
        <v>45910</v>
      </c>
      <c r="G431" t="s">
        <v>120</v>
      </c>
      <c r="H431">
        <v>0</v>
      </c>
      <c r="I431" s="19">
        <v>45964</v>
      </c>
      <c r="J431" s="19">
        <f t="shared" si="14"/>
        <v>45967</v>
      </c>
      <c r="L431">
        <f t="shared" si="15"/>
        <v>57</v>
      </c>
    </row>
    <row r="432" spans="1:12" x14ac:dyDescent="0.25">
      <c r="A432">
        <v>5</v>
      </c>
      <c r="B432">
        <v>4601</v>
      </c>
      <c r="C432">
        <v>295</v>
      </c>
      <c r="D432">
        <v>2</v>
      </c>
      <c r="E432" t="s">
        <v>121</v>
      </c>
      <c r="F432" s="19">
        <v>45910</v>
      </c>
      <c r="G432" t="s">
        <v>120</v>
      </c>
      <c r="H432">
        <v>0</v>
      </c>
      <c r="I432" s="19">
        <v>45964</v>
      </c>
      <c r="J432" s="19">
        <f t="shared" si="14"/>
        <v>45967</v>
      </c>
      <c r="L432">
        <f t="shared" si="15"/>
        <v>57</v>
      </c>
    </row>
    <row r="433" spans="1:12" x14ac:dyDescent="0.25">
      <c r="A433">
        <v>5</v>
      </c>
      <c r="B433">
        <v>4468</v>
      </c>
      <c r="C433">
        <v>293</v>
      </c>
      <c r="D433">
        <v>2</v>
      </c>
      <c r="E433" t="s">
        <v>119</v>
      </c>
      <c r="F433" s="19">
        <v>45910</v>
      </c>
      <c r="G433" t="s">
        <v>120</v>
      </c>
      <c r="H433">
        <v>0</v>
      </c>
      <c r="I433" s="19">
        <v>45966</v>
      </c>
      <c r="J433" s="19">
        <f t="shared" si="14"/>
        <v>45969</v>
      </c>
      <c r="L433">
        <f t="shared" si="15"/>
        <v>59</v>
      </c>
    </row>
    <row r="434" spans="1:12" x14ac:dyDescent="0.25">
      <c r="A434">
        <v>6</v>
      </c>
      <c r="B434">
        <v>3660</v>
      </c>
      <c r="C434">
        <v>292</v>
      </c>
      <c r="D434">
        <v>3</v>
      </c>
      <c r="E434" t="s">
        <v>119</v>
      </c>
      <c r="F434" s="19">
        <v>45910</v>
      </c>
      <c r="G434" t="s">
        <v>125</v>
      </c>
      <c r="H434">
        <v>0</v>
      </c>
      <c r="I434" s="19">
        <v>45967</v>
      </c>
      <c r="J434" s="19">
        <f t="shared" si="14"/>
        <v>45970</v>
      </c>
      <c r="L434">
        <f t="shared" si="15"/>
        <v>60</v>
      </c>
    </row>
    <row r="435" spans="1:12" x14ac:dyDescent="0.25">
      <c r="A435">
        <v>5</v>
      </c>
      <c r="B435">
        <v>3834</v>
      </c>
      <c r="C435">
        <v>292</v>
      </c>
      <c r="D435">
        <v>3</v>
      </c>
      <c r="E435" t="s">
        <v>119</v>
      </c>
      <c r="F435" s="19">
        <v>45910</v>
      </c>
      <c r="G435" t="s">
        <v>120</v>
      </c>
      <c r="H435">
        <v>0</v>
      </c>
      <c r="I435" s="19">
        <v>45967</v>
      </c>
      <c r="J435" s="19">
        <f t="shared" si="14"/>
        <v>45970</v>
      </c>
      <c r="L435">
        <f t="shared" si="15"/>
        <v>60</v>
      </c>
    </row>
    <row r="436" spans="1:12" x14ac:dyDescent="0.25">
      <c r="A436">
        <v>6</v>
      </c>
      <c r="B436">
        <v>4484</v>
      </c>
      <c r="C436">
        <v>291</v>
      </c>
      <c r="D436">
        <v>2</v>
      </c>
      <c r="E436" t="s">
        <v>119</v>
      </c>
      <c r="F436" s="19">
        <v>45910</v>
      </c>
      <c r="G436" t="s">
        <v>120</v>
      </c>
      <c r="H436">
        <v>0</v>
      </c>
      <c r="I436" s="19">
        <v>45968</v>
      </c>
      <c r="J436" s="19">
        <f t="shared" si="14"/>
        <v>45971</v>
      </c>
      <c r="L436">
        <f t="shared" si="15"/>
        <v>61</v>
      </c>
    </row>
    <row r="437" spans="1:12" x14ac:dyDescent="0.25">
      <c r="A437">
        <v>6</v>
      </c>
      <c r="B437">
        <v>4201</v>
      </c>
      <c r="C437">
        <v>288</v>
      </c>
      <c r="D437">
        <v>2</v>
      </c>
      <c r="E437" t="s">
        <v>119</v>
      </c>
      <c r="F437" s="19">
        <v>45910</v>
      </c>
      <c r="G437" t="s">
        <v>131</v>
      </c>
      <c r="H437">
        <v>0</v>
      </c>
      <c r="I437" s="19">
        <v>45971</v>
      </c>
      <c r="J437" s="19">
        <f t="shared" si="14"/>
        <v>45974</v>
      </c>
      <c r="L437">
        <f t="shared" si="15"/>
        <v>64</v>
      </c>
    </row>
    <row r="438" spans="1:12" x14ac:dyDescent="0.25">
      <c r="A438">
        <v>5</v>
      </c>
      <c r="B438">
        <v>2802</v>
      </c>
      <c r="C438">
        <v>287</v>
      </c>
      <c r="D438">
        <v>3</v>
      </c>
      <c r="E438" t="s">
        <v>121</v>
      </c>
      <c r="F438" s="19">
        <v>45910</v>
      </c>
      <c r="G438" t="s">
        <v>131</v>
      </c>
      <c r="H438">
        <v>0</v>
      </c>
      <c r="I438" s="19">
        <v>45972</v>
      </c>
      <c r="J438" s="19">
        <f t="shared" si="14"/>
        <v>45975</v>
      </c>
      <c r="L438">
        <f t="shared" si="15"/>
        <v>65</v>
      </c>
    </row>
    <row r="439" spans="1:12" x14ac:dyDescent="0.25">
      <c r="A439">
        <v>5</v>
      </c>
      <c r="B439">
        <v>4267</v>
      </c>
      <c r="C439">
        <v>284</v>
      </c>
      <c r="D439">
        <v>2</v>
      </c>
      <c r="E439" t="s">
        <v>119</v>
      </c>
      <c r="F439" s="19">
        <v>45910</v>
      </c>
      <c r="G439" t="s">
        <v>120</v>
      </c>
      <c r="H439">
        <v>0</v>
      </c>
      <c r="I439" s="19">
        <v>45975</v>
      </c>
      <c r="J439" s="19">
        <f t="shared" si="14"/>
        <v>45978</v>
      </c>
      <c r="L439">
        <f t="shared" si="15"/>
        <v>68</v>
      </c>
    </row>
    <row r="440" spans="1:12" x14ac:dyDescent="0.25">
      <c r="A440">
        <v>10</v>
      </c>
      <c r="B440">
        <v>3809</v>
      </c>
      <c r="C440">
        <v>48</v>
      </c>
      <c r="D440">
        <v>3</v>
      </c>
      <c r="E440" t="s">
        <v>121</v>
      </c>
      <c r="F440" s="19">
        <v>45910</v>
      </c>
      <c r="G440" t="s">
        <v>122</v>
      </c>
      <c r="H440">
        <v>0</v>
      </c>
      <c r="I440" s="19">
        <v>45979</v>
      </c>
      <c r="J440" s="19">
        <f t="shared" si="14"/>
        <v>45982</v>
      </c>
      <c r="L440">
        <f t="shared" si="15"/>
        <v>72</v>
      </c>
    </row>
    <row r="441" spans="1:12" x14ac:dyDescent="0.25">
      <c r="A441">
        <v>6</v>
      </c>
      <c r="B441">
        <v>3726</v>
      </c>
      <c r="C441">
        <v>81</v>
      </c>
      <c r="D441">
        <v>3</v>
      </c>
      <c r="E441" t="s">
        <v>121</v>
      </c>
      <c r="F441" s="19">
        <v>45910</v>
      </c>
      <c r="G441" t="s">
        <v>122</v>
      </c>
      <c r="H441">
        <v>0</v>
      </c>
      <c r="I441" s="19">
        <v>46006</v>
      </c>
      <c r="J441" s="19">
        <f t="shared" si="14"/>
        <v>46009</v>
      </c>
      <c r="L441">
        <f t="shared" si="15"/>
        <v>99</v>
      </c>
    </row>
    <row r="442" spans="1:12" x14ac:dyDescent="0.25">
      <c r="A442">
        <v>5</v>
      </c>
      <c r="B442">
        <v>4319</v>
      </c>
      <c r="C442">
        <v>262</v>
      </c>
      <c r="D442">
        <v>2</v>
      </c>
      <c r="E442" t="s">
        <v>121</v>
      </c>
      <c r="F442" s="19">
        <v>45910</v>
      </c>
      <c r="G442" t="s">
        <v>120</v>
      </c>
      <c r="H442">
        <v>16</v>
      </c>
      <c r="I442" s="19">
        <v>45997</v>
      </c>
      <c r="J442" s="19">
        <f t="shared" si="14"/>
        <v>46000</v>
      </c>
      <c r="L442">
        <f t="shared" si="15"/>
        <v>90</v>
      </c>
    </row>
    <row r="443" spans="1:12" x14ac:dyDescent="0.25">
      <c r="A443">
        <v>6</v>
      </c>
      <c r="B443">
        <v>4423</v>
      </c>
      <c r="C443">
        <v>165</v>
      </c>
      <c r="D443">
        <v>2</v>
      </c>
      <c r="E443" t="s">
        <v>119</v>
      </c>
      <c r="F443" s="19">
        <v>45917</v>
      </c>
      <c r="G443" t="s">
        <v>122</v>
      </c>
      <c r="H443">
        <v>0</v>
      </c>
      <c r="I443" s="19">
        <v>45968</v>
      </c>
      <c r="J443" s="19">
        <f t="shared" si="14"/>
        <v>45971</v>
      </c>
      <c r="L443">
        <f t="shared" si="15"/>
        <v>54</v>
      </c>
    </row>
    <row r="444" spans="1:12" x14ac:dyDescent="0.25">
      <c r="A444">
        <v>3</v>
      </c>
      <c r="B444">
        <v>4512</v>
      </c>
      <c r="C444">
        <v>290</v>
      </c>
      <c r="D444">
        <v>2</v>
      </c>
      <c r="E444" t="s">
        <v>119</v>
      </c>
      <c r="F444" s="19">
        <v>45917</v>
      </c>
      <c r="G444" t="s">
        <v>120</v>
      </c>
      <c r="H444">
        <v>0</v>
      </c>
      <c r="I444" s="19">
        <v>45969</v>
      </c>
      <c r="J444" s="19">
        <f t="shared" si="14"/>
        <v>45972</v>
      </c>
      <c r="L444">
        <f t="shared" si="15"/>
        <v>55</v>
      </c>
    </row>
    <row r="445" spans="1:12" x14ac:dyDescent="0.25">
      <c r="A445">
        <v>5</v>
      </c>
      <c r="B445">
        <v>2997</v>
      </c>
      <c r="C445">
        <v>283</v>
      </c>
      <c r="D445">
        <v>4</v>
      </c>
      <c r="E445" t="s">
        <v>119</v>
      </c>
      <c r="F445" s="19">
        <v>45917</v>
      </c>
      <c r="G445" t="s">
        <v>120</v>
      </c>
      <c r="H445">
        <v>0</v>
      </c>
      <c r="I445" s="19">
        <v>45976</v>
      </c>
      <c r="J445" s="19">
        <f t="shared" si="14"/>
        <v>45979</v>
      </c>
      <c r="L445">
        <f t="shared" si="15"/>
        <v>62</v>
      </c>
    </row>
    <row r="446" spans="1:12" x14ac:dyDescent="0.25">
      <c r="A446">
        <v>3</v>
      </c>
      <c r="B446">
        <v>2916</v>
      </c>
      <c r="C446">
        <v>29</v>
      </c>
      <c r="D446">
        <v>5</v>
      </c>
      <c r="E446" t="s">
        <v>119</v>
      </c>
      <c r="F446" s="19">
        <v>45917</v>
      </c>
      <c r="G446" t="s">
        <v>122</v>
      </c>
      <c r="H446">
        <v>0</v>
      </c>
      <c r="I446" s="19">
        <v>45977</v>
      </c>
      <c r="J446" s="19">
        <f t="shared" si="14"/>
        <v>45980</v>
      </c>
      <c r="L446">
        <f t="shared" si="15"/>
        <v>63</v>
      </c>
    </row>
    <row r="447" spans="1:12" x14ac:dyDescent="0.25">
      <c r="A447">
        <v>5</v>
      </c>
      <c r="B447">
        <v>4373</v>
      </c>
      <c r="C447">
        <v>281</v>
      </c>
      <c r="D447">
        <v>2</v>
      </c>
      <c r="E447" t="s">
        <v>119</v>
      </c>
      <c r="F447" s="19">
        <v>45917</v>
      </c>
      <c r="G447" t="s">
        <v>120</v>
      </c>
      <c r="H447">
        <v>0</v>
      </c>
      <c r="I447" s="19">
        <v>45978</v>
      </c>
      <c r="J447" s="19">
        <f t="shared" si="14"/>
        <v>45981</v>
      </c>
      <c r="L447">
        <f t="shared" si="15"/>
        <v>64</v>
      </c>
    </row>
    <row r="448" spans="1:12" x14ac:dyDescent="0.25">
      <c r="A448">
        <v>6</v>
      </c>
      <c r="B448">
        <v>4212</v>
      </c>
      <c r="C448">
        <v>229</v>
      </c>
      <c r="D448">
        <v>2</v>
      </c>
      <c r="E448" t="s">
        <v>121</v>
      </c>
      <c r="F448" s="19">
        <v>45917</v>
      </c>
      <c r="G448" t="s">
        <v>131</v>
      </c>
      <c r="H448">
        <v>0</v>
      </c>
      <c r="I448" s="19">
        <v>46030</v>
      </c>
      <c r="J448" s="19">
        <f t="shared" si="14"/>
        <v>46033</v>
      </c>
      <c r="L448">
        <f t="shared" si="15"/>
        <v>116</v>
      </c>
    </row>
    <row r="449" spans="1:12" x14ac:dyDescent="0.25">
      <c r="A449">
        <v>6</v>
      </c>
      <c r="B449">
        <v>3340</v>
      </c>
      <c r="C449">
        <v>196</v>
      </c>
      <c r="D449">
        <v>4</v>
      </c>
      <c r="E449" t="s">
        <v>121</v>
      </c>
      <c r="F449" s="19">
        <v>45917</v>
      </c>
      <c r="G449" t="s">
        <v>122</v>
      </c>
      <c r="H449">
        <v>0</v>
      </c>
      <c r="I449" s="19">
        <v>46043</v>
      </c>
      <c r="J449" s="19">
        <f t="shared" si="14"/>
        <v>46046</v>
      </c>
      <c r="L449">
        <f t="shared" si="15"/>
        <v>129</v>
      </c>
    </row>
    <row r="450" spans="1:12" x14ac:dyDescent="0.25">
      <c r="A450">
        <v>3</v>
      </c>
      <c r="B450">
        <v>3666</v>
      </c>
      <c r="C450">
        <v>177</v>
      </c>
      <c r="D450">
        <v>3</v>
      </c>
      <c r="E450" t="s">
        <v>121</v>
      </c>
      <c r="F450" s="19">
        <v>45917</v>
      </c>
      <c r="G450" t="s">
        <v>132</v>
      </c>
      <c r="H450">
        <v>0</v>
      </c>
      <c r="I450" s="19">
        <v>46082</v>
      </c>
      <c r="J450" s="19">
        <f t="shared" si="14"/>
        <v>46085</v>
      </c>
      <c r="L450">
        <f t="shared" si="15"/>
        <v>168</v>
      </c>
    </row>
    <row r="451" spans="1:12" x14ac:dyDescent="0.25">
      <c r="A451">
        <v>10</v>
      </c>
      <c r="B451">
        <v>2279</v>
      </c>
      <c r="C451">
        <v>277</v>
      </c>
      <c r="D451">
        <v>5</v>
      </c>
      <c r="E451" t="s">
        <v>121</v>
      </c>
      <c r="F451" s="19">
        <v>45917</v>
      </c>
      <c r="G451" t="s">
        <v>132</v>
      </c>
      <c r="H451">
        <v>2</v>
      </c>
      <c r="I451" s="19">
        <v>45982</v>
      </c>
      <c r="J451" s="19">
        <f t="shared" si="14"/>
        <v>45985</v>
      </c>
      <c r="L451">
        <f t="shared" si="15"/>
        <v>68</v>
      </c>
    </row>
    <row r="452" spans="1:12" x14ac:dyDescent="0.25">
      <c r="A452">
        <v>6</v>
      </c>
      <c r="B452">
        <v>4379</v>
      </c>
      <c r="C452">
        <v>277</v>
      </c>
      <c r="D452">
        <v>2</v>
      </c>
      <c r="E452" t="s">
        <v>121</v>
      </c>
      <c r="F452" s="19">
        <v>45917</v>
      </c>
      <c r="G452" t="s">
        <v>132</v>
      </c>
      <c r="H452">
        <v>2</v>
      </c>
      <c r="I452" s="19">
        <v>45982</v>
      </c>
      <c r="J452" s="19">
        <f t="shared" si="14"/>
        <v>45985</v>
      </c>
      <c r="L452">
        <f t="shared" si="15"/>
        <v>68</v>
      </c>
    </row>
    <row r="453" spans="1:12" x14ac:dyDescent="0.25">
      <c r="A453">
        <v>5</v>
      </c>
      <c r="B453">
        <v>4045</v>
      </c>
      <c r="C453">
        <v>286</v>
      </c>
      <c r="D453">
        <v>2</v>
      </c>
      <c r="E453" t="s">
        <v>121</v>
      </c>
      <c r="F453" s="19">
        <v>45924</v>
      </c>
      <c r="G453" t="s">
        <v>120</v>
      </c>
      <c r="H453">
        <v>0</v>
      </c>
      <c r="I453" s="19">
        <v>45973</v>
      </c>
      <c r="J453" s="19">
        <f t="shared" si="14"/>
        <v>45976</v>
      </c>
      <c r="L453">
        <f t="shared" si="15"/>
        <v>52</v>
      </c>
    </row>
    <row r="454" spans="1:12" x14ac:dyDescent="0.25">
      <c r="A454">
        <v>5</v>
      </c>
      <c r="B454">
        <v>3250</v>
      </c>
      <c r="C454">
        <v>283</v>
      </c>
      <c r="D454">
        <v>4</v>
      </c>
      <c r="E454" t="s">
        <v>119</v>
      </c>
      <c r="F454" s="19">
        <v>45924</v>
      </c>
      <c r="G454" t="s">
        <v>120</v>
      </c>
      <c r="H454">
        <v>0</v>
      </c>
      <c r="I454" s="19">
        <v>45976</v>
      </c>
      <c r="J454" s="19">
        <f t="shared" si="14"/>
        <v>45979</v>
      </c>
      <c r="L454">
        <f t="shared" si="15"/>
        <v>55</v>
      </c>
    </row>
    <row r="455" spans="1:12" x14ac:dyDescent="0.25">
      <c r="A455">
        <v>5</v>
      </c>
      <c r="B455">
        <v>4571</v>
      </c>
      <c r="C455">
        <v>282</v>
      </c>
      <c r="D455">
        <v>2</v>
      </c>
      <c r="E455" t="s">
        <v>119</v>
      </c>
      <c r="F455" s="19">
        <v>45924</v>
      </c>
      <c r="G455" t="s">
        <v>120</v>
      </c>
      <c r="H455">
        <v>0</v>
      </c>
      <c r="I455" s="19">
        <v>45977</v>
      </c>
      <c r="J455" s="19">
        <f t="shared" si="14"/>
        <v>45980</v>
      </c>
      <c r="L455">
        <f t="shared" si="15"/>
        <v>56</v>
      </c>
    </row>
    <row r="456" spans="1:12" x14ac:dyDescent="0.25">
      <c r="A456">
        <v>6</v>
      </c>
      <c r="B456">
        <v>2493</v>
      </c>
      <c r="C456">
        <v>7</v>
      </c>
      <c r="D456">
        <v>7</v>
      </c>
      <c r="E456" t="s">
        <v>121</v>
      </c>
      <c r="F456" s="19">
        <v>45924</v>
      </c>
      <c r="G456" t="s">
        <v>122</v>
      </c>
      <c r="H456">
        <v>0</v>
      </c>
      <c r="I456" s="19">
        <v>45978</v>
      </c>
      <c r="J456" s="19">
        <f t="shared" si="14"/>
        <v>45981</v>
      </c>
      <c r="L456">
        <f t="shared" si="15"/>
        <v>57</v>
      </c>
    </row>
    <row r="457" spans="1:12" x14ac:dyDescent="0.25">
      <c r="A457">
        <v>6</v>
      </c>
      <c r="B457">
        <v>4412</v>
      </c>
      <c r="C457">
        <v>49</v>
      </c>
      <c r="D457">
        <v>2</v>
      </c>
      <c r="E457" t="s">
        <v>121</v>
      </c>
      <c r="F457" s="19">
        <v>45924</v>
      </c>
      <c r="G457" t="s">
        <v>122</v>
      </c>
      <c r="H457">
        <v>0</v>
      </c>
      <c r="I457" s="19">
        <v>45992</v>
      </c>
      <c r="J457" s="19">
        <f t="shared" si="14"/>
        <v>45995</v>
      </c>
      <c r="L457">
        <f t="shared" si="15"/>
        <v>71</v>
      </c>
    </row>
    <row r="458" spans="1:12" x14ac:dyDescent="0.25">
      <c r="A458">
        <v>10</v>
      </c>
      <c r="B458">
        <v>3846</v>
      </c>
      <c r="C458">
        <v>168</v>
      </c>
      <c r="D458">
        <v>3</v>
      </c>
      <c r="E458" t="s">
        <v>121</v>
      </c>
      <c r="F458" s="19">
        <v>45924</v>
      </c>
      <c r="G458" t="s">
        <v>122</v>
      </c>
      <c r="H458">
        <v>0</v>
      </c>
      <c r="I458" s="19">
        <v>46007</v>
      </c>
      <c r="J458" s="19">
        <f t="shared" si="14"/>
        <v>46010</v>
      </c>
      <c r="L458">
        <f t="shared" si="15"/>
        <v>86</v>
      </c>
    </row>
    <row r="459" spans="1:12" x14ac:dyDescent="0.25">
      <c r="A459">
        <v>5</v>
      </c>
      <c r="B459">
        <v>4290</v>
      </c>
      <c r="C459">
        <v>233</v>
      </c>
      <c r="D459">
        <v>2</v>
      </c>
      <c r="E459" t="s">
        <v>121</v>
      </c>
      <c r="F459" s="19">
        <v>45924</v>
      </c>
      <c r="G459" t="s">
        <v>120</v>
      </c>
      <c r="H459">
        <v>0</v>
      </c>
      <c r="I459" s="19">
        <v>46026</v>
      </c>
      <c r="J459" s="19">
        <f t="shared" si="14"/>
        <v>46029</v>
      </c>
      <c r="L459">
        <f t="shared" si="15"/>
        <v>105</v>
      </c>
    </row>
    <row r="460" spans="1:12" x14ac:dyDescent="0.25">
      <c r="A460">
        <v>6</v>
      </c>
      <c r="B460">
        <v>3637</v>
      </c>
      <c r="C460">
        <v>276</v>
      </c>
      <c r="D460">
        <v>3</v>
      </c>
      <c r="E460" t="s">
        <v>121</v>
      </c>
      <c r="F460" s="19">
        <v>45924</v>
      </c>
      <c r="G460" t="s">
        <v>120</v>
      </c>
      <c r="H460">
        <v>2</v>
      </c>
      <c r="I460" s="19">
        <v>45983</v>
      </c>
      <c r="J460" s="19">
        <f t="shared" si="14"/>
        <v>45986</v>
      </c>
      <c r="L460">
        <f t="shared" si="15"/>
        <v>62</v>
      </c>
    </row>
    <row r="461" spans="1:12" x14ac:dyDescent="0.25">
      <c r="A461">
        <v>5</v>
      </c>
      <c r="B461">
        <v>3870</v>
      </c>
      <c r="C461">
        <v>276</v>
      </c>
      <c r="D461">
        <v>3</v>
      </c>
      <c r="E461" t="s">
        <v>121</v>
      </c>
      <c r="F461" s="19">
        <v>45924</v>
      </c>
      <c r="G461" t="s">
        <v>120</v>
      </c>
      <c r="H461">
        <v>2</v>
      </c>
      <c r="I461" s="19">
        <v>45983</v>
      </c>
      <c r="J461" s="19">
        <f t="shared" si="14"/>
        <v>45986</v>
      </c>
      <c r="L461">
        <f t="shared" si="15"/>
        <v>62</v>
      </c>
    </row>
    <row r="462" spans="1:12" x14ac:dyDescent="0.25">
      <c r="A462">
        <v>5</v>
      </c>
      <c r="B462">
        <v>4437</v>
      </c>
      <c r="C462">
        <v>276</v>
      </c>
      <c r="D462">
        <v>2</v>
      </c>
      <c r="E462" t="s">
        <v>119</v>
      </c>
      <c r="F462" s="19">
        <v>45924</v>
      </c>
      <c r="G462" t="s">
        <v>131</v>
      </c>
      <c r="H462">
        <v>2</v>
      </c>
      <c r="I462" s="19">
        <v>45983</v>
      </c>
      <c r="J462" s="19">
        <f t="shared" si="14"/>
        <v>45986</v>
      </c>
      <c r="L462">
        <f t="shared" si="15"/>
        <v>62</v>
      </c>
    </row>
    <row r="463" spans="1:12" x14ac:dyDescent="0.25">
      <c r="A463">
        <v>5</v>
      </c>
      <c r="B463">
        <v>4498</v>
      </c>
      <c r="C463">
        <v>275</v>
      </c>
      <c r="D463">
        <v>2</v>
      </c>
      <c r="E463" t="s">
        <v>119</v>
      </c>
      <c r="F463" s="19">
        <v>45924</v>
      </c>
      <c r="G463" t="s">
        <v>120</v>
      </c>
      <c r="H463">
        <v>2</v>
      </c>
      <c r="I463" s="19">
        <v>45984</v>
      </c>
      <c r="J463" s="19">
        <f t="shared" si="14"/>
        <v>45987</v>
      </c>
      <c r="L463">
        <f t="shared" si="15"/>
        <v>63</v>
      </c>
    </row>
    <row r="464" spans="1:12" x14ac:dyDescent="0.25">
      <c r="A464">
        <v>2</v>
      </c>
      <c r="B464">
        <v>4305</v>
      </c>
      <c r="C464">
        <v>272</v>
      </c>
      <c r="D464">
        <v>2</v>
      </c>
      <c r="E464" t="s">
        <v>119</v>
      </c>
      <c r="F464" s="19">
        <v>45924</v>
      </c>
      <c r="G464" t="s">
        <v>120</v>
      </c>
      <c r="H464">
        <v>2</v>
      </c>
      <c r="I464" s="19">
        <v>45987</v>
      </c>
      <c r="J464" s="19">
        <f t="shared" si="14"/>
        <v>45990</v>
      </c>
      <c r="L464">
        <f t="shared" si="15"/>
        <v>66</v>
      </c>
    </row>
    <row r="465" spans="1:12" x14ac:dyDescent="0.25">
      <c r="A465">
        <v>5</v>
      </c>
      <c r="B465">
        <v>4427</v>
      </c>
      <c r="C465">
        <v>272</v>
      </c>
      <c r="D465">
        <v>2</v>
      </c>
      <c r="E465" t="s">
        <v>119</v>
      </c>
      <c r="F465" s="19">
        <v>45924</v>
      </c>
      <c r="G465" t="s">
        <v>120</v>
      </c>
      <c r="H465">
        <v>2</v>
      </c>
      <c r="I465" s="19">
        <v>45987</v>
      </c>
      <c r="J465" s="19">
        <f t="shared" si="14"/>
        <v>45990</v>
      </c>
      <c r="L465">
        <f t="shared" si="15"/>
        <v>66</v>
      </c>
    </row>
    <row r="466" spans="1:12" x14ac:dyDescent="0.25">
      <c r="A466">
        <v>3</v>
      </c>
      <c r="B466">
        <v>4228</v>
      </c>
      <c r="C466">
        <v>274</v>
      </c>
      <c r="D466">
        <v>2</v>
      </c>
      <c r="E466" t="s">
        <v>121</v>
      </c>
      <c r="F466" s="19">
        <v>45925</v>
      </c>
      <c r="G466" t="s">
        <v>120</v>
      </c>
      <c r="H466">
        <v>2</v>
      </c>
      <c r="I466" s="19">
        <v>45985</v>
      </c>
      <c r="J466" s="19">
        <f t="shared" si="14"/>
        <v>45988</v>
      </c>
      <c r="L466">
        <f t="shared" si="15"/>
        <v>63</v>
      </c>
    </row>
    <row r="467" spans="1:12" x14ac:dyDescent="0.25">
      <c r="A467">
        <v>5</v>
      </c>
      <c r="B467">
        <v>3896</v>
      </c>
      <c r="C467">
        <v>279</v>
      </c>
      <c r="D467">
        <v>3</v>
      </c>
      <c r="E467" t="s">
        <v>119</v>
      </c>
      <c r="F467" s="19">
        <v>45931</v>
      </c>
      <c r="G467" t="s">
        <v>120</v>
      </c>
      <c r="H467">
        <v>0</v>
      </c>
      <c r="I467" s="19">
        <v>45980</v>
      </c>
      <c r="J467" s="19">
        <f t="shared" si="14"/>
        <v>45983</v>
      </c>
      <c r="L467">
        <f t="shared" si="15"/>
        <v>52</v>
      </c>
    </row>
    <row r="468" spans="1:12" x14ac:dyDescent="0.25">
      <c r="A468">
        <v>6</v>
      </c>
      <c r="B468">
        <v>4600</v>
      </c>
      <c r="C468">
        <v>279</v>
      </c>
      <c r="D468">
        <v>2</v>
      </c>
      <c r="E468" t="s">
        <v>119</v>
      </c>
      <c r="F468" s="19">
        <v>45931</v>
      </c>
      <c r="G468" t="s">
        <v>120</v>
      </c>
      <c r="H468">
        <v>0</v>
      </c>
      <c r="I468" s="19">
        <v>45980</v>
      </c>
      <c r="J468" s="19">
        <f t="shared" si="14"/>
        <v>45983</v>
      </c>
      <c r="L468">
        <f t="shared" si="15"/>
        <v>52</v>
      </c>
    </row>
    <row r="469" spans="1:12" x14ac:dyDescent="0.25">
      <c r="A469">
        <v>5</v>
      </c>
      <c r="B469">
        <v>3427</v>
      </c>
      <c r="C469">
        <v>278</v>
      </c>
      <c r="D469">
        <v>4</v>
      </c>
      <c r="E469" t="s">
        <v>119</v>
      </c>
      <c r="F469" s="19">
        <v>45931</v>
      </c>
      <c r="G469" t="s">
        <v>132</v>
      </c>
      <c r="H469">
        <v>0</v>
      </c>
      <c r="I469" s="19">
        <v>45981</v>
      </c>
      <c r="J469" s="19">
        <f t="shared" si="14"/>
        <v>45984</v>
      </c>
      <c r="L469">
        <f t="shared" si="15"/>
        <v>53</v>
      </c>
    </row>
    <row r="470" spans="1:12" x14ac:dyDescent="0.25">
      <c r="A470">
        <v>5</v>
      </c>
      <c r="B470">
        <v>4406</v>
      </c>
      <c r="C470">
        <v>278</v>
      </c>
      <c r="D470">
        <v>2</v>
      </c>
      <c r="E470" t="s">
        <v>119</v>
      </c>
      <c r="F470" s="19">
        <v>45931</v>
      </c>
      <c r="G470" t="s">
        <v>120</v>
      </c>
      <c r="H470">
        <v>0</v>
      </c>
      <c r="I470" s="19">
        <v>45981</v>
      </c>
      <c r="J470" s="19">
        <f t="shared" si="14"/>
        <v>45984</v>
      </c>
      <c r="L470">
        <f t="shared" si="15"/>
        <v>53</v>
      </c>
    </row>
    <row r="471" spans="1:12" x14ac:dyDescent="0.25">
      <c r="A471">
        <v>6</v>
      </c>
      <c r="B471">
        <v>3761</v>
      </c>
      <c r="C471">
        <v>189</v>
      </c>
      <c r="D471">
        <v>3</v>
      </c>
      <c r="E471" t="s">
        <v>119</v>
      </c>
      <c r="F471" s="19">
        <v>45931</v>
      </c>
      <c r="G471" t="s">
        <v>122</v>
      </c>
      <c r="H471">
        <v>0</v>
      </c>
      <c r="I471" s="19">
        <v>45985</v>
      </c>
      <c r="J471" s="19">
        <f t="shared" si="14"/>
        <v>45988</v>
      </c>
      <c r="L471">
        <f t="shared" si="15"/>
        <v>57</v>
      </c>
    </row>
    <row r="472" spans="1:12" x14ac:dyDescent="0.25">
      <c r="A472">
        <v>7</v>
      </c>
      <c r="B472">
        <v>3286</v>
      </c>
      <c r="C472">
        <v>157</v>
      </c>
      <c r="D472">
        <v>5</v>
      </c>
      <c r="E472" t="s">
        <v>119</v>
      </c>
      <c r="F472" s="19">
        <v>45931</v>
      </c>
      <c r="G472" t="s">
        <v>122</v>
      </c>
      <c r="H472">
        <v>0</v>
      </c>
      <c r="I472" s="19">
        <v>45986</v>
      </c>
      <c r="J472" s="19">
        <f t="shared" si="14"/>
        <v>45989</v>
      </c>
      <c r="L472">
        <f t="shared" si="15"/>
        <v>58</v>
      </c>
    </row>
    <row r="473" spans="1:12" x14ac:dyDescent="0.25">
      <c r="A473">
        <v>2</v>
      </c>
      <c r="B473">
        <v>3298</v>
      </c>
      <c r="C473">
        <v>3</v>
      </c>
      <c r="D473">
        <v>3</v>
      </c>
      <c r="E473" t="s">
        <v>119</v>
      </c>
      <c r="F473" s="19">
        <v>45931</v>
      </c>
      <c r="G473" t="s">
        <v>122</v>
      </c>
      <c r="H473">
        <v>0</v>
      </c>
      <c r="I473" s="19">
        <v>45986</v>
      </c>
      <c r="J473" s="19">
        <f t="shared" si="14"/>
        <v>45989</v>
      </c>
      <c r="L473">
        <f t="shared" si="15"/>
        <v>58</v>
      </c>
    </row>
    <row r="474" spans="1:12" x14ac:dyDescent="0.25">
      <c r="A474">
        <v>2</v>
      </c>
      <c r="B474">
        <v>3200</v>
      </c>
      <c r="C474">
        <v>7</v>
      </c>
      <c r="D474">
        <v>4</v>
      </c>
      <c r="E474" t="s">
        <v>119</v>
      </c>
      <c r="F474" s="19">
        <v>45931</v>
      </c>
      <c r="G474" t="s">
        <v>122</v>
      </c>
      <c r="H474">
        <v>0</v>
      </c>
      <c r="I474" s="19">
        <v>45992</v>
      </c>
      <c r="J474" s="19">
        <f t="shared" si="14"/>
        <v>45995</v>
      </c>
      <c r="L474">
        <f t="shared" si="15"/>
        <v>64</v>
      </c>
    </row>
    <row r="475" spans="1:12" x14ac:dyDescent="0.25">
      <c r="A475">
        <v>10</v>
      </c>
      <c r="B475">
        <v>4501</v>
      </c>
      <c r="C475">
        <v>196</v>
      </c>
      <c r="D475">
        <v>2</v>
      </c>
      <c r="E475" t="s">
        <v>119</v>
      </c>
      <c r="F475" s="19">
        <v>45931</v>
      </c>
      <c r="G475" t="s">
        <v>122</v>
      </c>
      <c r="H475">
        <v>0</v>
      </c>
      <c r="I475" s="19">
        <v>45993</v>
      </c>
      <c r="J475" s="19">
        <f t="shared" si="14"/>
        <v>45996</v>
      </c>
      <c r="L475">
        <f t="shared" si="15"/>
        <v>65</v>
      </c>
    </row>
    <row r="476" spans="1:12" x14ac:dyDescent="0.25">
      <c r="A476">
        <v>6</v>
      </c>
      <c r="B476">
        <v>4278</v>
      </c>
      <c r="C476">
        <v>259</v>
      </c>
      <c r="D476">
        <v>2</v>
      </c>
      <c r="E476" t="s">
        <v>121</v>
      </c>
      <c r="F476" s="19">
        <v>45931</v>
      </c>
      <c r="G476" t="s">
        <v>120</v>
      </c>
      <c r="H476">
        <v>0</v>
      </c>
      <c r="I476" s="19">
        <v>46000</v>
      </c>
      <c r="J476" s="19">
        <f t="shared" si="14"/>
        <v>46003</v>
      </c>
      <c r="L476">
        <f t="shared" si="15"/>
        <v>72</v>
      </c>
    </row>
    <row r="477" spans="1:12" x14ac:dyDescent="0.25">
      <c r="A477">
        <v>7</v>
      </c>
      <c r="B477">
        <v>3790</v>
      </c>
      <c r="C477">
        <v>110</v>
      </c>
      <c r="D477">
        <v>3</v>
      </c>
      <c r="E477" t="s">
        <v>121</v>
      </c>
      <c r="F477" s="19">
        <v>45931</v>
      </c>
      <c r="G477" t="s">
        <v>122</v>
      </c>
      <c r="H477">
        <v>0</v>
      </c>
      <c r="I477" s="19">
        <v>46016</v>
      </c>
      <c r="J477" s="19">
        <f t="shared" si="14"/>
        <v>46019</v>
      </c>
      <c r="L477">
        <f t="shared" si="15"/>
        <v>88</v>
      </c>
    </row>
    <row r="478" spans="1:12" x14ac:dyDescent="0.25">
      <c r="A478">
        <v>3</v>
      </c>
      <c r="B478">
        <v>3754</v>
      </c>
      <c r="C478">
        <v>269</v>
      </c>
      <c r="D478">
        <v>3</v>
      </c>
      <c r="E478" t="s">
        <v>119</v>
      </c>
      <c r="F478" s="19">
        <v>45931</v>
      </c>
      <c r="G478" t="s">
        <v>132</v>
      </c>
      <c r="H478">
        <v>9</v>
      </c>
      <c r="I478" s="19">
        <v>45990</v>
      </c>
      <c r="J478" s="19">
        <f t="shared" si="14"/>
        <v>45993</v>
      </c>
      <c r="L478">
        <f t="shared" si="15"/>
        <v>62</v>
      </c>
    </row>
    <row r="479" spans="1:12" x14ac:dyDescent="0.25">
      <c r="A479">
        <v>5</v>
      </c>
      <c r="B479">
        <v>3697</v>
      </c>
      <c r="C479">
        <v>267</v>
      </c>
      <c r="D479">
        <v>3</v>
      </c>
      <c r="E479" t="s">
        <v>119</v>
      </c>
      <c r="F479" s="19">
        <v>45931</v>
      </c>
      <c r="G479" t="s">
        <v>120</v>
      </c>
      <c r="H479">
        <v>9</v>
      </c>
      <c r="I479" s="19">
        <v>45992</v>
      </c>
      <c r="J479" s="19">
        <f t="shared" si="14"/>
        <v>45995</v>
      </c>
      <c r="L479">
        <f t="shared" si="15"/>
        <v>64</v>
      </c>
    </row>
    <row r="480" spans="1:12" x14ac:dyDescent="0.25">
      <c r="A480">
        <v>3</v>
      </c>
      <c r="B480">
        <v>4556</v>
      </c>
      <c r="C480">
        <v>279</v>
      </c>
      <c r="D480">
        <v>2</v>
      </c>
      <c r="E480" t="s">
        <v>121</v>
      </c>
      <c r="F480" s="19">
        <v>45932</v>
      </c>
      <c r="G480" t="s">
        <v>120</v>
      </c>
      <c r="H480">
        <v>0</v>
      </c>
      <c r="I480" s="19">
        <v>45980</v>
      </c>
      <c r="J480" s="19">
        <f t="shared" si="14"/>
        <v>45983</v>
      </c>
      <c r="L480">
        <f t="shared" si="15"/>
        <v>51</v>
      </c>
    </row>
    <row r="481" spans="1:12" x14ac:dyDescent="0.25">
      <c r="A481">
        <v>10</v>
      </c>
      <c r="B481">
        <v>4548</v>
      </c>
      <c r="C481">
        <v>122</v>
      </c>
      <c r="D481">
        <v>2</v>
      </c>
      <c r="E481" t="s">
        <v>121</v>
      </c>
      <c r="F481" s="19">
        <v>45932</v>
      </c>
      <c r="G481" t="s">
        <v>122</v>
      </c>
      <c r="H481">
        <v>0</v>
      </c>
      <c r="I481" s="19">
        <v>45991</v>
      </c>
      <c r="J481" s="19">
        <f t="shared" si="14"/>
        <v>45994</v>
      </c>
      <c r="L481">
        <f t="shared" si="15"/>
        <v>62</v>
      </c>
    </row>
    <row r="482" spans="1:12" x14ac:dyDescent="0.25">
      <c r="A482">
        <v>6</v>
      </c>
      <c r="B482">
        <v>4648</v>
      </c>
      <c r="C482">
        <v>273</v>
      </c>
      <c r="D482">
        <v>2</v>
      </c>
      <c r="E482" t="s">
        <v>121</v>
      </c>
      <c r="F482" s="19">
        <v>45932</v>
      </c>
      <c r="G482" t="s">
        <v>120</v>
      </c>
      <c r="H482">
        <v>2</v>
      </c>
      <c r="I482" s="19">
        <v>45986</v>
      </c>
      <c r="J482" s="19">
        <f t="shared" si="14"/>
        <v>45989</v>
      </c>
      <c r="L482">
        <f t="shared" si="15"/>
        <v>57</v>
      </c>
    </row>
    <row r="483" spans="1:12" x14ac:dyDescent="0.25">
      <c r="A483">
        <v>5</v>
      </c>
      <c r="B483">
        <v>4591</v>
      </c>
      <c r="C483">
        <v>271</v>
      </c>
      <c r="D483">
        <v>2</v>
      </c>
      <c r="E483" t="s">
        <v>121</v>
      </c>
      <c r="F483" s="19">
        <v>45932</v>
      </c>
      <c r="G483" t="s">
        <v>120</v>
      </c>
      <c r="H483">
        <v>2</v>
      </c>
      <c r="I483" s="19">
        <v>45988</v>
      </c>
      <c r="J483" s="19">
        <f t="shared" si="14"/>
        <v>45991</v>
      </c>
      <c r="L483">
        <f t="shared" si="15"/>
        <v>59</v>
      </c>
    </row>
    <row r="484" spans="1:12" x14ac:dyDescent="0.25">
      <c r="A484">
        <v>5</v>
      </c>
      <c r="B484">
        <v>4428</v>
      </c>
      <c r="C484">
        <v>270</v>
      </c>
      <c r="D484">
        <v>2</v>
      </c>
      <c r="E484" t="s">
        <v>121</v>
      </c>
      <c r="F484" s="19">
        <v>45932</v>
      </c>
      <c r="G484" t="s">
        <v>120</v>
      </c>
      <c r="H484">
        <v>9</v>
      </c>
      <c r="I484" s="19">
        <v>45989</v>
      </c>
      <c r="J484" s="19">
        <f t="shared" si="14"/>
        <v>45992</v>
      </c>
      <c r="L484">
        <f t="shared" si="15"/>
        <v>60</v>
      </c>
    </row>
    <row r="485" spans="1:12" x14ac:dyDescent="0.25">
      <c r="A485">
        <v>5</v>
      </c>
      <c r="B485">
        <v>4514</v>
      </c>
      <c r="C485">
        <v>269</v>
      </c>
      <c r="D485">
        <v>2</v>
      </c>
      <c r="E485" t="s">
        <v>119</v>
      </c>
      <c r="F485" s="19">
        <v>45932</v>
      </c>
      <c r="G485" t="s">
        <v>120</v>
      </c>
      <c r="H485">
        <v>9</v>
      </c>
      <c r="I485" s="19">
        <v>45990</v>
      </c>
      <c r="J485" s="19">
        <f t="shared" si="14"/>
        <v>45993</v>
      </c>
      <c r="L485">
        <f t="shared" si="15"/>
        <v>61</v>
      </c>
    </row>
    <row r="486" spans="1:12" x14ac:dyDescent="0.25">
      <c r="A486">
        <v>10</v>
      </c>
      <c r="B486">
        <v>4488</v>
      </c>
      <c r="C486">
        <v>269</v>
      </c>
      <c r="D486">
        <v>2</v>
      </c>
      <c r="E486" t="s">
        <v>119</v>
      </c>
      <c r="F486" s="19">
        <v>45932</v>
      </c>
      <c r="G486" t="s">
        <v>120</v>
      </c>
      <c r="H486">
        <v>9</v>
      </c>
      <c r="I486" s="19">
        <v>45990</v>
      </c>
      <c r="J486" s="19">
        <f t="shared" si="14"/>
        <v>45993</v>
      </c>
      <c r="L486">
        <f t="shared" si="15"/>
        <v>61</v>
      </c>
    </row>
    <row r="487" spans="1:12" x14ac:dyDescent="0.25">
      <c r="A487">
        <v>5</v>
      </c>
      <c r="B487">
        <v>3513</v>
      </c>
      <c r="C487">
        <v>264</v>
      </c>
      <c r="D487">
        <v>3</v>
      </c>
      <c r="E487" t="s">
        <v>121</v>
      </c>
      <c r="F487" s="19">
        <v>45932</v>
      </c>
      <c r="G487" t="s">
        <v>120</v>
      </c>
      <c r="H487">
        <v>9</v>
      </c>
      <c r="I487" s="19">
        <v>45995</v>
      </c>
      <c r="J487" s="19">
        <f t="shared" si="14"/>
        <v>45998</v>
      </c>
      <c r="L487">
        <f t="shared" si="15"/>
        <v>66</v>
      </c>
    </row>
    <row r="488" spans="1:12" x14ac:dyDescent="0.25">
      <c r="A488">
        <v>3</v>
      </c>
      <c r="B488">
        <v>3394</v>
      </c>
      <c r="C488">
        <v>263</v>
      </c>
      <c r="D488">
        <v>4</v>
      </c>
      <c r="E488" t="s">
        <v>121</v>
      </c>
      <c r="F488" s="19">
        <v>45932</v>
      </c>
      <c r="G488" t="s">
        <v>120</v>
      </c>
      <c r="H488">
        <v>16</v>
      </c>
      <c r="I488" s="19">
        <v>45996</v>
      </c>
      <c r="J488" s="19">
        <f t="shared" si="14"/>
        <v>45999</v>
      </c>
      <c r="L488">
        <f t="shared" si="15"/>
        <v>67</v>
      </c>
    </row>
    <row r="489" spans="1:12" x14ac:dyDescent="0.25">
      <c r="A489">
        <v>2</v>
      </c>
      <c r="B489">
        <v>4472</v>
      </c>
      <c r="C489">
        <v>216</v>
      </c>
      <c r="D489">
        <v>2</v>
      </c>
      <c r="E489" t="s">
        <v>119</v>
      </c>
      <c r="F489" s="19">
        <v>45938</v>
      </c>
      <c r="G489" t="s">
        <v>122</v>
      </c>
      <c r="H489">
        <v>0</v>
      </c>
      <c r="I489" s="19">
        <v>45979</v>
      </c>
      <c r="J489" s="19">
        <f t="shared" si="14"/>
        <v>45982</v>
      </c>
      <c r="L489">
        <f t="shared" si="15"/>
        <v>44</v>
      </c>
    </row>
    <row r="490" spans="1:12" x14ac:dyDescent="0.25">
      <c r="A490">
        <v>5</v>
      </c>
      <c r="B490">
        <v>4716</v>
      </c>
      <c r="C490">
        <v>260</v>
      </c>
      <c r="D490">
        <v>2</v>
      </c>
      <c r="E490" t="s">
        <v>119</v>
      </c>
      <c r="F490" s="19">
        <v>45938</v>
      </c>
      <c r="G490" t="s">
        <v>120</v>
      </c>
      <c r="H490">
        <v>0</v>
      </c>
      <c r="I490" s="19">
        <v>45999</v>
      </c>
      <c r="J490" s="19">
        <f t="shared" ref="J490:J553" si="16">I490+3</f>
        <v>46002</v>
      </c>
      <c r="L490">
        <f t="shared" ref="L490:L553" si="17">J490-F490</f>
        <v>64</v>
      </c>
    </row>
    <row r="491" spans="1:12" x14ac:dyDescent="0.25">
      <c r="A491">
        <v>2</v>
      </c>
      <c r="B491">
        <v>4403</v>
      </c>
      <c r="C491">
        <v>259</v>
      </c>
      <c r="D491">
        <v>2</v>
      </c>
      <c r="E491" t="s">
        <v>119</v>
      </c>
      <c r="F491" s="19">
        <v>45938</v>
      </c>
      <c r="G491" t="s">
        <v>120</v>
      </c>
      <c r="H491">
        <v>0</v>
      </c>
      <c r="I491" s="19">
        <v>46000</v>
      </c>
      <c r="J491" s="19">
        <f t="shared" si="16"/>
        <v>46003</v>
      </c>
      <c r="L491">
        <f t="shared" si="17"/>
        <v>65</v>
      </c>
    </row>
    <row r="492" spans="1:12" x14ac:dyDescent="0.25">
      <c r="A492">
        <v>5</v>
      </c>
      <c r="B492">
        <v>4613</v>
      </c>
      <c r="C492">
        <v>258</v>
      </c>
      <c r="D492">
        <v>2</v>
      </c>
      <c r="E492" t="s">
        <v>119</v>
      </c>
      <c r="F492" s="19">
        <v>45938</v>
      </c>
      <c r="G492" t="s">
        <v>120</v>
      </c>
      <c r="H492">
        <v>0</v>
      </c>
      <c r="I492" s="19">
        <v>46001</v>
      </c>
      <c r="J492" s="19">
        <f t="shared" si="16"/>
        <v>46004</v>
      </c>
      <c r="L492">
        <f t="shared" si="17"/>
        <v>66</v>
      </c>
    </row>
    <row r="493" spans="1:12" x14ac:dyDescent="0.25">
      <c r="A493">
        <v>5</v>
      </c>
      <c r="B493">
        <v>4474</v>
      </c>
      <c r="C493">
        <v>258</v>
      </c>
      <c r="D493">
        <v>2</v>
      </c>
      <c r="E493" t="s">
        <v>119</v>
      </c>
      <c r="F493" s="19">
        <v>45938</v>
      </c>
      <c r="G493" t="s">
        <v>132</v>
      </c>
      <c r="H493">
        <v>0</v>
      </c>
      <c r="I493" s="19">
        <v>46001</v>
      </c>
      <c r="J493" s="19">
        <f t="shared" si="16"/>
        <v>46004</v>
      </c>
      <c r="L493">
        <f t="shared" si="17"/>
        <v>66</v>
      </c>
    </row>
    <row r="494" spans="1:12" x14ac:dyDescent="0.25">
      <c r="A494">
        <v>3</v>
      </c>
      <c r="B494">
        <v>4432</v>
      </c>
      <c r="C494">
        <v>258</v>
      </c>
      <c r="D494">
        <v>2</v>
      </c>
      <c r="E494" t="s">
        <v>121</v>
      </c>
      <c r="F494" s="19">
        <v>45938</v>
      </c>
      <c r="G494" t="s">
        <v>120</v>
      </c>
      <c r="H494">
        <v>0</v>
      </c>
      <c r="I494" s="19">
        <v>46001</v>
      </c>
      <c r="J494" s="19">
        <f t="shared" si="16"/>
        <v>46004</v>
      </c>
      <c r="L494">
        <f t="shared" si="17"/>
        <v>66</v>
      </c>
    </row>
    <row r="495" spans="1:12" x14ac:dyDescent="0.25">
      <c r="A495">
        <v>6</v>
      </c>
      <c r="B495">
        <v>2533</v>
      </c>
      <c r="C495">
        <v>145</v>
      </c>
      <c r="D495">
        <v>6</v>
      </c>
      <c r="E495" t="s">
        <v>121</v>
      </c>
      <c r="F495" s="19">
        <v>45938</v>
      </c>
      <c r="G495" t="s">
        <v>122</v>
      </c>
      <c r="H495">
        <v>0</v>
      </c>
      <c r="I495" s="19">
        <v>46007</v>
      </c>
      <c r="J495" s="19">
        <f t="shared" si="16"/>
        <v>46010</v>
      </c>
      <c r="L495">
        <f t="shared" si="17"/>
        <v>72</v>
      </c>
    </row>
    <row r="496" spans="1:12" x14ac:dyDescent="0.25">
      <c r="A496">
        <v>10</v>
      </c>
      <c r="B496">
        <v>3414</v>
      </c>
      <c r="C496">
        <v>75</v>
      </c>
      <c r="D496">
        <v>4</v>
      </c>
      <c r="E496" t="s">
        <v>121</v>
      </c>
      <c r="F496" s="19">
        <v>45938</v>
      </c>
      <c r="G496" t="s">
        <v>122</v>
      </c>
      <c r="H496">
        <v>0</v>
      </c>
      <c r="I496" s="19">
        <v>46009</v>
      </c>
      <c r="J496" s="19">
        <f t="shared" si="16"/>
        <v>46012</v>
      </c>
      <c r="L496">
        <f t="shared" si="17"/>
        <v>74</v>
      </c>
    </row>
    <row r="497" spans="1:12" x14ac:dyDescent="0.25">
      <c r="A497">
        <v>10</v>
      </c>
      <c r="B497">
        <v>3115</v>
      </c>
      <c r="C497">
        <v>21</v>
      </c>
      <c r="D497">
        <v>3</v>
      </c>
      <c r="E497" t="s">
        <v>123</v>
      </c>
      <c r="F497" s="19">
        <v>45938</v>
      </c>
      <c r="G497" t="s">
        <v>122</v>
      </c>
      <c r="H497">
        <v>0</v>
      </c>
      <c r="I497" s="19">
        <v>46076</v>
      </c>
      <c r="J497" s="19">
        <f t="shared" si="16"/>
        <v>46079</v>
      </c>
      <c r="L497">
        <f t="shared" si="17"/>
        <v>141</v>
      </c>
    </row>
    <row r="498" spans="1:12" x14ac:dyDescent="0.25">
      <c r="A498">
        <v>10</v>
      </c>
      <c r="B498">
        <v>3388</v>
      </c>
      <c r="C498">
        <v>113</v>
      </c>
      <c r="D498">
        <v>4</v>
      </c>
      <c r="E498" t="s">
        <v>121</v>
      </c>
      <c r="F498" s="19">
        <v>45938</v>
      </c>
      <c r="G498" t="s">
        <v>122</v>
      </c>
      <c r="H498">
        <v>0</v>
      </c>
      <c r="I498" s="19">
        <v>46083</v>
      </c>
      <c r="J498" s="19">
        <f t="shared" si="16"/>
        <v>46086</v>
      </c>
      <c r="L498">
        <f t="shared" si="17"/>
        <v>148</v>
      </c>
    </row>
    <row r="499" spans="1:12" x14ac:dyDescent="0.25">
      <c r="A499">
        <v>3</v>
      </c>
      <c r="B499">
        <v>3882</v>
      </c>
      <c r="C499">
        <v>169</v>
      </c>
      <c r="D499">
        <v>3</v>
      </c>
      <c r="E499" t="s">
        <v>121</v>
      </c>
      <c r="F499" s="19">
        <v>45938</v>
      </c>
      <c r="G499" t="s">
        <v>120</v>
      </c>
      <c r="H499">
        <v>0</v>
      </c>
      <c r="I499" s="19">
        <v>46090</v>
      </c>
      <c r="J499" s="19">
        <f t="shared" si="16"/>
        <v>46093</v>
      </c>
      <c r="L499">
        <f t="shared" si="17"/>
        <v>155</v>
      </c>
    </row>
    <row r="500" spans="1:12" x14ac:dyDescent="0.25">
      <c r="A500">
        <v>10</v>
      </c>
      <c r="B500">
        <v>2882</v>
      </c>
      <c r="C500">
        <v>16</v>
      </c>
      <c r="D500">
        <v>4</v>
      </c>
      <c r="E500" t="s">
        <v>121</v>
      </c>
      <c r="F500" s="19">
        <v>45938</v>
      </c>
      <c r="G500" t="s">
        <v>122</v>
      </c>
      <c r="H500">
        <v>0</v>
      </c>
      <c r="I500" s="19">
        <v>46104</v>
      </c>
      <c r="J500" s="19">
        <f t="shared" si="16"/>
        <v>46107</v>
      </c>
      <c r="L500">
        <f t="shared" si="17"/>
        <v>169</v>
      </c>
    </row>
    <row r="501" spans="1:12" x14ac:dyDescent="0.25">
      <c r="A501">
        <v>5</v>
      </c>
      <c r="B501">
        <v>3528</v>
      </c>
      <c r="C501">
        <v>141</v>
      </c>
      <c r="D501">
        <v>3</v>
      </c>
      <c r="E501" t="s">
        <v>121</v>
      </c>
      <c r="F501" s="19">
        <v>45938</v>
      </c>
      <c r="G501" t="s">
        <v>120</v>
      </c>
      <c r="H501">
        <v>0</v>
      </c>
      <c r="I501" s="19">
        <v>46118</v>
      </c>
      <c r="J501" s="19">
        <f t="shared" si="16"/>
        <v>46121</v>
      </c>
      <c r="L501">
        <f t="shared" si="17"/>
        <v>183</v>
      </c>
    </row>
    <row r="502" spans="1:12" x14ac:dyDescent="0.25">
      <c r="A502">
        <v>5</v>
      </c>
      <c r="B502">
        <v>4584</v>
      </c>
      <c r="C502">
        <v>274</v>
      </c>
      <c r="D502">
        <v>2</v>
      </c>
      <c r="E502" t="s">
        <v>119</v>
      </c>
      <c r="F502" s="19">
        <v>45938</v>
      </c>
      <c r="G502" t="s">
        <v>120</v>
      </c>
      <c r="H502">
        <v>2</v>
      </c>
      <c r="I502" s="19">
        <v>45985</v>
      </c>
      <c r="J502" s="19">
        <f t="shared" si="16"/>
        <v>45988</v>
      </c>
      <c r="L502">
        <f t="shared" si="17"/>
        <v>50</v>
      </c>
    </row>
    <row r="503" spans="1:12" x14ac:dyDescent="0.25">
      <c r="A503">
        <v>6</v>
      </c>
      <c r="B503">
        <v>3852</v>
      </c>
      <c r="C503">
        <v>273</v>
      </c>
      <c r="D503">
        <v>3</v>
      </c>
      <c r="E503" t="s">
        <v>119</v>
      </c>
      <c r="F503" s="19">
        <v>45938</v>
      </c>
      <c r="G503" t="s">
        <v>120</v>
      </c>
      <c r="H503">
        <v>2</v>
      </c>
      <c r="I503" s="19">
        <v>45986</v>
      </c>
      <c r="J503" s="19">
        <f t="shared" si="16"/>
        <v>45989</v>
      </c>
      <c r="L503">
        <f t="shared" si="17"/>
        <v>51</v>
      </c>
    </row>
    <row r="504" spans="1:12" x14ac:dyDescent="0.25">
      <c r="A504">
        <v>5</v>
      </c>
      <c r="B504">
        <v>3864</v>
      </c>
      <c r="C504">
        <v>269</v>
      </c>
      <c r="D504">
        <v>3</v>
      </c>
      <c r="E504" t="s">
        <v>123</v>
      </c>
      <c r="F504" s="19">
        <v>45938</v>
      </c>
      <c r="G504" t="s">
        <v>120</v>
      </c>
      <c r="H504">
        <v>9</v>
      </c>
      <c r="I504" s="19">
        <v>45990</v>
      </c>
      <c r="J504" s="19">
        <f t="shared" si="16"/>
        <v>45993</v>
      </c>
      <c r="L504">
        <f t="shared" si="17"/>
        <v>55</v>
      </c>
    </row>
    <row r="505" spans="1:12" x14ac:dyDescent="0.25">
      <c r="A505">
        <v>5</v>
      </c>
      <c r="B505">
        <v>4258</v>
      </c>
      <c r="C505">
        <v>269</v>
      </c>
      <c r="D505">
        <v>2</v>
      </c>
      <c r="E505" t="s">
        <v>123</v>
      </c>
      <c r="F505" s="19">
        <v>45938</v>
      </c>
      <c r="G505" t="s">
        <v>120</v>
      </c>
      <c r="H505">
        <v>9</v>
      </c>
      <c r="I505" s="19">
        <v>45990</v>
      </c>
      <c r="J505" s="19">
        <f t="shared" si="16"/>
        <v>45993</v>
      </c>
      <c r="L505">
        <f t="shared" si="17"/>
        <v>55</v>
      </c>
    </row>
    <row r="506" spans="1:12" x14ac:dyDescent="0.25">
      <c r="A506">
        <v>5</v>
      </c>
      <c r="B506">
        <v>4444</v>
      </c>
      <c r="C506">
        <v>269</v>
      </c>
      <c r="D506">
        <v>2</v>
      </c>
      <c r="E506" t="s">
        <v>119</v>
      </c>
      <c r="F506" s="19">
        <v>45938</v>
      </c>
      <c r="G506" t="s">
        <v>132</v>
      </c>
      <c r="H506">
        <v>9</v>
      </c>
      <c r="I506" s="19">
        <v>45990</v>
      </c>
      <c r="J506" s="19">
        <f t="shared" si="16"/>
        <v>45993</v>
      </c>
      <c r="L506">
        <f t="shared" si="17"/>
        <v>55</v>
      </c>
    </row>
    <row r="507" spans="1:12" x14ac:dyDescent="0.25">
      <c r="A507">
        <v>5</v>
      </c>
      <c r="B507">
        <v>3597</v>
      </c>
      <c r="C507">
        <v>267</v>
      </c>
      <c r="D507">
        <v>3</v>
      </c>
      <c r="E507" t="s">
        <v>123</v>
      </c>
      <c r="F507" s="19">
        <v>45938</v>
      </c>
      <c r="G507" t="s">
        <v>120</v>
      </c>
      <c r="H507">
        <v>9</v>
      </c>
      <c r="I507" s="19">
        <v>45992</v>
      </c>
      <c r="J507" s="19">
        <f t="shared" si="16"/>
        <v>45995</v>
      </c>
      <c r="L507">
        <f t="shared" si="17"/>
        <v>57</v>
      </c>
    </row>
    <row r="508" spans="1:12" x14ac:dyDescent="0.25">
      <c r="A508">
        <v>2</v>
      </c>
      <c r="B508">
        <v>4590</v>
      </c>
      <c r="C508">
        <v>267</v>
      </c>
      <c r="D508">
        <v>2</v>
      </c>
      <c r="E508" t="s">
        <v>119</v>
      </c>
      <c r="F508" s="19">
        <v>45938</v>
      </c>
      <c r="G508" t="s">
        <v>120</v>
      </c>
      <c r="H508">
        <v>9</v>
      </c>
      <c r="I508" s="19">
        <v>45992</v>
      </c>
      <c r="J508" s="19">
        <f t="shared" si="16"/>
        <v>45995</v>
      </c>
      <c r="L508">
        <f t="shared" si="17"/>
        <v>57</v>
      </c>
    </row>
    <row r="509" spans="1:12" x14ac:dyDescent="0.25">
      <c r="A509">
        <v>2</v>
      </c>
      <c r="B509">
        <v>4234</v>
      </c>
      <c r="C509">
        <v>265</v>
      </c>
      <c r="D509">
        <v>2</v>
      </c>
      <c r="E509" t="s">
        <v>123</v>
      </c>
      <c r="F509" s="19">
        <v>45938</v>
      </c>
      <c r="G509" t="s">
        <v>120</v>
      </c>
      <c r="H509">
        <v>9</v>
      </c>
      <c r="I509" s="19">
        <v>45994</v>
      </c>
      <c r="J509" s="19">
        <f t="shared" si="16"/>
        <v>45997</v>
      </c>
      <c r="L509">
        <f t="shared" si="17"/>
        <v>59</v>
      </c>
    </row>
    <row r="510" spans="1:12" x14ac:dyDescent="0.25">
      <c r="A510">
        <v>6</v>
      </c>
      <c r="B510">
        <v>4304</v>
      </c>
      <c r="C510">
        <v>265</v>
      </c>
      <c r="D510">
        <v>2</v>
      </c>
      <c r="E510" t="s">
        <v>119</v>
      </c>
      <c r="F510" s="19">
        <v>45938</v>
      </c>
      <c r="G510" t="s">
        <v>120</v>
      </c>
      <c r="H510">
        <v>9</v>
      </c>
      <c r="I510" s="19">
        <v>45994</v>
      </c>
      <c r="J510" s="19">
        <f t="shared" si="16"/>
        <v>45997</v>
      </c>
      <c r="L510">
        <f t="shared" si="17"/>
        <v>59</v>
      </c>
    </row>
    <row r="511" spans="1:12" x14ac:dyDescent="0.25">
      <c r="A511">
        <v>3</v>
      </c>
      <c r="B511">
        <v>4516</v>
      </c>
      <c r="C511">
        <v>265</v>
      </c>
      <c r="D511">
        <v>2</v>
      </c>
      <c r="E511" t="s">
        <v>119</v>
      </c>
      <c r="F511" s="19">
        <v>45938</v>
      </c>
      <c r="G511" t="s">
        <v>120</v>
      </c>
      <c r="H511">
        <v>9</v>
      </c>
      <c r="I511" s="19">
        <v>45994</v>
      </c>
      <c r="J511" s="19">
        <f t="shared" si="16"/>
        <v>45997</v>
      </c>
      <c r="L511">
        <f t="shared" si="17"/>
        <v>59</v>
      </c>
    </row>
    <row r="512" spans="1:12" x14ac:dyDescent="0.25">
      <c r="A512">
        <v>5</v>
      </c>
      <c r="B512">
        <v>4593</v>
      </c>
      <c r="C512">
        <v>265</v>
      </c>
      <c r="D512">
        <v>2</v>
      </c>
      <c r="E512" t="s">
        <v>123</v>
      </c>
      <c r="F512" s="19">
        <v>45938</v>
      </c>
      <c r="G512" t="s">
        <v>120</v>
      </c>
      <c r="H512">
        <v>9</v>
      </c>
      <c r="I512" s="19">
        <v>45994</v>
      </c>
      <c r="J512" s="19">
        <f t="shared" si="16"/>
        <v>45997</v>
      </c>
      <c r="L512">
        <f t="shared" si="17"/>
        <v>59</v>
      </c>
    </row>
    <row r="513" spans="1:12" x14ac:dyDescent="0.25">
      <c r="A513">
        <v>5</v>
      </c>
      <c r="B513">
        <v>3786</v>
      </c>
      <c r="C513">
        <v>264</v>
      </c>
      <c r="D513">
        <v>3</v>
      </c>
      <c r="E513" t="s">
        <v>121</v>
      </c>
      <c r="F513" s="19">
        <v>45938</v>
      </c>
      <c r="G513" t="s">
        <v>131</v>
      </c>
      <c r="H513">
        <v>9</v>
      </c>
      <c r="I513" s="19">
        <v>45995</v>
      </c>
      <c r="J513" s="19">
        <f t="shared" si="16"/>
        <v>45998</v>
      </c>
      <c r="L513">
        <f t="shared" si="17"/>
        <v>60</v>
      </c>
    </row>
    <row r="514" spans="1:12" x14ac:dyDescent="0.25">
      <c r="A514">
        <v>3</v>
      </c>
      <c r="B514">
        <v>4190</v>
      </c>
      <c r="C514">
        <v>264</v>
      </c>
      <c r="D514">
        <v>2</v>
      </c>
      <c r="E514" t="s">
        <v>119</v>
      </c>
      <c r="F514" s="19">
        <v>45938</v>
      </c>
      <c r="G514" t="s">
        <v>120</v>
      </c>
      <c r="H514">
        <v>9</v>
      </c>
      <c r="I514" s="19">
        <v>45995</v>
      </c>
      <c r="J514" s="19">
        <f t="shared" si="16"/>
        <v>45998</v>
      </c>
      <c r="L514">
        <f t="shared" si="17"/>
        <v>60</v>
      </c>
    </row>
    <row r="515" spans="1:12" x14ac:dyDescent="0.25">
      <c r="A515">
        <v>6</v>
      </c>
      <c r="B515">
        <v>4624</v>
      </c>
      <c r="C515">
        <v>263</v>
      </c>
      <c r="D515">
        <v>2</v>
      </c>
      <c r="E515" t="s">
        <v>121</v>
      </c>
      <c r="F515" s="19">
        <v>45938</v>
      </c>
      <c r="G515" t="s">
        <v>120</v>
      </c>
      <c r="H515">
        <v>16</v>
      </c>
      <c r="I515" s="19">
        <v>45996</v>
      </c>
      <c r="J515" s="19">
        <f t="shared" si="16"/>
        <v>45999</v>
      </c>
      <c r="L515">
        <f t="shared" si="17"/>
        <v>61</v>
      </c>
    </row>
    <row r="516" spans="1:12" x14ac:dyDescent="0.25">
      <c r="A516">
        <v>5</v>
      </c>
      <c r="B516">
        <v>3701</v>
      </c>
      <c r="C516">
        <v>261</v>
      </c>
      <c r="D516">
        <v>3</v>
      </c>
      <c r="E516" t="s">
        <v>119</v>
      </c>
      <c r="F516" s="19">
        <v>45938</v>
      </c>
      <c r="G516" t="s">
        <v>120</v>
      </c>
      <c r="H516">
        <v>16</v>
      </c>
      <c r="I516" s="19">
        <v>45998</v>
      </c>
      <c r="J516" s="19">
        <f t="shared" si="16"/>
        <v>46001</v>
      </c>
      <c r="L516">
        <f t="shared" si="17"/>
        <v>63</v>
      </c>
    </row>
    <row r="517" spans="1:12" x14ac:dyDescent="0.25">
      <c r="A517">
        <v>2</v>
      </c>
      <c r="B517">
        <v>3452</v>
      </c>
      <c r="C517">
        <v>3</v>
      </c>
      <c r="D517">
        <v>4</v>
      </c>
      <c r="E517" t="s">
        <v>121</v>
      </c>
      <c r="F517" s="19">
        <v>45945</v>
      </c>
      <c r="G517" t="s">
        <v>122</v>
      </c>
      <c r="H517">
        <v>0</v>
      </c>
      <c r="I517" s="19">
        <v>46000</v>
      </c>
      <c r="J517" s="19">
        <f t="shared" si="16"/>
        <v>46003</v>
      </c>
      <c r="L517">
        <f t="shared" si="17"/>
        <v>58</v>
      </c>
    </row>
    <row r="518" spans="1:12" x14ac:dyDescent="0.25">
      <c r="A518">
        <v>2</v>
      </c>
      <c r="B518">
        <v>4513</v>
      </c>
      <c r="C518">
        <v>259</v>
      </c>
      <c r="D518">
        <v>2</v>
      </c>
      <c r="E518" t="s">
        <v>123</v>
      </c>
      <c r="F518" s="19">
        <v>45945</v>
      </c>
      <c r="G518" t="s">
        <v>120</v>
      </c>
      <c r="H518">
        <v>0</v>
      </c>
      <c r="I518" s="19">
        <v>46000</v>
      </c>
      <c r="J518" s="19">
        <f t="shared" si="16"/>
        <v>46003</v>
      </c>
      <c r="L518">
        <f t="shared" si="17"/>
        <v>58</v>
      </c>
    </row>
    <row r="519" spans="1:12" x14ac:dyDescent="0.25">
      <c r="A519">
        <v>5</v>
      </c>
      <c r="B519">
        <v>4605</v>
      </c>
      <c r="C519">
        <v>259</v>
      </c>
      <c r="D519">
        <v>2</v>
      </c>
      <c r="E519" t="s">
        <v>123</v>
      </c>
      <c r="F519" s="19">
        <v>45945</v>
      </c>
      <c r="G519" t="s">
        <v>132</v>
      </c>
      <c r="H519">
        <v>0</v>
      </c>
      <c r="I519" s="19">
        <v>46000</v>
      </c>
      <c r="J519" s="19">
        <f t="shared" si="16"/>
        <v>46003</v>
      </c>
      <c r="L519">
        <f t="shared" si="17"/>
        <v>58</v>
      </c>
    </row>
    <row r="520" spans="1:12" x14ac:dyDescent="0.25">
      <c r="A520">
        <v>10</v>
      </c>
      <c r="B520">
        <v>3385</v>
      </c>
      <c r="C520">
        <v>187</v>
      </c>
      <c r="D520">
        <v>4</v>
      </c>
      <c r="E520" t="s">
        <v>121</v>
      </c>
      <c r="F520" s="19">
        <v>45945</v>
      </c>
      <c r="G520" t="s">
        <v>122</v>
      </c>
      <c r="H520">
        <v>0</v>
      </c>
      <c r="I520" s="19">
        <v>46002</v>
      </c>
      <c r="J520" s="19">
        <f t="shared" si="16"/>
        <v>46005</v>
      </c>
      <c r="L520">
        <f t="shared" si="17"/>
        <v>60</v>
      </c>
    </row>
    <row r="521" spans="1:12" x14ac:dyDescent="0.25">
      <c r="A521">
        <v>5</v>
      </c>
      <c r="B521">
        <v>4298</v>
      </c>
      <c r="C521">
        <v>256</v>
      </c>
      <c r="D521">
        <v>2</v>
      </c>
      <c r="E521" t="s">
        <v>123</v>
      </c>
      <c r="F521" s="19">
        <v>45945</v>
      </c>
      <c r="G521" t="s">
        <v>120</v>
      </c>
      <c r="H521">
        <v>0</v>
      </c>
      <c r="I521" s="19">
        <v>46003</v>
      </c>
      <c r="J521" s="19">
        <f t="shared" si="16"/>
        <v>46006</v>
      </c>
      <c r="L521">
        <f t="shared" si="17"/>
        <v>61</v>
      </c>
    </row>
    <row r="522" spans="1:12" x14ac:dyDescent="0.25">
      <c r="A522">
        <v>5</v>
      </c>
      <c r="B522">
        <v>4346</v>
      </c>
      <c r="C522">
        <v>255</v>
      </c>
      <c r="D522">
        <v>2</v>
      </c>
      <c r="E522" t="s">
        <v>121</v>
      </c>
      <c r="F522" s="19">
        <v>45945</v>
      </c>
      <c r="G522" t="s">
        <v>120</v>
      </c>
      <c r="H522">
        <v>0</v>
      </c>
      <c r="I522" s="19">
        <v>46004</v>
      </c>
      <c r="J522" s="19">
        <f t="shared" si="16"/>
        <v>46007</v>
      </c>
      <c r="L522">
        <f t="shared" si="17"/>
        <v>62</v>
      </c>
    </row>
    <row r="523" spans="1:12" x14ac:dyDescent="0.25">
      <c r="A523">
        <v>2</v>
      </c>
      <c r="B523">
        <v>4510</v>
      </c>
      <c r="C523">
        <v>255</v>
      </c>
      <c r="D523">
        <v>2</v>
      </c>
      <c r="E523" t="s">
        <v>123</v>
      </c>
      <c r="F523" s="19">
        <v>45945</v>
      </c>
      <c r="G523" t="s">
        <v>120</v>
      </c>
      <c r="H523">
        <v>0</v>
      </c>
      <c r="I523" s="19">
        <v>46004</v>
      </c>
      <c r="J523" s="19">
        <f t="shared" si="16"/>
        <v>46007</v>
      </c>
      <c r="L523">
        <f t="shared" si="17"/>
        <v>62</v>
      </c>
    </row>
    <row r="524" spans="1:12" x14ac:dyDescent="0.25">
      <c r="A524">
        <v>2</v>
      </c>
      <c r="B524">
        <v>4408</v>
      </c>
      <c r="C524">
        <v>253</v>
      </c>
      <c r="D524">
        <v>2</v>
      </c>
      <c r="E524" t="s">
        <v>123</v>
      </c>
      <c r="F524" s="19">
        <v>45945</v>
      </c>
      <c r="G524" t="s">
        <v>120</v>
      </c>
      <c r="H524">
        <v>0</v>
      </c>
      <c r="I524" s="19">
        <v>46006</v>
      </c>
      <c r="J524" s="19">
        <f t="shared" si="16"/>
        <v>46009</v>
      </c>
      <c r="L524">
        <f t="shared" si="17"/>
        <v>64</v>
      </c>
    </row>
    <row r="525" spans="1:12" x14ac:dyDescent="0.25">
      <c r="A525">
        <v>2</v>
      </c>
      <c r="B525">
        <v>2234</v>
      </c>
      <c r="C525">
        <v>6</v>
      </c>
      <c r="D525">
        <v>6</v>
      </c>
      <c r="E525" t="s">
        <v>121</v>
      </c>
      <c r="F525" s="19">
        <v>45945</v>
      </c>
      <c r="G525" t="s">
        <v>122</v>
      </c>
      <c r="H525">
        <v>0</v>
      </c>
      <c r="I525" s="19">
        <v>46007</v>
      </c>
      <c r="J525" s="19">
        <f t="shared" si="16"/>
        <v>46010</v>
      </c>
      <c r="L525">
        <f t="shared" si="17"/>
        <v>65</v>
      </c>
    </row>
    <row r="526" spans="1:12" x14ac:dyDescent="0.25">
      <c r="A526">
        <v>5</v>
      </c>
      <c r="B526">
        <v>3780</v>
      </c>
      <c r="C526">
        <v>249</v>
      </c>
      <c r="D526">
        <v>3</v>
      </c>
      <c r="E526" t="s">
        <v>123</v>
      </c>
      <c r="F526" s="19">
        <v>45945</v>
      </c>
      <c r="G526" t="s">
        <v>132</v>
      </c>
      <c r="H526">
        <v>0</v>
      </c>
      <c r="I526" s="19">
        <v>46010</v>
      </c>
      <c r="J526" s="19">
        <f t="shared" si="16"/>
        <v>46013</v>
      </c>
      <c r="L526">
        <f t="shared" si="17"/>
        <v>68</v>
      </c>
    </row>
    <row r="527" spans="1:12" x14ac:dyDescent="0.25">
      <c r="A527">
        <v>2</v>
      </c>
      <c r="B527">
        <v>4299</v>
      </c>
      <c r="C527">
        <v>248</v>
      </c>
      <c r="D527">
        <v>2</v>
      </c>
      <c r="E527" t="s">
        <v>123</v>
      </c>
      <c r="F527" s="19">
        <v>45945</v>
      </c>
      <c r="G527" t="s">
        <v>132</v>
      </c>
      <c r="H527">
        <v>0</v>
      </c>
      <c r="I527" s="19">
        <v>46011</v>
      </c>
      <c r="J527" s="19">
        <f t="shared" si="16"/>
        <v>46014</v>
      </c>
      <c r="L527">
        <f t="shared" si="17"/>
        <v>69</v>
      </c>
    </row>
    <row r="528" spans="1:12" x14ac:dyDescent="0.25">
      <c r="A528">
        <v>10</v>
      </c>
      <c r="B528">
        <v>4435</v>
      </c>
      <c r="C528">
        <v>248</v>
      </c>
      <c r="D528">
        <v>2</v>
      </c>
      <c r="E528" t="s">
        <v>123</v>
      </c>
      <c r="F528" s="19">
        <v>45945</v>
      </c>
      <c r="G528" t="s">
        <v>131</v>
      </c>
      <c r="H528">
        <v>0</v>
      </c>
      <c r="I528" s="19">
        <v>46011</v>
      </c>
      <c r="J528" s="19">
        <f t="shared" si="16"/>
        <v>46014</v>
      </c>
      <c r="L528">
        <f t="shared" si="17"/>
        <v>69</v>
      </c>
    </row>
    <row r="529" spans="1:12" x14ac:dyDescent="0.25">
      <c r="A529">
        <v>5</v>
      </c>
      <c r="B529">
        <v>3848</v>
      </c>
      <c r="C529">
        <v>245</v>
      </c>
      <c r="D529">
        <v>2</v>
      </c>
      <c r="E529" t="s">
        <v>121</v>
      </c>
      <c r="F529" s="19">
        <v>45945</v>
      </c>
      <c r="G529" t="s">
        <v>120</v>
      </c>
      <c r="H529">
        <v>0</v>
      </c>
      <c r="I529" s="19">
        <v>46014</v>
      </c>
      <c r="J529" s="19">
        <f t="shared" si="16"/>
        <v>46017</v>
      </c>
      <c r="L529">
        <f t="shared" si="17"/>
        <v>72</v>
      </c>
    </row>
    <row r="530" spans="1:12" x14ac:dyDescent="0.25">
      <c r="A530">
        <v>5</v>
      </c>
      <c r="B530">
        <v>4405</v>
      </c>
      <c r="C530">
        <v>158</v>
      </c>
      <c r="D530">
        <v>2</v>
      </c>
      <c r="E530" t="s">
        <v>123</v>
      </c>
      <c r="F530" s="19">
        <v>45945</v>
      </c>
      <c r="G530" t="s">
        <v>122</v>
      </c>
      <c r="H530">
        <v>0</v>
      </c>
      <c r="I530" s="19">
        <v>46016</v>
      </c>
      <c r="J530" s="19">
        <f t="shared" si="16"/>
        <v>46019</v>
      </c>
      <c r="L530">
        <f t="shared" si="17"/>
        <v>74</v>
      </c>
    </row>
    <row r="531" spans="1:12" x14ac:dyDescent="0.25">
      <c r="A531">
        <v>5</v>
      </c>
      <c r="B531">
        <v>3806</v>
      </c>
      <c r="C531">
        <v>230</v>
      </c>
      <c r="D531">
        <v>3</v>
      </c>
      <c r="E531" t="s">
        <v>121</v>
      </c>
      <c r="F531" s="19">
        <v>45945</v>
      </c>
      <c r="G531" t="s">
        <v>132</v>
      </c>
      <c r="H531">
        <v>0</v>
      </c>
      <c r="I531" s="19">
        <v>46029</v>
      </c>
      <c r="J531" s="19">
        <f t="shared" si="16"/>
        <v>46032</v>
      </c>
      <c r="L531">
        <f t="shared" si="17"/>
        <v>87</v>
      </c>
    </row>
    <row r="532" spans="1:12" x14ac:dyDescent="0.25">
      <c r="A532">
        <v>3</v>
      </c>
      <c r="B532">
        <v>2618</v>
      </c>
      <c r="C532">
        <v>29</v>
      </c>
      <c r="D532">
        <v>5</v>
      </c>
      <c r="E532" t="s">
        <v>121</v>
      </c>
      <c r="F532" s="19">
        <v>45945</v>
      </c>
      <c r="G532" t="s">
        <v>122</v>
      </c>
      <c r="H532">
        <v>0</v>
      </c>
      <c r="I532" s="19">
        <v>46166</v>
      </c>
      <c r="J532" s="19">
        <f t="shared" si="16"/>
        <v>46169</v>
      </c>
      <c r="L532">
        <f t="shared" si="17"/>
        <v>224</v>
      </c>
    </row>
    <row r="533" spans="1:12" x14ac:dyDescent="0.25">
      <c r="A533">
        <v>2</v>
      </c>
      <c r="B533">
        <v>3698</v>
      </c>
      <c r="C533">
        <v>76</v>
      </c>
      <c r="D533">
        <v>3</v>
      </c>
      <c r="E533" t="s">
        <v>121</v>
      </c>
      <c r="F533" s="19">
        <v>45945</v>
      </c>
      <c r="G533" t="s">
        <v>132</v>
      </c>
      <c r="H533">
        <v>0</v>
      </c>
      <c r="I533" s="19">
        <v>46183</v>
      </c>
      <c r="J533" s="19">
        <f t="shared" si="16"/>
        <v>46186</v>
      </c>
      <c r="L533">
        <f t="shared" si="17"/>
        <v>241</v>
      </c>
    </row>
    <row r="534" spans="1:12" x14ac:dyDescent="0.25">
      <c r="A534">
        <v>2</v>
      </c>
      <c r="B534">
        <v>3670</v>
      </c>
      <c r="C534">
        <v>62</v>
      </c>
      <c r="D534">
        <v>3</v>
      </c>
      <c r="E534" t="s">
        <v>121</v>
      </c>
      <c r="F534" s="19">
        <v>45945</v>
      </c>
      <c r="G534" t="s">
        <v>130</v>
      </c>
      <c r="H534">
        <v>0</v>
      </c>
      <c r="I534" s="19">
        <v>46197</v>
      </c>
      <c r="J534" s="19">
        <f t="shared" si="16"/>
        <v>46200</v>
      </c>
      <c r="L534">
        <f t="shared" si="17"/>
        <v>255</v>
      </c>
    </row>
    <row r="535" spans="1:12" x14ac:dyDescent="0.25">
      <c r="A535">
        <v>5</v>
      </c>
      <c r="B535">
        <v>4477</v>
      </c>
      <c r="C535">
        <v>262</v>
      </c>
      <c r="D535">
        <v>2</v>
      </c>
      <c r="E535" t="s">
        <v>123</v>
      </c>
      <c r="F535" s="19">
        <v>45945</v>
      </c>
      <c r="G535" t="s">
        <v>120</v>
      </c>
      <c r="H535">
        <v>16</v>
      </c>
      <c r="I535" s="19">
        <v>45997</v>
      </c>
      <c r="J535" s="19">
        <f t="shared" si="16"/>
        <v>46000</v>
      </c>
      <c r="L535">
        <f t="shared" si="17"/>
        <v>55</v>
      </c>
    </row>
    <row r="536" spans="1:12" x14ac:dyDescent="0.25">
      <c r="A536">
        <v>5</v>
      </c>
      <c r="B536">
        <v>3384</v>
      </c>
      <c r="C536">
        <v>193</v>
      </c>
      <c r="D536">
        <v>4</v>
      </c>
      <c r="E536" t="s">
        <v>121</v>
      </c>
      <c r="F536" s="19">
        <v>45952</v>
      </c>
      <c r="G536" t="s">
        <v>122</v>
      </c>
      <c r="H536">
        <v>0</v>
      </c>
      <c r="I536" s="19">
        <v>46003</v>
      </c>
      <c r="J536" s="19">
        <f t="shared" si="16"/>
        <v>46006</v>
      </c>
      <c r="L536">
        <f t="shared" si="17"/>
        <v>54</v>
      </c>
    </row>
    <row r="537" spans="1:12" x14ac:dyDescent="0.25">
      <c r="A537">
        <v>5</v>
      </c>
      <c r="B537">
        <v>4627</v>
      </c>
      <c r="C537">
        <v>255</v>
      </c>
      <c r="D537">
        <v>2</v>
      </c>
      <c r="E537" t="s">
        <v>123</v>
      </c>
      <c r="F537" s="19">
        <v>45952</v>
      </c>
      <c r="G537" t="s">
        <v>120</v>
      </c>
      <c r="H537">
        <v>0</v>
      </c>
      <c r="I537" s="19">
        <v>46004</v>
      </c>
      <c r="J537" s="19">
        <f t="shared" si="16"/>
        <v>46007</v>
      </c>
      <c r="L537">
        <f t="shared" si="17"/>
        <v>55</v>
      </c>
    </row>
    <row r="538" spans="1:12" x14ac:dyDescent="0.25">
      <c r="A538">
        <v>5</v>
      </c>
      <c r="B538">
        <v>4285</v>
      </c>
      <c r="C538">
        <v>255</v>
      </c>
      <c r="D538">
        <v>2</v>
      </c>
      <c r="E538" t="s">
        <v>123</v>
      </c>
      <c r="F538" s="19">
        <v>45952</v>
      </c>
      <c r="G538" t="s">
        <v>120</v>
      </c>
      <c r="H538">
        <v>0</v>
      </c>
      <c r="I538" s="19">
        <v>46004</v>
      </c>
      <c r="J538" s="19">
        <f t="shared" si="16"/>
        <v>46007</v>
      </c>
      <c r="L538">
        <f t="shared" si="17"/>
        <v>55</v>
      </c>
    </row>
    <row r="539" spans="1:12" x14ac:dyDescent="0.25">
      <c r="A539">
        <v>3</v>
      </c>
      <c r="B539">
        <v>4489</v>
      </c>
      <c r="C539">
        <v>255</v>
      </c>
      <c r="D539">
        <v>2</v>
      </c>
      <c r="E539" t="s">
        <v>129</v>
      </c>
      <c r="F539" s="19">
        <v>45952</v>
      </c>
      <c r="G539" t="s">
        <v>120</v>
      </c>
      <c r="H539">
        <v>0</v>
      </c>
      <c r="I539" s="19">
        <v>46004</v>
      </c>
      <c r="J539" s="19">
        <f t="shared" si="16"/>
        <v>46007</v>
      </c>
      <c r="L539">
        <f t="shared" si="17"/>
        <v>55</v>
      </c>
    </row>
    <row r="540" spans="1:12" x14ac:dyDescent="0.25">
      <c r="A540">
        <v>3</v>
      </c>
      <c r="B540">
        <v>4582</v>
      </c>
      <c r="C540">
        <v>251</v>
      </c>
      <c r="D540">
        <v>2</v>
      </c>
      <c r="E540" t="s">
        <v>123</v>
      </c>
      <c r="F540" s="19">
        <v>45952</v>
      </c>
      <c r="G540" t="s">
        <v>120</v>
      </c>
      <c r="H540">
        <v>0</v>
      </c>
      <c r="I540" s="19">
        <v>46008</v>
      </c>
      <c r="J540" s="19">
        <f t="shared" si="16"/>
        <v>46011</v>
      </c>
      <c r="L540">
        <f t="shared" si="17"/>
        <v>59</v>
      </c>
    </row>
    <row r="541" spans="1:12" x14ac:dyDescent="0.25">
      <c r="A541">
        <v>5</v>
      </c>
      <c r="B541">
        <v>4041</v>
      </c>
      <c r="C541">
        <v>249</v>
      </c>
      <c r="D541">
        <v>2</v>
      </c>
      <c r="E541" t="s">
        <v>129</v>
      </c>
      <c r="F541" s="19">
        <v>45952</v>
      </c>
      <c r="G541" t="s">
        <v>120</v>
      </c>
      <c r="H541">
        <v>0</v>
      </c>
      <c r="I541" s="19">
        <v>46010</v>
      </c>
      <c r="J541" s="19">
        <f t="shared" si="16"/>
        <v>46013</v>
      </c>
      <c r="L541">
        <f t="shared" si="17"/>
        <v>61</v>
      </c>
    </row>
    <row r="542" spans="1:12" x14ac:dyDescent="0.25">
      <c r="A542">
        <v>10</v>
      </c>
      <c r="B542">
        <v>3418</v>
      </c>
      <c r="C542">
        <v>107</v>
      </c>
      <c r="D542">
        <v>2</v>
      </c>
      <c r="E542" t="s">
        <v>121</v>
      </c>
      <c r="F542" s="19">
        <v>45952</v>
      </c>
      <c r="G542" t="s">
        <v>122</v>
      </c>
      <c r="H542">
        <v>0</v>
      </c>
      <c r="I542" s="19">
        <v>46011</v>
      </c>
      <c r="J542" s="19">
        <f t="shared" si="16"/>
        <v>46014</v>
      </c>
      <c r="L542">
        <f t="shared" si="17"/>
        <v>62</v>
      </c>
    </row>
    <row r="543" spans="1:12" x14ac:dyDescent="0.25">
      <c r="A543">
        <v>3</v>
      </c>
      <c r="B543">
        <v>3549</v>
      </c>
      <c r="C543">
        <v>246</v>
      </c>
      <c r="D543">
        <v>3</v>
      </c>
      <c r="E543" t="s">
        <v>123</v>
      </c>
      <c r="F543" s="19">
        <v>45952</v>
      </c>
      <c r="G543" t="s">
        <v>120</v>
      </c>
      <c r="H543">
        <v>0</v>
      </c>
      <c r="I543" s="19">
        <v>46013</v>
      </c>
      <c r="J543" s="19">
        <f t="shared" si="16"/>
        <v>46016</v>
      </c>
      <c r="L543">
        <f t="shared" si="17"/>
        <v>64</v>
      </c>
    </row>
    <row r="544" spans="1:12" x14ac:dyDescent="0.25">
      <c r="A544">
        <v>3</v>
      </c>
      <c r="B544">
        <v>4394</v>
      </c>
      <c r="C544">
        <v>246</v>
      </c>
      <c r="D544">
        <v>2</v>
      </c>
      <c r="E544" t="s">
        <v>123</v>
      </c>
      <c r="F544" s="19">
        <v>45952</v>
      </c>
      <c r="G544" t="s">
        <v>120</v>
      </c>
      <c r="H544">
        <v>0</v>
      </c>
      <c r="I544" s="19">
        <v>46013</v>
      </c>
      <c r="J544" s="19">
        <f t="shared" si="16"/>
        <v>46016</v>
      </c>
      <c r="L544">
        <f t="shared" si="17"/>
        <v>64</v>
      </c>
    </row>
    <row r="545" spans="1:12" x14ac:dyDescent="0.25">
      <c r="A545">
        <v>3</v>
      </c>
      <c r="B545">
        <v>4380</v>
      </c>
      <c r="C545">
        <v>246</v>
      </c>
      <c r="D545">
        <v>2</v>
      </c>
      <c r="E545" t="s">
        <v>123</v>
      </c>
      <c r="F545" s="19">
        <v>45952</v>
      </c>
      <c r="G545" t="s">
        <v>132</v>
      </c>
      <c r="H545">
        <v>0</v>
      </c>
      <c r="I545" s="19">
        <v>46013</v>
      </c>
      <c r="J545" s="19">
        <f t="shared" si="16"/>
        <v>46016</v>
      </c>
      <c r="L545">
        <f t="shared" si="17"/>
        <v>64</v>
      </c>
    </row>
    <row r="546" spans="1:12" x14ac:dyDescent="0.25">
      <c r="A546">
        <v>6</v>
      </c>
      <c r="B546">
        <v>3871</v>
      </c>
      <c r="C546">
        <v>52</v>
      </c>
      <c r="D546">
        <v>3</v>
      </c>
      <c r="E546" t="s">
        <v>129</v>
      </c>
      <c r="F546" s="19">
        <v>45952</v>
      </c>
      <c r="G546" t="s">
        <v>122</v>
      </c>
      <c r="H546">
        <v>0</v>
      </c>
      <c r="I546" s="19">
        <v>46014</v>
      </c>
      <c r="J546" s="19">
        <f t="shared" si="16"/>
        <v>46017</v>
      </c>
      <c r="L546">
        <f t="shared" si="17"/>
        <v>65</v>
      </c>
    </row>
    <row r="547" spans="1:12" x14ac:dyDescent="0.25">
      <c r="A547">
        <v>5</v>
      </c>
      <c r="B547">
        <v>4559</v>
      </c>
      <c r="C547">
        <v>244</v>
      </c>
      <c r="D547">
        <v>2</v>
      </c>
      <c r="E547" t="s">
        <v>123</v>
      </c>
      <c r="F547" s="19">
        <v>45952</v>
      </c>
      <c r="G547" t="s">
        <v>132</v>
      </c>
      <c r="H547">
        <v>0</v>
      </c>
      <c r="I547" s="19">
        <v>46015</v>
      </c>
      <c r="J547" s="19">
        <f t="shared" si="16"/>
        <v>46018</v>
      </c>
      <c r="L547">
        <f t="shared" si="17"/>
        <v>66</v>
      </c>
    </row>
    <row r="548" spans="1:12" x14ac:dyDescent="0.25">
      <c r="A548">
        <v>5</v>
      </c>
      <c r="B548">
        <v>3615</v>
      </c>
      <c r="C548">
        <v>123</v>
      </c>
      <c r="D548">
        <v>3</v>
      </c>
      <c r="E548" t="s">
        <v>123</v>
      </c>
      <c r="F548" s="19">
        <v>45952</v>
      </c>
      <c r="G548" t="s">
        <v>122</v>
      </c>
      <c r="H548">
        <v>0</v>
      </c>
      <c r="I548" s="19">
        <v>46017</v>
      </c>
      <c r="J548" s="19">
        <f t="shared" si="16"/>
        <v>46020</v>
      </c>
      <c r="L548">
        <f t="shared" si="17"/>
        <v>68</v>
      </c>
    </row>
    <row r="549" spans="1:12" x14ac:dyDescent="0.25">
      <c r="A549">
        <v>5</v>
      </c>
      <c r="B549">
        <v>4359</v>
      </c>
      <c r="C549">
        <v>242</v>
      </c>
      <c r="D549">
        <v>2</v>
      </c>
      <c r="E549" t="s">
        <v>123</v>
      </c>
      <c r="F549" s="19">
        <v>45952</v>
      </c>
      <c r="G549" t="s">
        <v>120</v>
      </c>
      <c r="H549">
        <v>0</v>
      </c>
      <c r="I549" s="19">
        <v>46017</v>
      </c>
      <c r="J549" s="19">
        <f t="shared" si="16"/>
        <v>46020</v>
      </c>
      <c r="L549">
        <f t="shared" si="17"/>
        <v>68</v>
      </c>
    </row>
    <row r="550" spans="1:12" x14ac:dyDescent="0.25">
      <c r="A550">
        <v>2</v>
      </c>
      <c r="B550">
        <v>4018</v>
      </c>
      <c r="C550">
        <v>81</v>
      </c>
      <c r="D550">
        <v>3</v>
      </c>
      <c r="E550" t="s">
        <v>129</v>
      </c>
      <c r="F550" s="19">
        <v>45952</v>
      </c>
      <c r="G550" t="s">
        <v>132</v>
      </c>
      <c r="H550">
        <v>0</v>
      </c>
      <c r="I550" s="19">
        <v>46178</v>
      </c>
      <c r="J550" s="19">
        <f t="shared" si="16"/>
        <v>46181</v>
      </c>
      <c r="L550">
        <f t="shared" si="17"/>
        <v>229</v>
      </c>
    </row>
    <row r="551" spans="1:12" x14ac:dyDescent="0.25">
      <c r="A551">
        <v>10</v>
      </c>
      <c r="B551">
        <v>4479</v>
      </c>
      <c r="C551">
        <v>26</v>
      </c>
      <c r="D551">
        <v>2</v>
      </c>
      <c r="E551" t="s">
        <v>121</v>
      </c>
      <c r="F551" s="19">
        <v>45953</v>
      </c>
      <c r="G551" t="s">
        <v>122</v>
      </c>
      <c r="H551">
        <v>0</v>
      </c>
      <c r="I551" s="19">
        <v>46005</v>
      </c>
      <c r="J551" s="19">
        <f t="shared" si="16"/>
        <v>46008</v>
      </c>
      <c r="L551">
        <f t="shared" si="17"/>
        <v>55</v>
      </c>
    </row>
    <row r="552" spans="1:12" x14ac:dyDescent="0.25">
      <c r="A552">
        <v>3</v>
      </c>
      <c r="B552">
        <v>3705</v>
      </c>
      <c r="C552">
        <v>49</v>
      </c>
      <c r="D552">
        <v>3</v>
      </c>
      <c r="E552" t="s">
        <v>128</v>
      </c>
      <c r="F552" s="19">
        <v>45953</v>
      </c>
      <c r="G552" t="s">
        <v>122</v>
      </c>
      <c r="H552">
        <v>0</v>
      </c>
      <c r="I552" s="19">
        <v>46010</v>
      </c>
      <c r="J552" s="19">
        <f t="shared" si="16"/>
        <v>46013</v>
      </c>
      <c r="L552">
        <f t="shared" si="17"/>
        <v>60</v>
      </c>
    </row>
    <row r="553" spans="1:12" x14ac:dyDescent="0.25">
      <c r="A553">
        <v>10</v>
      </c>
      <c r="B553">
        <v>3945</v>
      </c>
      <c r="C553">
        <v>7</v>
      </c>
      <c r="D553">
        <v>3</v>
      </c>
      <c r="E553" t="s">
        <v>128</v>
      </c>
      <c r="F553" s="19">
        <v>45959</v>
      </c>
      <c r="G553" t="s">
        <v>122</v>
      </c>
      <c r="H553">
        <v>0</v>
      </c>
      <c r="I553" s="19">
        <v>45992</v>
      </c>
      <c r="J553" s="19">
        <f t="shared" si="16"/>
        <v>45995</v>
      </c>
      <c r="L553">
        <f t="shared" si="17"/>
        <v>36</v>
      </c>
    </row>
    <row r="554" spans="1:12" x14ac:dyDescent="0.25">
      <c r="A554">
        <v>5</v>
      </c>
      <c r="B554">
        <v>4507</v>
      </c>
      <c r="C554">
        <v>252</v>
      </c>
      <c r="D554">
        <v>2</v>
      </c>
      <c r="E554" t="s">
        <v>128</v>
      </c>
      <c r="F554" s="19">
        <v>45959</v>
      </c>
      <c r="G554" t="s">
        <v>120</v>
      </c>
      <c r="H554">
        <v>0</v>
      </c>
      <c r="I554" s="19">
        <v>46007</v>
      </c>
      <c r="J554" s="19">
        <f t="shared" ref="J554:J617" si="18">I554+3</f>
        <v>46010</v>
      </c>
      <c r="L554">
        <f t="shared" ref="L554:L617" si="19">J554-F554</f>
        <v>51</v>
      </c>
    </row>
    <row r="555" spans="1:12" x14ac:dyDescent="0.25">
      <c r="A555">
        <v>5</v>
      </c>
      <c r="B555">
        <v>2962</v>
      </c>
      <c r="C555">
        <v>163</v>
      </c>
      <c r="D555">
        <v>4</v>
      </c>
      <c r="E555" t="s">
        <v>121</v>
      </c>
      <c r="F555" s="19">
        <v>45959</v>
      </c>
      <c r="G555" t="s">
        <v>122</v>
      </c>
      <c r="H555">
        <v>0</v>
      </c>
      <c r="I555" s="19">
        <v>46012</v>
      </c>
      <c r="J555" s="19">
        <f t="shared" si="18"/>
        <v>46015</v>
      </c>
      <c r="L555">
        <f t="shared" si="19"/>
        <v>56</v>
      </c>
    </row>
    <row r="556" spans="1:12" x14ac:dyDescent="0.25">
      <c r="A556">
        <v>3</v>
      </c>
      <c r="B556">
        <v>3658</v>
      </c>
      <c r="C556">
        <v>245</v>
      </c>
      <c r="D556">
        <v>3</v>
      </c>
      <c r="E556" t="s">
        <v>128</v>
      </c>
      <c r="F556" s="19">
        <v>45959</v>
      </c>
      <c r="G556" t="s">
        <v>131</v>
      </c>
      <c r="H556">
        <v>0</v>
      </c>
      <c r="I556" s="19">
        <v>46014</v>
      </c>
      <c r="J556" s="19">
        <f t="shared" si="18"/>
        <v>46017</v>
      </c>
      <c r="L556">
        <f t="shared" si="19"/>
        <v>58</v>
      </c>
    </row>
    <row r="557" spans="1:12" x14ac:dyDescent="0.25">
      <c r="A557">
        <v>5</v>
      </c>
      <c r="B557">
        <v>4658</v>
      </c>
      <c r="C557">
        <v>245</v>
      </c>
      <c r="D557">
        <v>2</v>
      </c>
      <c r="E557" t="s">
        <v>128</v>
      </c>
      <c r="F557" s="19">
        <v>45959</v>
      </c>
      <c r="G557" t="s">
        <v>120</v>
      </c>
      <c r="H557">
        <v>0</v>
      </c>
      <c r="I557" s="19">
        <v>46014</v>
      </c>
      <c r="J557" s="19">
        <f t="shared" si="18"/>
        <v>46017</v>
      </c>
      <c r="L557">
        <f t="shared" si="19"/>
        <v>58</v>
      </c>
    </row>
    <row r="558" spans="1:12" x14ac:dyDescent="0.25">
      <c r="A558">
        <v>10</v>
      </c>
      <c r="B558">
        <v>3341</v>
      </c>
      <c r="C558">
        <v>170</v>
      </c>
      <c r="D558">
        <v>4</v>
      </c>
      <c r="E558" t="s">
        <v>121</v>
      </c>
      <c r="F558" s="19">
        <v>45959</v>
      </c>
      <c r="G558" t="s">
        <v>122</v>
      </c>
      <c r="H558">
        <v>0</v>
      </c>
      <c r="I558" s="19">
        <v>46015</v>
      </c>
      <c r="J558" s="19">
        <f t="shared" si="18"/>
        <v>46018</v>
      </c>
      <c r="L558">
        <f t="shared" si="19"/>
        <v>59</v>
      </c>
    </row>
    <row r="559" spans="1:12" x14ac:dyDescent="0.25">
      <c r="A559">
        <v>5</v>
      </c>
      <c r="B559">
        <v>4626</v>
      </c>
      <c r="C559">
        <v>243</v>
      </c>
      <c r="D559">
        <v>2</v>
      </c>
      <c r="E559" t="s">
        <v>121</v>
      </c>
      <c r="F559" s="19">
        <v>45959</v>
      </c>
      <c r="G559" t="s">
        <v>120</v>
      </c>
      <c r="H559">
        <v>0</v>
      </c>
      <c r="I559" s="19">
        <v>46016</v>
      </c>
      <c r="J559" s="19">
        <f t="shared" si="18"/>
        <v>46019</v>
      </c>
      <c r="L559">
        <f t="shared" si="19"/>
        <v>60</v>
      </c>
    </row>
    <row r="560" spans="1:12" x14ac:dyDescent="0.25">
      <c r="A560">
        <v>10</v>
      </c>
      <c r="B560">
        <v>4404</v>
      </c>
      <c r="C560">
        <v>128</v>
      </c>
      <c r="D560">
        <v>2</v>
      </c>
      <c r="E560" t="s">
        <v>128</v>
      </c>
      <c r="F560" s="19">
        <v>45959</v>
      </c>
      <c r="G560" t="s">
        <v>122</v>
      </c>
      <c r="H560">
        <v>0</v>
      </c>
      <c r="I560" s="19">
        <v>46016</v>
      </c>
      <c r="J560" s="19">
        <f t="shared" si="18"/>
        <v>46019</v>
      </c>
      <c r="L560">
        <f t="shared" si="19"/>
        <v>60</v>
      </c>
    </row>
    <row r="561" spans="1:12" x14ac:dyDescent="0.25">
      <c r="A561">
        <v>2</v>
      </c>
      <c r="B561">
        <v>3765</v>
      </c>
      <c r="C561">
        <v>241</v>
      </c>
      <c r="D561">
        <v>3</v>
      </c>
      <c r="E561" t="s">
        <v>128</v>
      </c>
      <c r="F561" s="19">
        <v>45959</v>
      </c>
      <c r="G561" t="s">
        <v>120</v>
      </c>
      <c r="H561">
        <v>0</v>
      </c>
      <c r="I561" s="19">
        <v>46018</v>
      </c>
      <c r="J561" s="19">
        <f t="shared" si="18"/>
        <v>46021</v>
      </c>
      <c r="L561">
        <f t="shared" si="19"/>
        <v>62</v>
      </c>
    </row>
    <row r="562" spans="1:12" x14ac:dyDescent="0.25">
      <c r="A562">
        <v>5</v>
      </c>
      <c r="B562">
        <v>4656</v>
      </c>
      <c r="C562">
        <v>239</v>
      </c>
      <c r="D562">
        <v>2</v>
      </c>
      <c r="E562" t="s">
        <v>128</v>
      </c>
      <c r="F562" s="19">
        <v>45959</v>
      </c>
      <c r="G562" t="s">
        <v>120</v>
      </c>
      <c r="H562">
        <v>0</v>
      </c>
      <c r="I562" s="19">
        <v>46020</v>
      </c>
      <c r="J562" s="19">
        <f t="shared" si="18"/>
        <v>46023</v>
      </c>
      <c r="L562">
        <f t="shared" si="19"/>
        <v>64</v>
      </c>
    </row>
    <row r="563" spans="1:12" x14ac:dyDescent="0.25">
      <c r="A563">
        <v>3</v>
      </c>
      <c r="B563">
        <v>4520</v>
      </c>
      <c r="C563">
        <v>238</v>
      </c>
      <c r="D563">
        <v>2</v>
      </c>
      <c r="E563" t="s">
        <v>128</v>
      </c>
      <c r="F563" s="19">
        <v>45960</v>
      </c>
      <c r="G563" t="s">
        <v>120</v>
      </c>
      <c r="H563">
        <v>0</v>
      </c>
      <c r="I563" s="19">
        <v>46021</v>
      </c>
      <c r="J563" s="19">
        <f t="shared" si="18"/>
        <v>46024</v>
      </c>
      <c r="L563">
        <f t="shared" si="19"/>
        <v>64</v>
      </c>
    </row>
    <row r="564" spans="1:12" x14ac:dyDescent="0.25">
      <c r="A564">
        <v>5</v>
      </c>
      <c r="B564">
        <v>3053</v>
      </c>
      <c r="C564">
        <v>247</v>
      </c>
      <c r="D564">
        <v>4</v>
      </c>
      <c r="E564" t="s">
        <v>128</v>
      </c>
      <c r="F564" s="19">
        <v>45966</v>
      </c>
      <c r="G564" t="s">
        <v>120</v>
      </c>
      <c r="H564">
        <v>0</v>
      </c>
      <c r="I564" s="19">
        <v>46012</v>
      </c>
      <c r="J564" s="19">
        <f t="shared" si="18"/>
        <v>46015</v>
      </c>
      <c r="L564">
        <f t="shared" si="19"/>
        <v>49</v>
      </c>
    </row>
    <row r="565" spans="1:12" x14ac:dyDescent="0.25">
      <c r="A565">
        <v>3</v>
      </c>
      <c r="B565">
        <v>4362</v>
      </c>
      <c r="C565">
        <v>246</v>
      </c>
      <c r="D565">
        <v>2</v>
      </c>
      <c r="E565" t="s">
        <v>121</v>
      </c>
      <c r="F565" s="19">
        <v>45966</v>
      </c>
      <c r="G565" t="s">
        <v>120</v>
      </c>
      <c r="H565">
        <v>0</v>
      </c>
      <c r="I565" s="19">
        <v>46013</v>
      </c>
      <c r="J565" s="19">
        <f t="shared" si="18"/>
        <v>46016</v>
      </c>
      <c r="L565">
        <f t="shared" si="19"/>
        <v>50</v>
      </c>
    </row>
    <row r="566" spans="1:12" x14ac:dyDescent="0.25">
      <c r="A566">
        <v>10</v>
      </c>
      <c r="B566">
        <v>4243</v>
      </c>
      <c r="C566">
        <v>167</v>
      </c>
      <c r="D566">
        <v>2</v>
      </c>
      <c r="E566" t="s">
        <v>128</v>
      </c>
      <c r="F566" s="19">
        <v>45966</v>
      </c>
      <c r="G566" t="s">
        <v>122</v>
      </c>
      <c r="H566">
        <v>0</v>
      </c>
      <c r="I566" s="19">
        <v>46014</v>
      </c>
      <c r="J566" s="19">
        <f t="shared" si="18"/>
        <v>46017</v>
      </c>
      <c r="L566">
        <f t="shared" si="19"/>
        <v>51</v>
      </c>
    </row>
    <row r="567" spans="1:12" x14ac:dyDescent="0.25">
      <c r="A567">
        <v>5</v>
      </c>
      <c r="B567">
        <v>4683</v>
      </c>
      <c r="C567">
        <v>243</v>
      </c>
      <c r="D567">
        <v>2</v>
      </c>
      <c r="E567" t="s">
        <v>128</v>
      </c>
      <c r="F567" s="19">
        <v>45966</v>
      </c>
      <c r="G567" t="s">
        <v>120</v>
      </c>
      <c r="H567">
        <v>0</v>
      </c>
      <c r="I567" s="19">
        <v>46016</v>
      </c>
      <c r="J567" s="19">
        <f t="shared" si="18"/>
        <v>46019</v>
      </c>
      <c r="L567">
        <f t="shared" si="19"/>
        <v>53</v>
      </c>
    </row>
    <row r="568" spans="1:12" x14ac:dyDescent="0.25">
      <c r="A568">
        <v>5</v>
      </c>
      <c r="B568">
        <v>4653</v>
      </c>
      <c r="C568">
        <v>243</v>
      </c>
      <c r="D568">
        <v>2</v>
      </c>
      <c r="E568" t="s">
        <v>128</v>
      </c>
      <c r="F568" s="19">
        <v>45966</v>
      </c>
      <c r="G568" t="s">
        <v>131</v>
      </c>
      <c r="H568">
        <v>0</v>
      </c>
      <c r="I568" s="19">
        <v>46016</v>
      </c>
      <c r="J568" s="19">
        <f t="shared" si="18"/>
        <v>46019</v>
      </c>
      <c r="L568">
        <f t="shared" si="19"/>
        <v>53</v>
      </c>
    </row>
    <row r="569" spans="1:12" x14ac:dyDescent="0.25">
      <c r="A569">
        <v>5</v>
      </c>
      <c r="B569">
        <v>3837</v>
      </c>
      <c r="C569">
        <v>241</v>
      </c>
      <c r="D569">
        <v>3</v>
      </c>
      <c r="E569" t="s">
        <v>128</v>
      </c>
      <c r="F569" s="19">
        <v>45966</v>
      </c>
      <c r="G569" t="s">
        <v>120</v>
      </c>
      <c r="H569">
        <v>0</v>
      </c>
      <c r="I569" s="19">
        <v>46018</v>
      </c>
      <c r="J569" s="19">
        <f t="shared" si="18"/>
        <v>46021</v>
      </c>
      <c r="L569">
        <f t="shared" si="19"/>
        <v>55</v>
      </c>
    </row>
    <row r="570" spans="1:12" x14ac:dyDescent="0.25">
      <c r="A570">
        <v>5</v>
      </c>
      <c r="B570">
        <v>3193</v>
      </c>
      <c r="C570">
        <v>241</v>
      </c>
      <c r="D570">
        <v>4</v>
      </c>
      <c r="E570" t="s">
        <v>128</v>
      </c>
      <c r="F570" s="19">
        <v>45966</v>
      </c>
      <c r="G570" t="s">
        <v>131</v>
      </c>
      <c r="H570">
        <v>0</v>
      </c>
      <c r="I570" s="19">
        <v>46018</v>
      </c>
      <c r="J570" s="19">
        <f t="shared" si="18"/>
        <v>46021</v>
      </c>
      <c r="L570">
        <f t="shared" si="19"/>
        <v>55</v>
      </c>
    </row>
    <row r="571" spans="1:12" x14ac:dyDescent="0.25">
      <c r="A571">
        <v>2</v>
      </c>
      <c r="B571">
        <v>4897</v>
      </c>
      <c r="C571">
        <v>240</v>
      </c>
      <c r="D571">
        <v>2</v>
      </c>
      <c r="E571" t="s">
        <v>121</v>
      </c>
      <c r="F571" s="19">
        <v>45966</v>
      </c>
      <c r="G571" t="s">
        <v>120</v>
      </c>
      <c r="H571">
        <v>0</v>
      </c>
      <c r="I571" s="19">
        <v>46019</v>
      </c>
      <c r="J571" s="19">
        <f t="shared" si="18"/>
        <v>46022</v>
      </c>
      <c r="L571">
        <f t="shared" si="19"/>
        <v>56</v>
      </c>
    </row>
    <row r="572" spans="1:12" x14ac:dyDescent="0.25">
      <c r="A572">
        <v>6</v>
      </c>
      <c r="B572">
        <v>4634</v>
      </c>
      <c r="C572">
        <v>236</v>
      </c>
      <c r="D572">
        <v>2</v>
      </c>
      <c r="E572" t="s">
        <v>121</v>
      </c>
      <c r="F572" s="19">
        <v>45966</v>
      </c>
      <c r="G572" t="s">
        <v>132</v>
      </c>
      <c r="H572">
        <v>0</v>
      </c>
      <c r="I572" s="19">
        <v>46023</v>
      </c>
      <c r="J572" s="19">
        <f t="shared" si="18"/>
        <v>46026</v>
      </c>
      <c r="L572">
        <f t="shared" si="19"/>
        <v>60</v>
      </c>
    </row>
    <row r="573" spans="1:12" x14ac:dyDescent="0.25">
      <c r="A573">
        <v>2</v>
      </c>
      <c r="B573">
        <v>4518</v>
      </c>
      <c r="C573">
        <v>236</v>
      </c>
      <c r="D573">
        <v>2</v>
      </c>
      <c r="E573" t="s">
        <v>121</v>
      </c>
      <c r="F573" s="19">
        <v>45966</v>
      </c>
      <c r="G573" t="s">
        <v>120</v>
      </c>
      <c r="H573">
        <v>0</v>
      </c>
      <c r="I573" s="19">
        <v>46023</v>
      </c>
      <c r="J573" s="19">
        <f t="shared" si="18"/>
        <v>46026</v>
      </c>
      <c r="L573">
        <f t="shared" si="19"/>
        <v>60</v>
      </c>
    </row>
    <row r="574" spans="1:12" x14ac:dyDescent="0.25">
      <c r="A574">
        <v>3</v>
      </c>
      <c r="B574">
        <v>4370</v>
      </c>
      <c r="C574">
        <v>236</v>
      </c>
      <c r="D574">
        <v>2</v>
      </c>
      <c r="E574" t="s">
        <v>121</v>
      </c>
      <c r="F574" s="19">
        <v>45966</v>
      </c>
      <c r="G574" t="s">
        <v>132</v>
      </c>
      <c r="H574">
        <v>0</v>
      </c>
      <c r="I574" s="19">
        <v>46023</v>
      </c>
      <c r="J574" s="19">
        <f t="shared" si="18"/>
        <v>46026</v>
      </c>
      <c r="L574">
        <f t="shared" si="19"/>
        <v>60</v>
      </c>
    </row>
    <row r="575" spans="1:12" x14ac:dyDescent="0.25">
      <c r="A575">
        <v>5</v>
      </c>
      <c r="B575">
        <v>2362</v>
      </c>
      <c r="C575">
        <v>231</v>
      </c>
      <c r="D575">
        <v>6</v>
      </c>
      <c r="E575" t="s">
        <v>121</v>
      </c>
      <c r="F575" s="19">
        <v>45966</v>
      </c>
      <c r="G575" t="s">
        <v>120</v>
      </c>
      <c r="H575">
        <v>0</v>
      </c>
      <c r="I575" s="19">
        <v>46028</v>
      </c>
      <c r="J575" s="19">
        <f t="shared" si="18"/>
        <v>46031</v>
      </c>
      <c r="L575">
        <f t="shared" si="19"/>
        <v>65</v>
      </c>
    </row>
    <row r="576" spans="1:12" x14ac:dyDescent="0.25">
      <c r="A576">
        <v>3</v>
      </c>
      <c r="B576">
        <v>4325</v>
      </c>
      <c r="C576">
        <v>231</v>
      </c>
      <c r="D576">
        <v>2</v>
      </c>
      <c r="E576" t="s">
        <v>121</v>
      </c>
      <c r="F576" s="19">
        <v>45966</v>
      </c>
      <c r="G576" t="s">
        <v>120</v>
      </c>
      <c r="H576">
        <v>0</v>
      </c>
      <c r="I576" s="19">
        <v>46028</v>
      </c>
      <c r="J576" s="19">
        <f t="shared" si="18"/>
        <v>46031</v>
      </c>
      <c r="L576">
        <f t="shared" si="19"/>
        <v>65</v>
      </c>
    </row>
    <row r="577" spans="1:12" x14ac:dyDescent="0.25">
      <c r="A577">
        <v>6</v>
      </c>
      <c r="B577">
        <v>3740</v>
      </c>
      <c r="C577">
        <v>230</v>
      </c>
      <c r="D577">
        <v>3</v>
      </c>
      <c r="E577" t="s">
        <v>128</v>
      </c>
      <c r="F577" s="19">
        <v>45966</v>
      </c>
      <c r="G577" t="s">
        <v>120</v>
      </c>
      <c r="H577">
        <v>0</v>
      </c>
      <c r="I577" s="19">
        <v>46029</v>
      </c>
      <c r="J577" s="19">
        <f t="shared" si="18"/>
        <v>46032</v>
      </c>
      <c r="L577">
        <f t="shared" si="19"/>
        <v>66</v>
      </c>
    </row>
    <row r="578" spans="1:12" x14ac:dyDescent="0.25">
      <c r="A578">
        <v>3</v>
      </c>
      <c r="B578">
        <v>4447</v>
      </c>
      <c r="C578">
        <v>230</v>
      </c>
      <c r="D578">
        <v>2</v>
      </c>
      <c r="E578" t="s">
        <v>128</v>
      </c>
      <c r="F578" s="19">
        <v>45966</v>
      </c>
      <c r="G578" t="s">
        <v>120</v>
      </c>
      <c r="H578">
        <v>0</v>
      </c>
      <c r="I578" s="19">
        <v>46029</v>
      </c>
      <c r="J578" s="19">
        <f t="shared" si="18"/>
        <v>46032</v>
      </c>
      <c r="L578">
        <f t="shared" si="19"/>
        <v>66</v>
      </c>
    </row>
    <row r="579" spans="1:12" x14ac:dyDescent="0.25">
      <c r="A579">
        <v>3</v>
      </c>
      <c r="B579">
        <v>4523</v>
      </c>
      <c r="C579">
        <v>229</v>
      </c>
      <c r="D579">
        <v>2</v>
      </c>
      <c r="E579" t="s">
        <v>128</v>
      </c>
      <c r="F579" s="19">
        <v>45966</v>
      </c>
      <c r="G579" t="s">
        <v>120</v>
      </c>
      <c r="H579">
        <v>0</v>
      </c>
      <c r="I579" s="19">
        <v>46030</v>
      </c>
      <c r="J579" s="19">
        <f t="shared" si="18"/>
        <v>46033</v>
      </c>
      <c r="L579">
        <f t="shared" si="19"/>
        <v>67</v>
      </c>
    </row>
    <row r="580" spans="1:12" x14ac:dyDescent="0.25">
      <c r="A580">
        <v>10</v>
      </c>
      <c r="B580">
        <v>3614</v>
      </c>
      <c r="C580">
        <v>144</v>
      </c>
      <c r="D580">
        <v>4</v>
      </c>
      <c r="E580" t="s">
        <v>121</v>
      </c>
      <c r="F580" s="19">
        <v>45966</v>
      </c>
      <c r="G580" t="s">
        <v>122</v>
      </c>
      <c r="H580">
        <v>0</v>
      </c>
      <c r="I580" s="19">
        <v>46031</v>
      </c>
      <c r="J580" s="19">
        <f t="shared" si="18"/>
        <v>46034</v>
      </c>
      <c r="L580">
        <f t="shared" si="19"/>
        <v>68</v>
      </c>
    </row>
    <row r="581" spans="1:12" x14ac:dyDescent="0.25">
      <c r="A581">
        <v>2</v>
      </c>
      <c r="B581">
        <v>3792</v>
      </c>
      <c r="C581">
        <v>227</v>
      </c>
      <c r="D581">
        <v>3</v>
      </c>
      <c r="E581" t="s">
        <v>121</v>
      </c>
      <c r="F581" s="19">
        <v>45966</v>
      </c>
      <c r="G581" t="s">
        <v>120</v>
      </c>
      <c r="H581">
        <v>0</v>
      </c>
      <c r="I581" s="19">
        <v>46032</v>
      </c>
      <c r="J581" s="19">
        <f t="shared" si="18"/>
        <v>46035</v>
      </c>
      <c r="L581">
        <f t="shared" si="19"/>
        <v>69</v>
      </c>
    </row>
    <row r="582" spans="1:12" x14ac:dyDescent="0.25">
      <c r="A582">
        <v>2</v>
      </c>
      <c r="B582">
        <v>3187</v>
      </c>
      <c r="C582">
        <v>7</v>
      </c>
      <c r="D582">
        <v>4</v>
      </c>
      <c r="E582" t="s">
        <v>121</v>
      </c>
      <c r="F582" s="19">
        <v>45966</v>
      </c>
      <c r="G582" t="s">
        <v>122</v>
      </c>
      <c r="H582">
        <v>0</v>
      </c>
      <c r="I582" s="19">
        <v>46032</v>
      </c>
      <c r="J582" s="19">
        <f t="shared" si="18"/>
        <v>46035</v>
      </c>
      <c r="L582">
        <f t="shared" si="19"/>
        <v>69</v>
      </c>
    </row>
    <row r="583" spans="1:12" x14ac:dyDescent="0.25">
      <c r="A583">
        <v>5</v>
      </c>
      <c r="B583">
        <v>4329</v>
      </c>
      <c r="C583">
        <v>227</v>
      </c>
      <c r="D583">
        <v>2</v>
      </c>
      <c r="E583" t="s">
        <v>128</v>
      </c>
      <c r="F583" s="19">
        <v>45966</v>
      </c>
      <c r="G583" t="s">
        <v>120</v>
      </c>
      <c r="H583">
        <v>0</v>
      </c>
      <c r="I583" s="19">
        <v>46032</v>
      </c>
      <c r="J583" s="19">
        <f t="shared" si="18"/>
        <v>46035</v>
      </c>
      <c r="L583">
        <f t="shared" si="19"/>
        <v>69</v>
      </c>
    </row>
    <row r="584" spans="1:12" x14ac:dyDescent="0.25">
      <c r="A584">
        <v>5</v>
      </c>
      <c r="B584">
        <v>4515</v>
      </c>
      <c r="C584">
        <v>225</v>
      </c>
      <c r="D584">
        <v>2</v>
      </c>
      <c r="E584" t="s">
        <v>128</v>
      </c>
      <c r="F584" s="19">
        <v>45966</v>
      </c>
      <c r="G584" t="s">
        <v>132</v>
      </c>
      <c r="H584">
        <v>0</v>
      </c>
      <c r="I584" s="19">
        <v>46034</v>
      </c>
      <c r="J584" s="19">
        <f t="shared" si="18"/>
        <v>46037</v>
      </c>
      <c r="L584">
        <f t="shared" si="19"/>
        <v>71</v>
      </c>
    </row>
    <row r="585" spans="1:12" x14ac:dyDescent="0.25">
      <c r="A585">
        <v>6</v>
      </c>
      <c r="B585">
        <v>4542</v>
      </c>
      <c r="C585">
        <v>217</v>
      </c>
      <c r="D585">
        <v>2</v>
      </c>
      <c r="E585" t="s">
        <v>121</v>
      </c>
      <c r="F585" s="19">
        <v>45966</v>
      </c>
      <c r="G585" t="s">
        <v>131</v>
      </c>
      <c r="H585">
        <v>0</v>
      </c>
      <c r="I585" s="19">
        <v>46042</v>
      </c>
      <c r="J585" s="19">
        <f t="shared" si="18"/>
        <v>46045</v>
      </c>
      <c r="L585">
        <f t="shared" si="19"/>
        <v>79</v>
      </c>
    </row>
    <row r="586" spans="1:12" x14ac:dyDescent="0.25">
      <c r="A586">
        <v>6</v>
      </c>
      <c r="B586">
        <v>3723</v>
      </c>
      <c r="C586">
        <v>208</v>
      </c>
      <c r="D586">
        <v>3</v>
      </c>
      <c r="E586" t="s">
        <v>121</v>
      </c>
      <c r="F586" s="19">
        <v>45966</v>
      </c>
      <c r="G586" t="s">
        <v>132</v>
      </c>
      <c r="H586">
        <v>0</v>
      </c>
      <c r="I586" s="19">
        <v>46051</v>
      </c>
      <c r="J586" s="19">
        <f t="shared" si="18"/>
        <v>46054</v>
      </c>
      <c r="L586">
        <f t="shared" si="19"/>
        <v>88</v>
      </c>
    </row>
    <row r="587" spans="1:12" x14ac:dyDescent="0.25">
      <c r="A587">
        <v>10</v>
      </c>
      <c r="B587">
        <v>4363</v>
      </c>
      <c r="C587">
        <v>107</v>
      </c>
      <c r="D587">
        <v>2</v>
      </c>
      <c r="E587" t="s">
        <v>121</v>
      </c>
      <c r="F587" s="19">
        <v>45966</v>
      </c>
      <c r="G587" t="s">
        <v>122</v>
      </c>
      <c r="H587">
        <v>0</v>
      </c>
      <c r="I587" s="19">
        <v>46054</v>
      </c>
      <c r="J587" s="19">
        <f t="shared" si="18"/>
        <v>46057</v>
      </c>
      <c r="L587">
        <f t="shared" si="19"/>
        <v>91</v>
      </c>
    </row>
    <row r="588" spans="1:12" x14ac:dyDescent="0.25">
      <c r="A588">
        <v>2</v>
      </c>
      <c r="B588">
        <v>3743</v>
      </c>
      <c r="C588">
        <v>162</v>
      </c>
      <c r="D588">
        <v>3</v>
      </c>
      <c r="E588" t="s">
        <v>121</v>
      </c>
      <c r="F588" s="19">
        <v>45966</v>
      </c>
      <c r="G588" t="s">
        <v>120</v>
      </c>
      <c r="H588">
        <v>0</v>
      </c>
      <c r="I588" s="19">
        <v>46097</v>
      </c>
      <c r="J588" s="19">
        <f t="shared" si="18"/>
        <v>46100</v>
      </c>
      <c r="L588">
        <f t="shared" si="19"/>
        <v>134</v>
      </c>
    </row>
    <row r="589" spans="1:12" x14ac:dyDescent="0.25">
      <c r="A589">
        <v>6</v>
      </c>
      <c r="B589">
        <v>2761</v>
      </c>
      <c r="C589">
        <v>240</v>
      </c>
      <c r="D589">
        <v>5</v>
      </c>
      <c r="E589" t="s">
        <v>121</v>
      </c>
      <c r="F589" s="19">
        <v>45973</v>
      </c>
      <c r="G589" t="s">
        <v>131</v>
      </c>
      <c r="H589">
        <v>0</v>
      </c>
      <c r="I589" s="19">
        <v>46019</v>
      </c>
      <c r="J589" s="19">
        <f t="shared" si="18"/>
        <v>46022</v>
      </c>
      <c r="L589">
        <f t="shared" si="19"/>
        <v>49</v>
      </c>
    </row>
    <row r="590" spans="1:12" x14ac:dyDescent="0.25">
      <c r="A590">
        <v>3</v>
      </c>
      <c r="B590">
        <v>4594</v>
      </c>
      <c r="C590">
        <v>240</v>
      </c>
      <c r="D590">
        <v>2</v>
      </c>
      <c r="E590" t="s">
        <v>129</v>
      </c>
      <c r="F590" s="19">
        <v>45973</v>
      </c>
      <c r="G590" t="s">
        <v>120</v>
      </c>
      <c r="H590">
        <v>0</v>
      </c>
      <c r="I590" s="19">
        <v>46019</v>
      </c>
      <c r="J590" s="19">
        <f t="shared" si="18"/>
        <v>46022</v>
      </c>
      <c r="L590">
        <f t="shared" si="19"/>
        <v>49</v>
      </c>
    </row>
    <row r="591" spans="1:12" x14ac:dyDescent="0.25">
      <c r="A591">
        <v>3</v>
      </c>
      <c r="B591">
        <v>4638</v>
      </c>
      <c r="C591">
        <v>237</v>
      </c>
      <c r="D591">
        <v>2</v>
      </c>
      <c r="E591" t="s">
        <v>121</v>
      </c>
      <c r="F591" s="19">
        <v>45973</v>
      </c>
      <c r="G591" t="s">
        <v>120</v>
      </c>
      <c r="H591">
        <v>0</v>
      </c>
      <c r="I591" s="19">
        <v>46022</v>
      </c>
      <c r="J591" s="19">
        <f t="shared" si="18"/>
        <v>46025</v>
      </c>
      <c r="L591">
        <f t="shared" si="19"/>
        <v>52</v>
      </c>
    </row>
    <row r="592" spans="1:12" x14ac:dyDescent="0.25">
      <c r="A592">
        <v>5</v>
      </c>
      <c r="B592">
        <v>4690</v>
      </c>
      <c r="C592">
        <v>235</v>
      </c>
      <c r="D592">
        <v>2</v>
      </c>
      <c r="E592" t="s">
        <v>121</v>
      </c>
      <c r="F592" s="19">
        <v>45973</v>
      </c>
      <c r="G592" t="s">
        <v>120</v>
      </c>
      <c r="H592">
        <v>0</v>
      </c>
      <c r="I592" s="19">
        <v>46024</v>
      </c>
      <c r="J592" s="19">
        <f t="shared" si="18"/>
        <v>46027</v>
      </c>
      <c r="L592">
        <f t="shared" si="19"/>
        <v>54</v>
      </c>
    </row>
    <row r="593" spans="1:12" x14ac:dyDescent="0.25">
      <c r="A593">
        <v>5</v>
      </c>
      <c r="B593">
        <v>3905</v>
      </c>
      <c r="C593">
        <v>234</v>
      </c>
      <c r="D593">
        <v>3</v>
      </c>
      <c r="E593" t="s">
        <v>121</v>
      </c>
      <c r="F593" s="19">
        <v>45973</v>
      </c>
      <c r="G593" t="s">
        <v>132</v>
      </c>
      <c r="H593">
        <v>0</v>
      </c>
      <c r="I593" s="19">
        <v>46025</v>
      </c>
      <c r="J593" s="19">
        <f t="shared" si="18"/>
        <v>46028</v>
      </c>
      <c r="L593">
        <f t="shared" si="19"/>
        <v>55</v>
      </c>
    </row>
    <row r="594" spans="1:12" x14ac:dyDescent="0.25">
      <c r="A594">
        <v>5</v>
      </c>
      <c r="B594">
        <v>3122</v>
      </c>
      <c r="C594">
        <v>233</v>
      </c>
      <c r="D594">
        <v>4</v>
      </c>
      <c r="E594" t="s">
        <v>129</v>
      </c>
      <c r="F594" s="19">
        <v>45973</v>
      </c>
      <c r="G594" t="s">
        <v>132</v>
      </c>
      <c r="H594">
        <v>0</v>
      </c>
      <c r="I594" s="19">
        <v>46026</v>
      </c>
      <c r="J594" s="19">
        <f t="shared" si="18"/>
        <v>46029</v>
      </c>
      <c r="L594">
        <f t="shared" si="19"/>
        <v>56</v>
      </c>
    </row>
    <row r="595" spans="1:12" x14ac:dyDescent="0.25">
      <c r="A595">
        <v>6</v>
      </c>
      <c r="B595">
        <v>4381</v>
      </c>
      <c r="C595">
        <v>99</v>
      </c>
      <c r="D595">
        <v>2</v>
      </c>
      <c r="E595" t="s">
        <v>129</v>
      </c>
      <c r="F595" s="19">
        <v>45973</v>
      </c>
      <c r="G595" t="s">
        <v>122</v>
      </c>
      <c r="H595">
        <v>0</v>
      </c>
      <c r="I595" s="19">
        <v>46026</v>
      </c>
      <c r="J595" s="19">
        <f t="shared" si="18"/>
        <v>46029</v>
      </c>
      <c r="L595">
        <f t="shared" si="19"/>
        <v>56</v>
      </c>
    </row>
    <row r="596" spans="1:12" x14ac:dyDescent="0.25">
      <c r="A596">
        <v>10</v>
      </c>
      <c r="B596">
        <v>4457</v>
      </c>
      <c r="C596">
        <v>93</v>
      </c>
      <c r="D596">
        <v>2</v>
      </c>
      <c r="E596" t="s">
        <v>129</v>
      </c>
      <c r="F596" s="19">
        <v>45973</v>
      </c>
      <c r="G596" t="s">
        <v>122</v>
      </c>
      <c r="H596">
        <v>0</v>
      </c>
      <c r="I596" s="19">
        <v>46027</v>
      </c>
      <c r="J596" s="19">
        <f t="shared" si="18"/>
        <v>46030</v>
      </c>
      <c r="L596">
        <f t="shared" si="19"/>
        <v>57</v>
      </c>
    </row>
    <row r="597" spans="1:12" x14ac:dyDescent="0.25">
      <c r="A597">
        <v>3</v>
      </c>
      <c r="B597">
        <v>4804</v>
      </c>
      <c r="C597">
        <v>231</v>
      </c>
      <c r="D597">
        <v>2</v>
      </c>
      <c r="E597" t="s">
        <v>121</v>
      </c>
      <c r="F597" s="19">
        <v>45973</v>
      </c>
      <c r="G597" t="s">
        <v>132</v>
      </c>
      <c r="H597">
        <v>0</v>
      </c>
      <c r="I597" s="19">
        <v>46028</v>
      </c>
      <c r="J597" s="19">
        <f t="shared" si="18"/>
        <v>46031</v>
      </c>
      <c r="L597">
        <f t="shared" si="19"/>
        <v>58</v>
      </c>
    </row>
    <row r="598" spans="1:12" x14ac:dyDescent="0.25">
      <c r="A598">
        <v>5</v>
      </c>
      <c r="B598">
        <v>649</v>
      </c>
      <c r="C598">
        <v>229</v>
      </c>
      <c r="D598">
        <v>3</v>
      </c>
      <c r="E598" t="s">
        <v>129</v>
      </c>
      <c r="F598" s="19">
        <v>45973</v>
      </c>
      <c r="G598" t="s">
        <v>120</v>
      </c>
      <c r="H598">
        <v>0</v>
      </c>
      <c r="I598" s="19">
        <v>46030</v>
      </c>
      <c r="J598" s="19">
        <f t="shared" si="18"/>
        <v>46033</v>
      </c>
      <c r="L598">
        <f t="shared" si="19"/>
        <v>60</v>
      </c>
    </row>
    <row r="599" spans="1:12" x14ac:dyDescent="0.25">
      <c r="A599">
        <v>6</v>
      </c>
      <c r="B599">
        <v>4067</v>
      </c>
      <c r="C599">
        <v>229</v>
      </c>
      <c r="D599">
        <v>2</v>
      </c>
      <c r="E599" t="s">
        <v>129</v>
      </c>
      <c r="F599" s="19">
        <v>45973</v>
      </c>
      <c r="G599" t="s">
        <v>125</v>
      </c>
      <c r="H599">
        <v>0</v>
      </c>
      <c r="I599" s="19">
        <v>46030</v>
      </c>
      <c r="J599" s="19">
        <f t="shared" si="18"/>
        <v>46033</v>
      </c>
      <c r="L599">
        <f t="shared" si="19"/>
        <v>60</v>
      </c>
    </row>
    <row r="600" spans="1:12" x14ac:dyDescent="0.25">
      <c r="A600">
        <v>10</v>
      </c>
      <c r="B600">
        <v>4433</v>
      </c>
      <c r="C600">
        <v>229</v>
      </c>
      <c r="D600">
        <v>2</v>
      </c>
      <c r="E600" t="s">
        <v>121</v>
      </c>
      <c r="F600" s="19">
        <v>45973</v>
      </c>
      <c r="G600" t="s">
        <v>120</v>
      </c>
      <c r="H600">
        <v>0</v>
      </c>
      <c r="I600" s="19">
        <v>46030</v>
      </c>
      <c r="J600" s="19">
        <f t="shared" si="18"/>
        <v>46033</v>
      </c>
      <c r="L600">
        <f t="shared" si="19"/>
        <v>60</v>
      </c>
    </row>
    <row r="601" spans="1:12" x14ac:dyDescent="0.25">
      <c r="A601">
        <v>5</v>
      </c>
      <c r="B601">
        <v>3818</v>
      </c>
      <c r="C601">
        <v>227</v>
      </c>
      <c r="D601">
        <v>3</v>
      </c>
      <c r="E601" t="s">
        <v>129</v>
      </c>
      <c r="F601" s="19">
        <v>45973</v>
      </c>
      <c r="G601" t="s">
        <v>131</v>
      </c>
      <c r="H601">
        <v>0</v>
      </c>
      <c r="I601" s="19">
        <v>46032</v>
      </c>
      <c r="J601" s="19">
        <f t="shared" si="18"/>
        <v>46035</v>
      </c>
      <c r="L601">
        <f t="shared" si="19"/>
        <v>62</v>
      </c>
    </row>
    <row r="602" spans="1:12" x14ac:dyDescent="0.25">
      <c r="A602">
        <v>3</v>
      </c>
      <c r="B602">
        <v>3933</v>
      </c>
      <c r="C602">
        <v>226</v>
      </c>
      <c r="D602">
        <v>3</v>
      </c>
      <c r="E602" t="s">
        <v>121</v>
      </c>
      <c r="F602" s="19">
        <v>45973</v>
      </c>
      <c r="G602" t="s">
        <v>120</v>
      </c>
      <c r="H602">
        <v>0</v>
      </c>
      <c r="I602" s="19">
        <v>46033</v>
      </c>
      <c r="J602" s="19">
        <f t="shared" si="18"/>
        <v>46036</v>
      </c>
      <c r="L602">
        <f t="shared" si="19"/>
        <v>63</v>
      </c>
    </row>
    <row r="603" spans="1:12" x14ac:dyDescent="0.25">
      <c r="A603">
        <v>6</v>
      </c>
      <c r="B603">
        <v>3370</v>
      </c>
      <c r="C603">
        <v>226</v>
      </c>
      <c r="D603">
        <v>4</v>
      </c>
      <c r="E603" t="s">
        <v>121</v>
      </c>
      <c r="F603" s="19">
        <v>45973</v>
      </c>
      <c r="G603" t="s">
        <v>120</v>
      </c>
      <c r="H603">
        <v>0</v>
      </c>
      <c r="I603" s="19">
        <v>46033</v>
      </c>
      <c r="J603" s="19">
        <f t="shared" si="18"/>
        <v>46036</v>
      </c>
      <c r="L603">
        <f t="shared" si="19"/>
        <v>63</v>
      </c>
    </row>
    <row r="604" spans="1:12" x14ac:dyDescent="0.25">
      <c r="A604">
        <v>2</v>
      </c>
      <c r="B604">
        <v>4577</v>
      </c>
      <c r="C604">
        <v>226</v>
      </c>
      <c r="D604">
        <v>2</v>
      </c>
      <c r="E604" t="s">
        <v>129</v>
      </c>
      <c r="F604" s="19">
        <v>45973</v>
      </c>
      <c r="G604" t="s">
        <v>120</v>
      </c>
      <c r="H604">
        <v>0</v>
      </c>
      <c r="I604" s="19">
        <v>46033</v>
      </c>
      <c r="J604" s="19">
        <f t="shared" si="18"/>
        <v>46036</v>
      </c>
      <c r="L604">
        <f t="shared" si="19"/>
        <v>63</v>
      </c>
    </row>
    <row r="605" spans="1:12" x14ac:dyDescent="0.25">
      <c r="A605">
        <v>10</v>
      </c>
      <c r="B605">
        <v>4635</v>
      </c>
      <c r="C605">
        <v>205</v>
      </c>
      <c r="D605">
        <v>2</v>
      </c>
      <c r="E605" t="s">
        <v>121</v>
      </c>
      <c r="F605" s="19">
        <v>45973</v>
      </c>
      <c r="G605" t="s">
        <v>122</v>
      </c>
      <c r="H605">
        <v>0</v>
      </c>
      <c r="I605" s="19">
        <v>46034</v>
      </c>
      <c r="J605" s="19">
        <f t="shared" si="18"/>
        <v>46037</v>
      </c>
      <c r="L605">
        <f t="shared" si="19"/>
        <v>64</v>
      </c>
    </row>
    <row r="606" spans="1:12" x14ac:dyDescent="0.25">
      <c r="A606">
        <v>5</v>
      </c>
      <c r="B606">
        <v>4534</v>
      </c>
      <c r="C606">
        <v>224</v>
      </c>
      <c r="D606">
        <v>2</v>
      </c>
      <c r="E606" t="s">
        <v>129</v>
      </c>
      <c r="F606" s="19">
        <v>45973</v>
      </c>
      <c r="G606" t="s">
        <v>120</v>
      </c>
      <c r="H606">
        <v>0</v>
      </c>
      <c r="I606" s="19">
        <v>46035</v>
      </c>
      <c r="J606" s="19">
        <f t="shared" si="18"/>
        <v>46038</v>
      </c>
      <c r="L606">
        <f t="shared" si="19"/>
        <v>65</v>
      </c>
    </row>
    <row r="607" spans="1:12" x14ac:dyDescent="0.25">
      <c r="A607">
        <v>5</v>
      </c>
      <c r="B607">
        <v>4546</v>
      </c>
      <c r="C607">
        <v>224</v>
      </c>
      <c r="D607">
        <v>2</v>
      </c>
      <c r="E607" t="s">
        <v>129</v>
      </c>
      <c r="F607" s="19">
        <v>45973</v>
      </c>
      <c r="G607" t="s">
        <v>120</v>
      </c>
      <c r="H607">
        <v>0</v>
      </c>
      <c r="I607" s="19">
        <v>46035</v>
      </c>
      <c r="J607" s="19">
        <f t="shared" si="18"/>
        <v>46038</v>
      </c>
      <c r="L607">
        <f t="shared" si="19"/>
        <v>65</v>
      </c>
    </row>
    <row r="608" spans="1:12" x14ac:dyDescent="0.25">
      <c r="A608">
        <v>2</v>
      </c>
      <c r="B608">
        <v>4467</v>
      </c>
      <c r="C608">
        <v>221</v>
      </c>
      <c r="D608">
        <v>2</v>
      </c>
      <c r="E608" t="s">
        <v>121</v>
      </c>
      <c r="F608" s="19">
        <v>45973</v>
      </c>
      <c r="G608" t="s">
        <v>120</v>
      </c>
      <c r="H608">
        <v>0</v>
      </c>
      <c r="I608" s="19">
        <v>46038</v>
      </c>
      <c r="J608" s="19">
        <f t="shared" si="18"/>
        <v>46041</v>
      </c>
      <c r="L608">
        <f t="shared" si="19"/>
        <v>68</v>
      </c>
    </row>
    <row r="609" spans="1:12" x14ac:dyDescent="0.25">
      <c r="A609">
        <v>6</v>
      </c>
      <c r="B609">
        <v>3556</v>
      </c>
      <c r="C609">
        <v>219</v>
      </c>
      <c r="D609">
        <v>3</v>
      </c>
      <c r="E609" t="s">
        <v>129</v>
      </c>
      <c r="F609" s="19">
        <v>45973</v>
      </c>
      <c r="G609" t="s">
        <v>131</v>
      </c>
      <c r="H609">
        <v>0</v>
      </c>
      <c r="I609" s="19">
        <v>46040</v>
      </c>
      <c r="J609" s="19">
        <f t="shared" si="18"/>
        <v>46043</v>
      </c>
      <c r="L609">
        <f t="shared" si="19"/>
        <v>70</v>
      </c>
    </row>
    <row r="610" spans="1:12" x14ac:dyDescent="0.25">
      <c r="A610">
        <v>10</v>
      </c>
      <c r="B610">
        <v>3755</v>
      </c>
      <c r="C610">
        <v>21</v>
      </c>
      <c r="D610">
        <v>3</v>
      </c>
      <c r="E610" t="s">
        <v>121</v>
      </c>
      <c r="F610" s="19">
        <v>45973</v>
      </c>
      <c r="G610" t="s">
        <v>122</v>
      </c>
      <c r="H610">
        <v>0</v>
      </c>
      <c r="I610" s="19">
        <v>46050</v>
      </c>
      <c r="J610" s="19">
        <f t="shared" si="18"/>
        <v>46053</v>
      </c>
      <c r="L610">
        <f t="shared" si="19"/>
        <v>80</v>
      </c>
    </row>
    <row r="611" spans="1:12" x14ac:dyDescent="0.25">
      <c r="A611">
        <v>6</v>
      </c>
      <c r="B611">
        <v>850</v>
      </c>
      <c r="C611">
        <v>158</v>
      </c>
      <c r="D611">
        <v>6</v>
      </c>
      <c r="E611" t="s">
        <v>121</v>
      </c>
      <c r="F611" s="19">
        <v>45973</v>
      </c>
      <c r="G611" t="s">
        <v>125</v>
      </c>
      <c r="H611">
        <v>0</v>
      </c>
      <c r="I611" s="19">
        <v>46101</v>
      </c>
      <c r="J611" s="19">
        <f t="shared" si="18"/>
        <v>46104</v>
      </c>
      <c r="L611">
        <f t="shared" si="19"/>
        <v>131</v>
      </c>
    </row>
    <row r="612" spans="1:12" x14ac:dyDescent="0.25">
      <c r="A612">
        <v>2</v>
      </c>
      <c r="B612">
        <v>1193</v>
      </c>
      <c r="C612">
        <v>85</v>
      </c>
      <c r="D612">
        <v>6</v>
      </c>
      <c r="E612" t="s">
        <v>121</v>
      </c>
      <c r="F612" s="19">
        <v>45973</v>
      </c>
      <c r="G612" t="s">
        <v>122</v>
      </c>
      <c r="H612">
        <v>0</v>
      </c>
      <c r="I612" s="19">
        <v>46174</v>
      </c>
      <c r="J612" s="19">
        <f t="shared" si="18"/>
        <v>46177</v>
      </c>
      <c r="L612">
        <f t="shared" si="19"/>
        <v>204</v>
      </c>
    </row>
    <row r="613" spans="1:12" x14ac:dyDescent="0.25">
      <c r="A613">
        <v>3</v>
      </c>
      <c r="B613">
        <v>3247</v>
      </c>
      <c r="C613">
        <v>54</v>
      </c>
      <c r="D613">
        <v>5</v>
      </c>
      <c r="E613" t="s">
        <v>121</v>
      </c>
      <c r="F613" s="19">
        <v>45973</v>
      </c>
      <c r="G613" t="s">
        <v>130</v>
      </c>
      <c r="H613">
        <v>2</v>
      </c>
      <c r="I613" s="19">
        <v>46205</v>
      </c>
      <c r="J613" s="19">
        <f t="shared" si="18"/>
        <v>46208</v>
      </c>
      <c r="L613">
        <f t="shared" si="19"/>
        <v>235</v>
      </c>
    </row>
    <row r="614" spans="1:12" x14ac:dyDescent="0.25">
      <c r="A614">
        <v>5</v>
      </c>
      <c r="B614">
        <v>4631</v>
      </c>
      <c r="C614">
        <v>231</v>
      </c>
      <c r="D614">
        <v>2</v>
      </c>
      <c r="E614" t="s">
        <v>121</v>
      </c>
      <c r="F614" s="19">
        <v>45982</v>
      </c>
      <c r="G614" t="s">
        <v>120</v>
      </c>
      <c r="H614">
        <v>0</v>
      </c>
      <c r="I614" s="19">
        <v>46028</v>
      </c>
      <c r="J614" s="19">
        <f t="shared" si="18"/>
        <v>46031</v>
      </c>
      <c r="L614">
        <f t="shared" si="19"/>
        <v>49</v>
      </c>
    </row>
    <row r="615" spans="1:12" x14ac:dyDescent="0.25">
      <c r="A615">
        <v>3</v>
      </c>
      <c r="B615">
        <v>4702</v>
      </c>
      <c r="C615">
        <v>230</v>
      </c>
      <c r="D615">
        <v>2</v>
      </c>
      <c r="E615" t="s">
        <v>121</v>
      </c>
      <c r="F615" s="19">
        <v>45982</v>
      </c>
      <c r="G615" t="s">
        <v>120</v>
      </c>
      <c r="H615">
        <v>0</v>
      </c>
      <c r="I615" s="19">
        <v>46029</v>
      </c>
      <c r="J615" s="19">
        <f t="shared" si="18"/>
        <v>46032</v>
      </c>
      <c r="L615">
        <f t="shared" si="19"/>
        <v>50</v>
      </c>
    </row>
    <row r="616" spans="1:12" x14ac:dyDescent="0.25">
      <c r="A616">
        <v>2</v>
      </c>
      <c r="B616">
        <v>4703</v>
      </c>
      <c r="C616">
        <v>227</v>
      </c>
      <c r="D616">
        <v>2</v>
      </c>
      <c r="E616" t="s">
        <v>123</v>
      </c>
      <c r="F616" s="19">
        <v>45982</v>
      </c>
      <c r="G616" t="s">
        <v>120</v>
      </c>
      <c r="H616">
        <v>0</v>
      </c>
      <c r="I616" s="19">
        <v>46032</v>
      </c>
      <c r="J616" s="19">
        <f t="shared" si="18"/>
        <v>46035</v>
      </c>
      <c r="L616">
        <f t="shared" si="19"/>
        <v>53</v>
      </c>
    </row>
    <row r="617" spans="1:12" x14ac:dyDescent="0.25">
      <c r="A617">
        <v>6</v>
      </c>
      <c r="B617">
        <v>4692</v>
      </c>
      <c r="C617">
        <v>126</v>
      </c>
      <c r="D617">
        <v>2</v>
      </c>
      <c r="E617" t="s">
        <v>121</v>
      </c>
      <c r="F617" s="19">
        <v>45982</v>
      </c>
      <c r="G617" t="s">
        <v>122</v>
      </c>
      <c r="H617">
        <v>0</v>
      </c>
      <c r="I617" s="19">
        <v>46035</v>
      </c>
      <c r="J617" s="19">
        <f t="shared" si="18"/>
        <v>46038</v>
      </c>
      <c r="L617">
        <f t="shared" si="19"/>
        <v>56</v>
      </c>
    </row>
    <row r="618" spans="1:12" x14ac:dyDescent="0.25">
      <c r="A618">
        <v>2</v>
      </c>
      <c r="B618">
        <v>4741</v>
      </c>
      <c r="C618">
        <v>223</v>
      </c>
      <c r="D618">
        <v>2</v>
      </c>
      <c r="E618" t="s">
        <v>129</v>
      </c>
      <c r="F618" s="19">
        <v>45982</v>
      </c>
      <c r="G618" t="s">
        <v>120</v>
      </c>
      <c r="H618">
        <v>0</v>
      </c>
      <c r="I618" s="19">
        <v>46036</v>
      </c>
      <c r="J618" s="19">
        <f t="shared" ref="J618:J681" si="20">I618+3</f>
        <v>46039</v>
      </c>
      <c r="L618">
        <f t="shared" ref="L618:L681" si="21">J618-F618</f>
        <v>57</v>
      </c>
    </row>
    <row r="619" spans="1:12" x14ac:dyDescent="0.25">
      <c r="A619">
        <v>3</v>
      </c>
      <c r="B619">
        <v>4718</v>
      </c>
      <c r="C619">
        <v>223</v>
      </c>
      <c r="D619">
        <v>2</v>
      </c>
      <c r="E619" t="s">
        <v>129</v>
      </c>
      <c r="F619" s="19">
        <v>45982</v>
      </c>
      <c r="G619" t="s">
        <v>132</v>
      </c>
      <c r="H619">
        <v>0</v>
      </c>
      <c r="I619" s="19">
        <v>46036</v>
      </c>
      <c r="J619" s="19">
        <f t="shared" si="20"/>
        <v>46039</v>
      </c>
      <c r="L619">
        <f t="shared" si="21"/>
        <v>57</v>
      </c>
    </row>
    <row r="620" spans="1:12" x14ac:dyDescent="0.25">
      <c r="A620">
        <v>6</v>
      </c>
      <c r="B620">
        <v>4386</v>
      </c>
      <c r="C620">
        <v>220</v>
      </c>
      <c r="D620">
        <v>2</v>
      </c>
      <c r="E620" t="s">
        <v>121</v>
      </c>
      <c r="F620" s="19">
        <v>45982</v>
      </c>
      <c r="G620" t="s">
        <v>120</v>
      </c>
      <c r="H620">
        <v>0</v>
      </c>
      <c r="I620" s="19">
        <v>46039</v>
      </c>
      <c r="J620" s="19">
        <f t="shared" si="20"/>
        <v>46042</v>
      </c>
      <c r="L620">
        <f t="shared" si="21"/>
        <v>60</v>
      </c>
    </row>
    <row r="621" spans="1:12" x14ac:dyDescent="0.25">
      <c r="A621">
        <v>5</v>
      </c>
      <c r="B621">
        <v>4675</v>
      </c>
      <c r="C621">
        <v>217</v>
      </c>
      <c r="D621">
        <v>2</v>
      </c>
      <c r="E621" t="s">
        <v>129</v>
      </c>
      <c r="F621" s="19">
        <v>45982</v>
      </c>
      <c r="G621" t="s">
        <v>132</v>
      </c>
      <c r="H621">
        <v>0</v>
      </c>
      <c r="I621" s="19">
        <v>46042</v>
      </c>
      <c r="J621" s="19">
        <f t="shared" si="20"/>
        <v>46045</v>
      </c>
      <c r="L621">
        <f t="shared" si="21"/>
        <v>63</v>
      </c>
    </row>
    <row r="622" spans="1:12" x14ac:dyDescent="0.25">
      <c r="A622">
        <v>2</v>
      </c>
      <c r="B622">
        <v>4476</v>
      </c>
      <c r="C622">
        <v>211</v>
      </c>
      <c r="D622">
        <v>2</v>
      </c>
      <c r="E622" t="s">
        <v>129</v>
      </c>
      <c r="F622" s="19">
        <v>45982</v>
      </c>
      <c r="G622" t="s">
        <v>132</v>
      </c>
      <c r="H622">
        <v>0</v>
      </c>
      <c r="I622" s="19">
        <v>46048</v>
      </c>
      <c r="J622" s="19">
        <f t="shared" si="20"/>
        <v>46051</v>
      </c>
      <c r="L622">
        <f t="shared" si="21"/>
        <v>69</v>
      </c>
    </row>
    <row r="623" spans="1:12" x14ac:dyDescent="0.25">
      <c r="A623">
        <v>5</v>
      </c>
      <c r="B623">
        <v>3922</v>
      </c>
      <c r="C623">
        <v>209</v>
      </c>
      <c r="D623">
        <v>3</v>
      </c>
      <c r="E623" t="s">
        <v>123</v>
      </c>
      <c r="F623" s="19">
        <v>45982</v>
      </c>
      <c r="G623" t="s">
        <v>131</v>
      </c>
      <c r="H623">
        <v>0</v>
      </c>
      <c r="I623" s="19">
        <v>46050</v>
      </c>
      <c r="J623" s="19">
        <f t="shared" si="20"/>
        <v>46053</v>
      </c>
      <c r="L623">
        <f t="shared" si="21"/>
        <v>71</v>
      </c>
    </row>
    <row r="624" spans="1:12" x14ac:dyDescent="0.25">
      <c r="A624">
        <v>10</v>
      </c>
      <c r="B624">
        <v>2825</v>
      </c>
      <c r="C624">
        <v>12</v>
      </c>
      <c r="D624">
        <v>4</v>
      </c>
      <c r="E624" t="s">
        <v>121</v>
      </c>
      <c r="F624" s="19">
        <v>45982</v>
      </c>
      <c r="G624" t="s">
        <v>122</v>
      </c>
      <c r="H624">
        <v>0</v>
      </c>
      <c r="I624" s="19">
        <v>46227</v>
      </c>
      <c r="J624" s="19">
        <f t="shared" si="20"/>
        <v>46230</v>
      </c>
      <c r="L624">
        <f t="shared" si="21"/>
        <v>248</v>
      </c>
    </row>
    <row r="625" spans="1:12" x14ac:dyDescent="0.25">
      <c r="A625">
        <v>2</v>
      </c>
      <c r="B625">
        <v>3136</v>
      </c>
      <c r="C625">
        <v>2</v>
      </c>
      <c r="D625">
        <v>4</v>
      </c>
      <c r="E625" t="s">
        <v>121</v>
      </c>
      <c r="F625" s="19">
        <v>45987</v>
      </c>
      <c r="G625" t="s">
        <v>122</v>
      </c>
      <c r="H625">
        <v>0</v>
      </c>
      <c r="I625" s="19">
        <v>46027</v>
      </c>
      <c r="J625" s="19">
        <f t="shared" si="20"/>
        <v>46030</v>
      </c>
      <c r="L625">
        <f t="shared" si="21"/>
        <v>43</v>
      </c>
    </row>
    <row r="626" spans="1:12" x14ac:dyDescent="0.25">
      <c r="A626">
        <v>6</v>
      </c>
      <c r="B626">
        <v>3952</v>
      </c>
      <c r="C626">
        <v>228</v>
      </c>
      <c r="D626">
        <v>3</v>
      </c>
      <c r="E626" t="s">
        <v>129</v>
      </c>
      <c r="F626" s="19">
        <v>45987</v>
      </c>
      <c r="G626" t="s">
        <v>120</v>
      </c>
      <c r="H626">
        <v>0</v>
      </c>
      <c r="I626" s="19">
        <v>46031</v>
      </c>
      <c r="J626" s="19">
        <f t="shared" si="20"/>
        <v>46034</v>
      </c>
      <c r="L626">
        <f t="shared" si="21"/>
        <v>47</v>
      </c>
    </row>
    <row r="627" spans="1:12" x14ac:dyDescent="0.25">
      <c r="A627">
        <v>5</v>
      </c>
      <c r="B627">
        <v>3190</v>
      </c>
      <c r="C627">
        <v>223</v>
      </c>
      <c r="D627">
        <v>4</v>
      </c>
      <c r="E627" t="s">
        <v>121</v>
      </c>
      <c r="F627" s="19">
        <v>45987</v>
      </c>
      <c r="G627" t="s">
        <v>120</v>
      </c>
      <c r="H627">
        <v>0</v>
      </c>
      <c r="I627" s="19">
        <v>46036</v>
      </c>
      <c r="J627" s="19">
        <f t="shared" si="20"/>
        <v>46039</v>
      </c>
      <c r="L627">
        <f t="shared" si="21"/>
        <v>52</v>
      </c>
    </row>
    <row r="628" spans="1:12" x14ac:dyDescent="0.25">
      <c r="A628">
        <v>5</v>
      </c>
      <c r="B628">
        <v>4662</v>
      </c>
      <c r="C628">
        <v>223</v>
      </c>
      <c r="D628">
        <v>2</v>
      </c>
      <c r="E628" t="s">
        <v>129</v>
      </c>
      <c r="F628" s="19">
        <v>45987</v>
      </c>
      <c r="G628" t="s">
        <v>132</v>
      </c>
      <c r="H628">
        <v>0</v>
      </c>
      <c r="I628" s="19">
        <v>46036</v>
      </c>
      <c r="J628" s="19">
        <f t="shared" si="20"/>
        <v>46039</v>
      </c>
      <c r="L628">
        <f t="shared" si="21"/>
        <v>52</v>
      </c>
    </row>
    <row r="629" spans="1:12" x14ac:dyDescent="0.25">
      <c r="A629">
        <v>3</v>
      </c>
      <c r="B629">
        <v>2935</v>
      </c>
      <c r="C629">
        <v>220</v>
      </c>
      <c r="D629">
        <v>5</v>
      </c>
      <c r="E629" t="s">
        <v>129</v>
      </c>
      <c r="F629" s="19">
        <v>45987</v>
      </c>
      <c r="G629" t="s">
        <v>120</v>
      </c>
      <c r="H629">
        <v>0</v>
      </c>
      <c r="I629" s="19">
        <v>46039</v>
      </c>
      <c r="J629" s="19">
        <f t="shared" si="20"/>
        <v>46042</v>
      </c>
      <c r="L629">
        <f t="shared" si="21"/>
        <v>55</v>
      </c>
    </row>
    <row r="630" spans="1:12" x14ac:dyDescent="0.25">
      <c r="A630">
        <v>6</v>
      </c>
      <c r="B630">
        <v>4697</v>
      </c>
      <c r="C630">
        <v>220</v>
      </c>
      <c r="D630">
        <v>2</v>
      </c>
      <c r="E630" t="s">
        <v>121</v>
      </c>
      <c r="F630" s="19">
        <v>45987</v>
      </c>
      <c r="G630" t="s">
        <v>131</v>
      </c>
      <c r="H630">
        <v>0</v>
      </c>
      <c r="I630" s="19">
        <v>46039</v>
      </c>
      <c r="J630" s="19">
        <f t="shared" si="20"/>
        <v>46042</v>
      </c>
      <c r="L630">
        <f t="shared" si="21"/>
        <v>55</v>
      </c>
    </row>
    <row r="631" spans="1:12" x14ac:dyDescent="0.25">
      <c r="A631">
        <v>5</v>
      </c>
      <c r="B631">
        <v>4984</v>
      </c>
      <c r="C631">
        <v>219</v>
      </c>
      <c r="D631">
        <v>2</v>
      </c>
      <c r="E631" t="s">
        <v>129</v>
      </c>
      <c r="F631" s="19">
        <v>45987</v>
      </c>
      <c r="G631" t="s">
        <v>120</v>
      </c>
      <c r="H631">
        <v>0</v>
      </c>
      <c r="I631" s="19">
        <v>46040</v>
      </c>
      <c r="J631" s="19">
        <f t="shared" si="20"/>
        <v>46043</v>
      </c>
      <c r="L631">
        <f t="shared" si="21"/>
        <v>56</v>
      </c>
    </row>
    <row r="632" spans="1:12" x14ac:dyDescent="0.25">
      <c r="A632">
        <v>5</v>
      </c>
      <c r="B632">
        <v>4640</v>
      </c>
      <c r="C632">
        <v>219</v>
      </c>
      <c r="D632">
        <v>2</v>
      </c>
      <c r="E632" t="s">
        <v>121</v>
      </c>
      <c r="F632" s="19">
        <v>45987</v>
      </c>
      <c r="G632" t="s">
        <v>132</v>
      </c>
      <c r="H632">
        <v>0</v>
      </c>
      <c r="I632" s="19">
        <v>46040</v>
      </c>
      <c r="J632" s="19">
        <f t="shared" si="20"/>
        <v>46043</v>
      </c>
      <c r="L632">
        <f t="shared" si="21"/>
        <v>56</v>
      </c>
    </row>
    <row r="633" spans="1:12" x14ac:dyDescent="0.25">
      <c r="A633">
        <v>5</v>
      </c>
      <c r="B633">
        <v>4954</v>
      </c>
      <c r="C633">
        <v>219</v>
      </c>
      <c r="D633">
        <v>2</v>
      </c>
      <c r="E633" t="s">
        <v>129</v>
      </c>
      <c r="F633" s="19">
        <v>45987</v>
      </c>
      <c r="G633" t="s">
        <v>131</v>
      </c>
      <c r="H633">
        <v>0</v>
      </c>
      <c r="I633" s="19">
        <v>46040</v>
      </c>
      <c r="J633" s="19">
        <f t="shared" si="20"/>
        <v>46043</v>
      </c>
      <c r="L633">
        <f t="shared" si="21"/>
        <v>56</v>
      </c>
    </row>
    <row r="634" spans="1:12" x14ac:dyDescent="0.25">
      <c r="A634">
        <v>5</v>
      </c>
      <c r="B634">
        <v>4612</v>
      </c>
      <c r="C634">
        <v>219</v>
      </c>
      <c r="D634">
        <v>2</v>
      </c>
      <c r="E634" t="s">
        <v>129</v>
      </c>
      <c r="F634" s="19">
        <v>45987</v>
      </c>
      <c r="G634" t="s">
        <v>120</v>
      </c>
      <c r="H634">
        <v>0</v>
      </c>
      <c r="I634" s="19">
        <v>46040</v>
      </c>
      <c r="J634" s="19">
        <f t="shared" si="20"/>
        <v>46043</v>
      </c>
      <c r="L634">
        <f t="shared" si="21"/>
        <v>56</v>
      </c>
    </row>
    <row r="635" spans="1:12" x14ac:dyDescent="0.25">
      <c r="A635">
        <v>5</v>
      </c>
      <c r="B635">
        <v>4499</v>
      </c>
      <c r="C635">
        <v>216</v>
      </c>
      <c r="D635">
        <v>2</v>
      </c>
      <c r="E635" t="s">
        <v>129</v>
      </c>
      <c r="F635" s="19">
        <v>45987</v>
      </c>
      <c r="G635" t="s">
        <v>120</v>
      </c>
      <c r="H635">
        <v>0</v>
      </c>
      <c r="I635" s="19">
        <v>46043</v>
      </c>
      <c r="J635" s="19">
        <f t="shared" si="20"/>
        <v>46046</v>
      </c>
      <c r="L635">
        <f t="shared" si="21"/>
        <v>59</v>
      </c>
    </row>
    <row r="636" spans="1:12" x14ac:dyDescent="0.25">
      <c r="A636">
        <v>5</v>
      </c>
      <c r="B636">
        <v>3739</v>
      </c>
      <c r="C636">
        <v>215</v>
      </c>
      <c r="D636">
        <v>2</v>
      </c>
      <c r="E636" t="s">
        <v>129</v>
      </c>
      <c r="F636" s="19">
        <v>45987</v>
      </c>
      <c r="G636" t="s">
        <v>120</v>
      </c>
      <c r="H636">
        <v>0</v>
      </c>
      <c r="I636" s="19">
        <v>46044</v>
      </c>
      <c r="J636" s="19">
        <f t="shared" si="20"/>
        <v>46047</v>
      </c>
      <c r="L636">
        <f t="shared" si="21"/>
        <v>60</v>
      </c>
    </row>
    <row r="637" spans="1:12" x14ac:dyDescent="0.25">
      <c r="A637">
        <v>5</v>
      </c>
      <c r="B637">
        <v>3841</v>
      </c>
      <c r="C637">
        <v>215</v>
      </c>
      <c r="D637">
        <v>3</v>
      </c>
      <c r="E637" t="s">
        <v>121</v>
      </c>
      <c r="F637" s="19">
        <v>45987</v>
      </c>
      <c r="G637" t="s">
        <v>120</v>
      </c>
      <c r="H637">
        <v>0</v>
      </c>
      <c r="I637" s="19">
        <v>46044</v>
      </c>
      <c r="J637" s="19">
        <f t="shared" si="20"/>
        <v>46047</v>
      </c>
      <c r="L637">
        <f t="shared" si="21"/>
        <v>60</v>
      </c>
    </row>
    <row r="638" spans="1:12" x14ac:dyDescent="0.25">
      <c r="A638">
        <v>2</v>
      </c>
      <c r="B638">
        <v>4698</v>
      </c>
      <c r="C638">
        <v>215</v>
      </c>
      <c r="D638">
        <v>2</v>
      </c>
      <c r="E638" t="s">
        <v>129</v>
      </c>
      <c r="F638" s="19">
        <v>45987</v>
      </c>
      <c r="G638" t="s">
        <v>120</v>
      </c>
      <c r="H638">
        <v>0</v>
      </c>
      <c r="I638" s="19">
        <v>46044</v>
      </c>
      <c r="J638" s="19">
        <f t="shared" si="20"/>
        <v>46047</v>
      </c>
      <c r="L638">
        <f t="shared" si="21"/>
        <v>60</v>
      </c>
    </row>
    <row r="639" spans="1:12" x14ac:dyDescent="0.25">
      <c r="A639">
        <v>6</v>
      </c>
      <c r="B639">
        <v>4450</v>
      </c>
      <c r="C639">
        <v>215</v>
      </c>
      <c r="D639">
        <v>2</v>
      </c>
      <c r="E639" t="s">
        <v>121</v>
      </c>
      <c r="F639" s="19">
        <v>45987</v>
      </c>
      <c r="G639" t="s">
        <v>131</v>
      </c>
      <c r="H639">
        <v>0</v>
      </c>
      <c r="I639" s="19">
        <v>46044</v>
      </c>
      <c r="J639" s="19">
        <f t="shared" si="20"/>
        <v>46047</v>
      </c>
      <c r="L639">
        <f t="shared" si="21"/>
        <v>60</v>
      </c>
    </row>
    <row r="640" spans="1:12" x14ac:dyDescent="0.25">
      <c r="A640">
        <v>5</v>
      </c>
      <c r="B640">
        <v>3955</v>
      </c>
      <c r="C640">
        <v>201</v>
      </c>
      <c r="D640">
        <v>3</v>
      </c>
      <c r="E640" t="s">
        <v>121</v>
      </c>
      <c r="F640" s="19">
        <v>45987</v>
      </c>
      <c r="G640" t="s">
        <v>120</v>
      </c>
      <c r="H640">
        <v>0</v>
      </c>
      <c r="I640" s="19">
        <v>46058</v>
      </c>
      <c r="J640" s="19">
        <f t="shared" si="20"/>
        <v>46061</v>
      </c>
      <c r="L640">
        <f t="shared" si="21"/>
        <v>74</v>
      </c>
    </row>
    <row r="641" spans="1:12" x14ac:dyDescent="0.25">
      <c r="A641">
        <v>5</v>
      </c>
      <c r="B641">
        <v>3789</v>
      </c>
      <c r="C641">
        <v>147</v>
      </c>
      <c r="D641">
        <v>3</v>
      </c>
      <c r="E641" t="s">
        <v>121</v>
      </c>
      <c r="F641" s="19">
        <v>45987</v>
      </c>
      <c r="G641" t="s">
        <v>132</v>
      </c>
      <c r="H641">
        <v>0</v>
      </c>
      <c r="I641" s="19">
        <v>46112</v>
      </c>
      <c r="J641" s="19">
        <f t="shared" si="20"/>
        <v>46115</v>
      </c>
      <c r="L641">
        <f t="shared" si="21"/>
        <v>128</v>
      </c>
    </row>
    <row r="642" spans="1:12" x14ac:dyDescent="0.25">
      <c r="A642">
        <v>6</v>
      </c>
      <c r="B642">
        <v>3149</v>
      </c>
      <c r="C642">
        <v>105</v>
      </c>
      <c r="D642">
        <v>4</v>
      </c>
      <c r="E642" t="s">
        <v>129</v>
      </c>
      <c r="F642" s="19">
        <v>45987</v>
      </c>
      <c r="G642" t="s">
        <v>125</v>
      </c>
      <c r="H642">
        <v>0</v>
      </c>
      <c r="I642" s="19">
        <v>46154</v>
      </c>
      <c r="J642" s="19">
        <f t="shared" si="20"/>
        <v>46157</v>
      </c>
      <c r="L642">
        <f t="shared" si="21"/>
        <v>170</v>
      </c>
    </row>
    <row r="643" spans="1:12" x14ac:dyDescent="0.25">
      <c r="A643">
        <v>3</v>
      </c>
      <c r="B643">
        <v>3967</v>
      </c>
      <c r="C643">
        <v>234</v>
      </c>
      <c r="D643">
        <v>3</v>
      </c>
      <c r="E643" t="s">
        <v>123</v>
      </c>
      <c r="F643" s="19">
        <v>45992</v>
      </c>
      <c r="G643" t="s">
        <v>120</v>
      </c>
      <c r="H643">
        <v>0</v>
      </c>
      <c r="I643" s="19">
        <v>46025</v>
      </c>
      <c r="J643" s="19">
        <f t="shared" si="20"/>
        <v>46028</v>
      </c>
      <c r="L643">
        <f t="shared" si="21"/>
        <v>36</v>
      </c>
    </row>
    <row r="644" spans="1:12" x14ac:dyDescent="0.25">
      <c r="A644">
        <v>3</v>
      </c>
      <c r="B644">
        <v>3979</v>
      </c>
      <c r="C644">
        <v>230</v>
      </c>
      <c r="D644">
        <v>3</v>
      </c>
      <c r="E644" t="s">
        <v>123</v>
      </c>
      <c r="F644" s="19">
        <v>45992</v>
      </c>
      <c r="G644" t="s">
        <v>120</v>
      </c>
      <c r="H644">
        <v>0</v>
      </c>
      <c r="I644" s="19">
        <v>46029</v>
      </c>
      <c r="J644" s="19">
        <f t="shared" si="20"/>
        <v>46032</v>
      </c>
      <c r="L644">
        <f t="shared" si="21"/>
        <v>40</v>
      </c>
    </row>
    <row r="645" spans="1:12" x14ac:dyDescent="0.25">
      <c r="A645">
        <v>10</v>
      </c>
      <c r="B645">
        <v>3993</v>
      </c>
      <c r="C645">
        <v>67</v>
      </c>
      <c r="D645">
        <v>3</v>
      </c>
      <c r="E645" t="s">
        <v>123</v>
      </c>
      <c r="F645" s="19">
        <v>45992</v>
      </c>
      <c r="G645" t="s">
        <v>122</v>
      </c>
      <c r="H645">
        <v>0</v>
      </c>
      <c r="I645" s="19">
        <v>46030</v>
      </c>
      <c r="J645" s="19">
        <f t="shared" si="20"/>
        <v>46033</v>
      </c>
      <c r="L645">
        <f t="shared" si="21"/>
        <v>41</v>
      </c>
    </row>
    <row r="646" spans="1:12" x14ac:dyDescent="0.25">
      <c r="A646">
        <v>2</v>
      </c>
      <c r="B646">
        <v>3951</v>
      </c>
      <c r="C646">
        <v>218</v>
      </c>
      <c r="D646">
        <v>3</v>
      </c>
      <c r="E646" t="s">
        <v>123</v>
      </c>
      <c r="F646" s="19">
        <v>45992</v>
      </c>
      <c r="G646" t="s">
        <v>120</v>
      </c>
      <c r="H646">
        <v>0</v>
      </c>
      <c r="I646" s="19">
        <v>46041</v>
      </c>
      <c r="J646" s="19">
        <f t="shared" si="20"/>
        <v>46044</v>
      </c>
      <c r="L646">
        <f t="shared" si="21"/>
        <v>52</v>
      </c>
    </row>
    <row r="647" spans="1:12" x14ac:dyDescent="0.25">
      <c r="A647">
        <v>2</v>
      </c>
      <c r="B647">
        <v>3928</v>
      </c>
      <c r="C647">
        <v>215</v>
      </c>
      <c r="D647">
        <v>3</v>
      </c>
      <c r="E647" t="s">
        <v>123</v>
      </c>
      <c r="F647" s="19">
        <v>45992</v>
      </c>
      <c r="G647" t="s">
        <v>120</v>
      </c>
      <c r="H647">
        <v>0</v>
      </c>
      <c r="I647" s="19">
        <v>46044</v>
      </c>
      <c r="J647" s="19">
        <f t="shared" si="20"/>
        <v>46047</v>
      </c>
      <c r="L647">
        <f t="shared" si="21"/>
        <v>55</v>
      </c>
    </row>
    <row r="648" spans="1:12" x14ac:dyDescent="0.25">
      <c r="A648">
        <v>5</v>
      </c>
      <c r="B648">
        <v>4438</v>
      </c>
      <c r="C648">
        <v>220</v>
      </c>
      <c r="D648">
        <v>2</v>
      </c>
      <c r="E648" t="s">
        <v>121</v>
      </c>
      <c r="F648" s="19">
        <v>46000</v>
      </c>
      <c r="G648" t="s">
        <v>120</v>
      </c>
      <c r="H648">
        <v>0</v>
      </c>
      <c r="I648" s="19">
        <v>46039</v>
      </c>
      <c r="J648" s="19">
        <f t="shared" si="20"/>
        <v>46042</v>
      </c>
      <c r="L648">
        <f t="shared" si="21"/>
        <v>42</v>
      </c>
    </row>
    <row r="649" spans="1:12" x14ac:dyDescent="0.25">
      <c r="A649">
        <v>2</v>
      </c>
      <c r="B649">
        <v>4552</v>
      </c>
      <c r="C649">
        <v>219</v>
      </c>
      <c r="D649">
        <v>2</v>
      </c>
      <c r="E649" t="s">
        <v>129</v>
      </c>
      <c r="F649" s="19">
        <v>46000</v>
      </c>
      <c r="G649" t="s">
        <v>132</v>
      </c>
      <c r="H649">
        <v>0</v>
      </c>
      <c r="I649" s="19">
        <v>46040</v>
      </c>
      <c r="J649" s="19">
        <f t="shared" si="20"/>
        <v>46043</v>
      </c>
      <c r="L649">
        <f t="shared" si="21"/>
        <v>43</v>
      </c>
    </row>
    <row r="650" spans="1:12" x14ac:dyDescent="0.25">
      <c r="A650">
        <v>3</v>
      </c>
      <c r="B650">
        <v>4622</v>
      </c>
      <c r="C650">
        <v>216</v>
      </c>
      <c r="D650">
        <v>2</v>
      </c>
      <c r="E650" t="s">
        <v>121</v>
      </c>
      <c r="F650" s="19">
        <v>46000</v>
      </c>
      <c r="G650" t="s">
        <v>120</v>
      </c>
      <c r="H650">
        <v>0</v>
      </c>
      <c r="I650" s="19">
        <v>46043</v>
      </c>
      <c r="J650" s="19">
        <f t="shared" si="20"/>
        <v>46046</v>
      </c>
      <c r="L650">
        <f t="shared" si="21"/>
        <v>46</v>
      </c>
    </row>
    <row r="651" spans="1:12" x14ac:dyDescent="0.25">
      <c r="A651">
        <v>3</v>
      </c>
      <c r="B651">
        <v>4657</v>
      </c>
      <c r="C651">
        <v>214</v>
      </c>
      <c r="D651">
        <v>2</v>
      </c>
      <c r="E651" t="s">
        <v>129</v>
      </c>
      <c r="F651" s="19">
        <v>46000</v>
      </c>
      <c r="G651" t="s">
        <v>120</v>
      </c>
      <c r="H651">
        <v>0</v>
      </c>
      <c r="I651" s="19">
        <v>46045</v>
      </c>
      <c r="J651" s="19">
        <f t="shared" si="20"/>
        <v>46048</v>
      </c>
      <c r="L651">
        <f t="shared" si="21"/>
        <v>48</v>
      </c>
    </row>
    <row r="652" spans="1:12" x14ac:dyDescent="0.25">
      <c r="A652">
        <v>10</v>
      </c>
      <c r="B652">
        <v>4654</v>
      </c>
      <c r="C652">
        <v>116</v>
      </c>
      <c r="D652">
        <v>2</v>
      </c>
      <c r="E652" t="s">
        <v>129</v>
      </c>
      <c r="F652" s="19">
        <v>46000</v>
      </c>
      <c r="G652" t="s">
        <v>122</v>
      </c>
      <c r="H652">
        <v>0</v>
      </c>
      <c r="I652" s="19">
        <v>46046</v>
      </c>
      <c r="J652" s="19">
        <f t="shared" si="20"/>
        <v>46049</v>
      </c>
      <c r="L652">
        <f t="shared" si="21"/>
        <v>49</v>
      </c>
    </row>
    <row r="653" spans="1:12" x14ac:dyDescent="0.25">
      <c r="A653">
        <v>2</v>
      </c>
      <c r="B653">
        <v>4739</v>
      </c>
      <c r="C653">
        <v>213</v>
      </c>
      <c r="D653">
        <v>2</v>
      </c>
      <c r="E653" t="s">
        <v>121</v>
      </c>
      <c r="F653" s="19">
        <v>46000</v>
      </c>
      <c r="G653" t="s">
        <v>120</v>
      </c>
      <c r="H653">
        <v>0</v>
      </c>
      <c r="I653" s="19">
        <v>46046</v>
      </c>
      <c r="J653" s="19">
        <f t="shared" si="20"/>
        <v>46049</v>
      </c>
      <c r="L653">
        <f t="shared" si="21"/>
        <v>49</v>
      </c>
    </row>
    <row r="654" spans="1:12" x14ac:dyDescent="0.25">
      <c r="A654">
        <v>2</v>
      </c>
      <c r="B654">
        <v>4259</v>
      </c>
      <c r="C654">
        <v>211</v>
      </c>
      <c r="D654">
        <v>2</v>
      </c>
      <c r="E654" t="s">
        <v>121</v>
      </c>
      <c r="F654" s="19">
        <v>46000</v>
      </c>
      <c r="G654" t="s">
        <v>120</v>
      </c>
      <c r="H654">
        <v>0</v>
      </c>
      <c r="I654" s="19">
        <v>46048</v>
      </c>
      <c r="J654" s="19">
        <f t="shared" si="20"/>
        <v>46051</v>
      </c>
      <c r="L654">
        <f t="shared" si="21"/>
        <v>51</v>
      </c>
    </row>
    <row r="655" spans="1:12" x14ac:dyDescent="0.25">
      <c r="A655">
        <v>2</v>
      </c>
      <c r="B655">
        <v>4192</v>
      </c>
      <c r="C655">
        <v>210</v>
      </c>
      <c r="D655">
        <v>2</v>
      </c>
      <c r="E655" t="s">
        <v>129</v>
      </c>
      <c r="F655" s="19">
        <v>46000</v>
      </c>
      <c r="G655" t="s">
        <v>120</v>
      </c>
      <c r="H655">
        <v>0</v>
      </c>
      <c r="I655" s="19">
        <v>46049</v>
      </c>
      <c r="J655" s="19">
        <f t="shared" si="20"/>
        <v>46052</v>
      </c>
      <c r="L655">
        <f t="shared" si="21"/>
        <v>52</v>
      </c>
    </row>
    <row r="656" spans="1:12" x14ac:dyDescent="0.25">
      <c r="A656">
        <v>2</v>
      </c>
      <c r="B656">
        <v>4377</v>
      </c>
      <c r="C656">
        <v>7</v>
      </c>
      <c r="D656">
        <v>2</v>
      </c>
      <c r="E656" t="s">
        <v>121</v>
      </c>
      <c r="F656" s="19">
        <v>46000</v>
      </c>
      <c r="G656" t="s">
        <v>122</v>
      </c>
      <c r="H656">
        <v>0</v>
      </c>
      <c r="I656" s="19">
        <v>46049</v>
      </c>
      <c r="J656" s="19">
        <f t="shared" si="20"/>
        <v>46052</v>
      </c>
      <c r="L656">
        <f t="shared" si="21"/>
        <v>52</v>
      </c>
    </row>
    <row r="657" spans="1:12" x14ac:dyDescent="0.25">
      <c r="A657">
        <v>5</v>
      </c>
      <c r="B657">
        <v>3579</v>
      </c>
      <c r="C657">
        <v>209</v>
      </c>
      <c r="D657">
        <v>3</v>
      </c>
      <c r="E657" t="s">
        <v>121</v>
      </c>
      <c r="F657" s="19">
        <v>46000</v>
      </c>
      <c r="G657" t="s">
        <v>120</v>
      </c>
      <c r="H657">
        <v>0</v>
      </c>
      <c r="I657" s="19">
        <v>46050</v>
      </c>
      <c r="J657" s="19">
        <f t="shared" si="20"/>
        <v>46053</v>
      </c>
      <c r="L657">
        <f t="shared" si="21"/>
        <v>53</v>
      </c>
    </row>
    <row r="658" spans="1:12" x14ac:dyDescent="0.25">
      <c r="A658">
        <v>5</v>
      </c>
      <c r="B658">
        <v>4417</v>
      </c>
      <c r="C658">
        <v>208</v>
      </c>
      <c r="D658">
        <v>2</v>
      </c>
      <c r="E658" t="s">
        <v>121</v>
      </c>
      <c r="F658" s="19">
        <v>46000</v>
      </c>
      <c r="G658" t="s">
        <v>132</v>
      </c>
      <c r="H658">
        <v>0</v>
      </c>
      <c r="I658" s="19">
        <v>46051</v>
      </c>
      <c r="J658" s="19">
        <f t="shared" si="20"/>
        <v>46054</v>
      </c>
      <c r="L658">
        <f t="shared" si="21"/>
        <v>54</v>
      </c>
    </row>
    <row r="659" spans="1:12" x14ac:dyDescent="0.25">
      <c r="A659">
        <v>3</v>
      </c>
      <c r="B659">
        <v>3174</v>
      </c>
      <c r="C659">
        <v>207</v>
      </c>
      <c r="D659">
        <v>4</v>
      </c>
      <c r="E659" t="s">
        <v>121</v>
      </c>
      <c r="F659" s="19">
        <v>46000</v>
      </c>
      <c r="G659" t="s">
        <v>120</v>
      </c>
      <c r="H659">
        <v>0</v>
      </c>
      <c r="I659" s="19">
        <v>46052</v>
      </c>
      <c r="J659" s="19">
        <f t="shared" si="20"/>
        <v>46055</v>
      </c>
      <c r="L659">
        <f t="shared" si="21"/>
        <v>55</v>
      </c>
    </row>
    <row r="660" spans="1:12" x14ac:dyDescent="0.25">
      <c r="A660">
        <v>5</v>
      </c>
      <c r="B660">
        <v>4547</v>
      </c>
      <c r="C660">
        <v>207</v>
      </c>
      <c r="D660">
        <v>2</v>
      </c>
      <c r="E660" t="s">
        <v>121</v>
      </c>
      <c r="F660" s="19">
        <v>46000</v>
      </c>
      <c r="G660" t="s">
        <v>120</v>
      </c>
      <c r="H660">
        <v>0</v>
      </c>
      <c r="I660" s="19">
        <v>46052</v>
      </c>
      <c r="J660" s="19">
        <f t="shared" si="20"/>
        <v>46055</v>
      </c>
      <c r="L660">
        <f t="shared" si="21"/>
        <v>55</v>
      </c>
    </row>
    <row r="661" spans="1:12" x14ac:dyDescent="0.25">
      <c r="A661">
        <v>5</v>
      </c>
      <c r="B661">
        <v>3907</v>
      </c>
      <c r="C661">
        <v>204</v>
      </c>
      <c r="D661">
        <v>2</v>
      </c>
      <c r="E661" t="s">
        <v>121</v>
      </c>
      <c r="F661" s="19">
        <v>46000</v>
      </c>
      <c r="G661" t="s">
        <v>120</v>
      </c>
      <c r="H661">
        <v>0</v>
      </c>
      <c r="I661" s="19">
        <v>46055</v>
      </c>
      <c r="J661" s="19">
        <f t="shared" si="20"/>
        <v>46058</v>
      </c>
      <c r="L661">
        <f t="shared" si="21"/>
        <v>58</v>
      </c>
    </row>
    <row r="662" spans="1:12" x14ac:dyDescent="0.25">
      <c r="A662">
        <v>10</v>
      </c>
      <c r="B662">
        <v>2001</v>
      </c>
      <c r="C662">
        <v>122</v>
      </c>
      <c r="D662">
        <v>7</v>
      </c>
      <c r="E662" t="s">
        <v>129</v>
      </c>
      <c r="F662" s="19">
        <v>46000</v>
      </c>
      <c r="G662" t="s">
        <v>122</v>
      </c>
      <c r="H662">
        <v>0</v>
      </c>
      <c r="I662" s="19">
        <v>46059</v>
      </c>
      <c r="J662" s="19">
        <f t="shared" si="20"/>
        <v>46062</v>
      </c>
      <c r="L662">
        <f t="shared" si="21"/>
        <v>62</v>
      </c>
    </row>
    <row r="663" spans="1:12" x14ac:dyDescent="0.25">
      <c r="A663">
        <v>10</v>
      </c>
      <c r="B663">
        <v>2193</v>
      </c>
      <c r="C663">
        <v>35</v>
      </c>
      <c r="D663">
        <v>6</v>
      </c>
      <c r="E663" t="s">
        <v>121</v>
      </c>
      <c r="F663" s="19">
        <v>46000</v>
      </c>
      <c r="G663" t="s">
        <v>122</v>
      </c>
      <c r="H663">
        <v>0</v>
      </c>
      <c r="I663" s="19">
        <v>46070</v>
      </c>
      <c r="J663" s="19">
        <f t="shared" si="20"/>
        <v>46073</v>
      </c>
      <c r="L663">
        <f t="shared" si="21"/>
        <v>73</v>
      </c>
    </row>
    <row r="664" spans="1:12" x14ac:dyDescent="0.25">
      <c r="A664">
        <v>5</v>
      </c>
      <c r="B664">
        <v>3421</v>
      </c>
      <c r="C664">
        <v>168</v>
      </c>
      <c r="D664">
        <v>4</v>
      </c>
      <c r="E664" t="s">
        <v>129</v>
      </c>
      <c r="F664" s="19">
        <v>46000</v>
      </c>
      <c r="G664" t="s">
        <v>132</v>
      </c>
      <c r="H664">
        <v>0</v>
      </c>
      <c r="I664" s="19">
        <v>46091</v>
      </c>
      <c r="J664" s="19">
        <f t="shared" si="20"/>
        <v>46094</v>
      </c>
      <c r="L664">
        <f t="shared" si="21"/>
        <v>94</v>
      </c>
    </row>
    <row r="665" spans="1:12" x14ac:dyDescent="0.25">
      <c r="A665">
        <v>6</v>
      </c>
      <c r="B665">
        <v>3738</v>
      </c>
      <c r="C665">
        <v>23</v>
      </c>
      <c r="D665">
        <v>3</v>
      </c>
      <c r="E665" t="s">
        <v>121</v>
      </c>
      <c r="F665" s="19">
        <v>46001</v>
      </c>
      <c r="G665" t="s">
        <v>122</v>
      </c>
      <c r="H665">
        <v>0</v>
      </c>
      <c r="I665" s="19">
        <v>46040</v>
      </c>
      <c r="J665" s="19">
        <f t="shared" si="20"/>
        <v>46043</v>
      </c>
      <c r="L665">
        <f t="shared" si="21"/>
        <v>42</v>
      </c>
    </row>
    <row r="666" spans="1:12" x14ac:dyDescent="0.25">
      <c r="A666">
        <v>6</v>
      </c>
      <c r="B666">
        <v>4725</v>
      </c>
      <c r="C666">
        <v>211</v>
      </c>
      <c r="D666">
        <v>2</v>
      </c>
      <c r="E666" t="s">
        <v>129</v>
      </c>
      <c r="F666" s="19">
        <v>46001</v>
      </c>
      <c r="G666" t="s">
        <v>131</v>
      </c>
      <c r="H666">
        <v>0</v>
      </c>
      <c r="I666" s="19">
        <v>46048</v>
      </c>
      <c r="J666" s="19">
        <f t="shared" si="20"/>
        <v>46051</v>
      </c>
      <c r="L666">
        <f t="shared" si="21"/>
        <v>50</v>
      </c>
    </row>
    <row r="667" spans="1:12" x14ac:dyDescent="0.25">
      <c r="A667">
        <v>6</v>
      </c>
      <c r="B667">
        <v>4730</v>
      </c>
      <c r="C667">
        <v>211</v>
      </c>
      <c r="D667">
        <v>2</v>
      </c>
      <c r="E667" t="s">
        <v>121</v>
      </c>
      <c r="F667" s="19">
        <v>46001</v>
      </c>
      <c r="G667" t="s">
        <v>131</v>
      </c>
      <c r="H667">
        <v>0</v>
      </c>
      <c r="I667" s="19">
        <v>46048</v>
      </c>
      <c r="J667" s="19">
        <f t="shared" si="20"/>
        <v>46051</v>
      </c>
      <c r="L667">
        <f t="shared" si="21"/>
        <v>50</v>
      </c>
    </row>
    <row r="668" spans="1:12" x14ac:dyDescent="0.25">
      <c r="A668">
        <v>6</v>
      </c>
      <c r="B668">
        <v>4349</v>
      </c>
      <c r="C668">
        <v>211</v>
      </c>
      <c r="D668">
        <v>2</v>
      </c>
      <c r="E668" t="s">
        <v>129</v>
      </c>
      <c r="F668" s="19">
        <v>46001</v>
      </c>
      <c r="G668" t="s">
        <v>125</v>
      </c>
      <c r="H668">
        <v>0</v>
      </c>
      <c r="I668" s="19">
        <v>46048</v>
      </c>
      <c r="J668" s="19">
        <f t="shared" si="20"/>
        <v>46051</v>
      </c>
      <c r="L668">
        <f t="shared" si="21"/>
        <v>50</v>
      </c>
    </row>
    <row r="669" spans="1:12" x14ac:dyDescent="0.25">
      <c r="A669">
        <v>5</v>
      </c>
      <c r="B669">
        <v>4609</v>
      </c>
      <c r="C669">
        <v>207</v>
      </c>
      <c r="D669">
        <v>2</v>
      </c>
      <c r="E669" t="s">
        <v>121</v>
      </c>
      <c r="F669" s="19">
        <v>46001</v>
      </c>
      <c r="G669" t="s">
        <v>120</v>
      </c>
      <c r="H669">
        <v>0</v>
      </c>
      <c r="I669" s="19">
        <v>46052</v>
      </c>
      <c r="J669" s="19">
        <f t="shared" si="20"/>
        <v>46055</v>
      </c>
      <c r="L669">
        <f t="shared" si="21"/>
        <v>54</v>
      </c>
    </row>
    <row r="670" spans="1:12" x14ac:dyDescent="0.25">
      <c r="A670">
        <v>6</v>
      </c>
      <c r="B670">
        <v>4567</v>
      </c>
      <c r="C670">
        <v>207</v>
      </c>
      <c r="D670">
        <v>2</v>
      </c>
      <c r="E670" t="s">
        <v>129</v>
      </c>
      <c r="F670" s="19">
        <v>46001</v>
      </c>
      <c r="G670" t="s">
        <v>120</v>
      </c>
      <c r="H670">
        <v>0</v>
      </c>
      <c r="I670" s="19">
        <v>46052</v>
      </c>
      <c r="J670" s="19">
        <f t="shared" si="20"/>
        <v>46055</v>
      </c>
      <c r="L670">
        <f t="shared" si="21"/>
        <v>54</v>
      </c>
    </row>
    <row r="671" spans="1:12" x14ac:dyDescent="0.25">
      <c r="A671">
        <v>5</v>
      </c>
      <c r="B671">
        <v>4782</v>
      </c>
      <c r="C671">
        <v>206</v>
      </c>
      <c r="D671">
        <v>2</v>
      </c>
      <c r="E671" t="s">
        <v>129</v>
      </c>
      <c r="F671" s="19">
        <v>46001</v>
      </c>
      <c r="G671" t="s">
        <v>132</v>
      </c>
      <c r="H671">
        <v>0</v>
      </c>
      <c r="I671" s="19">
        <v>46053</v>
      </c>
      <c r="J671" s="19">
        <f t="shared" si="20"/>
        <v>46056</v>
      </c>
      <c r="L671">
        <f t="shared" si="21"/>
        <v>55</v>
      </c>
    </row>
    <row r="672" spans="1:12" x14ac:dyDescent="0.25">
      <c r="A672">
        <v>10</v>
      </c>
      <c r="B672">
        <v>4037</v>
      </c>
      <c r="C672">
        <v>114</v>
      </c>
      <c r="D672">
        <v>3</v>
      </c>
      <c r="E672" t="s">
        <v>129</v>
      </c>
      <c r="F672" s="19">
        <v>46001</v>
      </c>
      <c r="G672" t="s">
        <v>122</v>
      </c>
      <c r="H672">
        <v>0</v>
      </c>
      <c r="I672" s="19">
        <v>46054</v>
      </c>
      <c r="J672" s="19">
        <f t="shared" si="20"/>
        <v>46057</v>
      </c>
      <c r="L672">
        <f t="shared" si="21"/>
        <v>56</v>
      </c>
    </row>
    <row r="673" spans="1:12" x14ac:dyDescent="0.25">
      <c r="A673">
        <v>2</v>
      </c>
      <c r="B673">
        <v>4294</v>
      </c>
      <c r="C673">
        <v>205</v>
      </c>
      <c r="D673">
        <v>2</v>
      </c>
      <c r="E673" t="s">
        <v>121</v>
      </c>
      <c r="F673" s="19">
        <v>46001</v>
      </c>
      <c r="G673" t="s">
        <v>120</v>
      </c>
      <c r="H673">
        <v>0</v>
      </c>
      <c r="I673" s="19">
        <v>46054</v>
      </c>
      <c r="J673" s="19">
        <f t="shared" si="20"/>
        <v>46057</v>
      </c>
      <c r="L673">
        <f t="shared" si="21"/>
        <v>56</v>
      </c>
    </row>
    <row r="674" spans="1:12" x14ac:dyDescent="0.25">
      <c r="A674">
        <v>3</v>
      </c>
      <c r="B674">
        <v>4807</v>
      </c>
      <c r="C674">
        <v>203</v>
      </c>
      <c r="D674">
        <v>2</v>
      </c>
      <c r="E674" t="s">
        <v>121</v>
      </c>
      <c r="F674" s="19">
        <v>46001</v>
      </c>
      <c r="G674" t="s">
        <v>120</v>
      </c>
      <c r="H674">
        <v>0</v>
      </c>
      <c r="I674" s="19">
        <v>46056</v>
      </c>
      <c r="J674" s="19">
        <f t="shared" si="20"/>
        <v>46059</v>
      </c>
      <c r="L674">
        <f t="shared" si="21"/>
        <v>58</v>
      </c>
    </row>
    <row r="675" spans="1:12" x14ac:dyDescent="0.25">
      <c r="A675">
        <v>2</v>
      </c>
      <c r="B675">
        <v>4544</v>
      </c>
      <c r="C675">
        <v>203</v>
      </c>
      <c r="D675">
        <v>2</v>
      </c>
      <c r="E675" t="s">
        <v>121</v>
      </c>
      <c r="F675" s="19">
        <v>46001</v>
      </c>
      <c r="G675" t="s">
        <v>120</v>
      </c>
      <c r="H675">
        <v>0</v>
      </c>
      <c r="I675" s="19">
        <v>46056</v>
      </c>
      <c r="J675" s="19">
        <f t="shared" si="20"/>
        <v>46059</v>
      </c>
      <c r="L675">
        <f t="shared" si="21"/>
        <v>58</v>
      </c>
    </row>
    <row r="676" spans="1:12" x14ac:dyDescent="0.25">
      <c r="A676">
        <v>3</v>
      </c>
      <c r="B676">
        <v>4757</v>
      </c>
      <c r="C676">
        <v>202</v>
      </c>
      <c r="D676">
        <v>2</v>
      </c>
      <c r="E676" t="s">
        <v>121</v>
      </c>
      <c r="F676" s="19">
        <v>46001</v>
      </c>
      <c r="G676" t="s">
        <v>120</v>
      </c>
      <c r="H676">
        <v>0</v>
      </c>
      <c r="I676" s="19">
        <v>46057</v>
      </c>
      <c r="J676" s="19">
        <f t="shared" si="20"/>
        <v>46060</v>
      </c>
      <c r="L676">
        <f t="shared" si="21"/>
        <v>59</v>
      </c>
    </row>
    <row r="677" spans="1:12" x14ac:dyDescent="0.25">
      <c r="A677">
        <v>3</v>
      </c>
      <c r="B677">
        <v>4614</v>
      </c>
      <c r="C677">
        <v>202</v>
      </c>
      <c r="D677">
        <v>2</v>
      </c>
      <c r="E677" t="s">
        <v>129</v>
      </c>
      <c r="F677" s="19">
        <v>46001</v>
      </c>
      <c r="G677" t="s">
        <v>120</v>
      </c>
      <c r="H677">
        <v>0</v>
      </c>
      <c r="I677" s="19">
        <v>46057</v>
      </c>
      <c r="J677" s="19">
        <f t="shared" si="20"/>
        <v>46060</v>
      </c>
      <c r="L677">
        <f t="shared" si="21"/>
        <v>59</v>
      </c>
    </row>
    <row r="678" spans="1:12" x14ac:dyDescent="0.25">
      <c r="A678">
        <v>5</v>
      </c>
      <c r="B678">
        <v>4044</v>
      </c>
      <c r="C678">
        <v>201</v>
      </c>
      <c r="D678">
        <v>3</v>
      </c>
      <c r="E678" t="s">
        <v>121</v>
      </c>
      <c r="F678" s="19">
        <v>46001</v>
      </c>
      <c r="G678" t="s">
        <v>120</v>
      </c>
      <c r="H678">
        <v>0</v>
      </c>
      <c r="I678" s="19">
        <v>46058</v>
      </c>
      <c r="J678" s="19">
        <f t="shared" si="20"/>
        <v>46061</v>
      </c>
      <c r="L678">
        <f t="shared" si="21"/>
        <v>60</v>
      </c>
    </row>
    <row r="679" spans="1:12" x14ac:dyDescent="0.25">
      <c r="A679">
        <v>10</v>
      </c>
      <c r="B679">
        <v>4289</v>
      </c>
      <c r="C679">
        <v>136</v>
      </c>
      <c r="D679">
        <v>2</v>
      </c>
      <c r="E679" t="s">
        <v>129</v>
      </c>
      <c r="F679" s="19">
        <v>46001</v>
      </c>
      <c r="G679" t="s">
        <v>122</v>
      </c>
      <c r="H679">
        <v>0</v>
      </c>
      <c r="I679" s="19">
        <v>46059</v>
      </c>
      <c r="J679" s="19">
        <f t="shared" si="20"/>
        <v>46062</v>
      </c>
      <c r="L679">
        <f t="shared" si="21"/>
        <v>61</v>
      </c>
    </row>
    <row r="680" spans="1:12" x14ac:dyDescent="0.25">
      <c r="A680">
        <v>10</v>
      </c>
      <c r="B680">
        <v>3112</v>
      </c>
      <c r="C680">
        <v>197</v>
      </c>
      <c r="D680">
        <v>4</v>
      </c>
      <c r="E680" t="s">
        <v>121</v>
      </c>
      <c r="F680" s="19">
        <v>46001</v>
      </c>
      <c r="G680" t="s">
        <v>131</v>
      </c>
      <c r="H680">
        <v>0</v>
      </c>
      <c r="I680" s="19">
        <v>46062</v>
      </c>
      <c r="J680" s="19">
        <f t="shared" si="20"/>
        <v>46065</v>
      </c>
      <c r="L680">
        <f t="shared" si="21"/>
        <v>64</v>
      </c>
    </row>
    <row r="681" spans="1:12" x14ac:dyDescent="0.25">
      <c r="A681">
        <v>2</v>
      </c>
      <c r="B681">
        <v>3049</v>
      </c>
      <c r="C681">
        <v>6</v>
      </c>
      <c r="D681">
        <v>4</v>
      </c>
      <c r="E681" t="s">
        <v>129</v>
      </c>
      <c r="F681" s="19">
        <v>46001</v>
      </c>
      <c r="G681" t="s">
        <v>122</v>
      </c>
      <c r="H681">
        <v>0</v>
      </c>
      <c r="I681" s="19">
        <v>46063</v>
      </c>
      <c r="J681" s="19">
        <f t="shared" si="20"/>
        <v>46066</v>
      </c>
      <c r="L681">
        <f t="shared" si="21"/>
        <v>65</v>
      </c>
    </row>
    <row r="682" spans="1:12" x14ac:dyDescent="0.25">
      <c r="A682">
        <v>10</v>
      </c>
      <c r="B682">
        <v>4764</v>
      </c>
      <c r="C682">
        <v>17</v>
      </c>
      <c r="D682">
        <v>2</v>
      </c>
      <c r="E682" t="s">
        <v>121</v>
      </c>
      <c r="F682" s="19">
        <v>46001</v>
      </c>
      <c r="G682" t="s">
        <v>122</v>
      </c>
      <c r="H682">
        <v>0</v>
      </c>
      <c r="I682" s="19">
        <v>46063</v>
      </c>
      <c r="J682" s="19">
        <f t="shared" ref="J682:J745" si="22">I682+3</f>
        <v>46066</v>
      </c>
      <c r="L682">
        <f t="shared" ref="L682:L745" si="23">J682-F682</f>
        <v>65</v>
      </c>
    </row>
    <row r="683" spans="1:12" x14ac:dyDescent="0.25">
      <c r="A683">
        <v>10</v>
      </c>
      <c r="B683">
        <v>3621</v>
      </c>
      <c r="C683">
        <v>33</v>
      </c>
      <c r="D683">
        <v>3</v>
      </c>
      <c r="E683" t="s">
        <v>121</v>
      </c>
      <c r="F683" s="19">
        <v>46001</v>
      </c>
      <c r="G683" t="s">
        <v>122</v>
      </c>
      <c r="H683">
        <v>0</v>
      </c>
      <c r="I683" s="19">
        <v>46125</v>
      </c>
      <c r="J683" s="19">
        <f t="shared" si="22"/>
        <v>46128</v>
      </c>
      <c r="L683">
        <f t="shared" si="23"/>
        <v>127</v>
      </c>
    </row>
    <row r="684" spans="1:12" x14ac:dyDescent="0.25">
      <c r="A684">
        <v>5</v>
      </c>
      <c r="B684">
        <v>4681</v>
      </c>
      <c r="C684">
        <v>204</v>
      </c>
      <c r="D684">
        <v>2</v>
      </c>
      <c r="E684" t="s">
        <v>123</v>
      </c>
      <c r="F684" s="19">
        <v>46008</v>
      </c>
      <c r="G684" t="s">
        <v>132</v>
      </c>
      <c r="H684">
        <v>0</v>
      </c>
      <c r="I684" s="19">
        <v>46055</v>
      </c>
      <c r="J684" s="19">
        <f t="shared" si="22"/>
        <v>46058</v>
      </c>
      <c r="L684">
        <f t="shared" si="23"/>
        <v>50</v>
      </c>
    </row>
    <row r="685" spans="1:12" x14ac:dyDescent="0.25">
      <c r="A685">
        <v>3</v>
      </c>
      <c r="B685">
        <v>4628</v>
      </c>
      <c r="C685">
        <v>201</v>
      </c>
      <c r="D685">
        <v>2</v>
      </c>
      <c r="E685" t="s">
        <v>121</v>
      </c>
      <c r="F685" s="19">
        <v>46008</v>
      </c>
      <c r="G685" t="s">
        <v>132</v>
      </c>
      <c r="H685">
        <v>0</v>
      </c>
      <c r="I685" s="19">
        <v>46058</v>
      </c>
      <c r="J685" s="19">
        <f t="shared" si="22"/>
        <v>46061</v>
      </c>
      <c r="L685">
        <f t="shared" si="23"/>
        <v>53</v>
      </c>
    </row>
    <row r="686" spans="1:12" x14ac:dyDescent="0.25">
      <c r="A686">
        <v>5</v>
      </c>
      <c r="B686">
        <v>3759</v>
      </c>
      <c r="C686">
        <v>200</v>
      </c>
      <c r="D686">
        <v>3</v>
      </c>
      <c r="E686" t="s">
        <v>121</v>
      </c>
      <c r="F686" s="19">
        <v>46008</v>
      </c>
      <c r="G686" t="s">
        <v>132</v>
      </c>
      <c r="H686">
        <v>0</v>
      </c>
      <c r="I686" s="19">
        <v>46059</v>
      </c>
      <c r="J686" s="19">
        <f t="shared" si="22"/>
        <v>46062</v>
      </c>
      <c r="L686">
        <f t="shared" si="23"/>
        <v>54</v>
      </c>
    </row>
    <row r="687" spans="1:12" x14ac:dyDescent="0.25">
      <c r="A687">
        <v>10</v>
      </c>
      <c r="B687">
        <v>3887</v>
      </c>
      <c r="C687">
        <v>200</v>
      </c>
      <c r="D687">
        <v>3</v>
      </c>
      <c r="E687" t="s">
        <v>121</v>
      </c>
      <c r="F687" s="19">
        <v>46008</v>
      </c>
      <c r="G687" t="s">
        <v>120</v>
      </c>
      <c r="H687">
        <v>0</v>
      </c>
      <c r="I687" s="19">
        <v>46059</v>
      </c>
      <c r="J687" s="19">
        <f t="shared" si="22"/>
        <v>46062</v>
      </c>
      <c r="L687">
        <f t="shared" si="23"/>
        <v>54</v>
      </c>
    </row>
    <row r="688" spans="1:12" x14ac:dyDescent="0.25">
      <c r="A688">
        <v>3</v>
      </c>
      <c r="B688">
        <v>3906</v>
      </c>
      <c r="C688">
        <v>200</v>
      </c>
      <c r="D688">
        <v>3</v>
      </c>
      <c r="E688" t="s">
        <v>123</v>
      </c>
      <c r="F688" s="19">
        <v>46008</v>
      </c>
      <c r="G688" t="s">
        <v>120</v>
      </c>
      <c r="H688">
        <v>0</v>
      </c>
      <c r="I688" s="19">
        <v>46059</v>
      </c>
      <c r="J688" s="19">
        <f t="shared" si="22"/>
        <v>46062</v>
      </c>
      <c r="L688">
        <f t="shared" si="23"/>
        <v>54</v>
      </c>
    </row>
    <row r="689" spans="1:12" x14ac:dyDescent="0.25">
      <c r="A689">
        <v>5</v>
      </c>
      <c r="B689">
        <v>2988</v>
      </c>
      <c r="C689">
        <v>199</v>
      </c>
      <c r="D689">
        <v>4</v>
      </c>
      <c r="E689" t="s">
        <v>129</v>
      </c>
      <c r="F689" s="19">
        <v>46008</v>
      </c>
      <c r="G689" t="s">
        <v>131</v>
      </c>
      <c r="H689">
        <v>0</v>
      </c>
      <c r="I689" s="19">
        <v>46060</v>
      </c>
      <c r="J689" s="19">
        <f t="shared" si="22"/>
        <v>46063</v>
      </c>
      <c r="L689">
        <f t="shared" si="23"/>
        <v>55</v>
      </c>
    </row>
    <row r="690" spans="1:12" x14ac:dyDescent="0.25">
      <c r="A690">
        <v>6</v>
      </c>
      <c r="B690">
        <v>3007</v>
      </c>
      <c r="C690">
        <v>87</v>
      </c>
      <c r="D690">
        <v>5</v>
      </c>
      <c r="E690" t="s">
        <v>129</v>
      </c>
      <c r="F690" s="19">
        <v>46008</v>
      </c>
      <c r="G690" t="s">
        <v>122</v>
      </c>
      <c r="H690">
        <v>0</v>
      </c>
      <c r="I690" s="19">
        <v>46061</v>
      </c>
      <c r="J690" s="19">
        <f t="shared" si="22"/>
        <v>46064</v>
      </c>
      <c r="L690">
        <f t="shared" si="23"/>
        <v>56</v>
      </c>
    </row>
    <row r="691" spans="1:12" x14ac:dyDescent="0.25">
      <c r="A691">
        <v>5</v>
      </c>
      <c r="B691">
        <v>4197</v>
      </c>
      <c r="C691">
        <v>198</v>
      </c>
      <c r="D691">
        <v>2</v>
      </c>
      <c r="E691" t="s">
        <v>129</v>
      </c>
      <c r="F691" s="19">
        <v>46008</v>
      </c>
      <c r="G691" t="s">
        <v>132</v>
      </c>
      <c r="H691">
        <v>0</v>
      </c>
      <c r="I691" s="19">
        <v>46061</v>
      </c>
      <c r="J691" s="19">
        <f t="shared" si="22"/>
        <v>46064</v>
      </c>
      <c r="L691">
        <f t="shared" si="23"/>
        <v>56</v>
      </c>
    </row>
    <row r="692" spans="1:12" x14ac:dyDescent="0.25">
      <c r="A692">
        <v>5</v>
      </c>
      <c r="B692">
        <v>3855</v>
      </c>
      <c r="C692">
        <v>197</v>
      </c>
      <c r="D692">
        <v>3</v>
      </c>
      <c r="E692" t="s">
        <v>129</v>
      </c>
      <c r="F692" s="19">
        <v>46008</v>
      </c>
      <c r="G692" t="s">
        <v>120</v>
      </c>
      <c r="H692">
        <v>0</v>
      </c>
      <c r="I692" s="19">
        <v>46062</v>
      </c>
      <c r="J692" s="19">
        <f t="shared" si="22"/>
        <v>46065</v>
      </c>
      <c r="L692">
        <f t="shared" si="23"/>
        <v>57</v>
      </c>
    </row>
    <row r="693" spans="1:12" x14ac:dyDescent="0.25">
      <c r="A693">
        <v>10</v>
      </c>
      <c r="B693">
        <v>4746</v>
      </c>
      <c r="C693">
        <v>133</v>
      </c>
      <c r="D693">
        <v>2</v>
      </c>
      <c r="E693" t="s">
        <v>129</v>
      </c>
      <c r="F693" s="19">
        <v>46008</v>
      </c>
      <c r="G693" t="s">
        <v>122</v>
      </c>
      <c r="H693">
        <v>0</v>
      </c>
      <c r="I693" s="19">
        <v>46062</v>
      </c>
      <c r="J693" s="19">
        <f t="shared" si="22"/>
        <v>46065</v>
      </c>
      <c r="L693">
        <f t="shared" si="23"/>
        <v>57</v>
      </c>
    </row>
    <row r="694" spans="1:12" x14ac:dyDescent="0.25">
      <c r="A694">
        <v>5</v>
      </c>
      <c r="B694">
        <v>4691</v>
      </c>
      <c r="C694">
        <v>197</v>
      </c>
      <c r="D694">
        <v>2</v>
      </c>
      <c r="E694" t="s">
        <v>121</v>
      </c>
      <c r="F694" s="19">
        <v>46008</v>
      </c>
      <c r="G694" t="s">
        <v>120</v>
      </c>
      <c r="H694">
        <v>0</v>
      </c>
      <c r="I694" s="19">
        <v>46062</v>
      </c>
      <c r="J694" s="19">
        <f t="shared" si="22"/>
        <v>46065</v>
      </c>
      <c r="L694">
        <f t="shared" si="23"/>
        <v>57</v>
      </c>
    </row>
    <row r="695" spans="1:12" x14ac:dyDescent="0.25">
      <c r="A695">
        <v>5</v>
      </c>
      <c r="B695">
        <v>4913</v>
      </c>
      <c r="C695">
        <v>197</v>
      </c>
      <c r="D695">
        <v>2</v>
      </c>
      <c r="E695" t="s">
        <v>129</v>
      </c>
      <c r="F695" s="19">
        <v>46008</v>
      </c>
      <c r="G695" t="s">
        <v>120</v>
      </c>
      <c r="H695">
        <v>0</v>
      </c>
      <c r="I695" s="19">
        <v>46062</v>
      </c>
      <c r="J695" s="19">
        <f t="shared" si="22"/>
        <v>46065</v>
      </c>
      <c r="L695">
        <f t="shared" si="23"/>
        <v>57</v>
      </c>
    </row>
    <row r="696" spans="1:12" x14ac:dyDescent="0.25">
      <c r="A696">
        <v>5</v>
      </c>
      <c r="B696">
        <v>4093</v>
      </c>
      <c r="C696">
        <v>197</v>
      </c>
      <c r="D696">
        <v>2</v>
      </c>
      <c r="E696" t="s">
        <v>129</v>
      </c>
      <c r="F696" s="19">
        <v>46008</v>
      </c>
      <c r="G696" t="s">
        <v>125</v>
      </c>
      <c r="H696">
        <v>0</v>
      </c>
      <c r="I696" s="19">
        <v>46062</v>
      </c>
      <c r="J696" s="19">
        <f t="shared" si="22"/>
        <v>46065</v>
      </c>
      <c r="L696">
        <f t="shared" si="23"/>
        <v>57</v>
      </c>
    </row>
    <row r="697" spans="1:12" x14ac:dyDescent="0.25">
      <c r="A697">
        <v>10</v>
      </c>
      <c r="B697">
        <v>3950</v>
      </c>
      <c r="C697">
        <v>196</v>
      </c>
      <c r="D697">
        <v>3</v>
      </c>
      <c r="E697" t="s">
        <v>129</v>
      </c>
      <c r="F697" s="19">
        <v>46008</v>
      </c>
      <c r="G697" t="s">
        <v>120</v>
      </c>
      <c r="H697">
        <v>0</v>
      </c>
      <c r="I697" s="19">
        <v>46063</v>
      </c>
      <c r="J697" s="19">
        <f t="shared" si="22"/>
        <v>46066</v>
      </c>
      <c r="L697">
        <f t="shared" si="23"/>
        <v>58</v>
      </c>
    </row>
    <row r="698" spans="1:12" x14ac:dyDescent="0.25">
      <c r="A698">
        <v>5</v>
      </c>
      <c r="B698">
        <v>4791</v>
      </c>
      <c r="C698">
        <v>196</v>
      </c>
      <c r="D698">
        <v>2</v>
      </c>
      <c r="E698" t="s">
        <v>129</v>
      </c>
      <c r="F698" s="19">
        <v>46008</v>
      </c>
      <c r="G698" t="s">
        <v>132</v>
      </c>
      <c r="H698">
        <v>0</v>
      </c>
      <c r="I698" s="19">
        <v>46063</v>
      </c>
      <c r="J698" s="19">
        <f t="shared" si="22"/>
        <v>46066</v>
      </c>
      <c r="L698">
        <f t="shared" si="23"/>
        <v>58</v>
      </c>
    </row>
    <row r="699" spans="1:12" x14ac:dyDescent="0.25">
      <c r="A699">
        <v>10</v>
      </c>
      <c r="B699">
        <v>4769</v>
      </c>
      <c r="C699">
        <v>196</v>
      </c>
      <c r="D699">
        <v>2</v>
      </c>
      <c r="E699" t="s">
        <v>123</v>
      </c>
      <c r="F699" s="19">
        <v>46008</v>
      </c>
      <c r="G699" t="s">
        <v>131</v>
      </c>
      <c r="H699">
        <v>0</v>
      </c>
      <c r="I699" s="19">
        <v>46063</v>
      </c>
      <c r="J699" s="19">
        <f t="shared" si="22"/>
        <v>46066</v>
      </c>
      <c r="L699">
        <f t="shared" si="23"/>
        <v>58</v>
      </c>
    </row>
    <row r="700" spans="1:12" x14ac:dyDescent="0.25">
      <c r="A700">
        <v>5</v>
      </c>
      <c r="B700">
        <v>3883</v>
      </c>
      <c r="C700">
        <v>195</v>
      </c>
      <c r="D700">
        <v>3</v>
      </c>
      <c r="E700" t="s">
        <v>129</v>
      </c>
      <c r="F700" s="19">
        <v>46008</v>
      </c>
      <c r="G700" t="s">
        <v>120</v>
      </c>
      <c r="H700">
        <v>0</v>
      </c>
      <c r="I700" s="19">
        <v>46064</v>
      </c>
      <c r="J700" s="19">
        <f t="shared" si="22"/>
        <v>46067</v>
      </c>
      <c r="L700">
        <f t="shared" si="23"/>
        <v>59</v>
      </c>
    </row>
    <row r="701" spans="1:12" x14ac:dyDescent="0.25">
      <c r="A701">
        <v>5</v>
      </c>
      <c r="B701">
        <v>4775</v>
      </c>
      <c r="C701">
        <v>195</v>
      </c>
      <c r="D701">
        <v>2</v>
      </c>
      <c r="E701" t="s">
        <v>129</v>
      </c>
      <c r="F701" s="19">
        <v>46008</v>
      </c>
      <c r="G701" t="s">
        <v>132</v>
      </c>
      <c r="H701">
        <v>0</v>
      </c>
      <c r="I701" s="19">
        <v>46064</v>
      </c>
      <c r="J701" s="19">
        <f t="shared" si="22"/>
        <v>46067</v>
      </c>
      <c r="L701">
        <f t="shared" si="23"/>
        <v>59</v>
      </c>
    </row>
    <row r="702" spans="1:12" x14ac:dyDescent="0.25">
      <c r="A702">
        <v>2</v>
      </c>
      <c r="B702">
        <v>3613</v>
      </c>
      <c r="C702">
        <v>194</v>
      </c>
      <c r="D702">
        <v>3</v>
      </c>
      <c r="E702" t="s">
        <v>121</v>
      </c>
      <c r="F702" s="19">
        <v>46008</v>
      </c>
      <c r="G702" t="s">
        <v>120</v>
      </c>
      <c r="H702">
        <v>0</v>
      </c>
      <c r="I702" s="19">
        <v>46065</v>
      </c>
      <c r="J702" s="19">
        <f t="shared" si="22"/>
        <v>46068</v>
      </c>
      <c r="L702">
        <f t="shared" si="23"/>
        <v>60</v>
      </c>
    </row>
    <row r="703" spans="1:12" x14ac:dyDescent="0.25">
      <c r="A703">
        <v>10</v>
      </c>
      <c r="B703">
        <v>2550</v>
      </c>
      <c r="C703">
        <v>48</v>
      </c>
      <c r="D703">
        <v>6</v>
      </c>
      <c r="E703" t="s">
        <v>121</v>
      </c>
      <c r="F703" s="19">
        <v>46008</v>
      </c>
      <c r="G703" t="s">
        <v>122</v>
      </c>
      <c r="H703">
        <v>0</v>
      </c>
      <c r="I703" s="19">
        <v>46065</v>
      </c>
      <c r="J703" s="19">
        <f t="shared" si="22"/>
        <v>46068</v>
      </c>
      <c r="L703">
        <f t="shared" si="23"/>
        <v>60</v>
      </c>
    </row>
    <row r="704" spans="1:12" x14ac:dyDescent="0.25">
      <c r="A704">
        <v>2</v>
      </c>
      <c r="B704">
        <v>3941</v>
      </c>
      <c r="C704">
        <v>193</v>
      </c>
      <c r="D704">
        <v>3</v>
      </c>
      <c r="E704" t="s">
        <v>129</v>
      </c>
      <c r="F704" s="19">
        <v>46008</v>
      </c>
      <c r="G704" t="s">
        <v>120</v>
      </c>
      <c r="H704">
        <v>0</v>
      </c>
      <c r="I704" s="19">
        <v>46066</v>
      </c>
      <c r="J704" s="19">
        <f t="shared" si="22"/>
        <v>46069</v>
      </c>
      <c r="L704">
        <f t="shared" si="23"/>
        <v>61</v>
      </c>
    </row>
    <row r="705" spans="1:12" x14ac:dyDescent="0.25">
      <c r="A705">
        <v>5</v>
      </c>
      <c r="B705">
        <v>4296</v>
      </c>
      <c r="C705">
        <v>193</v>
      </c>
      <c r="D705">
        <v>2</v>
      </c>
      <c r="E705" t="s">
        <v>121</v>
      </c>
      <c r="F705" s="19">
        <v>46008</v>
      </c>
      <c r="G705" t="s">
        <v>132</v>
      </c>
      <c r="H705">
        <v>0</v>
      </c>
      <c r="I705" s="19">
        <v>46066</v>
      </c>
      <c r="J705" s="19">
        <f t="shared" si="22"/>
        <v>46069</v>
      </c>
      <c r="L705">
        <f t="shared" si="23"/>
        <v>61</v>
      </c>
    </row>
    <row r="706" spans="1:12" x14ac:dyDescent="0.25">
      <c r="A706">
        <v>5</v>
      </c>
      <c r="B706">
        <v>3929</v>
      </c>
      <c r="C706">
        <v>192</v>
      </c>
      <c r="D706">
        <v>3</v>
      </c>
      <c r="E706" t="s">
        <v>121</v>
      </c>
      <c r="F706" s="19">
        <v>46008</v>
      </c>
      <c r="G706" t="s">
        <v>120</v>
      </c>
      <c r="H706">
        <v>0</v>
      </c>
      <c r="I706" s="19">
        <v>46067</v>
      </c>
      <c r="J706" s="19">
        <f t="shared" si="22"/>
        <v>46070</v>
      </c>
      <c r="L706">
        <f t="shared" si="23"/>
        <v>62</v>
      </c>
    </row>
    <row r="707" spans="1:12" x14ac:dyDescent="0.25">
      <c r="A707">
        <v>7</v>
      </c>
      <c r="B707">
        <v>3160</v>
      </c>
      <c r="C707">
        <v>143</v>
      </c>
      <c r="D707">
        <v>4</v>
      </c>
      <c r="E707" t="s">
        <v>123</v>
      </c>
      <c r="F707" s="19">
        <v>46008</v>
      </c>
      <c r="G707" t="s">
        <v>122</v>
      </c>
      <c r="H707">
        <v>0</v>
      </c>
      <c r="I707" s="19">
        <v>46067</v>
      </c>
      <c r="J707" s="19">
        <f t="shared" si="22"/>
        <v>46070</v>
      </c>
      <c r="L707">
        <f t="shared" si="23"/>
        <v>62</v>
      </c>
    </row>
    <row r="708" spans="1:12" x14ac:dyDescent="0.25">
      <c r="A708">
        <v>3</v>
      </c>
      <c r="B708">
        <v>3288</v>
      </c>
      <c r="C708">
        <v>192</v>
      </c>
      <c r="D708">
        <v>4</v>
      </c>
      <c r="E708" t="s">
        <v>121</v>
      </c>
      <c r="F708" s="19">
        <v>46008</v>
      </c>
      <c r="G708" t="s">
        <v>132</v>
      </c>
      <c r="H708">
        <v>0</v>
      </c>
      <c r="I708" s="19">
        <v>46067</v>
      </c>
      <c r="J708" s="19">
        <f t="shared" si="22"/>
        <v>46070</v>
      </c>
      <c r="L708">
        <f t="shared" si="23"/>
        <v>62</v>
      </c>
    </row>
    <row r="709" spans="1:12" x14ac:dyDescent="0.25">
      <c r="A709">
        <v>2</v>
      </c>
      <c r="B709">
        <v>4462</v>
      </c>
      <c r="C709">
        <v>23</v>
      </c>
      <c r="D709">
        <v>2</v>
      </c>
      <c r="E709" t="s">
        <v>123</v>
      </c>
      <c r="F709" s="19">
        <v>46008</v>
      </c>
      <c r="G709" t="s">
        <v>122</v>
      </c>
      <c r="H709">
        <v>0</v>
      </c>
      <c r="I709" s="19">
        <v>46067</v>
      </c>
      <c r="J709" s="19">
        <f t="shared" si="22"/>
        <v>46070</v>
      </c>
      <c r="L709">
        <f t="shared" si="23"/>
        <v>62</v>
      </c>
    </row>
    <row r="710" spans="1:12" x14ac:dyDescent="0.25">
      <c r="A710">
        <v>2</v>
      </c>
      <c r="B710">
        <v>4728</v>
      </c>
      <c r="C710">
        <v>191</v>
      </c>
      <c r="D710">
        <v>2</v>
      </c>
      <c r="E710" t="s">
        <v>129</v>
      </c>
      <c r="F710" s="19">
        <v>46008</v>
      </c>
      <c r="G710" t="s">
        <v>132</v>
      </c>
      <c r="H710">
        <v>0</v>
      </c>
      <c r="I710" s="19">
        <v>46068</v>
      </c>
      <c r="J710" s="19">
        <f t="shared" si="22"/>
        <v>46071</v>
      </c>
      <c r="L710">
        <f t="shared" si="23"/>
        <v>63</v>
      </c>
    </row>
    <row r="711" spans="1:12" x14ac:dyDescent="0.25">
      <c r="A711">
        <v>10</v>
      </c>
      <c r="B711">
        <v>4334</v>
      </c>
      <c r="C711">
        <v>117</v>
      </c>
      <c r="D711">
        <v>2</v>
      </c>
      <c r="E711" t="s">
        <v>129</v>
      </c>
      <c r="F711" s="19">
        <v>46008</v>
      </c>
      <c r="G711" t="s">
        <v>122</v>
      </c>
      <c r="H711">
        <v>0</v>
      </c>
      <c r="I711" s="19">
        <v>46068</v>
      </c>
      <c r="J711" s="19">
        <f t="shared" si="22"/>
        <v>46071</v>
      </c>
      <c r="L711">
        <f t="shared" si="23"/>
        <v>63</v>
      </c>
    </row>
    <row r="712" spans="1:12" x14ac:dyDescent="0.25">
      <c r="A712">
        <v>5</v>
      </c>
      <c r="B712">
        <v>4680</v>
      </c>
      <c r="C712">
        <v>190</v>
      </c>
      <c r="D712">
        <v>2</v>
      </c>
      <c r="E712" t="s">
        <v>129</v>
      </c>
      <c r="F712" s="19">
        <v>46008</v>
      </c>
      <c r="G712" t="s">
        <v>131</v>
      </c>
      <c r="H712">
        <v>0</v>
      </c>
      <c r="I712" s="19">
        <v>46069</v>
      </c>
      <c r="J712" s="19">
        <f t="shared" si="22"/>
        <v>46072</v>
      </c>
      <c r="L712">
        <f t="shared" si="23"/>
        <v>64</v>
      </c>
    </row>
    <row r="713" spans="1:12" x14ac:dyDescent="0.25">
      <c r="A713">
        <v>6</v>
      </c>
      <c r="B713">
        <v>2892</v>
      </c>
      <c r="C713">
        <v>188</v>
      </c>
      <c r="D713">
        <v>5</v>
      </c>
      <c r="E713" t="s">
        <v>121</v>
      </c>
      <c r="F713" s="19">
        <v>46008</v>
      </c>
      <c r="G713" t="s">
        <v>132</v>
      </c>
      <c r="H713">
        <v>0</v>
      </c>
      <c r="I713" s="19">
        <v>46071</v>
      </c>
      <c r="J713" s="19">
        <f t="shared" si="22"/>
        <v>46074</v>
      </c>
      <c r="L713">
        <f t="shared" si="23"/>
        <v>66</v>
      </c>
    </row>
    <row r="714" spans="1:12" x14ac:dyDescent="0.25">
      <c r="A714">
        <v>5</v>
      </c>
      <c r="B714">
        <v>3881</v>
      </c>
      <c r="C714">
        <v>118</v>
      </c>
      <c r="D714">
        <v>3</v>
      </c>
      <c r="E714" t="s">
        <v>129</v>
      </c>
      <c r="F714" s="19">
        <v>46008</v>
      </c>
      <c r="G714" t="s">
        <v>122</v>
      </c>
      <c r="H714">
        <v>0</v>
      </c>
      <c r="I714" s="19">
        <v>46106</v>
      </c>
      <c r="J714" s="19">
        <f t="shared" si="22"/>
        <v>46109</v>
      </c>
      <c r="L714">
        <f t="shared" si="23"/>
        <v>101</v>
      </c>
    </row>
    <row r="715" spans="1:12" x14ac:dyDescent="0.25">
      <c r="A715">
        <v>2</v>
      </c>
      <c r="B715">
        <v>4064</v>
      </c>
      <c r="C715">
        <v>193</v>
      </c>
      <c r="D715">
        <v>3</v>
      </c>
      <c r="E715" t="s">
        <v>123</v>
      </c>
      <c r="F715" s="19">
        <v>46015</v>
      </c>
      <c r="G715" t="s">
        <v>120</v>
      </c>
      <c r="H715">
        <v>0</v>
      </c>
      <c r="I715" s="19">
        <v>46066</v>
      </c>
      <c r="J715" s="19">
        <f t="shared" si="22"/>
        <v>46069</v>
      </c>
      <c r="L715">
        <f t="shared" si="23"/>
        <v>54</v>
      </c>
    </row>
    <row r="716" spans="1:12" x14ac:dyDescent="0.25">
      <c r="A716">
        <v>2</v>
      </c>
      <c r="B716">
        <v>3176</v>
      </c>
      <c r="C716">
        <v>7</v>
      </c>
      <c r="D716">
        <v>3</v>
      </c>
      <c r="E716" t="s">
        <v>123</v>
      </c>
      <c r="F716" s="19">
        <v>46015</v>
      </c>
      <c r="G716" t="s">
        <v>122</v>
      </c>
      <c r="H716">
        <v>0</v>
      </c>
      <c r="I716" s="19">
        <v>46086</v>
      </c>
      <c r="J716" s="19">
        <f t="shared" si="22"/>
        <v>46089</v>
      </c>
      <c r="L716">
        <f t="shared" si="23"/>
        <v>74</v>
      </c>
    </row>
    <row r="717" spans="1:12" x14ac:dyDescent="0.25">
      <c r="A717">
        <v>5</v>
      </c>
      <c r="B717">
        <v>2696</v>
      </c>
      <c r="C717">
        <v>39</v>
      </c>
      <c r="D717">
        <v>6</v>
      </c>
      <c r="E717" t="s">
        <v>123</v>
      </c>
      <c r="F717" s="19">
        <v>46015</v>
      </c>
      <c r="G717" t="s">
        <v>122</v>
      </c>
      <c r="H717">
        <v>0</v>
      </c>
      <c r="I717" s="19">
        <v>46185</v>
      </c>
      <c r="J717" s="19">
        <f t="shared" si="22"/>
        <v>46188</v>
      </c>
      <c r="L717">
        <f t="shared" si="23"/>
        <v>173</v>
      </c>
    </row>
    <row r="718" spans="1:12" x14ac:dyDescent="0.25">
      <c r="A718">
        <v>2</v>
      </c>
      <c r="B718">
        <v>3880</v>
      </c>
      <c r="C718">
        <v>14</v>
      </c>
      <c r="D718">
        <v>3</v>
      </c>
      <c r="E718" t="s">
        <v>129</v>
      </c>
      <c r="F718" s="19">
        <v>46022</v>
      </c>
      <c r="G718" t="s">
        <v>122</v>
      </c>
      <c r="H718">
        <v>0</v>
      </c>
      <c r="I718" s="19">
        <v>46062</v>
      </c>
      <c r="J718" s="19">
        <f t="shared" si="22"/>
        <v>46065</v>
      </c>
      <c r="L718">
        <f t="shared" si="23"/>
        <v>43</v>
      </c>
    </row>
    <row r="719" spans="1:12" x14ac:dyDescent="0.25">
      <c r="A719">
        <v>5</v>
      </c>
      <c r="B719">
        <v>4743</v>
      </c>
      <c r="C719">
        <v>195</v>
      </c>
      <c r="D719">
        <v>2</v>
      </c>
      <c r="E719" t="s">
        <v>129</v>
      </c>
      <c r="F719" s="19">
        <v>46022</v>
      </c>
      <c r="G719" t="s">
        <v>120</v>
      </c>
      <c r="H719">
        <v>0</v>
      </c>
      <c r="I719" s="19">
        <v>46064</v>
      </c>
      <c r="J719" s="19">
        <f t="shared" si="22"/>
        <v>46067</v>
      </c>
      <c r="L719">
        <f t="shared" si="23"/>
        <v>45</v>
      </c>
    </row>
    <row r="720" spans="1:12" x14ac:dyDescent="0.25">
      <c r="A720">
        <v>2</v>
      </c>
      <c r="B720">
        <v>3999</v>
      </c>
      <c r="C720">
        <v>194</v>
      </c>
      <c r="D720">
        <v>3</v>
      </c>
      <c r="E720" t="s">
        <v>123</v>
      </c>
      <c r="F720" s="19">
        <v>46022</v>
      </c>
      <c r="G720" t="s">
        <v>120</v>
      </c>
      <c r="H720">
        <v>0</v>
      </c>
      <c r="I720" s="19">
        <v>46065</v>
      </c>
      <c r="J720" s="19">
        <f t="shared" si="22"/>
        <v>46068</v>
      </c>
      <c r="L720">
        <f t="shared" si="23"/>
        <v>46</v>
      </c>
    </row>
    <row r="721" spans="1:12" x14ac:dyDescent="0.25">
      <c r="A721">
        <v>6</v>
      </c>
      <c r="B721">
        <v>3177</v>
      </c>
      <c r="C721">
        <v>194</v>
      </c>
      <c r="D721">
        <v>4</v>
      </c>
      <c r="E721" t="s">
        <v>129</v>
      </c>
      <c r="F721" s="19">
        <v>46022</v>
      </c>
      <c r="G721" t="s">
        <v>131</v>
      </c>
      <c r="H721">
        <v>0</v>
      </c>
      <c r="I721" s="19">
        <v>46065</v>
      </c>
      <c r="J721" s="19">
        <f t="shared" si="22"/>
        <v>46068</v>
      </c>
      <c r="L721">
        <f t="shared" si="23"/>
        <v>46</v>
      </c>
    </row>
    <row r="722" spans="1:12" x14ac:dyDescent="0.25">
      <c r="A722">
        <v>6</v>
      </c>
      <c r="B722">
        <v>4700</v>
      </c>
      <c r="C722">
        <v>193</v>
      </c>
      <c r="D722">
        <v>2</v>
      </c>
      <c r="E722" t="s">
        <v>123</v>
      </c>
      <c r="F722" s="19">
        <v>46022</v>
      </c>
      <c r="G722" t="s">
        <v>131</v>
      </c>
      <c r="H722">
        <v>0</v>
      </c>
      <c r="I722" s="19">
        <v>46066</v>
      </c>
      <c r="J722" s="19">
        <f t="shared" si="22"/>
        <v>46069</v>
      </c>
      <c r="L722">
        <f t="shared" si="23"/>
        <v>47</v>
      </c>
    </row>
    <row r="723" spans="1:12" x14ac:dyDescent="0.25">
      <c r="A723">
        <v>2</v>
      </c>
      <c r="B723">
        <v>3878</v>
      </c>
      <c r="C723">
        <v>191</v>
      </c>
      <c r="D723">
        <v>3</v>
      </c>
      <c r="E723" t="s">
        <v>123</v>
      </c>
      <c r="F723" s="19">
        <v>46022</v>
      </c>
      <c r="G723" t="s">
        <v>120</v>
      </c>
      <c r="H723">
        <v>0</v>
      </c>
      <c r="I723" s="19">
        <v>46068</v>
      </c>
      <c r="J723" s="19">
        <f t="shared" si="22"/>
        <v>46071</v>
      </c>
      <c r="L723">
        <f t="shared" si="23"/>
        <v>49</v>
      </c>
    </row>
    <row r="724" spans="1:12" x14ac:dyDescent="0.25">
      <c r="A724">
        <v>3</v>
      </c>
      <c r="B724">
        <v>4636</v>
      </c>
      <c r="C724">
        <v>190</v>
      </c>
      <c r="D724">
        <v>2</v>
      </c>
      <c r="E724" t="s">
        <v>123</v>
      </c>
      <c r="F724" s="19">
        <v>46022</v>
      </c>
      <c r="G724" t="s">
        <v>132</v>
      </c>
      <c r="H724">
        <v>0</v>
      </c>
      <c r="I724" s="19">
        <v>46069</v>
      </c>
      <c r="J724" s="19">
        <f t="shared" si="22"/>
        <v>46072</v>
      </c>
      <c r="L724">
        <f t="shared" si="23"/>
        <v>50</v>
      </c>
    </row>
    <row r="725" spans="1:12" x14ac:dyDescent="0.25">
      <c r="A725">
        <v>10</v>
      </c>
      <c r="B725">
        <v>4011</v>
      </c>
      <c r="C725">
        <v>27</v>
      </c>
      <c r="D725">
        <v>3</v>
      </c>
      <c r="E725" t="s">
        <v>123</v>
      </c>
      <c r="F725" s="19">
        <v>46022</v>
      </c>
      <c r="G725" t="s">
        <v>122</v>
      </c>
      <c r="H725">
        <v>0</v>
      </c>
      <c r="I725" s="19">
        <v>46070</v>
      </c>
      <c r="J725" s="19">
        <f t="shared" si="22"/>
        <v>46073</v>
      </c>
      <c r="L725">
        <f t="shared" si="23"/>
        <v>51</v>
      </c>
    </row>
    <row r="726" spans="1:12" x14ac:dyDescent="0.25">
      <c r="A726">
        <v>5</v>
      </c>
      <c r="B726">
        <v>3947</v>
      </c>
      <c r="C726">
        <v>189</v>
      </c>
      <c r="D726">
        <v>3</v>
      </c>
      <c r="E726" t="s">
        <v>129</v>
      </c>
      <c r="F726" s="19">
        <v>46022</v>
      </c>
      <c r="G726" t="s">
        <v>120</v>
      </c>
      <c r="H726">
        <v>0</v>
      </c>
      <c r="I726" s="19">
        <v>46070</v>
      </c>
      <c r="J726" s="19">
        <f t="shared" si="22"/>
        <v>46073</v>
      </c>
      <c r="L726">
        <f t="shared" si="23"/>
        <v>51</v>
      </c>
    </row>
    <row r="727" spans="1:12" x14ac:dyDescent="0.25">
      <c r="A727">
        <v>10</v>
      </c>
      <c r="B727">
        <v>4796</v>
      </c>
      <c r="C727">
        <v>189</v>
      </c>
      <c r="D727">
        <v>2</v>
      </c>
      <c r="E727" t="s">
        <v>123</v>
      </c>
      <c r="F727" s="19">
        <v>46022</v>
      </c>
      <c r="G727" t="s">
        <v>132</v>
      </c>
      <c r="H727">
        <v>0</v>
      </c>
      <c r="I727" s="19">
        <v>46070</v>
      </c>
      <c r="J727" s="19">
        <f t="shared" si="22"/>
        <v>46073</v>
      </c>
      <c r="L727">
        <f t="shared" si="23"/>
        <v>51</v>
      </c>
    </row>
    <row r="728" spans="1:12" x14ac:dyDescent="0.25">
      <c r="A728">
        <v>6</v>
      </c>
      <c r="B728">
        <v>4747</v>
      </c>
      <c r="C728">
        <v>189</v>
      </c>
      <c r="D728">
        <v>2</v>
      </c>
      <c r="E728" t="s">
        <v>123</v>
      </c>
      <c r="F728" s="19">
        <v>46022</v>
      </c>
      <c r="G728" t="s">
        <v>120</v>
      </c>
      <c r="H728">
        <v>0</v>
      </c>
      <c r="I728" s="19">
        <v>46070</v>
      </c>
      <c r="J728" s="19">
        <f t="shared" si="22"/>
        <v>46073</v>
      </c>
      <c r="L728">
        <f t="shared" si="23"/>
        <v>51</v>
      </c>
    </row>
    <row r="729" spans="1:12" x14ac:dyDescent="0.25">
      <c r="A729">
        <v>2</v>
      </c>
      <c r="B729">
        <v>4265</v>
      </c>
      <c r="C729">
        <v>189</v>
      </c>
      <c r="D729">
        <v>2</v>
      </c>
      <c r="E729" t="s">
        <v>129</v>
      </c>
      <c r="F729" s="19">
        <v>46022</v>
      </c>
      <c r="G729" t="s">
        <v>120</v>
      </c>
      <c r="H729">
        <v>0</v>
      </c>
      <c r="I729" s="19">
        <v>46070</v>
      </c>
      <c r="J729" s="19">
        <f t="shared" si="22"/>
        <v>46073</v>
      </c>
      <c r="L729">
        <f t="shared" si="23"/>
        <v>51</v>
      </c>
    </row>
    <row r="730" spans="1:12" x14ac:dyDescent="0.25">
      <c r="A730">
        <v>5</v>
      </c>
      <c r="B730">
        <v>4508</v>
      </c>
      <c r="C730">
        <v>189</v>
      </c>
      <c r="D730">
        <v>2</v>
      </c>
      <c r="E730" t="s">
        <v>129</v>
      </c>
      <c r="F730" s="19">
        <v>46022</v>
      </c>
      <c r="G730" t="s">
        <v>120</v>
      </c>
      <c r="H730">
        <v>0</v>
      </c>
      <c r="I730" s="19">
        <v>46070</v>
      </c>
      <c r="J730" s="19">
        <f t="shared" si="22"/>
        <v>46073</v>
      </c>
      <c r="L730">
        <f t="shared" si="23"/>
        <v>51</v>
      </c>
    </row>
    <row r="731" spans="1:12" x14ac:dyDescent="0.25">
      <c r="A731">
        <v>10</v>
      </c>
      <c r="B731">
        <v>1749</v>
      </c>
      <c r="C731">
        <v>69</v>
      </c>
      <c r="D731">
        <v>7</v>
      </c>
      <c r="E731" t="s">
        <v>123</v>
      </c>
      <c r="F731" s="19">
        <v>46022</v>
      </c>
      <c r="G731" t="s">
        <v>122</v>
      </c>
      <c r="H731">
        <v>0</v>
      </c>
      <c r="I731" s="19">
        <v>46071</v>
      </c>
      <c r="J731" s="19">
        <f t="shared" si="22"/>
        <v>46074</v>
      </c>
      <c r="L731">
        <f t="shared" si="23"/>
        <v>52</v>
      </c>
    </row>
    <row r="732" spans="1:12" x14ac:dyDescent="0.25">
      <c r="A732">
        <v>10</v>
      </c>
      <c r="B732">
        <v>657</v>
      </c>
      <c r="C732">
        <v>180</v>
      </c>
      <c r="D732">
        <v>2</v>
      </c>
      <c r="E732" t="s">
        <v>123</v>
      </c>
      <c r="F732" s="19">
        <v>46022</v>
      </c>
      <c r="G732" t="s">
        <v>122</v>
      </c>
      <c r="H732">
        <v>0</v>
      </c>
      <c r="I732" s="19">
        <v>46071</v>
      </c>
      <c r="J732" s="19">
        <f t="shared" si="22"/>
        <v>46074</v>
      </c>
      <c r="L732">
        <f t="shared" si="23"/>
        <v>52</v>
      </c>
    </row>
    <row r="733" spans="1:12" x14ac:dyDescent="0.25">
      <c r="A733">
        <v>5</v>
      </c>
      <c r="B733">
        <v>4429</v>
      </c>
      <c r="C733">
        <v>188</v>
      </c>
      <c r="D733">
        <v>2</v>
      </c>
      <c r="E733" t="s">
        <v>129</v>
      </c>
      <c r="F733" s="19">
        <v>46022</v>
      </c>
      <c r="G733" t="s">
        <v>131</v>
      </c>
      <c r="H733">
        <v>0</v>
      </c>
      <c r="I733" s="19">
        <v>46071</v>
      </c>
      <c r="J733" s="19">
        <f t="shared" si="22"/>
        <v>46074</v>
      </c>
      <c r="L733">
        <f t="shared" si="23"/>
        <v>52</v>
      </c>
    </row>
    <row r="734" spans="1:12" x14ac:dyDescent="0.25">
      <c r="A734">
        <v>7</v>
      </c>
      <c r="B734">
        <v>3581</v>
      </c>
      <c r="C734">
        <v>138</v>
      </c>
      <c r="D734">
        <v>3</v>
      </c>
      <c r="E734" t="s">
        <v>123</v>
      </c>
      <c r="F734" s="19">
        <v>46022</v>
      </c>
      <c r="G734" t="s">
        <v>122</v>
      </c>
      <c r="H734">
        <v>0</v>
      </c>
      <c r="I734" s="19">
        <v>46072</v>
      </c>
      <c r="J734" s="19">
        <f t="shared" si="22"/>
        <v>46075</v>
      </c>
      <c r="L734">
        <f t="shared" si="23"/>
        <v>53</v>
      </c>
    </row>
    <row r="735" spans="1:12" x14ac:dyDescent="0.25">
      <c r="A735">
        <v>10</v>
      </c>
      <c r="B735">
        <v>4364</v>
      </c>
      <c r="C735">
        <v>4</v>
      </c>
      <c r="D735">
        <v>2</v>
      </c>
      <c r="E735" t="s">
        <v>123</v>
      </c>
      <c r="F735" s="19">
        <v>46022</v>
      </c>
      <c r="G735" t="s">
        <v>122</v>
      </c>
      <c r="H735">
        <v>0</v>
      </c>
      <c r="I735" s="19">
        <v>46072</v>
      </c>
      <c r="J735" s="19">
        <f t="shared" si="22"/>
        <v>46075</v>
      </c>
      <c r="L735">
        <f t="shared" si="23"/>
        <v>53</v>
      </c>
    </row>
    <row r="736" spans="1:12" x14ac:dyDescent="0.25">
      <c r="A736">
        <v>5</v>
      </c>
      <c r="B736">
        <v>3208</v>
      </c>
      <c r="C736">
        <v>185</v>
      </c>
      <c r="D736">
        <v>4</v>
      </c>
      <c r="E736" t="s">
        <v>123</v>
      </c>
      <c r="F736" s="19">
        <v>46022</v>
      </c>
      <c r="G736" t="s">
        <v>132</v>
      </c>
      <c r="H736">
        <v>0</v>
      </c>
      <c r="I736" s="19">
        <v>46074</v>
      </c>
      <c r="J736" s="19">
        <f t="shared" si="22"/>
        <v>46077</v>
      </c>
      <c r="L736">
        <f t="shared" si="23"/>
        <v>55</v>
      </c>
    </row>
    <row r="737" spans="1:12" x14ac:dyDescent="0.25">
      <c r="A737">
        <v>5</v>
      </c>
      <c r="B737">
        <v>3263</v>
      </c>
      <c r="C737">
        <v>185</v>
      </c>
      <c r="D737">
        <v>3</v>
      </c>
      <c r="E737" t="s">
        <v>123</v>
      </c>
      <c r="F737" s="19">
        <v>46022</v>
      </c>
      <c r="G737" t="s">
        <v>125</v>
      </c>
      <c r="H737">
        <v>0</v>
      </c>
      <c r="I737" s="19">
        <v>46074</v>
      </c>
      <c r="J737" s="19">
        <f t="shared" si="22"/>
        <v>46077</v>
      </c>
      <c r="L737">
        <f t="shared" si="23"/>
        <v>55</v>
      </c>
    </row>
    <row r="738" spans="1:12" x14ac:dyDescent="0.25">
      <c r="A738">
        <v>3</v>
      </c>
      <c r="B738">
        <v>3604</v>
      </c>
      <c r="C738">
        <v>183</v>
      </c>
      <c r="D738">
        <v>3</v>
      </c>
      <c r="E738" t="s">
        <v>123</v>
      </c>
      <c r="F738" s="19">
        <v>46022</v>
      </c>
      <c r="G738" t="s">
        <v>125</v>
      </c>
      <c r="H738">
        <v>0</v>
      </c>
      <c r="I738" s="19">
        <v>46076</v>
      </c>
      <c r="J738" s="19">
        <f t="shared" si="22"/>
        <v>46079</v>
      </c>
      <c r="L738">
        <f t="shared" si="23"/>
        <v>57</v>
      </c>
    </row>
    <row r="739" spans="1:12" x14ac:dyDescent="0.25">
      <c r="A739">
        <v>10</v>
      </c>
      <c r="B739">
        <v>3383</v>
      </c>
      <c r="C739">
        <v>97</v>
      </c>
      <c r="D739">
        <v>4</v>
      </c>
      <c r="E739" t="s">
        <v>129</v>
      </c>
      <c r="F739" s="19">
        <v>46022</v>
      </c>
      <c r="G739" t="s">
        <v>122</v>
      </c>
      <c r="H739">
        <v>0</v>
      </c>
      <c r="I739" s="19">
        <v>46077</v>
      </c>
      <c r="J739" s="19">
        <f t="shared" si="22"/>
        <v>46080</v>
      </c>
      <c r="L739">
        <f t="shared" si="23"/>
        <v>58</v>
      </c>
    </row>
    <row r="740" spans="1:12" x14ac:dyDescent="0.25">
      <c r="A740">
        <v>5</v>
      </c>
      <c r="B740">
        <v>1160</v>
      </c>
      <c r="C740">
        <v>179</v>
      </c>
      <c r="D740">
        <v>3</v>
      </c>
      <c r="E740" t="s">
        <v>123</v>
      </c>
      <c r="F740" s="19">
        <v>46022</v>
      </c>
      <c r="G740" t="s">
        <v>132</v>
      </c>
      <c r="H740">
        <v>0</v>
      </c>
      <c r="I740" s="19">
        <v>46080</v>
      </c>
      <c r="J740" s="19">
        <f t="shared" si="22"/>
        <v>46083</v>
      </c>
      <c r="L740">
        <f t="shared" si="23"/>
        <v>61</v>
      </c>
    </row>
    <row r="741" spans="1:12" x14ac:dyDescent="0.25">
      <c r="A741">
        <v>9</v>
      </c>
      <c r="B741">
        <v>3931</v>
      </c>
      <c r="C741">
        <v>2</v>
      </c>
      <c r="D741">
        <v>3</v>
      </c>
      <c r="E741" t="s">
        <v>123</v>
      </c>
      <c r="F741" s="19">
        <v>46022</v>
      </c>
      <c r="G741" t="s">
        <v>122</v>
      </c>
      <c r="H741">
        <v>0</v>
      </c>
      <c r="I741" s="19">
        <v>46085</v>
      </c>
      <c r="J741" s="19">
        <f t="shared" si="22"/>
        <v>46088</v>
      </c>
      <c r="L741">
        <f t="shared" si="23"/>
        <v>66</v>
      </c>
    </row>
    <row r="742" spans="1:12" x14ac:dyDescent="0.25">
      <c r="A742">
        <v>5</v>
      </c>
      <c r="B742">
        <v>2904</v>
      </c>
      <c r="C742">
        <v>152</v>
      </c>
      <c r="D742">
        <v>4</v>
      </c>
      <c r="E742" t="s">
        <v>123</v>
      </c>
      <c r="F742" s="19">
        <v>46022</v>
      </c>
      <c r="G742" t="s">
        <v>132</v>
      </c>
      <c r="H742">
        <v>0</v>
      </c>
      <c r="I742" s="19">
        <v>46107</v>
      </c>
      <c r="J742" s="19">
        <f t="shared" si="22"/>
        <v>46110</v>
      </c>
      <c r="L742">
        <f t="shared" si="23"/>
        <v>88</v>
      </c>
    </row>
    <row r="743" spans="1:12" x14ac:dyDescent="0.25">
      <c r="A743">
        <v>5</v>
      </c>
      <c r="B743">
        <v>2894</v>
      </c>
      <c r="C743">
        <v>193</v>
      </c>
      <c r="D743">
        <v>4</v>
      </c>
      <c r="E743" t="s">
        <v>123</v>
      </c>
      <c r="F743" s="19">
        <v>46029</v>
      </c>
      <c r="G743" t="s">
        <v>132</v>
      </c>
      <c r="H743">
        <v>0</v>
      </c>
      <c r="I743" s="19">
        <v>46066</v>
      </c>
      <c r="J743" s="19">
        <f t="shared" si="22"/>
        <v>46069</v>
      </c>
      <c r="L743">
        <f t="shared" si="23"/>
        <v>40</v>
      </c>
    </row>
    <row r="744" spans="1:12" x14ac:dyDescent="0.25">
      <c r="A744">
        <v>5</v>
      </c>
      <c r="B744">
        <v>4736</v>
      </c>
      <c r="C744">
        <v>185</v>
      </c>
      <c r="D744">
        <v>2</v>
      </c>
      <c r="E744" t="s">
        <v>123</v>
      </c>
      <c r="F744" s="19">
        <v>46029</v>
      </c>
      <c r="G744" t="s">
        <v>120</v>
      </c>
      <c r="H744">
        <v>0</v>
      </c>
      <c r="I744" s="19">
        <v>46074</v>
      </c>
      <c r="J744" s="19">
        <f t="shared" si="22"/>
        <v>46077</v>
      </c>
      <c r="L744">
        <f t="shared" si="23"/>
        <v>48</v>
      </c>
    </row>
    <row r="745" spans="1:12" x14ac:dyDescent="0.25">
      <c r="A745">
        <v>5</v>
      </c>
      <c r="B745">
        <v>4695</v>
      </c>
      <c r="C745">
        <v>185</v>
      </c>
      <c r="D745">
        <v>2</v>
      </c>
      <c r="E745" t="s">
        <v>123</v>
      </c>
      <c r="F745" s="19">
        <v>46029</v>
      </c>
      <c r="G745" t="s">
        <v>120</v>
      </c>
      <c r="H745">
        <v>0</v>
      </c>
      <c r="I745" s="19">
        <v>46074</v>
      </c>
      <c r="J745" s="19">
        <f t="shared" si="22"/>
        <v>46077</v>
      </c>
      <c r="L745">
        <f t="shared" si="23"/>
        <v>48</v>
      </c>
    </row>
    <row r="746" spans="1:12" x14ac:dyDescent="0.25">
      <c r="A746">
        <v>2</v>
      </c>
      <c r="B746">
        <v>3856</v>
      </c>
      <c r="C746">
        <v>183</v>
      </c>
      <c r="D746">
        <v>3</v>
      </c>
      <c r="E746" t="s">
        <v>123</v>
      </c>
      <c r="F746" s="19">
        <v>46029</v>
      </c>
      <c r="G746" t="s">
        <v>132</v>
      </c>
      <c r="H746">
        <v>0</v>
      </c>
      <c r="I746" s="19">
        <v>46076</v>
      </c>
      <c r="J746" s="19">
        <f t="shared" ref="J746:J809" si="24">I746+3</f>
        <v>46079</v>
      </c>
      <c r="L746">
        <f t="shared" ref="L746:L809" si="25">J746-F746</f>
        <v>50</v>
      </c>
    </row>
    <row r="747" spans="1:12" x14ac:dyDescent="0.25">
      <c r="A747">
        <v>5</v>
      </c>
      <c r="B747">
        <v>3919</v>
      </c>
      <c r="C747">
        <v>183</v>
      </c>
      <c r="D747">
        <v>3</v>
      </c>
      <c r="E747" t="s">
        <v>123</v>
      </c>
      <c r="F747" s="19">
        <v>46029</v>
      </c>
      <c r="G747" t="s">
        <v>120</v>
      </c>
      <c r="H747">
        <v>0</v>
      </c>
      <c r="I747" s="19">
        <v>46076</v>
      </c>
      <c r="J747" s="19">
        <f t="shared" si="24"/>
        <v>46079</v>
      </c>
      <c r="L747">
        <f t="shared" si="25"/>
        <v>50</v>
      </c>
    </row>
    <row r="748" spans="1:12" x14ac:dyDescent="0.25">
      <c r="A748">
        <v>10</v>
      </c>
      <c r="B748">
        <v>3400</v>
      </c>
      <c r="C748">
        <v>29</v>
      </c>
      <c r="D748">
        <v>4</v>
      </c>
      <c r="E748" t="s">
        <v>123</v>
      </c>
      <c r="F748" s="19">
        <v>46029</v>
      </c>
      <c r="G748" t="s">
        <v>122</v>
      </c>
      <c r="H748">
        <v>0</v>
      </c>
      <c r="I748" s="19">
        <v>46076</v>
      </c>
      <c r="J748" s="19">
        <f t="shared" si="24"/>
        <v>46079</v>
      </c>
      <c r="L748">
        <f t="shared" si="25"/>
        <v>50</v>
      </c>
    </row>
    <row r="749" spans="1:12" x14ac:dyDescent="0.25">
      <c r="A749">
        <v>5</v>
      </c>
      <c r="B749">
        <v>2863</v>
      </c>
      <c r="C749">
        <v>183</v>
      </c>
      <c r="D749">
        <v>5</v>
      </c>
      <c r="E749" t="s">
        <v>123</v>
      </c>
      <c r="F749" s="19">
        <v>46029</v>
      </c>
      <c r="G749" t="s">
        <v>120</v>
      </c>
      <c r="H749">
        <v>0</v>
      </c>
      <c r="I749" s="19">
        <v>46076</v>
      </c>
      <c r="J749" s="19">
        <f t="shared" si="24"/>
        <v>46079</v>
      </c>
      <c r="L749">
        <f t="shared" si="25"/>
        <v>50</v>
      </c>
    </row>
    <row r="750" spans="1:12" x14ac:dyDescent="0.25">
      <c r="A750">
        <v>2</v>
      </c>
      <c r="B750">
        <v>3899</v>
      </c>
      <c r="C750">
        <v>182</v>
      </c>
      <c r="D750">
        <v>3</v>
      </c>
      <c r="E750" t="s">
        <v>123</v>
      </c>
      <c r="F750" s="19">
        <v>46029</v>
      </c>
      <c r="G750" t="s">
        <v>120</v>
      </c>
      <c r="H750">
        <v>0</v>
      </c>
      <c r="I750" s="19">
        <v>46077</v>
      </c>
      <c r="J750" s="19">
        <f t="shared" si="24"/>
        <v>46080</v>
      </c>
      <c r="L750">
        <f t="shared" si="25"/>
        <v>51</v>
      </c>
    </row>
    <row r="751" spans="1:12" x14ac:dyDescent="0.25">
      <c r="A751">
        <v>5</v>
      </c>
      <c r="B751">
        <v>4672</v>
      </c>
      <c r="C751">
        <v>182</v>
      </c>
      <c r="D751">
        <v>2</v>
      </c>
      <c r="E751" t="s">
        <v>123</v>
      </c>
      <c r="F751" s="19">
        <v>46029</v>
      </c>
      <c r="G751" t="s">
        <v>120</v>
      </c>
      <c r="H751">
        <v>0</v>
      </c>
      <c r="I751" s="19">
        <v>46077</v>
      </c>
      <c r="J751" s="19">
        <f t="shared" si="24"/>
        <v>46080</v>
      </c>
      <c r="L751">
        <f t="shared" si="25"/>
        <v>51</v>
      </c>
    </row>
    <row r="752" spans="1:12" x14ac:dyDescent="0.25">
      <c r="A752">
        <v>5</v>
      </c>
      <c r="B752">
        <v>3826</v>
      </c>
      <c r="C752">
        <v>181</v>
      </c>
      <c r="D752">
        <v>3</v>
      </c>
      <c r="E752" t="s">
        <v>123</v>
      </c>
      <c r="F752" s="19">
        <v>46029</v>
      </c>
      <c r="G752" t="s">
        <v>120</v>
      </c>
      <c r="H752">
        <v>0</v>
      </c>
      <c r="I752" s="19">
        <v>46078</v>
      </c>
      <c r="J752" s="19">
        <f t="shared" si="24"/>
        <v>46081</v>
      </c>
      <c r="L752">
        <f t="shared" si="25"/>
        <v>52</v>
      </c>
    </row>
    <row r="753" spans="1:12" x14ac:dyDescent="0.25">
      <c r="A753">
        <v>3</v>
      </c>
      <c r="B753">
        <v>3924</v>
      </c>
      <c r="C753">
        <v>181</v>
      </c>
      <c r="D753">
        <v>3</v>
      </c>
      <c r="E753" t="s">
        <v>123</v>
      </c>
      <c r="F753" s="19">
        <v>46029</v>
      </c>
      <c r="G753" t="s">
        <v>120</v>
      </c>
      <c r="H753">
        <v>0</v>
      </c>
      <c r="I753" s="19">
        <v>46078</v>
      </c>
      <c r="J753" s="19">
        <f t="shared" si="24"/>
        <v>46081</v>
      </c>
      <c r="L753">
        <f t="shared" si="25"/>
        <v>52</v>
      </c>
    </row>
    <row r="754" spans="1:12" x14ac:dyDescent="0.25">
      <c r="A754">
        <v>5</v>
      </c>
      <c r="B754">
        <v>3471</v>
      </c>
      <c r="C754">
        <v>181</v>
      </c>
      <c r="D754">
        <v>4</v>
      </c>
      <c r="E754" t="s">
        <v>123</v>
      </c>
      <c r="F754" s="19">
        <v>46029</v>
      </c>
      <c r="G754" t="s">
        <v>120</v>
      </c>
      <c r="H754">
        <v>0</v>
      </c>
      <c r="I754" s="19">
        <v>46078</v>
      </c>
      <c r="J754" s="19">
        <f t="shared" si="24"/>
        <v>46081</v>
      </c>
      <c r="L754">
        <f t="shared" si="25"/>
        <v>52</v>
      </c>
    </row>
    <row r="755" spans="1:12" x14ac:dyDescent="0.25">
      <c r="A755">
        <v>5</v>
      </c>
      <c r="B755">
        <v>2925</v>
      </c>
      <c r="C755">
        <v>181</v>
      </c>
      <c r="D755">
        <v>5</v>
      </c>
      <c r="E755" t="s">
        <v>123</v>
      </c>
      <c r="F755" s="19">
        <v>46029</v>
      </c>
      <c r="G755" t="s">
        <v>132</v>
      </c>
      <c r="H755">
        <v>0</v>
      </c>
      <c r="I755" s="19">
        <v>46078</v>
      </c>
      <c r="J755" s="19">
        <f t="shared" si="24"/>
        <v>46081</v>
      </c>
      <c r="L755">
        <f t="shared" si="25"/>
        <v>52</v>
      </c>
    </row>
    <row r="756" spans="1:12" x14ac:dyDescent="0.25">
      <c r="A756">
        <v>6</v>
      </c>
      <c r="B756">
        <v>4748</v>
      </c>
      <c r="C756">
        <v>181</v>
      </c>
      <c r="D756">
        <v>2</v>
      </c>
      <c r="E756" t="s">
        <v>123</v>
      </c>
      <c r="F756" s="19">
        <v>46029</v>
      </c>
      <c r="G756" t="s">
        <v>120</v>
      </c>
      <c r="H756">
        <v>0</v>
      </c>
      <c r="I756" s="19">
        <v>46078</v>
      </c>
      <c r="J756" s="19">
        <f t="shared" si="24"/>
        <v>46081</v>
      </c>
      <c r="L756">
        <f t="shared" si="25"/>
        <v>52</v>
      </c>
    </row>
    <row r="757" spans="1:12" x14ac:dyDescent="0.25">
      <c r="A757">
        <v>5</v>
      </c>
      <c r="B757">
        <v>3821</v>
      </c>
      <c r="C757">
        <v>180</v>
      </c>
      <c r="D757">
        <v>3</v>
      </c>
      <c r="E757" t="s">
        <v>123</v>
      </c>
      <c r="F757" s="19">
        <v>46029</v>
      </c>
      <c r="G757" t="s">
        <v>132</v>
      </c>
      <c r="H757">
        <v>0</v>
      </c>
      <c r="I757" s="19">
        <v>46079</v>
      </c>
      <c r="J757" s="19">
        <f t="shared" si="24"/>
        <v>46082</v>
      </c>
      <c r="L757">
        <f t="shared" si="25"/>
        <v>53</v>
      </c>
    </row>
    <row r="758" spans="1:12" x14ac:dyDescent="0.25">
      <c r="A758">
        <v>3</v>
      </c>
      <c r="B758">
        <v>4830</v>
      </c>
      <c r="C758">
        <v>180</v>
      </c>
      <c r="D758">
        <v>2</v>
      </c>
      <c r="E758" t="s">
        <v>123</v>
      </c>
      <c r="F758" s="19">
        <v>46029</v>
      </c>
      <c r="G758" t="s">
        <v>131</v>
      </c>
      <c r="H758">
        <v>0</v>
      </c>
      <c r="I758" s="19">
        <v>46079</v>
      </c>
      <c r="J758" s="19">
        <f t="shared" si="24"/>
        <v>46082</v>
      </c>
      <c r="L758">
        <f t="shared" si="25"/>
        <v>53</v>
      </c>
    </row>
    <row r="759" spans="1:12" x14ac:dyDescent="0.25">
      <c r="A759">
        <v>5</v>
      </c>
      <c r="B759">
        <v>4724</v>
      </c>
      <c r="C759">
        <v>180</v>
      </c>
      <c r="D759">
        <v>2</v>
      </c>
      <c r="E759" t="s">
        <v>123</v>
      </c>
      <c r="F759" s="19">
        <v>46029</v>
      </c>
      <c r="G759" t="s">
        <v>132</v>
      </c>
      <c r="H759">
        <v>0</v>
      </c>
      <c r="I759" s="19">
        <v>46079</v>
      </c>
      <c r="J759" s="19">
        <f t="shared" si="24"/>
        <v>46082</v>
      </c>
      <c r="L759">
        <f t="shared" si="25"/>
        <v>53</v>
      </c>
    </row>
    <row r="760" spans="1:12" x14ac:dyDescent="0.25">
      <c r="A760">
        <v>2</v>
      </c>
      <c r="B760">
        <v>4034</v>
      </c>
      <c r="C760">
        <v>176</v>
      </c>
      <c r="D760">
        <v>3</v>
      </c>
      <c r="E760" t="s">
        <v>123</v>
      </c>
      <c r="F760" s="19">
        <v>46029</v>
      </c>
      <c r="G760" t="s">
        <v>122</v>
      </c>
      <c r="H760">
        <v>0</v>
      </c>
      <c r="I760" s="19">
        <v>46080</v>
      </c>
      <c r="J760" s="19">
        <f t="shared" si="24"/>
        <v>46083</v>
      </c>
      <c r="L760">
        <f t="shared" si="25"/>
        <v>54</v>
      </c>
    </row>
    <row r="761" spans="1:12" x14ac:dyDescent="0.25">
      <c r="A761">
        <v>10</v>
      </c>
      <c r="B761">
        <v>4620</v>
      </c>
      <c r="C761">
        <v>175</v>
      </c>
      <c r="D761">
        <v>2</v>
      </c>
      <c r="E761" t="s">
        <v>123</v>
      </c>
      <c r="F761" s="19">
        <v>46029</v>
      </c>
      <c r="G761" t="s">
        <v>120</v>
      </c>
      <c r="H761">
        <v>0</v>
      </c>
      <c r="I761" s="19">
        <v>46084</v>
      </c>
      <c r="J761" s="19">
        <f t="shared" si="24"/>
        <v>46087</v>
      </c>
      <c r="L761">
        <f t="shared" si="25"/>
        <v>58</v>
      </c>
    </row>
    <row r="762" spans="1:12" x14ac:dyDescent="0.25">
      <c r="A762">
        <v>5</v>
      </c>
      <c r="B762">
        <v>3153</v>
      </c>
      <c r="C762">
        <v>172</v>
      </c>
      <c r="D762">
        <v>3</v>
      </c>
      <c r="E762" t="s">
        <v>123</v>
      </c>
      <c r="F762" s="19">
        <v>46029</v>
      </c>
      <c r="G762" t="s">
        <v>131</v>
      </c>
      <c r="H762">
        <v>0</v>
      </c>
      <c r="I762" s="19">
        <v>46087</v>
      </c>
      <c r="J762" s="19">
        <f t="shared" si="24"/>
        <v>46090</v>
      </c>
      <c r="L762">
        <f t="shared" si="25"/>
        <v>61</v>
      </c>
    </row>
    <row r="763" spans="1:12" x14ac:dyDescent="0.25">
      <c r="A763">
        <v>10</v>
      </c>
      <c r="B763">
        <v>4205</v>
      </c>
      <c r="C763">
        <v>123</v>
      </c>
      <c r="D763">
        <v>2</v>
      </c>
      <c r="E763" t="s">
        <v>123</v>
      </c>
      <c r="F763" s="19">
        <v>46029</v>
      </c>
      <c r="G763" t="s">
        <v>122</v>
      </c>
      <c r="H763">
        <v>0</v>
      </c>
      <c r="I763" s="19">
        <v>46087</v>
      </c>
      <c r="J763" s="19">
        <f t="shared" si="24"/>
        <v>46090</v>
      </c>
      <c r="L763">
        <f t="shared" si="25"/>
        <v>61</v>
      </c>
    </row>
    <row r="764" spans="1:12" x14ac:dyDescent="0.25">
      <c r="A764">
        <v>6</v>
      </c>
      <c r="B764">
        <v>4060</v>
      </c>
      <c r="C764">
        <v>163</v>
      </c>
      <c r="D764">
        <v>2</v>
      </c>
      <c r="E764" t="s">
        <v>123</v>
      </c>
      <c r="F764" s="19">
        <v>46029</v>
      </c>
      <c r="G764" t="s">
        <v>120</v>
      </c>
      <c r="H764">
        <v>0</v>
      </c>
      <c r="I764" s="19">
        <v>46096</v>
      </c>
      <c r="J764" s="19">
        <f t="shared" si="24"/>
        <v>46099</v>
      </c>
      <c r="L764">
        <f t="shared" si="25"/>
        <v>70</v>
      </c>
    </row>
    <row r="765" spans="1:12" x14ac:dyDescent="0.25">
      <c r="A765">
        <v>5</v>
      </c>
      <c r="B765">
        <v>4758</v>
      </c>
      <c r="C765">
        <v>152</v>
      </c>
      <c r="D765">
        <v>2</v>
      </c>
      <c r="E765" t="s">
        <v>123</v>
      </c>
      <c r="F765" s="19">
        <v>46029</v>
      </c>
      <c r="G765" t="s">
        <v>120</v>
      </c>
      <c r="H765">
        <v>0</v>
      </c>
      <c r="I765" s="19">
        <v>46107</v>
      </c>
      <c r="J765" s="19">
        <f t="shared" si="24"/>
        <v>46110</v>
      </c>
      <c r="L765">
        <f t="shared" si="25"/>
        <v>81</v>
      </c>
    </row>
    <row r="766" spans="1:12" x14ac:dyDescent="0.25">
      <c r="A766">
        <v>5</v>
      </c>
      <c r="B766">
        <v>3608</v>
      </c>
      <c r="C766">
        <v>131</v>
      </c>
      <c r="D766">
        <v>3</v>
      </c>
      <c r="E766" t="s">
        <v>123</v>
      </c>
      <c r="F766" s="19">
        <v>46029</v>
      </c>
      <c r="G766" t="s">
        <v>132</v>
      </c>
      <c r="H766">
        <v>0</v>
      </c>
      <c r="I766" s="19">
        <v>46128</v>
      </c>
      <c r="J766" s="19">
        <f t="shared" si="24"/>
        <v>46131</v>
      </c>
      <c r="L766">
        <f t="shared" si="25"/>
        <v>102</v>
      </c>
    </row>
    <row r="767" spans="1:12" x14ac:dyDescent="0.25">
      <c r="A767">
        <v>5</v>
      </c>
      <c r="B767">
        <v>3331</v>
      </c>
      <c r="C767">
        <v>103</v>
      </c>
      <c r="D767">
        <v>4</v>
      </c>
      <c r="E767" t="s">
        <v>123</v>
      </c>
      <c r="F767" s="19">
        <v>46029</v>
      </c>
      <c r="G767" t="s">
        <v>131</v>
      </c>
      <c r="H767">
        <v>0</v>
      </c>
      <c r="I767" s="19">
        <v>46156</v>
      </c>
      <c r="J767" s="19">
        <f t="shared" si="24"/>
        <v>46159</v>
      </c>
      <c r="L767">
        <f t="shared" si="25"/>
        <v>130</v>
      </c>
    </row>
    <row r="768" spans="1:12" x14ac:dyDescent="0.25">
      <c r="A768">
        <v>10</v>
      </c>
      <c r="B768">
        <v>2503</v>
      </c>
      <c r="C768">
        <v>28</v>
      </c>
      <c r="D768">
        <v>5</v>
      </c>
      <c r="E768" t="s">
        <v>123</v>
      </c>
      <c r="F768" s="19">
        <v>46029</v>
      </c>
      <c r="G768" t="s">
        <v>122</v>
      </c>
      <c r="H768">
        <v>0</v>
      </c>
      <c r="I768" s="19">
        <v>46161</v>
      </c>
      <c r="J768" s="19">
        <f t="shared" si="24"/>
        <v>46164</v>
      </c>
      <c r="L768">
        <f t="shared" si="25"/>
        <v>135</v>
      </c>
    </row>
    <row r="769" spans="1:12" x14ac:dyDescent="0.25">
      <c r="A769">
        <v>3</v>
      </c>
      <c r="B769">
        <v>3065</v>
      </c>
      <c r="C769">
        <v>3</v>
      </c>
      <c r="D769">
        <v>5</v>
      </c>
      <c r="E769" t="s">
        <v>123</v>
      </c>
      <c r="F769" s="19">
        <v>46029</v>
      </c>
      <c r="G769" t="s">
        <v>122</v>
      </c>
      <c r="H769">
        <v>0</v>
      </c>
      <c r="I769" s="19">
        <v>46201</v>
      </c>
      <c r="J769" s="19">
        <f t="shared" si="24"/>
        <v>46204</v>
      </c>
      <c r="L769">
        <f t="shared" si="25"/>
        <v>175</v>
      </c>
    </row>
    <row r="770" spans="1:12" x14ac:dyDescent="0.25">
      <c r="A770">
        <v>10</v>
      </c>
      <c r="B770">
        <v>4036</v>
      </c>
      <c r="C770">
        <v>15</v>
      </c>
      <c r="D770">
        <v>3</v>
      </c>
      <c r="E770" t="s">
        <v>123</v>
      </c>
      <c r="F770" s="19">
        <v>46036</v>
      </c>
      <c r="G770" t="s">
        <v>122</v>
      </c>
      <c r="H770">
        <v>0</v>
      </c>
      <c r="I770" s="19">
        <v>46069</v>
      </c>
      <c r="J770" s="19">
        <f t="shared" si="24"/>
        <v>46072</v>
      </c>
      <c r="L770">
        <f t="shared" si="25"/>
        <v>36</v>
      </c>
    </row>
    <row r="771" spans="1:12" x14ac:dyDescent="0.25">
      <c r="A771">
        <v>7</v>
      </c>
      <c r="B771">
        <v>3563</v>
      </c>
      <c r="C771">
        <v>136</v>
      </c>
      <c r="D771">
        <v>3</v>
      </c>
      <c r="E771" t="s">
        <v>123</v>
      </c>
      <c r="F771" s="19">
        <v>46036</v>
      </c>
      <c r="G771" t="s">
        <v>122</v>
      </c>
      <c r="H771">
        <v>0</v>
      </c>
      <c r="I771" s="19">
        <v>46074</v>
      </c>
      <c r="J771" s="19">
        <f t="shared" si="24"/>
        <v>46077</v>
      </c>
      <c r="L771">
        <f t="shared" si="25"/>
        <v>41</v>
      </c>
    </row>
    <row r="772" spans="1:12" x14ac:dyDescent="0.25">
      <c r="A772">
        <v>3</v>
      </c>
      <c r="B772">
        <v>3904</v>
      </c>
      <c r="C772">
        <v>183</v>
      </c>
      <c r="D772">
        <v>3</v>
      </c>
      <c r="E772" t="s">
        <v>123</v>
      </c>
      <c r="F772" s="19">
        <v>46036</v>
      </c>
      <c r="G772" t="s">
        <v>120</v>
      </c>
      <c r="H772">
        <v>0</v>
      </c>
      <c r="I772" s="19">
        <v>46076</v>
      </c>
      <c r="J772" s="19">
        <f t="shared" si="24"/>
        <v>46079</v>
      </c>
      <c r="L772">
        <f t="shared" si="25"/>
        <v>43</v>
      </c>
    </row>
    <row r="773" spans="1:12" x14ac:dyDescent="0.25">
      <c r="A773">
        <v>5</v>
      </c>
      <c r="B773">
        <v>3957</v>
      </c>
      <c r="C773">
        <v>180</v>
      </c>
      <c r="D773">
        <v>3</v>
      </c>
      <c r="E773" t="s">
        <v>123</v>
      </c>
      <c r="F773" s="19">
        <v>46036</v>
      </c>
      <c r="G773" t="s">
        <v>132</v>
      </c>
      <c r="H773">
        <v>0</v>
      </c>
      <c r="I773" s="19">
        <v>46079</v>
      </c>
      <c r="J773" s="19">
        <f t="shared" si="24"/>
        <v>46082</v>
      </c>
      <c r="L773">
        <f t="shared" si="25"/>
        <v>46</v>
      </c>
    </row>
    <row r="774" spans="1:12" x14ac:dyDescent="0.25">
      <c r="A774">
        <v>3</v>
      </c>
      <c r="B774">
        <v>3850</v>
      </c>
      <c r="C774">
        <v>180</v>
      </c>
      <c r="D774">
        <v>3</v>
      </c>
      <c r="E774" t="s">
        <v>123</v>
      </c>
      <c r="F774" s="19">
        <v>46036</v>
      </c>
      <c r="G774" t="s">
        <v>120</v>
      </c>
      <c r="H774">
        <v>0</v>
      </c>
      <c r="I774" s="19">
        <v>46079</v>
      </c>
      <c r="J774" s="19">
        <f t="shared" si="24"/>
        <v>46082</v>
      </c>
      <c r="L774">
        <f t="shared" si="25"/>
        <v>46</v>
      </c>
    </row>
    <row r="775" spans="1:12" x14ac:dyDescent="0.25">
      <c r="A775">
        <v>5</v>
      </c>
      <c r="B775">
        <v>4831</v>
      </c>
      <c r="C775">
        <v>180</v>
      </c>
      <c r="D775">
        <v>2</v>
      </c>
      <c r="E775" t="s">
        <v>123</v>
      </c>
      <c r="F775" s="19">
        <v>46036</v>
      </c>
      <c r="G775" t="s">
        <v>132</v>
      </c>
      <c r="H775">
        <v>0</v>
      </c>
      <c r="I775" s="19">
        <v>46079</v>
      </c>
      <c r="J775" s="19">
        <f t="shared" si="24"/>
        <v>46082</v>
      </c>
      <c r="L775">
        <f t="shared" si="25"/>
        <v>46</v>
      </c>
    </row>
    <row r="776" spans="1:12" x14ac:dyDescent="0.25">
      <c r="A776">
        <v>2</v>
      </c>
      <c r="B776">
        <v>4652</v>
      </c>
      <c r="C776">
        <v>180</v>
      </c>
      <c r="D776">
        <v>2</v>
      </c>
      <c r="E776" t="s">
        <v>123</v>
      </c>
      <c r="F776" s="19">
        <v>46036</v>
      </c>
      <c r="G776" t="s">
        <v>132</v>
      </c>
      <c r="H776">
        <v>0</v>
      </c>
      <c r="I776" s="19">
        <v>46079</v>
      </c>
      <c r="J776" s="19">
        <f t="shared" si="24"/>
        <v>46082</v>
      </c>
      <c r="L776">
        <f t="shared" si="25"/>
        <v>46</v>
      </c>
    </row>
    <row r="777" spans="1:12" x14ac:dyDescent="0.25">
      <c r="A777">
        <v>6</v>
      </c>
      <c r="B777">
        <v>4002</v>
      </c>
      <c r="C777">
        <v>179</v>
      </c>
      <c r="D777">
        <v>3</v>
      </c>
      <c r="E777" t="s">
        <v>123</v>
      </c>
      <c r="F777" s="19">
        <v>46036</v>
      </c>
      <c r="G777" t="s">
        <v>120</v>
      </c>
      <c r="H777">
        <v>0</v>
      </c>
      <c r="I777" s="19">
        <v>46080</v>
      </c>
      <c r="J777" s="19">
        <f t="shared" si="24"/>
        <v>46083</v>
      </c>
      <c r="L777">
        <f t="shared" si="25"/>
        <v>47</v>
      </c>
    </row>
    <row r="778" spans="1:12" x14ac:dyDescent="0.25">
      <c r="A778">
        <v>6</v>
      </c>
      <c r="B778">
        <v>3938</v>
      </c>
      <c r="C778">
        <v>178</v>
      </c>
      <c r="D778">
        <v>2</v>
      </c>
      <c r="E778" t="s">
        <v>123</v>
      </c>
      <c r="F778" s="19">
        <v>46036</v>
      </c>
      <c r="G778" t="s">
        <v>120</v>
      </c>
      <c r="H778">
        <v>0</v>
      </c>
      <c r="I778" s="19">
        <v>46081</v>
      </c>
      <c r="J778" s="19">
        <f t="shared" si="24"/>
        <v>46084</v>
      </c>
      <c r="L778">
        <f t="shared" si="25"/>
        <v>48</v>
      </c>
    </row>
    <row r="779" spans="1:12" x14ac:dyDescent="0.25">
      <c r="A779">
        <v>5</v>
      </c>
      <c r="B779">
        <v>4606</v>
      </c>
      <c r="C779">
        <v>178</v>
      </c>
      <c r="D779">
        <v>2</v>
      </c>
      <c r="E779" t="s">
        <v>123</v>
      </c>
      <c r="F779" s="19">
        <v>46036</v>
      </c>
      <c r="G779" t="s">
        <v>132</v>
      </c>
      <c r="H779">
        <v>0</v>
      </c>
      <c r="I779" s="19">
        <v>46081</v>
      </c>
      <c r="J779" s="19">
        <f t="shared" si="24"/>
        <v>46084</v>
      </c>
      <c r="L779">
        <f t="shared" si="25"/>
        <v>48</v>
      </c>
    </row>
    <row r="780" spans="1:12" x14ac:dyDescent="0.25">
      <c r="A780">
        <v>6</v>
      </c>
      <c r="B780">
        <v>3927</v>
      </c>
      <c r="C780">
        <v>177</v>
      </c>
      <c r="D780">
        <v>2</v>
      </c>
      <c r="E780" t="s">
        <v>123</v>
      </c>
      <c r="F780" s="19">
        <v>46036</v>
      </c>
      <c r="G780" t="s">
        <v>125</v>
      </c>
      <c r="H780">
        <v>0</v>
      </c>
      <c r="I780" s="19">
        <v>46082</v>
      </c>
      <c r="J780" s="19">
        <f t="shared" si="24"/>
        <v>46085</v>
      </c>
      <c r="L780">
        <f t="shared" si="25"/>
        <v>49</v>
      </c>
    </row>
    <row r="781" spans="1:12" x14ac:dyDescent="0.25">
      <c r="A781">
        <v>2</v>
      </c>
      <c r="B781">
        <v>4644</v>
      </c>
      <c r="C781">
        <v>177</v>
      </c>
      <c r="D781">
        <v>2</v>
      </c>
      <c r="E781" t="s">
        <v>123</v>
      </c>
      <c r="F781" s="19">
        <v>46036</v>
      </c>
      <c r="G781" t="s">
        <v>120</v>
      </c>
      <c r="H781">
        <v>0</v>
      </c>
      <c r="I781" s="19">
        <v>46082</v>
      </c>
      <c r="J781" s="19">
        <f t="shared" si="24"/>
        <v>46085</v>
      </c>
      <c r="L781">
        <f t="shared" si="25"/>
        <v>49</v>
      </c>
    </row>
    <row r="782" spans="1:12" x14ac:dyDescent="0.25">
      <c r="A782">
        <v>2</v>
      </c>
      <c r="B782">
        <v>4737</v>
      </c>
      <c r="C782">
        <v>176</v>
      </c>
      <c r="D782">
        <v>2</v>
      </c>
      <c r="E782" t="s">
        <v>123</v>
      </c>
      <c r="F782" s="19">
        <v>46036</v>
      </c>
      <c r="G782" t="s">
        <v>120</v>
      </c>
      <c r="H782">
        <v>0</v>
      </c>
      <c r="I782" s="19">
        <v>46083</v>
      </c>
      <c r="J782" s="19">
        <f t="shared" si="24"/>
        <v>46086</v>
      </c>
      <c r="L782">
        <f t="shared" si="25"/>
        <v>50</v>
      </c>
    </row>
    <row r="783" spans="1:12" x14ac:dyDescent="0.25">
      <c r="A783">
        <v>2</v>
      </c>
      <c r="B783">
        <v>3825</v>
      </c>
      <c r="C783">
        <v>175</v>
      </c>
      <c r="D783">
        <v>3</v>
      </c>
      <c r="E783" t="s">
        <v>123</v>
      </c>
      <c r="F783" s="19">
        <v>46036</v>
      </c>
      <c r="G783" t="s">
        <v>120</v>
      </c>
      <c r="H783">
        <v>0</v>
      </c>
      <c r="I783" s="19">
        <v>46084</v>
      </c>
      <c r="J783" s="19">
        <f t="shared" si="24"/>
        <v>46087</v>
      </c>
      <c r="L783">
        <f t="shared" si="25"/>
        <v>51</v>
      </c>
    </row>
    <row r="784" spans="1:12" x14ac:dyDescent="0.25">
      <c r="A784">
        <v>2</v>
      </c>
      <c r="B784">
        <v>3992</v>
      </c>
      <c r="C784">
        <v>175</v>
      </c>
      <c r="D784">
        <v>2</v>
      </c>
      <c r="E784" t="s">
        <v>123</v>
      </c>
      <c r="F784" s="19">
        <v>46036</v>
      </c>
      <c r="G784" t="s">
        <v>120</v>
      </c>
      <c r="H784">
        <v>0</v>
      </c>
      <c r="I784" s="19">
        <v>46084</v>
      </c>
      <c r="J784" s="19">
        <f t="shared" si="24"/>
        <v>46087</v>
      </c>
      <c r="L784">
        <f t="shared" si="25"/>
        <v>51</v>
      </c>
    </row>
    <row r="785" spans="1:12" x14ac:dyDescent="0.25">
      <c r="A785">
        <v>6</v>
      </c>
      <c r="B785">
        <v>4340</v>
      </c>
      <c r="C785">
        <v>174</v>
      </c>
      <c r="D785">
        <v>2</v>
      </c>
      <c r="E785" t="s">
        <v>123</v>
      </c>
      <c r="F785" s="19">
        <v>46036</v>
      </c>
      <c r="G785" t="s">
        <v>120</v>
      </c>
      <c r="H785">
        <v>0</v>
      </c>
      <c r="I785" s="19">
        <v>46085</v>
      </c>
      <c r="J785" s="19">
        <f t="shared" si="24"/>
        <v>46088</v>
      </c>
      <c r="L785">
        <f t="shared" si="25"/>
        <v>52</v>
      </c>
    </row>
    <row r="786" spans="1:12" x14ac:dyDescent="0.25">
      <c r="A786">
        <v>7</v>
      </c>
      <c r="B786">
        <v>3772</v>
      </c>
      <c r="C786">
        <v>72</v>
      </c>
      <c r="D786">
        <v>3</v>
      </c>
      <c r="E786" t="s">
        <v>123</v>
      </c>
      <c r="F786" s="19">
        <v>46036</v>
      </c>
      <c r="G786" t="s">
        <v>122</v>
      </c>
      <c r="H786">
        <v>0</v>
      </c>
      <c r="I786" s="19">
        <v>46086</v>
      </c>
      <c r="J786" s="19">
        <f t="shared" si="24"/>
        <v>46089</v>
      </c>
      <c r="L786">
        <f t="shared" si="25"/>
        <v>53</v>
      </c>
    </row>
    <row r="787" spans="1:12" x14ac:dyDescent="0.25">
      <c r="A787">
        <v>3</v>
      </c>
      <c r="B787">
        <v>4749</v>
      </c>
      <c r="C787">
        <v>173</v>
      </c>
      <c r="D787">
        <v>2</v>
      </c>
      <c r="E787" t="s">
        <v>123</v>
      </c>
      <c r="F787" s="19">
        <v>46036</v>
      </c>
      <c r="G787" t="s">
        <v>132</v>
      </c>
      <c r="H787">
        <v>0</v>
      </c>
      <c r="I787" s="19">
        <v>46086</v>
      </c>
      <c r="J787" s="19">
        <f t="shared" si="24"/>
        <v>46089</v>
      </c>
      <c r="L787">
        <f t="shared" si="25"/>
        <v>53</v>
      </c>
    </row>
    <row r="788" spans="1:12" x14ac:dyDescent="0.25">
      <c r="A788">
        <v>6</v>
      </c>
      <c r="B788">
        <v>4336</v>
      </c>
      <c r="C788">
        <v>172</v>
      </c>
      <c r="D788">
        <v>2</v>
      </c>
      <c r="E788" t="s">
        <v>123</v>
      </c>
      <c r="F788" s="19">
        <v>46036</v>
      </c>
      <c r="G788" t="s">
        <v>131</v>
      </c>
      <c r="H788">
        <v>0</v>
      </c>
      <c r="I788" s="19">
        <v>46087</v>
      </c>
      <c r="J788" s="19">
        <f t="shared" si="24"/>
        <v>46090</v>
      </c>
      <c r="L788">
        <f t="shared" si="25"/>
        <v>54</v>
      </c>
    </row>
    <row r="789" spans="1:12" x14ac:dyDescent="0.25">
      <c r="A789">
        <v>5</v>
      </c>
      <c r="B789">
        <v>3282</v>
      </c>
      <c r="C789">
        <v>170</v>
      </c>
      <c r="D789">
        <v>4</v>
      </c>
      <c r="E789" t="s">
        <v>123</v>
      </c>
      <c r="F789" s="19">
        <v>46036</v>
      </c>
      <c r="G789" t="s">
        <v>132</v>
      </c>
      <c r="H789">
        <v>0</v>
      </c>
      <c r="I789" s="19">
        <v>46089</v>
      </c>
      <c r="J789" s="19">
        <f t="shared" si="24"/>
        <v>46092</v>
      </c>
      <c r="L789">
        <f t="shared" si="25"/>
        <v>56</v>
      </c>
    </row>
    <row r="790" spans="1:12" x14ac:dyDescent="0.25">
      <c r="A790">
        <v>5</v>
      </c>
      <c r="B790">
        <v>3696</v>
      </c>
      <c r="C790">
        <v>156</v>
      </c>
      <c r="D790">
        <v>3</v>
      </c>
      <c r="E790" t="s">
        <v>123</v>
      </c>
      <c r="F790" s="19">
        <v>46036</v>
      </c>
      <c r="G790" t="s">
        <v>120</v>
      </c>
      <c r="H790">
        <v>0</v>
      </c>
      <c r="I790" s="19">
        <v>46103</v>
      </c>
      <c r="J790" s="19">
        <f t="shared" si="24"/>
        <v>46106</v>
      </c>
      <c r="L790">
        <f t="shared" si="25"/>
        <v>70</v>
      </c>
    </row>
    <row r="791" spans="1:12" x14ac:dyDescent="0.25">
      <c r="A791">
        <v>10</v>
      </c>
      <c r="B791">
        <v>3169</v>
      </c>
      <c r="C791">
        <v>129</v>
      </c>
      <c r="D791">
        <v>3</v>
      </c>
      <c r="E791" t="s">
        <v>123</v>
      </c>
      <c r="F791" s="19">
        <v>46036</v>
      </c>
      <c r="G791" t="s">
        <v>122</v>
      </c>
      <c r="H791">
        <v>0</v>
      </c>
      <c r="I791" s="19">
        <v>46122</v>
      </c>
      <c r="J791" s="19">
        <f t="shared" si="24"/>
        <v>46125</v>
      </c>
      <c r="L791">
        <f t="shared" si="25"/>
        <v>89</v>
      </c>
    </row>
    <row r="792" spans="1:12" x14ac:dyDescent="0.25">
      <c r="A792">
        <v>10</v>
      </c>
      <c r="B792">
        <v>3064</v>
      </c>
      <c r="C792">
        <v>118</v>
      </c>
      <c r="D792">
        <v>4</v>
      </c>
      <c r="E792" t="s">
        <v>123</v>
      </c>
      <c r="F792" s="19">
        <v>46036</v>
      </c>
      <c r="G792" t="s">
        <v>122</v>
      </c>
      <c r="H792">
        <v>0</v>
      </c>
      <c r="I792" s="19">
        <v>46135</v>
      </c>
      <c r="J792" s="19">
        <f t="shared" si="24"/>
        <v>46138</v>
      </c>
      <c r="L792">
        <f t="shared" si="25"/>
        <v>102</v>
      </c>
    </row>
    <row r="793" spans="1:12" x14ac:dyDescent="0.25">
      <c r="A793">
        <v>2</v>
      </c>
      <c r="B793">
        <v>3897</v>
      </c>
      <c r="C793">
        <v>123</v>
      </c>
      <c r="D793">
        <v>3</v>
      </c>
      <c r="E793" t="s">
        <v>123</v>
      </c>
      <c r="F793" s="19">
        <v>46036</v>
      </c>
      <c r="G793" t="s">
        <v>131</v>
      </c>
      <c r="H793">
        <v>0</v>
      </c>
      <c r="I793" s="19">
        <v>46136</v>
      </c>
      <c r="J793" s="19">
        <f t="shared" si="24"/>
        <v>46139</v>
      </c>
      <c r="L793">
        <f t="shared" si="25"/>
        <v>103</v>
      </c>
    </row>
    <row r="794" spans="1:12" x14ac:dyDescent="0.25">
      <c r="A794">
        <v>5</v>
      </c>
      <c r="B794">
        <v>2936</v>
      </c>
      <c r="C794">
        <v>121</v>
      </c>
      <c r="D794">
        <v>5</v>
      </c>
      <c r="E794" t="s">
        <v>123</v>
      </c>
      <c r="F794" s="19">
        <v>46036</v>
      </c>
      <c r="G794" t="s">
        <v>131</v>
      </c>
      <c r="H794">
        <v>0</v>
      </c>
      <c r="I794" s="19">
        <v>46138</v>
      </c>
      <c r="J794" s="19">
        <f t="shared" si="24"/>
        <v>46141</v>
      </c>
      <c r="L794">
        <f t="shared" si="25"/>
        <v>105</v>
      </c>
    </row>
    <row r="795" spans="1:12" x14ac:dyDescent="0.25">
      <c r="A795">
        <v>10</v>
      </c>
      <c r="B795">
        <v>2365</v>
      </c>
      <c r="C795">
        <v>4</v>
      </c>
      <c r="D795">
        <v>6</v>
      </c>
      <c r="E795" t="s">
        <v>123</v>
      </c>
      <c r="F795" s="19">
        <v>46036</v>
      </c>
      <c r="G795" t="s">
        <v>122</v>
      </c>
      <c r="H795">
        <v>0</v>
      </c>
      <c r="I795" s="19">
        <v>46148</v>
      </c>
      <c r="J795" s="19">
        <f t="shared" si="24"/>
        <v>46151</v>
      </c>
      <c r="L795">
        <f t="shared" si="25"/>
        <v>115</v>
      </c>
    </row>
    <row r="796" spans="1:12" x14ac:dyDescent="0.25">
      <c r="A796">
        <v>3</v>
      </c>
      <c r="B796">
        <v>3551</v>
      </c>
      <c r="C796">
        <v>107</v>
      </c>
      <c r="D796">
        <v>3</v>
      </c>
      <c r="E796" t="s">
        <v>123</v>
      </c>
      <c r="F796" s="19">
        <v>46036</v>
      </c>
      <c r="G796" t="s">
        <v>132</v>
      </c>
      <c r="H796">
        <v>0</v>
      </c>
      <c r="I796" s="19">
        <v>46152</v>
      </c>
      <c r="J796" s="19">
        <f t="shared" si="24"/>
        <v>46155</v>
      </c>
      <c r="L796">
        <f t="shared" si="25"/>
        <v>119</v>
      </c>
    </row>
    <row r="797" spans="1:12" x14ac:dyDescent="0.25">
      <c r="A797">
        <v>5</v>
      </c>
      <c r="B797">
        <v>4019</v>
      </c>
      <c r="C797">
        <v>181</v>
      </c>
      <c r="D797">
        <v>3</v>
      </c>
      <c r="E797" t="s">
        <v>123</v>
      </c>
      <c r="F797" s="19">
        <v>46037</v>
      </c>
      <c r="G797" t="s">
        <v>132</v>
      </c>
      <c r="H797">
        <v>0</v>
      </c>
      <c r="I797" s="19">
        <v>46078</v>
      </c>
      <c r="J797" s="19">
        <f t="shared" si="24"/>
        <v>46081</v>
      </c>
      <c r="L797">
        <f t="shared" si="25"/>
        <v>44</v>
      </c>
    </row>
    <row r="798" spans="1:12" x14ac:dyDescent="0.25">
      <c r="A798">
        <v>3</v>
      </c>
      <c r="B798">
        <v>4550</v>
      </c>
      <c r="C798">
        <v>180</v>
      </c>
      <c r="D798">
        <v>2</v>
      </c>
      <c r="E798" t="s">
        <v>123</v>
      </c>
      <c r="F798" s="19">
        <v>46037</v>
      </c>
      <c r="G798" t="s">
        <v>132</v>
      </c>
      <c r="H798">
        <v>0</v>
      </c>
      <c r="I798" s="19">
        <v>46079</v>
      </c>
      <c r="J798" s="19">
        <f t="shared" si="24"/>
        <v>46082</v>
      </c>
      <c r="L798">
        <f t="shared" si="25"/>
        <v>45</v>
      </c>
    </row>
    <row r="799" spans="1:12" x14ac:dyDescent="0.25">
      <c r="A799">
        <v>10</v>
      </c>
      <c r="B799">
        <v>3008</v>
      </c>
      <c r="C799">
        <v>139</v>
      </c>
      <c r="D799">
        <v>6</v>
      </c>
      <c r="E799" t="s">
        <v>123</v>
      </c>
      <c r="F799" s="19">
        <v>46043</v>
      </c>
      <c r="G799" t="s">
        <v>122</v>
      </c>
      <c r="H799">
        <v>0</v>
      </c>
      <c r="I799" s="19">
        <v>46078</v>
      </c>
      <c r="J799" s="19">
        <f t="shared" si="24"/>
        <v>46081</v>
      </c>
      <c r="L799">
        <f t="shared" si="25"/>
        <v>38</v>
      </c>
    </row>
    <row r="800" spans="1:12" x14ac:dyDescent="0.25">
      <c r="A800">
        <v>6</v>
      </c>
      <c r="B800">
        <v>3685</v>
      </c>
      <c r="C800">
        <v>178</v>
      </c>
      <c r="D800">
        <v>3</v>
      </c>
      <c r="E800" t="s">
        <v>123</v>
      </c>
      <c r="F800" s="19">
        <v>46043</v>
      </c>
      <c r="G800" t="s">
        <v>120</v>
      </c>
      <c r="H800">
        <v>0</v>
      </c>
      <c r="I800" s="19">
        <v>46081</v>
      </c>
      <c r="J800" s="19">
        <f t="shared" si="24"/>
        <v>46084</v>
      </c>
      <c r="L800">
        <f t="shared" si="25"/>
        <v>41</v>
      </c>
    </row>
    <row r="801" spans="1:12" x14ac:dyDescent="0.25">
      <c r="A801">
        <v>5</v>
      </c>
      <c r="B801">
        <v>2887</v>
      </c>
      <c r="C801">
        <v>174</v>
      </c>
      <c r="D801">
        <v>5</v>
      </c>
      <c r="E801" t="s">
        <v>123</v>
      </c>
      <c r="F801" s="19">
        <v>46043</v>
      </c>
      <c r="G801" t="s">
        <v>120</v>
      </c>
      <c r="H801">
        <v>0</v>
      </c>
      <c r="I801" s="19">
        <v>46085</v>
      </c>
      <c r="J801" s="19">
        <f t="shared" si="24"/>
        <v>46088</v>
      </c>
      <c r="L801">
        <f t="shared" si="25"/>
        <v>45</v>
      </c>
    </row>
    <row r="802" spans="1:12" x14ac:dyDescent="0.25">
      <c r="A802">
        <v>5</v>
      </c>
      <c r="B802">
        <v>4826</v>
      </c>
      <c r="C802">
        <v>174</v>
      </c>
      <c r="D802">
        <v>2</v>
      </c>
      <c r="E802" t="s">
        <v>123</v>
      </c>
      <c r="F802" s="19">
        <v>46043</v>
      </c>
      <c r="G802" t="s">
        <v>120</v>
      </c>
      <c r="H802">
        <v>0</v>
      </c>
      <c r="I802" s="19">
        <v>46085</v>
      </c>
      <c r="J802" s="19">
        <f t="shared" si="24"/>
        <v>46088</v>
      </c>
      <c r="L802">
        <f t="shared" si="25"/>
        <v>45</v>
      </c>
    </row>
    <row r="803" spans="1:12" x14ac:dyDescent="0.25">
      <c r="A803">
        <v>3</v>
      </c>
      <c r="B803">
        <v>4459</v>
      </c>
      <c r="C803">
        <v>174</v>
      </c>
      <c r="D803">
        <v>2</v>
      </c>
      <c r="E803" t="s">
        <v>123</v>
      </c>
      <c r="F803" s="19">
        <v>46043</v>
      </c>
      <c r="G803" t="s">
        <v>120</v>
      </c>
      <c r="H803">
        <v>0</v>
      </c>
      <c r="I803" s="19">
        <v>46085</v>
      </c>
      <c r="J803" s="19">
        <f t="shared" si="24"/>
        <v>46088</v>
      </c>
      <c r="L803">
        <f t="shared" si="25"/>
        <v>45</v>
      </c>
    </row>
    <row r="804" spans="1:12" x14ac:dyDescent="0.25">
      <c r="A804">
        <v>6</v>
      </c>
      <c r="B804">
        <v>4576</v>
      </c>
      <c r="C804">
        <v>172</v>
      </c>
      <c r="D804">
        <v>2</v>
      </c>
      <c r="E804" t="s">
        <v>123</v>
      </c>
      <c r="F804" s="19">
        <v>46043</v>
      </c>
      <c r="G804" t="s">
        <v>120</v>
      </c>
      <c r="H804">
        <v>0</v>
      </c>
      <c r="I804" s="19">
        <v>46087</v>
      </c>
      <c r="J804" s="19">
        <f t="shared" si="24"/>
        <v>46090</v>
      </c>
      <c r="L804">
        <f t="shared" si="25"/>
        <v>47</v>
      </c>
    </row>
    <row r="805" spans="1:12" x14ac:dyDescent="0.25">
      <c r="A805">
        <v>10</v>
      </c>
      <c r="B805">
        <v>3687</v>
      </c>
      <c r="C805">
        <v>9</v>
      </c>
      <c r="D805">
        <v>3</v>
      </c>
      <c r="E805" t="s">
        <v>123</v>
      </c>
      <c r="F805" s="19">
        <v>46043</v>
      </c>
      <c r="G805" t="s">
        <v>122</v>
      </c>
      <c r="H805">
        <v>0</v>
      </c>
      <c r="I805" s="19">
        <v>46088</v>
      </c>
      <c r="J805" s="19">
        <f t="shared" si="24"/>
        <v>46091</v>
      </c>
      <c r="L805">
        <f t="shared" si="25"/>
        <v>48</v>
      </c>
    </row>
    <row r="806" spans="1:12" x14ac:dyDescent="0.25">
      <c r="A806">
        <v>10</v>
      </c>
      <c r="B806">
        <v>4832</v>
      </c>
      <c r="C806">
        <v>171</v>
      </c>
      <c r="D806">
        <v>2</v>
      </c>
      <c r="E806" t="s">
        <v>123</v>
      </c>
      <c r="F806" s="19">
        <v>46043</v>
      </c>
      <c r="G806" t="s">
        <v>120</v>
      </c>
      <c r="H806">
        <v>0</v>
      </c>
      <c r="I806" s="19">
        <v>46088</v>
      </c>
      <c r="J806" s="19">
        <f t="shared" si="24"/>
        <v>46091</v>
      </c>
      <c r="L806">
        <f t="shared" si="25"/>
        <v>48</v>
      </c>
    </row>
    <row r="807" spans="1:12" x14ac:dyDescent="0.25">
      <c r="A807">
        <v>5</v>
      </c>
      <c r="B807">
        <v>4710</v>
      </c>
      <c r="C807">
        <v>171</v>
      </c>
      <c r="D807">
        <v>2</v>
      </c>
      <c r="E807" t="s">
        <v>123</v>
      </c>
      <c r="F807" s="19">
        <v>46043</v>
      </c>
      <c r="G807" t="s">
        <v>132</v>
      </c>
      <c r="H807">
        <v>0</v>
      </c>
      <c r="I807" s="19">
        <v>46088</v>
      </c>
      <c r="J807" s="19">
        <f t="shared" si="24"/>
        <v>46091</v>
      </c>
      <c r="L807">
        <f t="shared" si="25"/>
        <v>48</v>
      </c>
    </row>
    <row r="808" spans="1:12" x14ac:dyDescent="0.25">
      <c r="A808">
        <v>5</v>
      </c>
      <c r="B808">
        <v>4328</v>
      </c>
      <c r="C808">
        <v>170</v>
      </c>
      <c r="D808">
        <v>2</v>
      </c>
      <c r="E808" t="s">
        <v>123</v>
      </c>
      <c r="F808" s="19">
        <v>46043</v>
      </c>
      <c r="G808" t="s">
        <v>132</v>
      </c>
      <c r="H808">
        <v>0</v>
      </c>
      <c r="I808" s="19">
        <v>46089</v>
      </c>
      <c r="J808" s="19">
        <f t="shared" si="24"/>
        <v>46092</v>
      </c>
      <c r="L808">
        <f t="shared" si="25"/>
        <v>49</v>
      </c>
    </row>
    <row r="809" spans="1:12" x14ac:dyDescent="0.25">
      <c r="A809">
        <v>2</v>
      </c>
      <c r="B809">
        <v>4602</v>
      </c>
      <c r="C809">
        <v>168</v>
      </c>
      <c r="D809">
        <v>2</v>
      </c>
      <c r="E809" t="s">
        <v>123</v>
      </c>
      <c r="F809" s="19">
        <v>46043</v>
      </c>
      <c r="G809" t="s">
        <v>120</v>
      </c>
      <c r="H809">
        <v>0</v>
      </c>
      <c r="I809" s="19">
        <v>46091</v>
      </c>
      <c r="J809" s="19">
        <f t="shared" si="24"/>
        <v>46094</v>
      </c>
      <c r="L809">
        <f t="shared" si="25"/>
        <v>51</v>
      </c>
    </row>
    <row r="810" spans="1:12" x14ac:dyDescent="0.25">
      <c r="A810">
        <v>5</v>
      </c>
      <c r="B810">
        <v>4846</v>
      </c>
      <c r="C810">
        <v>166</v>
      </c>
      <c r="D810">
        <v>2</v>
      </c>
      <c r="E810" t="s">
        <v>123</v>
      </c>
      <c r="F810" s="19">
        <v>46043</v>
      </c>
      <c r="G810" t="s">
        <v>132</v>
      </c>
      <c r="H810">
        <v>0</v>
      </c>
      <c r="I810" s="19">
        <v>46093</v>
      </c>
      <c r="J810" s="19">
        <f t="shared" ref="J810:J873" si="26">I810+3</f>
        <v>46096</v>
      </c>
      <c r="L810">
        <f t="shared" ref="L810:L873" si="27">J810-F810</f>
        <v>53</v>
      </c>
    </row>
    <row r="811" spans="1:12" x14ac:dyDescent="0.25">
      <c r="A811">
        <v>5</v>
      </c>
      <c r="B811">
        <v>4711</v>
      </c>
      <c r="C811">
        <v>165</v>
      </c>
      <c r="D811">
        <v>2</v>
      </c>
      <c r="E811" t="s">
        <v>123</v>
      </c>
      <c r="F811" s="19">
        <v>46043</v>
      </c>
      <c r="G811" t="s">
        <v>120</v>
      </c>
      <c r="H811">
        <v>0</v>
      </c>
      <c r="I811" s="19">
        <v>46094</v>
      </c>
      <c r="J811" s="19">
        <f t="shared" si="26"/>
        <v>46097</v>
      </c>
      <c r="L811">
        <f t="shared" si="27"/>
        <v>54</v>
      </c>
    </row>
    <row r="812" spans="1:12" x14ac:dyDescent="0.25">
      <c r="A812">
        <v>7</v>
      </c>
      <c r="B812">
        <v>3635</v>
      </c>
      <c r="C812">
        <v>61</v>
      </c>
      <c r="D812">
        <v>3</v>
      </c>
      <c r="E812" t="s">
        <v>123</v>
      </c>
      <c r="F812" s="19">
        <v>46043</v>
      </c>
      <c r="G812" t="s">
        <v>122</v>
      </c>
      <c r="H812">
        <v>0</v>
      </c>
      <c r="I812" s="19">
        <v>46097</v>
      </c>
      <c r="J812" s="19">
        <f t="shared" si="26"/>
        <v>46100</v>
      </c>
      <c r="L812">
        <f t="shared" si="27"/>
        <v>57</v>
      </c>
    </row>
    <row r="813" spans="1:12" x14ac:dyDescent="0.25">
      <c r="A813">
        <v>2</v>
      </c>
      <c r="B813">
        <v>3911</v>
      </c>
      <c r="C813">
        <v>161</v>
      </c>
      <c r="D813">
        <v>3</v>
      </c>
      <c r="E813" t="s">
        <v>123</v>
      </c>
      <c r="F813" s="19">
        <v>46043</v>
      </c>
      <c r="G813" t="s">
        <v>132</v>
      </c>
      <c r="H813">
        <v>0</v>
      </c>
      <c r="I813" s="19">
        <v>46098</v>
      </c>
      <c r="J813" s="19">
        <f t="shared" si="26"/>
        <v>46101</v>
      </c>
      <c r="L813">
        <f t="shared" si="27"/>
        <v>58</v>
      </c>
    </row>
    <row r="814" spans="1:12" x14ac:dyDescent="0.25">
      <c r="A814">
        <v>5</v>
      </c>
      <c r="B814">
        <v>3894</v>
      </c>
      <c r="C814">
        <v>154</v>
      </c>
      <c r="D814">
        <v>3</v>
      </c>
      <c r="E814" t="s">
        <v>123</v>
      </c>
      <c r="F814" s="19">
        <v>46043</v>
      </c>
      <c r="G814" t="s">
        <v>131</v>
      </c>
      <c r="H814">
        <v>0</v>
      </c>
      <c r="I814" s="19">
        <v>46105</v>
      </c>
      <c r="J814" s="19">
        <f t="shared" si="26"/>
        <v>46108</v>
      </c>
      <c r="L814">
        <f t="shared" si="27"/>
        <v>65</v>
      </c>
    </row>
    <row r="815" spans="1:12" x14ac:dyDescent="0.25">
      <c r="A815">
        <v>10</v>
      </c>
      <c r="B815">
        <v>3228</v>
      </c>
      <c r="C815">
        <v>24</v>
      </c>
      <c r="D815">
        <v>4</v>
      </c>
      <c r="E815" t="s">
        <v>123</v>
      </c>
      <c r="F815" s="19">
        <v>46043</v>
      </c>
      <c r="G815" t="s">
        <v>122</v>
      </c>
      <c r="H815">
        <v>0</v>
      </c>
      <c r="I815" s="19">
        <v>46119</v>
      </c>
      <c r="J815" s="19">
        <f t="shared" si="26"/>
        <v>46122</v>
      </c>
      <c r="L815">
        <f t="shared" si="27"/>
        <v>79</v>
      </c>
    </row>
    <row r="816" spans="1:12" x14ac:dyDescent="0.25">
      <c r="A816">
        <v>6</v>
      </c>
      <c r="B816">
        <v>3591</v>
      </c>
      <c r="C816">
        <v>135</v>
      </c>
      <c r="D816">
        <v>4</v>
      </c>
      <c r="E816" t="s">
        <v>123</v>
      </c>
      <c r="F816" s="19">
        <v>46043</v>
      </c>
      <c r="G816" t="s">
        <v>132</v>
      </c>
      <c r="H816">
        <v>0</v>
      </c>
      <c r="I816" s="19">
        <v>46124</v>
      </c>
      <c r="J816" s="19">
        <f t="shared" si="26"/>
        <v>46127</v>
      </c>
      <c r="L816">
        <f t="shared" si="27"/>
        <v>84</v>
      </c>
    </row>
    <row r="817" spans="1:12" x14ac:dyDescent="0.25">
      <c r="A817">
        <v>2</v>
      </c>
      <c r="B817">
        <v>4144</v>
      </c>
      <c r="C817">
        <v>1</v>
      </c>
      <c r="D817">
        <v>3</v>
      </c>
      <c r="E817" t="s">
        <v>123</v>
      </c>
      <c r="F817" s="19">
        <v>46043</v>
      </c>
      <c r="G817" t="s">
        <v>122</v>
      </c>
      <c r="H817">
        <v>0</v>
      </c>
      <c r="I817" s="19">
        <v>46147</v>
      </c>
      <c r="J817" s="19">
        <f t="shared" si="26"/>
        <v>46150</v>
      </c>
      <c r="L817">
        <f t="shared" si="27"/>
        <v>107</v>
      </c>
    </row>
    <row r="818" spans="1:12" x14ac:dyDescent="0.25">
      <c r="A818">
        <v>5</v>
      </c>
      <c r="B818">
        <v>3380</v>
      </c>
      <c r="C818">
        <v>106</v>
      </c>
      <c r="D818">
        <v>5</v>
      </c>
      <c r="E818" t="s">
        <v>123</v>
      </c>
      <c r="F818" s="19">
        <v>46043</v>
      </c>
      <c r="G818" t="s">
        <v>131</v>
      </c>
      <c r="H818">
        <v>0</v>
      </c>
      <c r="I818" s="19">
        <v>46153</v>
      </c>
      <c r="J818" s="19">
        <f t="shared" si="26"/>
        <v>46156</v>
      </c>
      <c r="L818">
        <f t="shared" si="27"/>
        <v>113</v>
      </c>
    </row>
    <row r="819" spans="1:12" x14ac:dyDescent="0.25">
      <c r="A819">
        <v>7</v>
      </c>
      <c r="B819">
        <v>3515</v>
      </c>
      <c r="C819">
        <v>72</v>
      </c>
      <c r="D819">
        <v>3</v>
      </c>
      <c r="E819" t="s">
        <v>123</v>
      </c>
      <c r="F819" s="19">
        <v>46043</v>
      </c>
      <c r="G819" t="s">
        <v>122</v>
      </c>
      <c r="H819">
        <v>0</v>
      </c>
      <c r="I819" s="19">
        <v>46163</v>
      </c>
      <c r="J819" s="19">
        <f t="shared" si="26"/>
        <v>46166</v>
      </c>
      <c r="L819">
        <f t="shared" si="27"/>
        <v>123</v>
      </c>
    </row>
    <row r="820" spans="1:12" x14ac:dyDescent="0.25">
      <c r="A820">
        <v>6</v>
      </c>
      <c r="B820">
        <v>3306</v>
      </c>
      <c r="C820">
        <v>60</v>
      </c>
      <c r="D820">
        <v>4</v>
      </c>
      <c r="E820" t="s">
        <v>123</v>
      </c>
      <c r="F820" s="19">
        <v>46043</v>
      </c>
      <c r="G820" t="s">
        <v>130</v>
      </c>
      <c r="H820">
        <v>0</v>
      </c>
      <c r="I820" s="19">
        <v>46199</v>
      </c>
      <c r="J820" s="19">
        <f t="shared" si="26"/>
        <v>46202</v>
      </c>
      <c r="L820">
        <f t="shared" si="27"/>
        <v>159</v>
      </c>
    </row>
    <row r="821" spans="1:12" x14ac:dyDescent="0.25">
      <c r="A821">
        <v>3</v>
      </c>
      <c r="B821">
        <v>2581</v>
      </c>
      <c r="C821">
        <v>4</v>
      </c>
      <c r="D821">
        <v>6</v>
      </c>
      <c r="E821" t="s">
        <v>123</v>
      </c>
      <c r="F821" s="19">
        <v>46043</v>
      </c>
      <c r="G821" t="s">
        <v>122</v>
      </c>
      <c r="H821">
        <v>0</v>
      </c>
      <c r="I821" s="19">
        <v>46231</v>
      </c>
      <c r="J821" s="19">
        <f t="shared" si="26"/>
        <v>46234</v>
      </c>
      <c r="L821">
        <f t="shared" si="27"/>
        <v>191</v>
      </c>
    </row>
    <row r="822" spans="1:12" x14ac:dyDescent="0.25">
      <c r="A822">
        <v>3</v>
      </c>
      <c r="B822">
        <v>3459</v>
      </c>
      <c r="C822">
        <v>158</v>
      </c>
      <c r="D822">
        <v>4</v>
      </c>
      <c r="E822" t="s">
        <v>123</v>
      </c>
      <c r="F822" s="19">
        <v>46044</v>
      </c>
      <c r="G822" t="s">
        <v>120</v>
      </c>
      <c r="H822">
        <v>0</v>
      </c>
      <c r="I822" s="19">
        <v>46101</v>
      </c>
      <c r="J822" s="19">
        <f t="shared" si="26"/>
        <v>46104</v>
      </c>
      <c r="L822">
        <f t="shared" si="27"/>
        <v>60</v>
      </c>
    </row>
    <row r="823" spans="1:12" x14ac:dyDescent="0.25">
      <c r="A823">
        <v>6</v>
      </c>
      <c r="B823">
        <v>2692</v>
      </c>
      <c r="C823">
        <v>68</v>
      </c>
      <c r="D823">
        <v>5</v>
      </c>
      <c r="E823" t="s">
        <v>123</v>
      </c>
      <c r="F823" s="19">
        <v>46050</v>
      </c>
      <c r="G823" t="s">
        <v>122</v>
      </c>
      <c r="H823">
        <v>0</v>
      </c>
      <c r="I823" s="19">
        <v>46090</v>
      </c>
      <c r="J823" s="19">
        <f t="shared" si="26"/>
        <v>46093</v>
      </c>
      <c r="L823">
        <f t="shared" si="27"/>
        <v>43</v>
      </c>
    </row>
    <row r="824" spans="1:12" x14ac:dyDescent="0.25">
      <c r="A824">
        <v>5</v>
      </c>
      <c r="B824">
        <v>4738</v>
      </c>
      <c r="C824">
        <v>169</v>
      </c>
      <c r="D824">
        <v>2</v>
      </c>
      <c r="E824" t="s">
        <v>123</v>
      </c>
      <c r="F824" s="19">
        <v>46050</v>
      </c>
      <c r="G824" t="s">
        <v>132</v>
      </c>
      <c r="H824">
        <v>0</v>
      </c>
      <c r="I824" s="19">
        <v>46090</v>
      </c>
      <c r="J824" s="19">
        <f t="shared" si="26"/>
        <v>46093</v>
      </c>
      <c r="L824">
        <f t="shared" si="27"/>
        <v>43</v>
      </c>
    </row>
    <row r="825" spans="1:12" x14ac:dyDescent="0.25">
      <c r="A825">
        <v>5</v>
      </c>
      <c r="B825">
        <v>3823</v>
      </c>
      <c r="C825">
        <v>165</v>
      </c>
      <c r="D825">
        <v>3</v>
      </c>
      <c r="E825" t="s">
        <v>123</v>
      </c>
      <c r="F825" s="19">
        <v>46050</v>
      </c>
      <c r="G825" t="s">
        <v>131</v>
      </c>
      <c r="H825">
        <v>0</v>
      </c>
      <c r="I825" s="19">
        <v>46094</v>
      </c>
      <c r="J825" s="19">
        <f t="shared" si="26"/>
        <v>46097</v>
      </c>
      <c r="L825">
        <f t="shared" si="27"/>
        <v>47</v>
      </c>
    </row>
    <row r="826" spans="1:12" x14ac:dyDescent="0.25">
      <c r="A826">
        <v>5</v>
      </c>
      <c r="B826">
        <v>4895</v>
      </c>
      <c r="C826">
        <v>165</v>
      </c>
      <c r="D826">
        <v>2</v>
      </c>
      <c r="E826" t="s">
        <v>123</v>
      </c>
      <c r="F826" s="19">
        <v>46050</v>
      </c>
      <c r="G826" t="s">
        <v>131</v>
      </c>
      <c r="H826">
        <v>0</v>
      </c>
      <c r="I826" s="19">
        <v>46094</v>
      </c>
      <c r="J826" s="19">
        <f t="shared" si="26"/>
        <v>46097</v>
      </c>
      <c r="L826">
        <f t="shared" si="27"/>
        <v>47</v>
      </c>
    </row>
    <row r="827" spans="1:12" x14ac:dyDescent="0.25">
      <c r="A827">
        <v>3</v>
      </c>
      <c r="B827">
        <v>4560</v>
      </c>
      <c r="C827">
        <v>165</v>
      </c>
      <c r="D827">
        <v>2</v>
      </c>
      <c r="E827" t="s">
        <v>123</v>
      </c>
      <c r="F827" s="19">
        <v>46050</v>
      </c>
      <c r="G827" t="s">
        <v>120</v>
      </c>
      <c r="H827">
        <v>0</v>
      </c>
      <c r="I827" s="19">
        <v>46094</v>
      </c>
      <c r="J827" s="19">
        <f t="shared" si="26"/>
        <v>46097</v>
      </c>
      <c r="L827">
        <f t="shared" si="27"/>
        <v>47</v>
      </c>
    </row>
    <row r="828" spans="1:12" x14ac:dyDescent="0.25">
      <c r="A828">
        <v>5</v>
      </c>
      <c r="B828">
        <v>4595</v>
      </c>
      <c r="C828">
        <v>165</v>
      </c>
      <c r="D828">
        <v>2</v>
      </c>
      <c r="E828" t="s">
        <v>123</v>
      </c>
      <c r="F828" s="19">
        <v>46050</v>
      </c>
      <c r="G828" t="s">
        <v>132</v>
      </c>
      <c r="H828">
        <v>0</v>
      </c>
      <c r="I828" s="19">
        <v>46094</v>
      </c>
      <c r="J828" s="19">
        <f t="shared" si="26"/>
        <v>46097</v>
      </c>
      <c r="L828">
        <f t="shared" si="27"/>
        <v>47</v>
      </c>
    </row>
    <row r="829" spans="1:12" x14ac:dyDescent="0.25">
      <c r="A829">
        <v>6</v>
      </c>
      <c r="B829">
        <v>2760</v>
      </c>
      <c r="C829">
        <v>115</v>
      </c>
      <c r="D829">
        <v>5</v>
      </c>
      <c r="E829" t="s">
        <v>123</v>
      </c>
      <c r="F829" s="19">
        <v>46050</v>
      </c>
      <c r="G829" t="s">
        <v>122</v>
      </c>
      <c r="H829">
        <v>0</v>
      </c>
      <c r="I829" s="19">
        <v>46095</v>
      </c>
      <c r="J829" s="19">
        <f t="shared" si="26"/>
        <v>46098</v>
      </c>
      <c r="L829">
        <f t="shared" si="27"/>
        <v>48</v>
      </c>
    </row>
    <row r="830" spans="1:12" x14ac:dyDescent="0.25">
      <c r="A830">
        <v>3</v>
      </c>
      <c r="B830">
        <v>3164</v>
      </c>
      <c r="C830">
        <v>162</v>
      </c>
      <c r="D830">
        <v>4</v>
      </c>
      <c r="E830" t="s">
        <v>123</v>
      </c>
      <c r="F830" s="19">
        <v>46050</v>
      </c>
      <c r="G830" t="s">
        <v>131</v>
      </c>
      <c r="H830">
        <v>0</v>
      </c>
      <c r="I830" s="19">
        <v>46097</v>
      </c>
      <c r="J830" s="19">
        <f t="shared" si="26"/>
        <v>46100</v>
      </c>
      <c r="L830">
        <f t="shared" si="27"/>
        <v>50</v>
      </c>
    </row>
    <row r="831" spans="1:12" x14ac:dyDescent="0.25">
      <c r="A831">
        <v>6</v>
      </c>
      <c r="B831">
        <v>2732</v>
      </c>
      <c r="C831">
        <v>51</v>
      </c>
      <c r="D831">
        <v>5</v>
      </c>
      <c r="E831" t="s">
        <v>123</v>
      </c>
      <c r="F831" s="19">
        <v>46050</v>
      </c>
      <c r="G831" t="s">
        <v>122</v>
      </c>
      <c r="H831">
        <v>0</v>
      </c>
      <c r="I831" s="19">
        <v>46097</v>
      </c>
      <c r="J831" s="19">
        <f t="shared" si="26"/>
        <v>46100</v>
      </c>
      <c r="L831">
        <f t="shared" si="27"/>
        <v>50</v>
      </c>
    </row>
    <row r="832" spans="1:12" x14ac:dyDescent="0.25">
      <c r="A832">
        <v>3</v>
      </c>
      <c r="B832">
        <v>4774</v>
      </c>
      <c r="C832">
        <v>162</v>
      </c>
      <c r="D832">
        <v>2</v>
      </c>
      <c r="E832" t="s">
        <v>123</v>
      </c>
      <c r="F832" s="19">
        <v>46050</v>
      </c>
      <c r="G832" t="s">
        <v>120</v>
      </c>
      <c r="H832">
        <v>0</v>
      </c>
      <c r="I832" s="19">
        <v>46097</v>
      </c>
      <c r="J832" s="19">
        <f t="shared" si="26"/>
        <v>46100</v>
      </c>
      <c r="L832">
        <f t="shared" si="27"/>
        <v>50</v>
      </c>
    </row>
    <row r="833" spans="1:12" x14ac:dyDescent="0.25">
      <c r="A833">
        <v>2</v>
      </c>
      <c r="B833">
        <v>4827</v>
      </c>
      <c r="C833">
        <v>162</v>
      </c>
      <c r="D833">
        <v>2</v>
      </c>
      <c r="E833" t="s">
        <v>123</v>
      </c>
      <c r="F833" s="19">
        <v>46050</v>
      </c>
      <c r="G833" t="s">
        <v>132</v>
      </c>
      <c r="H833">
        <v>0</v>
      </c>
      <c r="I833" s="19">
        <v>46097</v>
      </c>
      <c r="J833" s="19">
        <f t="shared" si="26"/>
        <v>46100</v>
      </c>
      <c r="L833">
        <f t="shared" si="27"/>
        <v>50</v>
      </c>
    </row>
    <row r="834" spans="1:12" x14ac:dyDescent="0.25">
      <c r="A834">
        <v>10</v>
      </c>
      <c r="B834">
        <v>1571</v>
      </c>
      <c r="C834">
        <v>162</v>
      </c>
      <c r="D834">
        <v>2</v>
      </c>
      <c r="E834" t="s">
        <v>123</v>
      </c>
      <c r="F834" s="19">
        <v>46050</v>
      </c>
      <c r="G834" t="s">
        <v>120</v>
      </c>
      <c r="H834">
        <v>0</v>
      </c>
      <c r="I834" s="19">
        <v>46097</v>
      </c>
      <c r="J834" s="19">
        <f t="shared" si="26"/>
        <v>46100</v>
      </c>
      <c r="L834">
        <f t="shared" si="27"/>
        <v>50</v>
      </c>
    </row>
    <row r="835" spans="1:12" x14ac:dyDescent="0.25">
      <c r="A835">
        <v>10</v>
      </c>
      <c r="B835">
        <v>3533</v>
      </c>
      <c r="C835">
        <v>112</v>
      </c>
      <c r="D835">
        <v>4</v>
      </c>
      <c r="E835" t="s">
        <v>123</v>
      </c>
      <c r="F835" s="19">
        <v>46050</v>
      </c>
      <c r="G835" t="s">
        <v>122</v>
      </c>
      <c r="H835">
        <v>0</v>
      </c>
      <c r="I835" s="19">
        <v>46098</v>
      </c>
      <c r="J835" s="19">
        <f t="shared" si="26"/>
        <v>46101</v>
      </c>
      <c r="L835">
        <f t="shared" si="27"/>
        <v>51</v>
      </c>
    </row>
    <row r="836" spans="1:12" x14ac:dyDescent="0.25">
      <c r="A836">
        <v>2</v>
      </c>
      <c r="B836">
        <v>4884</v>
      </c>
      <c r="C836">
        <v>161</v>
      </c>
      <c r="D836">
        <v>2</v>
      </c>
      <c r="E836" t="s">
        <v>123</v>
      </c>
      <c r="F836" s="19">
        <v>46050</v>
      </c>
      <c r="G836" t="s">
        <v>120</v>
      </c>
      <c r="H836">
        <v>0</v>
      </c>
      <c r="I836" s="19">
        <v>46098</v>
      </c>
      <c r="J836" s="19">
        <f t="shared" si="26"/>
        <v>46101</v>
      </c>
      <c r="L836">
        <f t="shared" si="27"/>
        <v>51</v>
      </c>
    </row>
    <row r="837" spans="1:12" x14ac:dyDescent="0.25">
      <c r="A837">
        <v>5</v>
      </c>
      <c r="B837">
        <v>4251</v>
      </c>
      <c r="C837">
        <v>161</v>
      </c>
      <c r="D837">
        <v>2</v>
      </c>
      <c r="E837" t="s">
        <v>123</v>
      </c>
      <c r="F837" s="19">
        <v>46050</v>
      </c>
      <c r="G837" t="s">
        <v>120</v>
      </c>
      <c r="H837">
        <v>0</v>
      </c>
      <c r="I837" s="19">
        <v>46098</v>
      </c>
      <c r="J837" s="19">
        <f t="shared" si="26"/>
        <v>46101</v>
      </c>
      <c r="L837">
        <f t="shared" si="27"/>
        <v>51</v>
      </c>
    </row>
    <row r="838" spans="1:12" x14ac:dyDescent="0.25">
      <c r="A838">
        <v>2</v>
      </c>
      <c r="B838">
        <v>4553</v>
      </c>
      <c r="C838">
        <v>161</v>
      </c>
      <c r="D838">
        <v>2</v>
      </c>
      <c r="E838" t="s">
        <v>123</v>
      </c>
      <c r="F838" s="19">
        <v>46050</v>
      </c>
      <c r="G838" t="s">
        <v>120</v>
      </c>
      <c r="H838">
        <v>0</v>
      </c>
      <c r="I838" s="19">
        <v>46098</v>
      </c>
      <c r="J838" s="19">
        <f t="shared" si="26"/>
        <v>46101</v>
      </c>
      <c r="L838">
        <f t="shared" si="27"/>
        <v>51</v>
      </c>
    </row>
    <row r="839" spans="1:12" x14ac:dyDescent="0.25">
      <c r="A839">
        <v>5</v>
      </c>
      <c r="B839">
        <v>4419</v>
      </c>
      <c r="C839">
        <v>161</v>
      </c>
      <c r="D839">
        <v>2</v>
      </c>
      <c r="E839" t="s">
        <v>123</v>
      </c>
      <c r="F839" s="19">
        <v>46050</v>
      </c>
      <c r="G839" t="s">
        <v>120</v>
      </c>
      <c r="H839">
        <v>0</v>
      </c>
      <c r="I839" s="19">
        <v>46098</v>
      </c>
      <c r="J839" s="19">
        <f t="shared" si="26"/>
        <v>46101</v>
      </c>
      <c r="L839">
        <f t="shared" si="27"/>
        <v>51</v>
      </c>
    </row>
    <row r="840" spans="1:12" x14ac:dyDescent="0.25">
      <c r="A840">
        <v>5</v>
      </c>
      <c r="B840">
        <v>3700</v>
      </c>
      <c r="C840">
        <v>160</v>
      </c>
      <c r="D840">
        <v>3</v>
      </c>
      <c r="E840" t="s">
        <v>123</v>
      </c>
      <c r="F840" s="19">
        <v>46050</v>
      </c>
      <c r="G840" t="s">
        <v>120</v>
      </c>
      <c r="H840">
        <v>0</v>
      </c>
      <c r="I840" s="19">
        <v>46099</v>
      </c>
      <c r="J840" s="19">
        <f t="shared" si="26"/>
        <v>46102</v>
      </c>
      <c r="L840">
        <f t="shared" si="27"/>
        <v>52</v>
      </c>
    </row>
    <row r="841" spans="1:12" x14ac:dyDescent="0.25">
      <c r="A841">
        <v>5</v>
      </c>
      <c r="B841">
        <v>4779</v>
      </c>
      <c r="C841">
        <v>160</v>
      </c>
      <c r="D841">
        <v>2</v>
      </c>
      <c r="E841" t="s">
        <v>123</v>
      </c>
      <c r="F841" s="19">
        <v>46050</v>
      </c>
      <c r="G841" t="s">
        <v>120</v>
      </c>
      <c r="H841">
        <v>0</v>
      </c>
      <c r="I841" s="19">
        <v>46099</v>
      </c>
      <c r="J841" s="19">
        <f t="shared" si="26"/>
        <v>46102</v>
      </c>
      <c r="L841">
        <f t="shared" si="27"/>
        <v>52</v>
      </c>
    </row>
    <row r="842" spans="1:12" x14ac:dyDescent="0.25">
      <c r="A842">
        <v>10</v>
      </c>
      <c r="B842">
        <v>4879</v>
      </c>
      <c r="C842">
        <v>160</v>
      </c>
      <c r="D842">
        <v>2</v>
      </c>
      <c r="E842" t="s">
        <v>123</v>
      </c>
      <c r="F842" s="19">
        <v>46050</v>
      </c>
      <c r="G842" t="s">
        <v>120</v>
      </c>
      <c r="H842">
        <v>0</v>
      </c>
      <c r="I842" s="19">
        <v>46099</v>
      </c>
      <c r="J842" s="19">
        <f t="shared" si="26"/>
        <v>46102</v>
      </c>
      <c r="L842">
        <f t="shared" si="27"/>
        <v>52</v>
      </c>
    </row>
    <row r="843" spans="1:12" x14ac:dyDescent="0.25">
      <c r="A843">
        <v>10</v>
      </c>
      <c r="B843">
        <v>3875</v>
      </c>
      <c r="C843">
        <v>43</v>
      </c>
      <c r="D843">
        <v>3</v>
      </c>
      <c r="E843" t="s">
        <v>123</v>
      </c>
      <c r="F843" s="19">
        <v>46050</v>
      </c>
      <c r="G843" t="s">
        <v>122</v>
      </c>
      <c r="H843">
        <v>0</v>
      </c>
      <c r="I843" s="19">
        <v>46100</v>
      </c>
      <c r="J843" s="19">
        <f t="shared" si="26"/>
        <v>46103</v>
      </c>
      <c r="L843">
        <f t="shared" si="27"/>
        <v>53</v>
      </c>
    </row>
    <row r="844" spans="1:12" x14ac:dyDescent="0.25">
      <c r="A844">
        <v>10</v>
      </c>
      <c r="B844">
        <v>3402</v>
      </c>
      <c r="C844">
        <v>99</v>
      </c>
      <c r="D844">
        <v>5</v>
      </c>
      <c r="E844" t="s">
        <v>123</v>
      </c>
      <c r="F844" s="19">
        <v>46050</v>
      </c>
      <c r="G844" t="s">
        <v>122</v>
      </c>
      <c r="H844">
        <v>0</v>
      </c>
      <c r="I844" s="19">
        <v>46100</v>
      </c>
      <c r="J844" s="19">
        <f t="shared" si="26"/>
        <v>46103</v>
      </c>
      <c r="L844">
        <f t="shared" si="27"/>
        <v>53</v>
      </c>
    </row>
    <row r="845" spans="1:12" x14ac:dyDescent="0.25">
      <c r="A845">
        <v>2</v>
      </c>
      <c r="B845">
        <v>4676</v>
      </c>
      <c r="C845">
        <v>159</v>
      </c>
      <c r="D845">
        <v>2</v>
      </c>
      <c r="E845" t="s">
        <v>123</v>
      </c>
      <c r="F845" s="19">
        <v>46050</v>
      </c>
      <c r="G845" t="s">
        <v>120</v>
      </c>
      <c r="H845">
        <v>0</v>
      </c>
      <c r="I845" s="19">
        <v>46100</v>
      </c>
      <c r="J845" s="19">
        <f t="shared" si="26"/>
        <v>46103</v>
      </c>
      <c r="L845">
        <f t="shared" si="27"/>
        <v>53</v>
      </c>
    </row>
    <row r="846" spans="1:12" x14ac:dyDescent="0.25">
      <c r="A846">
        <v>5</v>
      </c>
      <c r="B846">
        <v>4579</v>
      </c>
      <c r="C846">
        <v>159</v>
      </c>
      <c r="D846">
        <v>2</v>
      </c>
      <c r="E846" t="s">
        <v>123</v>
      </c>
      <c r="F846" s="19">
        <v>46050</v>
      </c>
      <c r="G846" t="s">
        <v>120</v>
      </c>
      <c r="H846">
        <v>0</v>
      </c>
      <c r="I846" s="19">
        <v>46100</v>
      </c>
      <c r="J846" s="19">
        <f t="shared" si="26"/>
        <v>46103</v>
      </c>
      <c r="L846">
        <f t="shared" si="27"/>
        <v>53</v>
      </c>
    </row>
    <row r="847" spans="1:12" x14ac:dyDescent="0.25">
      <c r="A847">
        <v>10</v>
      </c>
      <c r="B847">
        <v>3943</v>
      </c>
      <c r="C847">
        <v>98</v>
      </c>
      <c r="D847">
        <v>3</v>
      </c>
      <c r="E847" t="s">
        <v>123</v>
      </c>
      <c r="F847" s="19">
        <v>46050</v>
      </c>
      <c r="G847" t="s">
        <v>122</v>
      </c>
      <c r="H847">
        <v>0</v>
      </c>
      <c r="I847" s="19">
        <v>46101</v>
      </c>
      <c r="J847" s="19">
        <f t="shared" si="26"/>
        <v>46104</v>
      </c>
      <c r="L847">
        <f t="shared" si="27"/>
        <v>54</v>
      </c>
    </row>
    <row r="848" spans="1:12" x14ac:dyDescent="0.25">
      <c r="A848">
        <v>6</v>
      </c>
      <c r="B848">
        <v>4291</v>
      </c>
      <c r="C848">
        <v>138</v>
      </c>
      <c r="D848">
        <v>2</v>
      </c>
      <c r="E848" t="s">
        <v>123</v>
      </c>
      <c r="F848" s="19">
        <v>46050</v>
      </c>
      <c r="G848" t="s">
        <v>122</v>
      </c>
      <c r="H848">
        <v>0</v>
      </c>
      <c r="I848" s="19">
        <v>46101</v>
      </c>
      <c r="J848" s="19">
        <f t="shared" si="26"/>
        <v>46104</v>
      </c>
      <c r="L848">
        <f t="shared" si="27"/>
        <v>54</v>
      </c>
    </row>
    <row r="849" spans="1:12" x14ac:dyDescent="0.25">
      <c r="A849">
        <v>6</v>
      </c>
      <c r="B849">
        <v>3989</v>
      </c>
      <c r="C849">
        <v>108</v>
      </c>
      <c r="D849">
        <v>3</v>
      </c>
      <c r="E849" t="s">
        <v>123</v>
      </c>
      <c r="F849" s="19">
        <v>46050</v>
      </c>
      <c r="G849" t="s">
        <v>122</v>
      </c>
      <c r="H849">
        <v>0</v>
      </c>
      <c r="I849" s="19">
        <v>46102</v>
      </c>
      <c r="J849" s="19">
        <f t="shared" si="26"/>
        <v>46105</v>
      </c>
      <c r="L849">
        <f t="shared" si="27"/>
        <v>55</v>
      </c>
    </row>
    <row r="850" spans="1:12" x14ac:dyDescent="0.25">
      <c r="A850">
        <v>6</v>
      </c>
      <c r="B850">
        <v>4659</v>
      </c>
      <c r="C850">
        <v>155</v>
      </c>
      <c r="D850">
        <v>2</v>
      </c>
      <c r="E850" t="s">
        <v>123</v>
      </c>
      <c r="F850" s="19">
        <v>46050</v>
      </c>
      <c r="G850" t="s">
        <v>132</v>
      </c>
      <c r="H850">
        <v>0</v>
      </c>
      <c r="I850" s="19">
        <v>46104</v>
      </c>
      <c r="J850" s="19">
        <f t="shared" si="26"/>
        <v>46107</v>
      </c>
      <c r="L850">
        <f t="shared" si="27"/>
        <v>57</v>
      </c>
    </row>
    <row r="851" spans="1:12" x14ac:dyDescent="0.25">
      <c r="A851">
        <v>5</v>
      </c>
      <c r="B851">
        <v>4871</v>
      </c>
      <c r="C851">
        <v>154</v>
      </c>
      <c r="D851">
        <v>2</v>
      </c>
      <c r="E851" t="s">
        <v>123</v>
      </c>
      <c r="F851" s="19">
        <v>46050</v>
      </c>
      <c r="G851" t="s">
        <v>120</v>
      </c>
      <c r="H851">
        <v>0</v>
      </c>
      <c r="I851" s="19">
        <v>46105</v>
      </c>
      <c r="J851" s="19">
        <f t="shared" si="26"/>
        <v>46108</v>
      </c>
      <c r="L851">
        <f t="shared" si="27"/>
        <v>58</v>
      </c>
    </row>
    <row r="852" spans="1:12" x14ac:dyDescent="0.25">
      <c r="A852">
        <v>5</v>
      </c>
      <c r="B852">
        <v>3783</v>
      </c>
      <c r="C852">
        <v>153</v>
      </c>
      <c r="D852">
        <v>3</v>
      </c>
      <c r="E852" t="s">
        <v>123</v>
      </c>
      <c r="F852" s="19">
        <v>46050</v>
      </c>
      <c r="G852" t="s">
        <v>132</v>
      </c>
      <c r="H852">
        <v>0</v>
      </c>
      <c r="I852" s="19">
        <v>46106</v>
      </c>
      <c r="J852" s="19">
        <f t="shared" si="26"/>
        <v>46109</v>
      </c>
      <c r="L852">
        <f t="shared" si="27"/>
        <v>59</v>
      </c>
    </row>
    <row r="853" spans="1:12" x14ac:dyDescent="0.25">
      <c r="A853">
        <v>3</v>
      </c>
      <c r="B853">
        <v>4799</v>
      </c>
      <c r="C853">
        <v>152</v>
      </c>
      <c r="D853">
        <v>2</v>
      </c>
      <c r="E853" t="s">
        <v>123</v>
      </c>
      <c r="F853" s="19">
        <v>46050</v>
      </c>
      <c r="G853" t="s">
        <v>120</v>
      </c>
      <c r="H853">
        <v>0</v>
      </c>
      <c r="I853" s="19">
        <v>46107</v>
      </c>
      <c r="J853" s="19">
        <f t="shared" si="26"/>
        <v>46110</v>
      </c>
      <c r="L853">
        <f t="shared" si="27"/>
        <v>60</v>
      </c>
    </row>
    <row r="854" spans="1:12" x14ac:dyDescent="0.25">
      <c r="A854">
        <v>10</v>
      </c>
      <c r="B854">
        <v>3977</v>
      </c>
      <c r="C854">
        <v>6</v>
      </c>
      <c r="D854">
        <v>3</v>
      </c>
      <c r="E854" t="s">
        <v>123</v>
      </c>
      <c r="F854" s="19">
        <v>46050</v>
      </c>
      <c r="G854" t="s">
        <v>122</v>
      </c>
      <c r="H854">
        <v>0</v>
      </c>
      <c r="I854" s="19">
        <v>46114</v>
      </c>
      <c r="J854" s="19">
        <f t="shared" si="26"/>
        <v>46117</v>
      </c>
      <c r="L854">
        <f t="shared" si="27"/>
        <v>67</v>
      </c>
    </row>
    <row r="855" spans="1:12" x14ac:dyDescent="0.25">
      <c r="A855">
        <v>7</v>
      </c>
      <c r="B855">
        <v>3225</v>
      </c>
      <c r="C855">
        <v>80</v>
      </c>
      <c r="D855">
        <v>4</v>
      </c>
      <c r="E855" t="s">
        <v>123</v>
      </c>
      <c r="F855" s="19">
        <v>46050</v>
      </c>
      <c r="G855" t="s">
        <v>122</v>
      </c>
      <c r="H855">
        <v>0</v>
      </c>
      <c r="I855" s="19">
        <v>46155</v>
      </c>
      <c r="J855" s="19">
        <f t="shared" si="26"/>
        <v>46158</v>
      </c>
      <c r="L855">
        <f t="shared" si="27"/>
        <v>108</v>
      </c>
    </row>
    <row r="856" spans="1:12" x14ac:dyDescent="0.25">
      <c r="A856">
        <v>3</v>
      </c>
      <c r="B856">
        <v>3974</v>
      </c>
      <c r="C856">
        <v>168</v>
      </c>
      <c r="D856">
        <v>3</v>
      </c>
      <c r="E856" t="s">
        <v>123</v>
      </c>
      <c r="F856" s="19">
        <v>46057</v>
      </c>
      <c r="G856" t="s">
        <v>120</v>
      </c>
      <c r="H856">
        <v>0</v>
      </c>
      <c r="I856" s="19">
        <v>46091</v>
      </c>
      <c r="J856" s="19">
        <f t="shared" si="26"/>
        <v>46094</v>
      </c>
      <c r="L856">
        <f t="shared" si="27"/>
        <v>37</v>
      </c>
    </row>
    <row r="857" spans="1:12" x14ac:dyDescent="0.25">
      <c r="A857">
        <v>6</v>
      </c>
      <c r="B857">
        <v>4788</v>
      </c>
      <c r="C857">
        <v>167</v>
      </c>
      <c r="D857">
        <v>2</v>
      </c>
      <c r="E857" t="s">
        <v>123</v>
      </c>
      <c r="F857" s="19">
        <v>46057</v>
      </c>
      <c r="G857" t="s">
        <v>131</v>
      </c>
      <c r="H857">
        <v>0</v>
      </c>
      <c r="I857" s="19">
        <v>46092</v>
      </c>
      <c r="J857" s="19">
        <f t="shared" si="26"/>
        <v>46095</v>
      </c>
      <c r="L857">
        <f t="shared" si="27"/>
        <v>38</v>
      </c>
    </row>
    <row r="858" spans="1:12" x14ac:dyDescent="0.25">
      <c r="A858">
        <v>10</v>
      </c>
      <c r="B858">
        <v>3862</v>
      </c>
      <c r="C858">
        <v>39</v>
      </c>
      <c r="D858">
        <v>3</v>
      </c>
      <c r="E858" t="s">
        <v>123</v>
      </c>
      <c r="F858" s="19">
        <v>46057</v>
      </c>
      <c r="G858" t="s">
        <v>122</v>
      </c>
      <c r="H858">
        <v>0</v>
      </c>
      <c r="I858" s="19">
        <v>46094</v>
      </c>
      <c r="J858" s="19">
        <f t="shared" si="26"/>
        <v>46097</v>
      </c>
      <c r="L858">
        <f t="shared" si="27"/>
        <v>40</v>
      </c>
    </row>
    <row r="859" spans="1:12" x14ac:dyDescent="0.25">
      <c r="A859">
        <v>10</v>
      </c>
      <c r="B859">
        <v>3851</v>
      </c>
      <c r="C859">
        <v>160</v>
      </c>
      <c r="D859">
        <v>3</v>
      </c>
      <c r="E859" t="s">
        <v>123</v>
      </c>
      <c r="F859" s="19">
        <v>46057</v>
      </c>
      <c r="G859" t="s">
        <v>132</v>
      </c>
      <c r="H859">
        <v>0</v>
      </c>
      <c r="I859" s="19">
        <v>46099</v>
      </c>
      <c r="J859" s="19">
        <f t="shared" si="26"/>
        <v>46102</v>
      </c>
      <c r="L859">
        <f t="shared" si="27"/>
        <v>45</v>
      </c>
    </row>
    <row r="860" spans="1:12" x14ac:dyDescent="0.25">
      <c r="A860">
        <v>6</v>
      </c>
      <c r="B860">
        <v>4900</v>
      </c>
      <c r="C860">
        <v>160</v>
      </c>
      <c r="D860">
        <v>2</v>
      </c>
      <c r="E860" t="s">
        <v>123</v>
      </c>
      <c r="F860" s="19">
        <v>46057</v>
      </c>
      <c r="G860" t="s">
        <v>131</v>
      </c>
      <c r="H860">
        <v>0</v>
      </c>
      <c r="I860" s="19">
        <v>46099</v>
      </c>
      <c r="J860" s="19">
        <f t="shared" si="26"/>
        <v>46102</v>
      </c>
      <c r="L860">
        <f t="shared" si="27"/>
        <v>45</v>
      </c>
    </row>
    <row r="861" spans="1:12" x14ac:dyDescent="0.25">
      <c r="A861">
        <v>2</v>
      </c>
      <c r="B861">
        <v>4575</v>
      </c>
      <c r="C861">
        <v>159</v>
      </c>
      <c r="D861">
        <v>2</v>
      </c>
      <c r="E861" t="s">
        <v>123</v>
      </c>
      <c r="F861" s="19">
        <v>46057</v>
      </c>
      <c r="G861" t="s">
        <v>120</v>
      </c>
      <c r="H861">
        <v>0</v>
      </c>
      <c r="I861" s="19">
        <v>46100</v>
      </c>
      <c r="J861" s="19">
        <f t="shared" si="26"/>
        <v>46103</v>
      </c>
      <c r="L861">
        <f t="shared" si="27"/>
        <v>46</v>
      </c>
    </row>
    <row r="862" spans="1:12" x14ac:dyDescent="0.25">
      <c r="A862">
        <v>3</v>
      </c>
      <c r="B862">
        <v>4794</v>
      </c>
      <c r="C862">
        <v>158</v>
      </c>
      <c r="D862">
        <v>2</v>
      </c>
      <c r="E862" t="s">
        <v>123</v>
      </c>
      <c r="F862" s="19">
        <v>46057</v>
      </c>
      <c r="G862" t="s">
        <v>120</v>
      </c>
      <c r="H862">
        <v>0</v>
      </c>
      <c r="I862" s="19">
        <v>46101</v>
      </c>
      <c r="J862" s="19">
        <f t="shared" si="26"/>
        <v>46104</v>
      </c>
      <c r="L862">
        <f t="shared" si="27"/>
        <v>47</v>
      </c>
    </row>
    <row r="863" spans="1:12" x14ac:dyDescent="0.25">
      <c r="A863">
        <v>2</v>
      </c>
      <c r="B863">
        <v>4587</v>
      </c>
      <c r="C863">
        <v>95</v>
      </c>
      <c r="D863">
        <v>2</v>
      </c>
      <c r="E863" t="s">
        <v>123</v>
      </c>
      <c r="F863" s="19">
        <v>46057</v>
      </c>
      <c r="G863" t="s">
        <v>122</v>
      </c>
      <c r="H863">
        <v>0</v>
      </c>
      <c r="I863" s="19">
        <v>46101</v>
      </c>
      <c r="J863" s="19">
        <f t="shared" si="26"/>
        <v>46104</v>
      </c>
      <c r="L863">
        <f t="shared" si="27"/>
        <v>47</v>
      </c>
    </row>
    <row r="864" spans="1:12" x14ac:dyDescent="0.25">
      <c r="A864">
        <v>6</v>
      </c>
      <c r="B864">
        <v>4660</v>
      </c>
      <c r="C864">
        <v>157</v>
      </c>
      <c r="D864">
        <v>2</v>
      </c>
      <c r="E864" t="s">
        <v>123</v>
      </c>
      <c r="F864" s="19">
        <v>46057</v>
      </c>
      <c r="G864" t="s">
        <v>132</v>
      </c>
      <c r="H864">
        <v>0</v>
      </c>
      <c r="I864" s="19">
        <v>46102</v>
      </c>
      <c r="J864" s="19">
        <f t="shared" si="26"/>
        <v>46105</v>
      </c>
      <c r="L864">
        <f t="shared" si="27"/>
        <v>48</v>
      </c>
    </row>
    <row r="865" spans="1:12" x14ac:dyDescent="0.25">
      <c r="A865">
        <v>2</v>
      </c>
      <c r="B865">
        <v>4014</v>
      </c>
      <c r="C865">
        <v>156</v>
      </c>
      <c r="D865">
        <v>3</v>
      </c>
      <c r="E865" t="s">
        <v>123</v>
      </c>
      <c r="F865" s="19">
        <v>46057</v>
      </c>
      <c r="G865" t="s">
        <v>120</v>
      </c>
      <c r="H865">
        <v>0</v>
      </c>
      <c r="I865" s="19">
        <v>46103</v>
      </c>
      <c r="J865" s="19">
        <f t="shared" si="26"/>
        <v>46106</v>
      </c>
      <c r="L865">
        <f t="shared" si="27"/>
        <v>49</v>
      </c>
    </row>
    <row r="866" spans="1:12" x14ac:dyDescent="0.25">
      <c r="A866">
        <v>2</v>
      </c>
      <c r="B866">
        <v>4888</v>
      </c>
      <c r="C866">
        <v>156</v>
      </c>
      <c r="D866">
        <v>2</v>
      </c>
      <c r="E866" t="s">
        <v>123</v>
      </c>
      <c r="F866" s="19">
        <v>46057</v>
      </c>
      <c r="G866" t="s">
        <v>132</v>
      </c>
      <c r="H866">
        <v>0</v>
      </c>
      <c r="I866" s="19">
        <v>46103</v>
      </c>
      <c r="J866" s="19">
        <f t="shared" si="26"/>
        <v>46106</v>
      </c>
      <c r="L866">
        <f t="shared" si="27"/>
        <v>49</v>
      </c>
    </row>
    <row r="867" spans="1:12" x14ac:dyDescent="0.25">
      <c r="A867">
        <v>10</v>
      </c>
      <c r="B867">
        <v>4072</v>
      </c>
      <c r="C867">
        <v>155</v>
      </c>
      <c r="D867">
        <v>3</v>
      </c>
      <c r="E867" t="s">
        <v>123</v>
      </c>
      <c r="F867" s="19">
        <v>46057</v>
      </c>
      <c r="G867" t="s">
        <v>120</v>
      </c>
      <c r="H867">
        <v>0</v>
      </c>
      <c r="I867" s="19">
        <v>46104</v>
      </c>
      <c r="J867" s="19">
        <f t="shared" si="26"/>
        <v>46107</v>
      </c>
      <c r="L867">
        <f t="shared" si="27"/>
        <v>50</v>
      </c>
    </row>
    <row r="868" spans="1:12" x14ac:dyDescent="0.25">
      <c r="A868">
        <v>3</v>
      </c>
      <c r="B868">
        <v>4800</v>
      </c>
      <c r="C868">
        <v>155</v>
      </c>
      <c r="D868">
        <v>2</v>
      </c>
      <c r="E868" t="s">
        <v>123</v>
      </c>
      <c r="F868" s="19">
        <v>46057</v>
      </c>
      <c r="G868" t="s">
        <v>120</v>
      </c>
      <c r="H868">
        <v>0</v>
      </c>
      <c r="I868" s="19">
        <v>46104</v>
      </c>
      <c r="J868" s="19">
        <f t="shared" si="26"/>
        <v>46107</v>
      </c>
      <c r="L868">
        <f t="shared" si="27"/>
        <v>50</v>
      </c>
    </row>
    <row r="869" spans="1:12" x14ac:dyDescent="0.25">
      <c r="A869">
        <v>10</v>
      </c>
      <c r="B869">
        <v>3807</v>
      </c>
      <c r="C869">
        <v>104</v>
      </c>
      <c r="D869">
        <v>3</v>
      </c>
      <c r="E869" t="s">
        <v>123</v>
      </c>
      <c r="F869" s="19">
        <v>46057</v>
      </c>
      <c r="G869" t="s">
        <v>122</v>
      </c>
      <c r="H869">
        <v>0</v>
      </c>
      <c r="I869" s="19">
        <v>46105</v>
      </c>
      <c r="J869" s="19">
        <f t="shared" si="26"/>
        <v>46108</v>
      </c>
      <c r="L869">
        <f t="shared" si="27"/>
        <v>51</v>
      </c>
    </row>
    <row r="870" spans="1:12" x14ac:dyDescent="0.25">
      <c r="A870">
        <v>6</v>
      </c>
      <c r="B870">
        <v>2889</v>
      </c>
      <c r="C870">
        <v>90</v>
      </c>
      <c r="D870">
        <v>5</v>
      </c>
      <c r="E870" t="s">
        <v>123</v>
      </c>
      <c r="F870" s="19">
        <v>46057</v>
      </c>
      <c r="G870" t="s">
        <v>122</v>
      </c>
      <c r="H870">
        <v>0</v>
      </c>
      <c r="I870" s="19">
        <v>46105</v>
      </c>
      <c r="J870" s="19">
        <f t="shared" si="26"/>
        <v>46108</v>
      </c>
      <c r="L870">
        <f t="shared" si="27"/>
        <v>51</v>
      </c>
    </row>
    <row r="871" spans="1:12" x14ac:dyDescent="0.25">
      <c r="A871">
        <v>3</v>
      </c>
      <c r="B871">
        <v>4678</v>
      </c>
      <c r="C871">
        <v>154</v>
      </c>
      <c r="D871">
        <v>2</v>
      </c>
      <c r="E871" t="s">
        <v>123</v>
      </c>
      <c r="F871" s="19">
        <v>46057</v>
      </c>
      <c r="G871" t="s">
        <v>120</v>
      </c>
      <c r="H871">
        <v>0</v>
      </c>
      <c r="I871" s="19">
        <v>46105</v>
      </c>
      <c r="J871" s="19">
        <f t="shared" si="26"/>
        <v>46108</v>
      </c>
      <c r="L871">
        <f t="shared" si="27"/>
        <v>51</v>
      </c>
    </row>
    <row r="872" spans="1:12" x14ac:dyDescent="0.25">
      <c r="A872">
        <v>2</v>
      </c>
      <c r="B872">
        <v>4178</v>
      </c>
      <c r="C872">
        <v>154</v>
      </c>
      <c r="D872">
        <v>2</v>
      </c>
      <c r="E872" t="s">
        <v>123</v>
      </c>
      <c r="F872" s="19">
        <v>46057</v>
      </c>
      <c r="G872" t="s">
        <v>120</v>
      </c>
      <c r="H872">
        <v>0</v>
      </c>
      <c r="I872" s="19">
        <v>46105</v>
      </c>
      <c r="J872" s="19">
        <f t="shared" si="26"/>
        <v>46108</v>
      </c>
      <c r="L872">
        <f t="shared" si="27"/>
        <v>51</v>
      </c>
    </row>
    <row r="873" spans="1:12" x14ac:dyDescent="0.25">
      <c r="A873">
        <v>6</v>
      </c>
      <c r="B873">
        <v>4099</v>
      </c>
      <c r="C873">
        <v>153</v>
      </c>
      <c r="D873">
        <v>3</v>
      </c>
      <c r="E873" t="s">
        <v>123</v>
      </c>
      <c r="F873" s="19">
        <v>46057</v>
      </c>
      <c r="G873" t="s">
        <v>131</v>
      </c>
      <c r="H873">
        <v>0</v>
      </c>
      <c r="I873" s="19">
        <v>46106</v>
      </c>
      <c r="J873" s="19">
        <f t="shared" si="26"/>
        <v>46109</v>
      </c>
      <c r="L873">
        <f t="shared" si="27"/>
        <v>52</v>
      </c>
    </row>
    <row r="874" spans="1:12" x14ac:dyDescent="0.25">
      <c r="A874">
        <v>2</v>
      </c>
      <c r="B874">
        <v>3672</v>
      </c>
      <c r="C874">
        <v>150</v>
      </c>
      <c r="D874">
        <v>3</v>
      </c>
      <c r="E874" t="s">
        <v>123</v>
      </c>
      <c r="F874" s="19">
        <v>46057</v>
      </c>
      <c r="G874" t="s">
        <v>120</v>
      </c>
      <c r="H874">
        <v>0</v>
      </c>
      <c r="I874" s="19">
        <v>46109</v>
      </c>
      <c r="J874" s="19">
        <f t="shared" ref="J874:J937" si="28">I874+3</f>
        <v>46112</v>
      </c>
      <c r="L874">
        <f t="shared" ref="L874:L937" si="29">J874-F874</f>
        <v>55</v>
      </c>
    </row>
    <row r="875" spans="1:12" x14ac:dyDescent="0.25">
      <c r="A875">
        <v>10</v>
      </c>
      <c r="B875">
        <v>3963</v>
      </c>
      <c r="C875">
        <v>149</v>
      </c>
      <c r="D875">
        <v>3</v>
      </c>
      <c r="E875" t="s">
        <v>123</v>
      </c>
      <c r="F875" s="19">
        <v>46057</v>
      </c>
      <c r="G875" t="s">
        <v>132</v>
      </c>
      <c r="H875">
        <v>0</v>
      </c>
      <c r="I875" s="19">
        <v>46110</v>
      </c>
      <c r="J875" s="19">
        <f t="shared" si="28"/>
        <v>46113</v>
      </c>
      <c r="L875">
        <f t="shared" si="29"/>
        <v>56</v>
      </c>
    </row>
    <row r="876" spans="1:12" x14ac:dyDescent="0.25">
      <c r="A876">
        <v>6</v>
      </c>
      <c r="B876">
        <v>3583</v>
      </c>
      <c r="C876">
        <v>148</v>
      </c>
      <c r="D876">
        <v>3</v>
      </c>
      <c r="E876" t="s">
        <v>123</v>
      </c>
      <c r="F876" s="19">
        <v>46057</v>
      </c>
      <c r="G876" t="s">
        <v>125</v>
      </c>
      <c r="H876">
        <v>0</v>
      </c>
      <c r="I876" s="19">
        <v>46111</v>
      </c>
      <c r="J876" s="19">
        <f t="shared" si="28"/>
        <v>46114</v>
      </c>
      <c r="L876">
        <f t="shared" si="29"/>
        <v>57</v>
      </c>
    </row>
    <row r="877" spans="1:12" x14ac:dyDescent="0.25">
      <c r="A877">
        <v>10</v>
      </c>
      <c r="B877">
        <v>2605</v>
      </c>
      <c r="C877">
        <v>33</v>
      </c>
      <c r="D877">
        <v>4</v>
      </c>
      <c r="E877" t="s">
        <v>123</v>
      </c>
      <c r="F877" s="19">
        <v>46057</v>
      </c>
      <c r="G877" t="s">
        <v>122</v>
      </c>
      <c r="H877">
        <v>0</v>
      </c>
      <c r="I877" s="19">
        <v>46111</v>
      </c>
      <c r="J877" s="19">
        <f t="shared" si="28"/>
        <v>46114</v>
      </c>
      <c r="L877">
        <f t="shared" si="29"/>
        <v>57</v>
      </c>
    </row>
    <row r="878" spans="1:12" x14ac:dyDescent="0.25">
      <c r="A878">
        <v>10</v>
      </c>
      <c r="B878">
        <v>3984</v>
      </c>
      <c r="C878">
        <v>65</v>
      </c>
      <c r="D878">
        <v>3</v>
      </c>
      <c r="E878" t="s">
        <v>123</v>
      </c>
      <c r="F878" s="19">
        <v>46057</v>
      </c>
      <c r="G878" t="s">
        <v>122</v>
      </c>
      <c r="H878">
        <v>0</v>
      </c>
      <c r="I878" s="19">
        <v>46131</v>
      </c>
      <c r="J878" s="19">
        <f t="shared" si="28"/>
        <v>46134</v>
      </c>
      <c r="L878">
        <f t="shared" si="29"/>
        <v>77</v>
      </c>
    </row>
    <row r="879" spans="1:12" x14ac:dyDescent="0.25">
      <c r="A879">
        <v>2</v>
      </c>
      <c r="B879">
        <v>2791</v>
      </c>
      <c r="C879">
        <v>127</v>
      </c>
      <c r="D879">
        <v>4</v>
      </c>
      <c r="E879" t="s">
        <v>123</v>
      </c>
      <c r="F879" s="19">
        <v>46057</v>
      </c>
      <c r="G879" t="s">
        <v>132</v>
      </c>
      <c r="H879">
        <v>0</v>
      </c>
      <c r="I879" s="19">
        <v>46132</v>
      </c>
      <c r="J879" s="19">
        <f t="shared" si="28"/>
        <v>46135</v>
      </c>
      <c r="L879">
        <f t="shared" si="29"/>
        <v>78</v>
      </c>
    </row>
    <row r="880" spans="1:12" x14ac:dyDescent="0.25">
      <c r="A880">
        <v>6</v>
      </c>
      <c r="B880">
        <v>4407</v>
      </c>
      <c r="C880">
        <v>127</v>
      </c>
      <c r="D880">
        <v>2</v>
      </c>
      <c r="E880" t="s">
        <v>123</v>
      </c>
      <c r="F880" s="19">
        <v>46057</v>
      </c>
      <c r="G880" t="s">
        <v>132</v>
      </c>
      <c r="H880">
        <v>0</v>
      </c>
      <c r="I880" s="19">
        <v>46132</v>
      </c>
      <c r="J880" s="19">
        <f t="shared" si="28"/>
        <v>46135</v>
      </c>
      <c r="L880">
        <f t="shared" si="29"/>
        <v>78</v>
      </c>
    </row>
    <row r="881" spans="1:12" x14ac:dyDescent="0.25">
      <c r="A881">
        <v>5</v>
      </c>
      <c r="B881">
        <v>3567</v>
      </c>
      <c r="C881">
        <v>108</v>
      </c>
      <c r="D881">
        <v>4</v>
      </c>
      <c r="E881" t="s">
        <v>123</v>
      </c>
      <c r="F881" s="19">
        <v>46057</v>
      </c>
      <c r="G881" t="s">
        <v>132</v>
      </c>
      <c r="H881">
        <v>0</v>
      </c>
      <c r="I881" s="19">
        <v>46151</v>
      </c>
      <c r="J881" s="19">
        <f t="shared" si="28"/>
        <v>46154</v>
      </c>
      <c r="L881">
        <f t="shared" si="29"/>
        <v>97</v>
      </c>
    </row>
    <row r="882" spans="1:12" x14ac:dyDescent="0.25">
      <c r="A882">
        <v>10</v>
      </c>
      <c r="B882">
        <v>2398</v>
      </c>
      <c r="C882">
        <v>21</v>
      </c>
      <c r="D882">
        <v>5</v>
      </c>
      <c r="E882" t="s">
        <v>123</v>
      </c>
      <c r="F882" s="19">
        <v>46057</v>
      </c>
      <c r="G882" t="s">
        <v>122</v>
      </c>
      <c r="H882">
        <v>0</v>
      </c>
      <c r="I882" s="19">
        <v>46189</v>
      </c>
      <c r="J882" s="19">
        <f t="shared" si="28"/>
        <v>46192</v>
      </c>
      <c r="L882">
        <f t="shared" si="29"/>
        <v>135</v>
      </c>
    </row>
    <row r="883" spans="1:12" x14ac:dyDescent="0.25">
      <c r="A883">
        <v>5</v>
      </c>
      <c r="B883">
        <v>4616</v>
      </c>
      <c r="C883">
        <v>162</v>
      </c>
      <c r="D883">
        <v>2</v>
      </c>
      <c r="E883" t="s">
        <v>123</v>
      </c>
      <c r="F883" s="19">
        <v>46063</v>
      </c>
      <c r="G883" t="s">
        <v>132</v>
      </c>
      <c r="H883">
        <v>0</v>
      </c>
      <c r="I883" s="19">
        <v>46097</v>
      </c>
      <c r="J883" s="19">
        <f t="shared" si="28"/>
        <v>46100</v>
      </c>
      <c r="L883">
        <f t="shared" si="29"/>
        <v>37</v>
      </c>
    </row>
    <row r="884" spans="1:12" x14ac:dyDescent="0.25">
      <c r="A884">
        <v>6</v>
      </c>
      <c r="B884">
        <v>4608</v>
      </c>
      <c r="C884">
        <v>158</v>
      </c>
      <c r="D884">
        <v>2</v>
      </c>
      <c r="E884" t="s">
        <v>123</v>
      </c>
      <c r="F884" s="19">
        <v>46063</v>
      </c>
      <c r="G884" t="s">
        <v>125</v>
      </c>
      <c r="H884">
        <v>0</v>
      </c>
      <c r="I884" s="19">
        <v>46101</v>
      </c>
      <c r="J884" s="19">
        <f t="shared" si="28"/>
        <v>46104</v>
      </c>
      <c r="L884">
        <f t="shared" si="29"/>
        <v>41</v>
      </c>
    </row>
    <row r="885" spans="1:12" x14ac:dyDescent="0.25">
      <c r="A885">
        <v>10</v>
      </c>
      <c r="B885">
        <v>4026</v>
      </c>
      <c r="C885">
        <v>156</v>
      </c>
      <c r="D885">
        <v>3</v>
      </c>
      <c r="E885" t="s">
        <v>123</v>
      </c>
      <c r="F885" s="19">
        <v>46063</v>
      </c>
      <c r="G885" t="s">
        <v>120</v>
      </c>
      <c r="H885">
        <v>0</v>
      </c>
      <c r="I885" s="19">
        <v>46103</v>
      </c>
      <c r="J885" s="19">
        <f t="shared" si="28"/>
        <v>46106</v>
      </c>
      <c r="L885">
        <f t="shared" si="29"/>
        <v>43</v>
      </c>
    </row>
    <row r="886" spans="1:12" x14ac:dyDescent="0.25">
      <c r="A886">
        <v>5</v>
      </c>
      <c r="B886">
        <v>4752</v>
      </c>
      <c r="C886">
        <v>156</v>
      </c>
      <c r="D886">
        <v>2</v>
      </c>
      <c r="E886" t="s">
        <v>123</v>
      </c>
      <c r="F886" s="19">
        <v>46063</v>
      </c>
      <c r="G886" t="s">
        <v>120</v>
      </c>
      <c r="H886">
        <v>0</v>
      </c>
      <c r="I886" s="19">
        <v>46103</v>
      </c>
      <c r="J886" s="19">
        <f t="shared" si="28"/>
        <v>46106</v>
      </c>
      <c r="L886">
        <f t="shared" si="29"/>
        <v>43</v>
      </c>
    </row>
    <row r="887" spans="1:12" x14ac:dyDescent="0.25">
      <c r="A887">
        <v>5</v>
      </c>
      <c r="B887">
        <v>4783</v>
      </c>
      <c r="C887">
        <v>154</v>
      </c>
      <c r="D887">
        <v>2</v>
      </c>
      <c r="E887" t="s">
        <v>123</v>
      </c>
      <c r="F887" s="19">
        <v>46063</v>
      </c>
      <c r="G887" t="s">
        <v>132</v>
      </c>
      <c r="H887">
        <v>0</v>
      </c>
      <c r="I887" s="19">
        <v>46105</v>
      </c>
      <c r="J887" s="19">
        <f t="shared" si="28"/>
        <v>46108</v>
      </c>
      <c r="L887">
        <f t="shared" si="29"/>
        <v>45</v>
      </c>
    </row>
    <row r="888" spans="1:12" x14ac:dyDescent="0.25">
      <c r="A888">
        <v>6</v>
      </c>
      <c r="B888">
        <v>4881</v>
      </c>
      <c r="C888">
        <v>153</v>
      </c>
      <c r="D888">
        <v>2</v>
      </c>
      <c r="E888" t="s">
        <v>123</v>
      </c>
      <c r="F888" s="19">
        <v>46063</v>
      </c>
      <c r="G888" t="s">
        <v>132</v>
      </c>
      <c r="H888">
        <v>0</v>
      </c>
      <c r="I888" s="19">
        <v>46106</v>
      </c>
      <c r="J888" s="19">
        <f t="shared" si="28"/>
        <v>46109</v>
      </c>
      <c r="L888">
        <f t="shared" si="29"/>
        <v>46</v>
      </c>
    </row>
    <row r="889" spans="1:12" x14ac:dyDescent="0.25">
      <c r="A889">
        <v>5</v>
      </c>
      <c r="B889">
        <v>3688</v>
      </c>
      <c r="C889">
        <v>152</v>
      </c>
      <c r="D889">
        <v>3</v>
      </c>
      <c r="E889" t="s">
        <v>123</v>
      </c>
      <c r="F889" s="19">
        <v>46063</v>
      </c>
      <c r="G889" t="s">
        <v>131</v>
      </c>
      <c r="H889">
        <v>0</v>
      </c>
      <c r="I889" s="19">
        <v>46107</v>
      </c>
      <c r="J889" s="19">
        <f t="shared" si="28"/>
        <v>46110</v>
      </c>
      <c r="L889">
        <f t="shared" si="29"/>
        <v>47</v>
      </c>
    </row>
    <row r="890" spans="1:12" x14ac:dyDescent="0.25">
      <c r="A890">
        <v>2</v>
      </c>
      <c r="B890">
        <v>3893</v>
      </c>
      <c r="C890">
        <v>152</v>
      </c>
      <c r="D890">
        <v>3</v>
      </c>
      <c r="E890" t="s">
        <v>123</v>
      </c>
      <c r="F890" s="19">
        <v>46063</v>
      </c>
      <c r="G890" t="s">
        <v>120</v>
      </c>
      <c r="H890">
        <v>0</v>
      </c>
      <c r="I890" s="19">
        <v>46107</v>
      </c>
      <c r="J890" s="19">
        <f t="shared" si="28"/>
        <v>46110</v>
      </c>
      <c r="L890">
        <f t="shared" si="29"/>
        <v>47</v>
      </c>
    </row>
    <row r="891" spans="1:12" x14ac:dyDescent="0.25">
      <c r="A891">
        <v>2</v>
      </c>
      <c r="B891">
        <v>4761</v>
      </c>
      <c r="C891">
        <v>152</v>
      </c>
      <c r="D891">
        <v>2</v>
      </c>
      <c r="E891" t="s">
        <v>123</v>
      </c>
      <c r="F891" s="19">
        <v>46063</v>
      </c>
      <c r="G891" t="s">
        <v>120</v>
      </c>
      <c r="H891">
        <v>0</v>
      </c>
      <c r="I891" s="19">
        <v>46107</v>
      </c>
      <c r="J891" s="19">
        <f t="shared" si="28"/>
        <v>46110</v>
      </c>
      <c r="L891">
        <f t="shared" si="29"/>
        <v>47</v>
      </c>
    </row>
    <row r="892" spans="1:12" x14ac:dyDescent="0.25">
      <c r="A892">
        <v>3</v>
      </c>
      <c r="B892">
        <v>4470</v>
      </c>
      <c r="C892">
        <v>152</v>
      </c>
      <c r="D892">
        <v>2</v>
      </c>
      <c r="E892" t="s">
        <v>123</v>
      </c>
      <c r="F892" s="19">
        <v>46063</v>
      </c>
      <c r="G892" t="s">
        <v>120</v>
      </c>
      <c r="H892">
        <v>0</v>
      </c>
      <c r="I892" s="19">
        <v>46107</v>
      </c>
      <c r="J892" s="19">
        <f t="shared" si="28"/>
        <v>46110</v>
      </c>
      <c r="L892">
        <f t="shared" si="29"/>
        <v>47</v>
      </c>
    </row>
    <row r="893" spans="1:12" x14ac:dyDescent="0.25">
      <c r="A893">
        <v>5</v>
      </c>
      <c r="B893">
        <v>3677</v>
      </c>
      <c r="C893">
        <v>151</v>
      </c>
      <c r="D893">
        <v>3</v>
      </c>
      <c r="E893" t="s">
        <v>123</v>
      </c>
      <c r="F893" s="19">
        <v>46063</v>
      </c>
      <c r="G893" t="s">
        <v>120</v>
      </c>
      <c r="H893">
        <v>0</v>
      </c>
      <c r="I893" s="19">
        <v>46108</v>
      </c>
      <c r="J893" s="19">
        <f t="shared" si="28"/>
        <v>46111</v>
      </c>
      <c r="L893">
        <f t="shared" si="29"/>
        <v>48</v>
      </c>
    </row>
    <row r="894" spans="1:12" x14ac:dyDescent="0.25">
      <c r="A894">
        <v>5</v>
      </c>
      <c r="B894">
        <v>4670</v>
      </c>
      <c r="C894">
        <v>151</v>
      </c>
      <c r="D894">
        <v>2</v>
      </c>
      <c r="E894" t="s">
        <v>123</v>
      </c>
      <c r="F894" s="19">
        <v>46063</v>
      </c>
      <c r="G894" t="s">
        <v>131</v>
      </c>
      <c r="H894">
        <v>0</v>
      </c>
      <c r="I894" s="19">
        <v>46108</v>
      </c>
      <c r="J894" s="19">
        <f t="shared" si="28"/>
        <v>46111</v>
      </c>
      <c r="L894">
        <f t="shared" si="29"/>
        <v>48</v>
      </c>
    </row>
    <row r="895" spans="1:12" x14ac:dyDescent="0.25">
      <c r="A895">
        <v>5</v>
      </c>
      <c r="B895">
        <v>4699</v>
      </c>
      <c r="C895">
        <v>151</v>
      </c>
      <c r="D895">
        <v>2</v>
      </c>
      <c r="E895" t="s">
        <v>123</v>
      </c>
      <c r="F895" s="19">
        <v>46063</v>
      </c>
      <c r="G895" t="s">
        <v>120</v>
      </c>
      <c r="H895">
        <v>0</v>
      </c>
      <c r="I895" s="19">
        <v>46108</v>
      </c>
      <c r="J895" s="19">
        <f t="shared" si="28"/>
        <v>46111</v>
      </c>
      <c r="L895">
        <f t="shared" si="29"/>
        <v>48</v>
      </c>
    </row>
    <row r="896" spans="1:12" x14ac:dyDescent="0.25">
      <c r="A896">
        <v>2</v>
      </c>
      <c r="B896">
        <v>4765</v>
      </c>
      <c r="C896">
        <v>150</v>
      </c>
      <c r="D896">
        <v>2</v>
      </c>
      <c r="E896" t="s">
        <v>123</v>
      </c>
      <c r="F896" s="19">
        <v>46063</v>
      </c>
      <c r="G896" t="s">
        <v>120</v>
      </c>
      <c r="H896">
        <v>0</v>
      </c>
      <c r="I896" s="19">
        <v>46109</v>
      </c>
      <c r="J896" s="19">
        <f t="shared" si="28"/>
        <v>46112</v>
      </c>
      <c r="L896">
        <f t="shared" si="29"/>
        <v>49</v>
      </c>
    </row>
    <row r="897" spans="1:12" x14ac:dyDescent="0.25">
      <c r="A897">
        <v>3</v>
      </c>
      <c r="B897">
        <v>4688</v>
      </c>
      <c r="C897">
        <v>150</v>
      </c>
      <c r="D897">
        <v>2</v>
      </c>
      <c r="E897" t="s">
        <v>123</v>
      </c>
      <c r="F897" s="19">
        <v>46063</v>
      </c>
      <c r="G897" t="s">
        <v>131</v>
      </c>
      <c r="H897">
        <v>0</v>
      </c>
      <c r="I897" s="19">
        <v>46109</v>
      </c>
      <c r="J897" s="19">
        <f t="shared" si="28"/>
        <v>46112</v>
      </c>
      <c r="L897">
        <f t="shared" si="29"/>
        <v>49</v>
      </c>
    </row>
    <row r="898" spans="1:12" x14ac:dyDescent="0.25">
      <c r="A898">
        <v>2</v>
      </c>
      <c r="B898">
        <v>3964</v>
      </c>
      <c r="C898">
        <v>44</v>
      </c>
      <c r="D898">
        <v>3</v>
      </c>
      <c r="E898" t="s">
        <v>123</v>
      </c>
      <c r="F898" s="19">
        <v>46063</v>
      </c>
      <c r="G898" t="s">
        <v>122</v>
      </c>
      <c r="H898">
        <v>0</v>
      </c>
      <c r="I898" s="19">
        <v>46110</v>
      </c>
      <c r="J898" s="19">
        <f t="shared" si="28"/>
        <v>46113</v>
      </c>
      <c r="L898">
        <f t="shared" si="29"/>
        <v>50</v>
      </c>
    </row>
    <row r="899" spans="1:12" x14ac:dyDescent="0.25">
      <c r="A899">
        <v>5</v>
      </c>
      <c r="B899">
        <v>4862</v>
      </c>
      <c r="C899">
        <v>149</v>
      </c>
      <c r="D899">
        <v>2</v>
      </c>
      <c r="E899" t="s">
        <v>123</v>
      </c>
      <c r="F899" s="19">
        <v>46063</v>
      </c>
      <c r="G899" t="s">
        <v>132</v>
      </c>
      <c r="H899">
        <v>0</v>
      </c>
      <c r="I899" s="19">
        <v>46110</v>
      </c>
      <c r="J899" s="19">
        <f t="shared" si="28"/>
        <v>46113</v>
      </c>
      <c r="L899">
        <f t="shared" si="29"/>
        <v>50</v>
      </c>
    </row>
    <row r="900" spans="1:12" x14ac:dyDescent="0.25">
      <c r="A900">
        <v>10</v>
      </c>
      <c r="B900">
        <v>4551</v>
      </c>
      <c r="C900">
        <v>71</v>
      </c>
      <c r="D900">
        <v>2</v>
      </c>
      <c r="E900" t="s">
        <v>123</v>
      </c>
      <c r="F900" s="19">
        <v>46063</v>
      </c>
      <c r="G900" t="s">
        <v>122</v>
      </c>
      <c r="H900">
        <v>0</v>
      </c>
      <c r="I900" s="19">
        <v>46110</v>
      </c>
      <c r="J900" s="19">
        <f t="shared" si="28"/>
        <v>46113</v>
      </c>
      <c r="L900">
        <f t="shared" si="29"/>
        <v>50</v>
      </c>
    </row>
    <row r="901" spans="1:12" x14ac:dyDescent="0.25">
      <c r="A901">
        <v>10</v>
      </c>
      <c r="B901">
        <v>3916</v>
      </c>
      <c r="C901">
        <v>148</v>
      </c>
      <c r="D901">
        <v>3</v>
      </c>
      <c r="E901" t="s">
        <v>123</v>
      </c>
      <c r="F901" s="19">
        <v>46063</v>
      </c>
      <c r="G901" t="s">
        <v>120</v>
      </c>
      <c r="H901">
        <v>0</v>
      </c>
      <c r="I901" s="19">
        <v>46111</v>
      </c>
      <c r="J901" s="19">
        <f t="shared" si="28"/>
        <v>46114</v>
      </c>
      <c r="L901">
        <f t="shared" si="29"/>
        <v>51</v>
      </c>
    </row>
    <row r="902" spans="1:12" x14ac:dyDescent="0.25">
      <c r="A902">
        <v>2</v>
      </c>
      <c r="B902">
        <v>4742</v>
      </c>
      <c r="C902">
        <v>148</v>
      </c>
      <c r="D902">
        <v>2</v>
      </c>
      <c r="E902" t="s">
        <v>123</v>
      </c>
      <c r="F902" s="19">
        <v>46063</v>
      </c>
      <c r="G902" t="s">
        <v>132</v>
      </c>
      <c r="H902">
        <v>0</v>
      </c>
      <c r="I902" s="19">
        <v>46111</v>
      </c>
      <c r="J902" s="19">
        <f t="shared" si="28"/>
        <v>46114</v>
      </c>
      <c r="L902">
        <f t="shared" si="29"/>
        <v>51</v>
      </c>
    </row>
    <row r="903" spans="1:12" x14ac:dyDescent="0.25">
      <c r="A903">
        <v>5</v>
      </c>
      <c r="B903">
        <v>1198</v>
      </c>
      <c r="C903">
        <v>147</v>
      </c>
      <c r="D903">
        <v>4</v>
      </c>
      <c r="E903" t="s">
        <v>123</v>
      </c>
      <c r="F903" s="19">
        <v>46063</v>
      </c>
      <c r="G903" t="s">
        <v>125</v>
      </c>
      <c r="H903">
        <v>0</v>
      </c>
      <c r="I903" s="19">
        <v>46112</v>
      </c>
      <c r="J903" s="19">
        <f t="shared" si="28"/>
        <v>46115</v>
      </c>
      <c r="L903">
        <f t="shared" si="29"/>
        <v>52</v>
      </c>
    </row>
    <row r="904" spans="1:12" x14ac:dyDescent="0.25">
      <c r="A904">
        <v>10</v>
      </c>
      <c r="B904">
        <v>3158</v>
      </c>
      <c r="C904">
        <v>31</v>
      </c>
      <c r="D904">
        <v>4</v>
      </c>
      <c r="E904" t="s">
        <v>123</v>
      </c>
      <c r="F904" s="19">
        <v>46063</v>
      </c>
      <c r="G904" t="s">
        <v>122</v>
      </c>
      <c r="H904">
        <v>0</v>
      </c>
      <c r="I904" s="19">
        <v>46112</v>
      </c>
      <c r="J904" s="19">
        <f t="shared" si="28"/>
        <v>46115</v>
      </c>
      <c r="L904">
        <f t="shared" si="29"/>
        <v>52</v>
      </c>
    </row>
    <row r="905" spans="1:12" x14ac:dyDescent="0.25">
      <c r="A905">
        <v>3</v>
      </c>
      <c r="B905">
        <v>4639</v>
      </c>
      <c r="C905">
        <v>147</v>
      </c>
      <c r="D905">
        <v>2</v>
      </c>
      <c r="E905" t="s">
        <v>123</v>
      </c>
      <c r="F905" s="19">
        <v>46063</v>
      </c>
      <c r="G905" t="s">
        <v>132</v>
      </c>
      <c r="H905">
        <v>0</v>
      </c>
      <c r="I905" s="19">
        <v>46112</v>
      </c>
      <c r="J905" s="19">
        <f t="shared" si="28"/>
        <v>46115</v>
      </c>
      <c r="L905">
        <f t="shared" si="29"/>
        <v>52</v>
      </c>
    </row>
    <row r="906" spans="1:12" x14ac:dyDescent="0.25">
      <c r="A906">
        <v>5</v>
      </c>
      <c r="B906">
        <v>4538</v>
      </c>
      <c r="C906">
        <v>147</v>
      </c>
      <c r="D906">
        <v>2</v>
      </c>
      <c r="E906" t="s">
        <v>123</v>
      </c>
      <c r="F906" s="19">
        <v>46063</v>
      </c>
      <c r="G906" t="s">
        <v>120</v>
      </c>
      <c r="H906">
        <v>0</v>
      </c>
      <c r="I906" s="19">
        <v>46112</v>
      </c>
      <c r="J906" s="19">
        <f t="shared" si="28"/>
        <v>46115</v>
      </c>
      <c r="L906">
        <f t="shared" si="29"/>
        <v>52</v>
      </c>
    </row>
    <row r="907" spans="1:12" x14ac:dyDescent="0.25">
      <c r="A907">
        <v>5</v>
      </c>
      <c r="B907">
        <v>4625</v>
      </c>
      <c r="C907">
        <v>147</v>
      </c>
      <c r="D907">
        <v>2</v>
      </c>
      <c r="E907" t="s">
        <v>123</v>
      </c>
      <c r="F907" s="19">
        <v>46063</v>
      </c>
      <c r="G907" t="s">
        <v>131</v>
      </c>
      <c r="H907">
        <v>0</v>
      </c>
      <c r="I907" s="19">
        <v>46112</v>
      </c>
      <c r="J907" s="19">
        <f t="shared" si="28"/>
        <v>46115</v>
      </c>
      <c r="L907">
        <f t="shared" si="29"/>
        <v>52</v>
      </c>
    </row>
    <row r="908" spans="1:12" x14ac:dyDescent="0.25">
      <c r="A908">
        <v>10</v>
      </c>
      <c r="B908">
        <v>3890</v>
      </c>
      <c r="C908">
        <v>19</v>
      </c>
      <c r="D908">
        <v>3</v>
      </c>
      <c r="E908" t="s">
        <v>123</v>
      </c>
      <c r="F908" s="19">
        <v>46063</v>
      </c>
      <c r="G908" t="s">
        <v>122</v>
      </c>
      <c r="H908">
        <v>0</v>
      </c>
      <c r="I908" s="19">
        <v>46114</v>
      </c>
      <c r="J908" s="19">
        <f t="shared" si="28"/>
        <v>46117</v>
      </c>
      <c r="L908">
        <f t="shared" si="29"/>
        <v>54</v>
      </c>
    </row>
    <row r="909" spans="1:12" x14ac:dyDescent="0.25">
      <c r="A909">
        <v>7</v>
      </c>
      <c r="B909">
        <v>4701</v>
      </c>
      <c r="C909">
        <v>12</v>
      </c>
      <c r="D909">
        <v>2</v>
      </c>
      <c r="E909" t="s">
        <v>123</v>
      </c>
      <c r="F909" s="19">
        <v>46063</v>
      </c>
      <c r="G909" t="s">
        <v>122</v>
      </c>
      <c r="H909">
        <v>0</v>
      </c>
      <c r="I909" s="19">
        <v>46114</v>
      </c>
      <c r="J909" s="19">
        <f t="shared" si="28"/>
        <v>46117</v>
      </c>
      <c r="L909">
        <f t="shared" si="29"/>
        <v>54</v>
      </c>
    </row>
    <row r="910" spans="1:12" x14ac:dyDescent="0.25">
      <c r="A910">
        <v>5</v>
      </c>
      <c r="B910">
        <v>3667</v>
      </c>
      <c r="C910">
        <v>144</v>
      </c>
      <c r="D910">
        <v>3</v>
      </c>
      <c r="E910" t="s">
        <v>123</v>
      </c>
      <c r="F910" s="19">
        <v>46063</v>
      </c>
      <c r="G910" t="s">
        <v>120</v>
      </c>
      <c r="H910">
        <v>0</v>
      </c>
      <c r="I910" s="19">
        <v>46115</v>
      </c>
      <c r="J910" s="19">
        <f t="shared" si="28"/>
        <v>46118</v>
      </c>
      <c r="L910">
        <f t="shared" si="29"/>
        <v>55</v>
      </c>
    </row>
    <row r="911" spans="1:12" x14ac:dyDescent="0.25">
      <c r="A911">
        <v>2</v>
      </c>
      <c r="B911">
        <v>4874</v>
      </c>
      <c r="C911">
        <v>144</v>
      </c>
      <c r="D911">
        <v>2</v>
      </c>
      <c r="E911" t="s">
        <v>123</v>
      </c>
      <c r="F911" s="19">
        <v>46063</v>
      </c>
      <c r="G911" t="s">
        <v>120</v>
      </c>
      <c r="H911">
        <v>0</v>
      </c>
      <c r="I911" s="19">
        <v>46115</v>
      </c>
      <c r="J911" s="19">
        <f t="shared" si="28"/>
        <v>46118</v>
      </c>
      <c r="L911">
        <f t="shared" si="29"/>
        <v>55</v>
      </c>
    </row>
    <row r="912" spans="1:12" x14ac:dyDescent="0.25">
      <c r="A912">
        <v>5</v>
      </c>
      <c r="B912">
        <v>4834</v>
      </c>
      <c r="C912">
        <v>144</v>
      </c>
      <c r="D912">
        <v>2</v>
      </c>
      <c r="E912" t="s">
        <v>123</v>
      </c>
      <c r="F912" s="19">
        <v>46063</v>
      </c>
      <c r="G912" t="s">
        <v>132</v>
      </c>
      <c r="H912">
        <v>0</v>
      </c>
      <c r="I912" s="19">
        <v>46115</v>
      </c>
      <c r="J912" s="19">
        <f t="shared" si="28"/>
        <v>46118</v>
      </c>
      <c r="L912">
        <f t="shared" si="29"/>
        <v>55</v>
      </c>
    </row>
    <row r="913" spans="1:12" x14ac:dyDescent="0.25">
      <c r="A913">
        <v>3</v>
      </c>
      <c r="B913">
        <v>4852</v>
      </c>
      <c r="C913">
        <v>144</v>
      </c>
      <c r="D913">
        <v>2</v>
      </c>
      <c r="E913" t="s">
        <v>123</v>
      </c>
      <c r="F913" s="19">
        <v>46063</v>
      </c>
      <c r="G913" t="s">
        <v>132</v>
      </c>
      <c r="H913">
        <v>0</v>
      </c>
      <c r="I913" s="19">
        <v>46115</v>
      </c>
      <c r="J913" s="19">
        <f t="shared" si="28"/>
        <v>46118</v>
      </c>
      <c r="L913">
        <f t="shared" si="29"/>
        <v>55</v>
      </c>
    </row>
    <row r="914" spans="1:12" x14ac:dyDescent="0.25">
      <c r="A914">
        <v>10</v>
      </c>
      <c r="B914">
        <v>4706</v>
      </c>
      <c r="C914">
        <v>107</v>
      </c>
      <c r="D914">
        <v>2</v>
      </c>
      <c r="E914" t="s">
        <v>123</v>
      </c>
      <c r="F914" s="19">
        <v>46063</v>
      </c>
      <c r="G914" t="s">
        <v>122</v>
      </c>
      <c r="H914">
        <v>0</v>
      </c>
      <c r="I914" s="19">
        <v>46117</v>
      </c>
      <c r="J914" s="19">
        <f t="shared" si="28"/>
        <v>46120</v>
      </c>
      <c r="L914">
        <f t="shared" si="29"/>
        <v>57</v>
      </c>
    </row>
    <row r="915" spans="1:12" x14ac:dyDescent="0.25">
      <c r="A915">
        <v>2</v>
      </c>
      <c r="B915">
        <v>4528</v>
      </c>
      <c r="C915">
        <v>142</v>
      </c>
      <c r="D915">
        <v>2</v>
      </c>
      <c r="E915" t="s">
        <v>123</v>
      </c>
      <c r="F915" s="19">
        <v>46063</v>
      </c>
      <c r="G915" t="s">
        <v>120</v>
      </c>
      <c r="H915">
        <v>0</v>
      </c>
      <c r="I915" s="19">
        <v>46117</v>
      </c>
      <c r="J915" s="19">
        <f t="shared" si="28"/>
        <v>46120</v>
      </c>
      <c r="L915">
        <f t="shared" si="29"/>
        <v>57</v>
      </c>
    </row>
    <row r="916" spans="1:12" x14ac:dyDescent="0.25">
      <c r="A916">
        <v>2</v>
      </c>
      <c r="B916">
        <v>4536</v>
      </c>
      <c r="C916">
        <v>141</v>
      </c>
      <c r="D916">
        <v>2</v>
      </c>
      <c r="E916" t="s">
        <v>123</v>
      </c>
      <c r="F916" s="19">
        <v>46063</v>
      </c>
      <c r="G916" t="s">
        <v>120</v>
      </c>
      <c r="H916">
        <v>0</v>
      </c>
      <c r="I916" s="19">
        <v>46118</v>
      </c>
      <c r="J916" s="19">
        <f t="shared" si="28"/>
        <v>46121</v>
      </c>
      <c r="L916">
        <f t="shared" si="29"/>
        <v>58</v>
      </c>
    </row>
    <row r="917" spans="1:12" x14ac:dyDescent="0.25">
      <c r="A917">
        <v>2</v>
      </c>
      <c r="B917">
        <v>3749</v>
      </c>
      <c r="C917">
        <v>118</v>
      </c>
      <c r="D917">
        <v>3</v>
      </c>
      <c r="E917" t="s">
        <v>123</v>
      </c>
      <c r="F917" s="19">
        <v>46063</v>
      </c>
      <c r="G917" t="s">
        <v>125</v>
      </c>
      <c r="H917">
        <v>0</v>
      </c>
      <c r="I917" s="19">
        <v>46141</v>
      </c>
      <c r="J917" s="19">
        <f t="shared" si="28"/>
        <v>46144</v>
      </c>
      <c r="L917">
        <f t="shared" si="29"/>
        <v>81</v>
      </c>
    </row>
    <row r="918" spans="1:12" x14ac:dyDescent="0.25">
      <c r="A918">
        <v>10</v>
      </c>
      <c r="B918">
        <v>3520</v>
      </c>
      <c r="C918">
        <v>116</v>
      </c>
      <c r="D918">
        <v>3</v>
      </c>
      <c r="E918" t="s">
        <v>123</v>
      </c>
      <c r="F918" s="19">
        <v>46063</v>
      </c>
      <c r="G918" t="s">
        <v>132</v>
      </c>
      <c r="H918">
        <v>0</v>
      </c>
      <c r="I918" s="19">
        <v>46143</v>
      </c>
      <c r="J918" s="19">
        <f t="shared" si="28"/>
        <v>46146</v>
      </c>
      <c r="L918">
        <f t="shared" si="29"/>
        <v>83</v>
      </c>
    </row>
    <row r="919" spans="1:12" x14ac:dyDescent="0.25">
      <c r="A919">
        <v>6</v>
      </c>
      <c r="B919">
        <v>1945</v>
      </c>
      <c r="C919">
        <v>56</v>
      </c>
      <c r="D919">
        <v>6</v>
      </c>
      <c r="E919" t="s">
        <v>123</v>
      </c>
      <c r="F919" s="19">
        <v>46063</v>
      </c>
      <c r="G919" t="s">
        <v>122</v>
      </c>
      <c r="H919">
        <v>0</v>
      </c>
      <c r="I919" s="19">
        <v>46161</v>
      </c>
      <c r="J919" s="19">
        <f t="shared" si="28"/>
        <v>46164</v>
      </c>
      <c r="L919">
        <f t="shared" si="29"/>
        <v>101</v>
      </c>
    </row>
    <row r="920" spans="1:12" x14ac:dyDescent="0.25">
      <c r="A920">
        <v>5</v>
      </c>
      <c r="B920">
        <v>3199</v>
      </c>
      <c r="C920">
        <v>96</v>
      </c>
      <c r="D920">
        <v>4</v>
      </c>
      <c r="E920" t="s">
        <v>123</v>
      </c>
      <c r="F920" s="19">
        <v>46063</v>
      </c>
      <c r="G920" t="s">
        <v>120</v>
      </c>
      <c r="H920">
        <v>0</v>
      </c>
      <c r="I920" s="19">
        <v>46163</v>
      </c>
      <c r="J920" s="19">
        <f t="shared" si="28"/>
        <v>46166</v>
      </c>
      <c r="L920">
        <f t="shared" si="29"/>
        <v>103</v>
      </c>
    </row>
    <row r="921" spans="1:12" x14ac:dyDescent="0.25">
      <c r="A921">
        <v>2</v>
      </c>
      <c r="B921">
        <v>4111</v>
      </c>
      <c r="C921">
        <v>47</v>
      </c>
      <c r="D921">
        <v>3</v>
      </c>
      <c r="E921" t="s">
        <v>123</v>
      </c>
      <c r="F921" s="19">
        <v>46063</v>
      </c>
      <c r="G921" t="s">
        <v>130</v>
      </c>
      <c r="H921">
        <v>0</v>
      </c>
      <c r="I921" s="19">
        <v>46212</v>
      </c>
      <c r="J921" s="19">
        <f t="shared" si="28"/>
        <v>46215</v>
      </c>
      <c r="L921">
        <f t="shared" si="29"/>
        <v>152</v>
      </c>
    </row>
    <row r="922" spans="1:12" x14ac:dyDescent="0.25">
      <c r="A922">
        <v>2</v>
      </c>
      <c r="B922">
        <v>3511</v>
      </c>
      <c r="C922">
        <v>46</v>
      </c>
      <c r="D922">
        <v>4</v>
      </c>
      <c r="E922" t="s">
        <v>123</v>
      </c>
      <c r="F922" s="19">
        <v>46063</v>
      </c>
      <c r="G922" t="s">
        <v>130</v>
      </c>
      <c r="H922">
        <v>0</v>
      </c>
      <c r="I922" s="19">
        <v>46213</v>
      </c>
      <c r="J922" s="19">
        <f t="shared" si="28"/>
        <v>46216</v>
      </c>
      <c r="L922">
        <f t="shared" si="29"/>
        <v>153</v>
      </c>
    </row>
    <row r="923" spans="1:12" x14ac:dyDescent="0.25">
      <c r="A923">
        <v>3</v>
      </c>
      <c r="B923">
        <v>3627</v>
      </c>
      <c r="C923">
        <v>24</v>
      </c>
      <c r="D923">
        <v>4</v>
      </c>
      <c r="E923" t="s">
        <v>123</v>
      </c>
      <c r="F923" s="19">
        <v>46063</v>
      </c>
      <c r="G923" t="s">
        <v>130</v>
      </c>
      <c r="H923">
        <v>2</v>
      </c>
      <c r="I923" s="19">
        <v>46235</v>
      </c>
      <c r="J923" s="19">
        <f t="shared" si="28"/>
        <v>46238</v>
      </c>
      <c r="L923">
        <f t="shared" si="29"/>
        <v>175</v>
      </c>
    </row>
    <row r="924" spans="1:12" x14ac:dyDescent="0.25">
      <c r="A924">
        <v>10</v>
      </c>
      <c r="B924">
        <v>3895</v>
      </c>
      <c r="C924">
        <v>45</v>
      </c>
      <c r="D924">
        <v>3</v>
      </c>
      <c r="E924" t="s">
        <v>123</v>
      </c>
      <c r="F924" s="19">
        <v>46071</v>
      </c>
      <c r="G924" t="s">
        <v>122</v>
      </c>
      <c r="H924">
        <v>0</v>
      </c>
      <c r="I924" s="19">
        <v>46107</v>
      </c>
      <c r="J924" s="19">
        <f t="shared" si="28"/>
        <v>46110</v>
      </c>
      <c r="L924">
        <f t="shared" si="29"/>
        <v>39</v>
      </c>
    </row>
    <row r="925" spans="1:12" x14ac:dyDescent="0.25">
      <c r="A925">
        <v>5</v>
      </c>
      <c r="B925">
        <v>4861</v>
      </c>
      <c r="C925">
        <v>149</v>
      </c>
      <c r="D925">
        <v>2</v>
      </c>
      <c r="E925" t="s">
        <v>123</v>
      </c>
      <c r="F925" s="19">
        <v>46071</v>
      </c>
      <c r="G925" t="s">
        <v>120</v>
      </c>
      <c r="H925">
        <v>0</v>
      </c>
      <c r="I925" s="19">
        <v>46110</v>
      </c>
      <c r="J925" s="19">
        <f t="shared" si="28"/>
        <v>46113</v>
      </c>
      <c r="L925">
        <f t="shared" si="29"/>
        <v>42</v>
      </c>
    </row>
    <row r="926" spans="1:12" x14ac:dyDescent="0.25">
      <c r="A926">
        <v>5</v>
      </c>
      <c r="B926">
        <v>4988</v>
      </c>
      <c r="C926">
        <v>145</v>
      </c>
      <c r="D926">
        <v>2</v>
      </c>
      <c r="E926" t="s">
        <v>123</v>
      </c>
      <c r="F926" s="19">
        <v>46071</v>
      </c>
      <c r="G926" t="s">
        <v>120</v>
      </c>
      <c r="H926">
        <v>0</v>
      </c>
      <c r="I926" s="19">
        <v>46114</v>
      </c>
      <c r="J926" s="19">
        <f t="shared" si="28"/>
        <v>46117</v>
      </c>
      <c r="L926">
        <f t="shared" si="29"/>
        <v>46</v>
      </c>
    </row>
    <row r="927" spans="1:12" x14ac:dyDescent="0.25">
      <c r="A927">
        <v>10</v>
      </c>
      <c r="B927">
        <v>3777</v>
      </c>
      <c r="C927">
        <v>5</v>
      </c>
      <c r="D927">
        <v>3</v>
      </c>
      <c r="E927" t="s">
        <v>123</v>
      </c>
      <c r="F927" s="19">
        <v>46071</v>
      </c>
      <c r="G927" t="s">
        <v>122</v>
      </c>
      <c r="H927">
        <v>0</v>
      </c>
      <c r="I927" s="19">
        <v>46115</v>
      </c>
      <c r="J927" s="19">
        <f t="shared" si="28"/>
        <v>46118</v>
      </c>
      <c r="L927">
        <f t="shared" si="29"/>
        <v>47</v>
      </c>
    </row>
    <row r="928" spans="1:12" x14ac:dyDescent="0.25">
      <c r="A928">
        <v>2</v>
      </c>
      <c r="B928">
        <v>4733</v>
      </c>
      <c r="C928">
        <v>143</v>
      </c>
      <c r="D928">
        <v>2</v>
      </c>
      <c r="E928" t="s">
        <v>123</v>
      </c>
      <c r="F928" s="19">
        <v>46071</v>
      </c>
      <c r="G928" t="s">
        <v>120</v>
      </c>
      <c r="H928">
        <v>0</v>
      </c>
      <c r="I928" s="19">
        <v>46116</v>
      </c>
      <c r="J928" s="19">
        <f t="shared" si="28"/>
        <v>46119</v>
      </c>
      <c r="L928">
        <f t="shared" si="29"/>
        <v>48</v>
      </c>
    </row>
    <row r="929" spans="1:12" x14ac:dyDescent="0.25">
      <c r="A929">
        <v>10</v>
      </c>
      <c r="B929">
        <v>3845</v>
      </c>
      <c r="C929">
        <v>140</v>
      </c>
      <c r="D929">
        <v>2</v>
      </c>
      <c r="E929" t="s">
        <v>123</v>
      </c>
      <c r="F929" s="19">
        <v>46071</v>
      </c>
      <c r="G929" t="s">
        <v>132</v>
      </c>
      <c r="H929">
        <v>0</v>
      </c>
      <c r="I929" s="19">
        <v>46119</v>
      </c>
      <c r="J929" s="19">
        <f t="shared" si="28"/>
        <v>46122</v>
      </c>
      <c r="L929">
        <f t="shared" si="29"/>
        <v>51</v>
      </c>
    </row>
    <row r="930" spans="1:12" x14ac:dyDescent="0.25">
      <c r="A930">
        <v>5</v>
      </c>
      <c r="B930">
        <v>4643</v>
      </c>
      <c r="C930">
        <v>139</v>
      </c>
      <c r="D930">
        <v>2</v>
      </c>
      <c r="E930" t="s">
        <v>123</v>
      </c>
      <c r="F930" s="19">
        <v>46071</v>
      </c>
      <c r="G930" t="s">
        <v>132</v>
      </c>
      <c r="H930">
        <v>0</v>
      </c>
      <c r="I930" s="19">
        <v>46120</v>
      </c>
      <c r="J930" s="19">
        <f t="shared" si="28"/>
        <v>46123</v>
      </c>
      <c r="L930">
        <f t="shared" si="29"/>
        <v>52</v>
      </c>
    </row>
    <row r="931" spans="1:12" x14ac:dyDescent="0.25">
      <c r="A931">
        <v>5</v>
      </c>
      <c r="B931">
        <v>4353</v>
      </c>
      <c r="C931">
        <v>139</v>
      </c>
      <c r="D931">
        <v>2</v>
      </c>
      <c r="E931" t="s">
        <v>123</v>
      </c>
      <c r="F931" s="19">
        <v>46071</v>
      </c>
      <c r="G931" t="s">
        <v>132</v>
      </c>
      <c r="H931">
        <v>0</v>
      </c>
      <c r="I931" s="19">
        <v>46120</v>
      </c>
      <c r="J931" s="19">
        <f t="shared" si="28"/>
        <v>46123</v>
      </c>
      <c r="L931">
        <f t="shared" si="29"/>
        <v>52</v>
      </c>
    </row>
    <row r="932" spans="1:12" x14ac:dyDescent="0.25">
      <c r="A932">
        <v>2</v>
      </c>
      <c r="B932">
        <v>4851</v>
      </c>
      <c r="C932">
        <v>136</v>
      </c>
      <c r="D932">
        <v>2</v>
      </c>
      <c r="E932" t="s">
        <v>123</v>
      </c>
      <c r="F932" s="19">
        <v>46071</v>
      </c>
      <c r="G932" t="s">
        <v>132</v>
      </c>
      <c r="H932">
        <v>0</v>
      </c>
      <c r="I932" s="19">
        <v>46123</v>
      </c>
      <c r="J932" s="19">
        <f t="shared" si="28"/>
        <v>46126</v>
      </c>
      <c r="L932">
        <f t="shared" si="29"/>
        <v>55</v>
      </c>
    </row>
    <row r="933" spans="1:12" x14ac:dyDescent="0.25">
      <c r="A933">
        <v>2</v>
      </c>
      <c r="B933">
        <v>3747</v>
      </c>
      <c r="C933">
        <v>135</v>
      </c>
      <c r="D933">
        <v>3</v>
      </c>
      <c r="E933" t="s">
        <v>123</v>
      </c>
      <c r="F933" s="19">
        <v>46071</v>
      </c>
      <c r="G933" t="s">
        <v>120</v>
      </c>
      <c r="H933">
        <v>0</v>
      </c>
      <c r="I933" s="19">
        <v>46124</v>
      </c>
      <c r="J933" s="19">
        <f t="shared" si="28"/>
        <v>46127</v>
      </c>
      <c r="L933">
        <f t="shared" si="29"/>
        <v>56</v>
      </c>
    </row>
    <row r="934" spans="1:12" x14ac:dyDescent="0.25">
      <c r="A934">
        <v>10</v>
      </c>
      <c r="B934">
        <v>3930</v>
      </c>
      <c r="C934">
        <v>75</v>
      </c>
      <c r="D934">
        <v>3</v>
      </c>
      <c r="E934" t="s">
        <v>123</v>
      </c>
      <c r="F934" s="19">
        <v>46071</v>
      </c>
      <c r="G934" t="s">
        <v>122</v>
      </c>
      <c r="H934">
        <v>0</v>
      </c>
      <c r="I934" s="19">
        <v>46124</v>
      </c>
      <c r="J934" s="19">
        <f t="shared" si="28"/>
        <v>46127</v>
      </c>
      <c r="L934">
        <f t="shared" si="29"/>
        <v>56</v>
      </c>
    </row>
    <row r="935" spans="1:12" x14ac:dyDescent="0.25">
      <c r="A935">
        <v>10</v>
      </c>
      <c r="B935">
        <v>3284</v>
      </c>
      <c r="C935">
        <v>79</v>
      </c>
      <c r="D935">
        <v>4</v>
      </c>
      <c r="E935" t="s">
        <v>123</v>
      </c>
      <c r="F935" s="19">
        <v>46071</v>
      </c>
      <c r="G935" t="s">
        <v>122</v>
      </c>
      <c r="H935">
        <v>0</v>
      </c>
      <c r="I935" s="19">
        <v>46125</v>
      </c>
      <c r="J935" s="19">
        <f t="shared" si="28"/>
        <v>46128</v>
      </c>
      <c r="L935">
        <f t="shared" si="29"/>
        <v>57</v>
      </c>
    </row>
    <row r="936" spans="1:12" x14ac:dyDescent="0.25">
      <c r="A936">
        <v>2</v>
      </c>
      <c r="B936">
        <v>4713</v>
      </c>
      <c r="C936">
        <v>132</v>
      </c>
      <c r="D936">
        <v>2</v>
      </c>
      <c r="E936" t="s">
        <v>123</v>
      </c>
      <c r="F936" s="19">
        <v>46071</v>
      </c>
      <c r="G936" t="s">
        <v>131</v>
      </c>
      <c r="H936">
        <v>0</v>
      </c>
      <c r="I936" s="19">
        <v>46127</v>
      </c>
      <c r="J936" s="19">
        <f t="shared" si="28"/>
        <v>46130</v>
      </c>
      <c r="L936">
        <f t="shared" si="29"/>
        <v>59</v>
      </c>
    </row>
    <row r="937" spans="1:12" x14ac:dyDescent="0.25">
      <c r="A937">
        <v>3</v>
      </c>
      <c r="B937">
        <v>4841</v>
      </c>
      <c r="C937">
        <v>131</v>
      </c>
      <c r="D937">
        <v>2</v>
      </c>
      <c r="E937" t="s">
        <v>123</v>
      </c>
      <c r="F937" s="19">
        <v>46071</v>
      </c>
      <c r="G937" t="s">
        <v>120</v>
      </c>
      <c r="H937">
        <v>0</v>
      </c>
      <c r="I937" s="19">
        <v>46128</v>
      </c>
      <c r="J937" s="19">
        <f t="shared" si="28"/>
        <v>46131</v>
      </c>
      <c r="L937">
        <f t="shared" si="29"/>
        <v>60</v>
      </c>
    </row>
    <row r="938" spans="1:12" x14ac:dyDescent="0.25">
      <c r="A938">
        <v>2</v>
      </c>
      <c r="B938">
        <v>3998</v>
      </c>
      <c r="C938">
        <v>106</v>
      </c>
      <c r="D938">
        <v>3</v>
      </c>
      <c r="E938" t="s">
        <v>123</v>
      </c>
      <c r="F938" s="19">
        <v>46071</v>
      </c>
      <c r="G938" t="s">
        <v>120</v>
      </c>
      <c r="H938">
        <v>0</v>
      </c>
      <c r="I938" s="19">
        <v>46153</v>
      </c>
      <c r="J938" s="19">
        <f t="shared" ref="J938:J1000" si="30">I938+3</f>
        <v>46156</v>
      </c>
      <c r="L938">
        <f t="shared" ref="L938:L1000" si="31">J938-F938</f>
        <v>85</v>
      </c>
    </row>
    <row r="939" spans="1:12" x14ac:dyDescent="0.25">
      <c r="A939">
        <v>2</v>
      </c>
      <c r="B939">
        <v>3646</v>
      </c>
      <c r="C939">
        <v>92</v>
      </c>
      <c r="D939">
        <v>3</v>
      </c>
      <c r="E939" t="s">
        <v>123</v>
      </c>
      <c r="F939" s="19">
        <v>46071</v>
      </c>
      <c r="G939" t="s">
        <v>132</v>
      </c>
      <c r="H939">
        <v>0</v>
      </c>
      <c r="I939" s="19">
        <v>46167</v>
      </c>
      <c r="J939" s="19">
        <f t="shared" si="30"/>
        <v>46170</v>
      </c>
      <c r="L939">
        <f t="shared" si="31"/>
        <v>99</v>
      </c>
    </row>
    <row r="940" spans="1:12" x14ac:dyDescent="0.25">
      <c r="A940">
        <v>3</v>
      </c>
      <c r="B940">
        <v>4574</v>
      </c>
      <c r="C940">
        <v>35</v>
      </c>
      <c r="D940">
        <v>2</v>
      </c>
      <c r="E940" t="s">
        <v>123</v>
      </c>
      <c r="F940" s="19">
        <v>46071</v>
      </c>
      <c r="G940" t="s">
        <v>130</v>
      </c>
      <c r="H940">
        <v>0</v>
      </c>
      <c r="I940" s="19">
        <v>46224</v>
      </c>
      <c r="J940" s="19">
        <f t="shared" si="30"/>
        <v>46227</v>
      </c>
      <c r="L940">
        <f t="shared" si="31"/>
        <v>156</v>
      </c>
    </row>
    <row r="941" spans="1:12" x14ac:dyDescent="0.25">
      <c r="A941">
        <v>3</v>
      </c>
      <c r="B941">
        <v>4050</v>
      </c>
      <c r="C941">
        <v>15</v>
      </c>
      <c r="D941">
        <v>3</v>
      </c>
      <c r="E941" t="s">
        <v>123</v>
      </c>
      <c r="F941" s="19">
        <v>46071</v>
      </c>
      <c r="G941" t="s">
        <v>130</v>
      </c>
      <c r="H941">
        <v>9</v>
      </c>
      <c r="I941" s="19">
        <v>46244</v>
      </c>
      <c r="J941" s="19">
        <f t="shared" si="30"/>
        <v>46247</v>
      </c>
      <c r="L941">
        <f t="shared" si="31"/>
        <v>176</v>
      </c>
    </row>
    <row r="942" spans="1:12" x14ac:dyDescent="0.25">
      <c r="A942">
        <v>6</v>
      </c>
      <c r="B942">
        <v>3476</v>
      </c>
      <c r="C942">
        <v>94</v>
      </c>
      <c r="D942">
        <v>4</v>
      </c>
      <c r="E942" t="s">
        <v>123</v>
      </c>
      <c r="F942" s="19">
        <v>46072</v>
      </c>
      <c r="G942" t="s">
        <v>122</v>
      </c>
      <c r="H942">
        <v>0</v>
      </c>
      <c r="I942" s="19">
        <v>46145</v>
      </c>
      <c r="J942" s="19">
        <f t="shared" si="30"/>
        <v>46148</v>
      </c>
      <c r="L942">
        <f t="shared" si="31"/>
        <v>76</v>
      </c>
    </row>
    <row r="943" spans="1:12" x14ac:dyDescent="0.25">
      <c r="A943">
        <v>6</v>
      </c>
      <c r="B943">
        <v>4102</v>
      </c>
      <c r="C943">
        <v>148</v>
      </c>
      <c r="D943">
        <v>3</v>
      </c>
      <c r="E943" t="s">
        <v>123</v>
      </c>
      <c r="F943" s="19">
        <v>46078</v>
      </c>
      <c r="G943" t="s">
        <v>120</v>
      </c>
      <c r="H943">
        <v>0</v>
      </c>
      <c r="I943" s="19">
        <v>46111</v>
      </c>
      <c r="J943" s="19">
        <f t="shared" si="30"/>
        <v>46114</v>
      </c>
      <c r="L943">
        <f t="shared" si="31"/>
        <v>36</v>
      </c>
    </row>
    <row r="944" spans="1:12" x14ac:dyDescent="0.25">
      <c r="A944">
        <v>10</v>
      </c>
      <c r="B944">
        <v>4905</v>
      </c>
      <c r="C944">
        <v>71</v>
      </c>
      <c r="D944">
        <v>2</v>
      </c>
      <c r="E944" t="s">
        <v>123</v>
      </c>
      <c r="F944" s="19">
        <v>46078</v>
      </c>
      <c r="G944" t="s">
        <v>122</v>
      </c>
      <c r="H944">
        <v>0</v>
      </c>
      <c r="I944" s="19">
        <v>46118</v>
      </c>
      <c r="J944" s="19">
        <f t="shared" si="30"/>
        <v>46121</v>
      </c>
      <c r="L944">
        <f t="shared" si="31"/>
        <v>43</v>
      </c>
    </row>
    <row r="945" spans="1:12" x14ac:dyDescent="0.25">
      <c r="A945">
        <v>5</v>
      </c>
      <c r="B945">
        <v>4751</v>
      </c>
      <c r="C945">
        <v>139</v>
      </c>
      <c r="D945">
        <v>2</v>
      </c>
      <c r="E945" t="s">
        <v>123</v>
      </c>
      <c r="F945" s="19">
        <v>46078</v>
      </c>
      <c r="G945" t="s">
        <v>132</v>
      </c>
      <c r="H945">
        <v>0</v>
      </c>
      <c r="I945" s="19">
        <v>46120</v>
      </c>
      <c r="J945" s="19">
        <f t="shared" si="30"/>
        <v>46123</v>
      </c>
      <c r="L945">
        <f t="shared" si="31"/>
        <v>45</v>
      </c>
    </row>
    <row r="946" spans="1:12" x14ac:dyDescent="0.25">
      <c r="A946">
        <v>10</v>
      </c>
      <c r="B946">
        <v>3433</v>
      </c>
      <c r="C946">
        <v>22</v>
      </c>
      <c r="D946">
        <v>4</v>
      </c>
      <c r="E946" t="s">
        <v>123</v>
      </c>
      <c r="F946" s="19">
        <v>46078</v>
      </c>
      <c r="G946" t="s">
        <v>122</v>
      </c>
      <c r="H946">
        <v>0</v>
      </c>
      <c r="I946" s="19">
        <v>46121</v>
      </c>
      <c r="J946" s="19">
        <f t="shared" si="30"/>
        <v>46124</v>
      </c>
      <c r="L946">
        <f t="shared" si="31"/>
        <v>46</v>
      </c>
    </row>
    <row r="947" spans="1:12" x14ac:dyDescent="0.25">
      <c r="A947">
        <v>5</v>
      </c>
      <c r="B947">
        <v>3553</v>
      </c>
      <c r="C947">
        <v>137</v>
      </c>
      <c r="D947">
        <v>4</v>
      </c>
      <c r="E947" t="s">
        <v>123</v>
      </c>
      <c r="F947" s="19">
        <v>46078</v>
      </c>
      <c r="G947" t="s">
        <v>120</v>
      </c>
      <c r="H947">
        <v>0</v>
      </c>
      <c r="I947" s="19">
        <v>46122</v>
      </c>
      <c r="J947" s="19">
        <f t="shared" si="30"/>
        <v>46125</v>
      </c>
      <c r="L947">
        <f t="shared" si="31"/>
        <v>47</v>
      </c>
    </row>
    <row r="948" spans="1:12" x14ac:dyDescent="0.25">
      <c r="A948">
        <v>5</v>
      </c>
      <c r="B948">
        <v>4925</v>
      </c>
      <c r="C948">
        <v>136</v>
      </c>
      <c r="D948">
        <v>2</v>
      </c>
      <c r="E948" t="s">
        <v>123</v>
      </c>
      <c r="F948" s="19">
        <v>46078</v>
      </c>
      <c r="G948" t="s">
        <v>120</v>
      </c>
      <c r="H948">
        <v>0</v>
      </c>
      <c r="I948" s="19">
        <v>46123</v>
      </c>
      <c r="J948" s="19">
        <f t="shared" si="30"/>
        <v>46126</v>
      </c>
      <c r="L948">
        <f t="shared" si="31"/>
        <v>48</v>
      </c>
    </row>
    <row r="949" spans="1:12" x14ac:dyDescent="0.25">
      <c r="A949">
        <v>6</v>
      </c>
      <c r="B949">
        <v>4502</v>
      </c>
      <c r="C949">
        <v>136</v>
      </c>
      <c r="D949">
        <v>2</v>
      </c>
      <c r="E949" t="s">
        <v>123</v>
      </c>
      <c r="F949" s="19">
        <v>46078</v>
      </c>
      <c r="G949" t="s">
        <v>131</v>
      </c>
      <c r="H949">
        <v>0</v>
      </c>
      <c r="I949" s="19">
        <v>46123</v>
      </c>
      <c r="J949" s="19">
        <f t="shared" si="30"/>
        <v>46126</v>
      </c>
      <c r="L949">
        <f t="shared" si="31"/>
        <v>48</v>
      </c>
    </row>
    <row r="950" spans="1:12" x14ac:dyDescent="0.25">
      <c r="A950">
        <v>2</v>
      </c>
      <c r="B950">
        <v>4572</v>
      </c>
      <c r="C950">
        <v>135</v>
      </c>
      <c r="D950">
        <v>2</v>
      </c>
      <c r="E950" t="s">
        <v>123</v>
      </c>
      <c r="F950" s="19">
        <v>46078</v>
      </c>
      <c r="G950" t="s">
        <v>131</v>
      </c>
      <c r="H950">
        <v>0</v>
      </c>
      <c r="I950" s="19">
        <v>46124</v>
      </c>
      <c r="J950" s="19">
        <f t="shared" si="30"/>
        <v>46127</v>
      </c>
      <c r="L950">
        <f t="shared" si="31"/>
        <v>49</v>
      </c>
    </row>
    <row r="951" spans="1:12" x14ac:dyDescent="0.25">
      <c r="A951">
        <v>5</v>
      </c>
      <c r="B951">
        <v>4773</v>
      </c>
      <c r="C951">
        <v>134</v>
      </c>
      <c r="D951">
        <v>2</v>
      </c>
      <c r="E951" t="s">
        <v>123</v>
      </c>
      <c r="F951" s="19">
        <v>46078</v>
      </c>
      <c r="G951" t="s">
        <v>132</v>
      </c>
      <c r="H951">
        <v>0</v>
      </c>
      <c r="I951" s="19">
        <v>46125</v>
      </c>
      <c r="J951" s="19">
        <f t="shared" si="30"/>
        <v>46128</v>
      </c>
      <c r="L951">
        <f t="shared" si="31"/>
        <v>50</v>
      </c>
    </row>
    <row r="952" spans="1:12" x14ac:dyDescent="0.25">
      <c r="A952">
        <v>2</v>
      </c>
      <c r="B952">
        <v>4483</v>
      </c>
      <c r="C952">
        <v>133</v>
      </c>
      <c r="D952">
        <v>2</v>
      </c>
      <c r="E952" t="s">
        <v>123</v>
      </c>
      <c r="F952" s="19">
        <v>46078</v>
      </c>
      <c r="G952" t="s">
        <v>120</v>
      </c>
      <c r="H952">
        <v>0</v>
      </c>
      <c r="I952" s="19">
        <v>46126</v>
      </c>
      <c r="J952" s="19">
        <f t="shared" si="30"/>
        <v>46129</v>
      </c>
      <c r="L952">
        <f t="shared" si="31"/>
        <v>51</v>
      </c>
    </row>
    <row r="953" spans="1:12" x14ac:dyDescent="0.25">
      <c r="A953">
        <v>3</v>
      </c>
      <c r="B953">
        <v>3961</v>
      </c>
      <c r="C953">
        <v>132</v>
      </c>
      <c r="D953">
        <v>3</v>
      </c>
      <c r="E953" t="s">
        <v>123</v>
      </c>
      <c r="F953" s="19">
        <v>46078</v>
      </c>
      <c r="G953" t="s">
        <v>120</v>
      </c>
      <c r="H953">
        <v>0</v>
      </c>
      <c r="I953" s="19">
        <v>46127</v>
      </c>
      <c r="J953" s="19">
        <f t="shared" si="30"/>
        <v>46130</v>
      </c>
      <c r="L953">
        <f t="shared" si="31"/>
        <v>52</v>
      </c>
    </row>
    <row r="954" spans="1:12" x14ac:dyDescent="0.25">
      <c r="A954">
        <v>2</v>
      </c>
      <c r="B954">
        <v>3935</v>
      </c>
      <c r="C954">
        <v>132</v>
      </c>
      <c r="D954">
        <v>3</v>
      </c>
      <c r="E954" t="s">
        <v>123</v>
      </c>
      <c r="F954" s="19">
        <v>46078</v>
      </c>
      <c r="G954" t="s">
        <v>120</v>
      </c>
      <c r="H954">
        <v>0</v>
      </c>
      <c r="I954" s="19">
        <v>46127</v>
      </c>
      <c r="J954" s="19">
        <f t="shared" si="30"/>
        <v>46130</v>
      </c>
      <c r="L954">
        <f t="shared" si="31"/>
        <v>52</v>
      </c>
    </row>
    <row r="955" spans="1:12" x14ac:dyDescent="0.25">
      <c r="A955">
        <v>2</v>
      </c>
      <c r="B955">
        <v>4517</v>
      </c>
      <c r="C955">
        <v>132</v>
      </c>
      <c r="D955">
        <v>2</v>
      </c>
      <c r="E955" t="s">
        <v>123</v>
      </c>
      <c r="F955" s="19">
        <v>46078</v>
      </c>
      <c r="G955" t="s">
        <v>132</v>
      </c>
      <c r="H955">
        <v>0</v>
      </c>
      <c r="I955" s="19">
        <v>46127</v>
      </c>
      <c r="J955" s="19">
        <f t="shared" si="30"/>
        <v>46130</v>
      </c>
      <c r="L955">
        <f t="shared" si="31"/>
        <v>52</v>
      </c>
    </row>
    <row r="956" spans="1:12" x14ac:dyDescent="0.25">
      <c r="A956">
        <v>2</v>
      </c>
      <c r="B956">
        <v>3996</v>
      </c>
      <c r="C956">
        <v>131</v>
      </c>
      <c r="D956">
        <v>3</v>
      </c>
      <c r="E956" t="s">
        <v>123</v>
      </c>
      <c r="F956" s="19">
        <v>46078</v>
      </c>
      <c r="G956" t="s">
        <v>132</v>
      </c>
      <c r="H956">
        <v>0</v>
      </c>
      <c r="I956" s="19">
        <v>46128</v>
      </c>
      <c r="J956" s="19">
        <f t="shared" si="30"/>
        <v>46131</v>
      </c>
      <c r="L956">
        <f t="shared" si="31"/>
        <v>53</v>
      </c>
    </row>
    <row r="957" spans="1:12" x14ac:dyDescent="0.25">
      <c r="A957">
        <v>5</v>
      </c>
      <c r="B957">
        <v>2856</v>
      </c>
      <c r="C957">
        <v>131</v>
      </c>
      <c r="D957">
        <v>6</v>
      </c>
      <c r="E957" t="s">
        <v>123</v>
      </c>
      <c r="F957" s="19">
        <v>46078</v>
      </c>
      <c r="G957" t="s">
        <v>132</v>
      </c>
      <c r="H957">
        <v>0</v>
      </c>
      <c r="I957" s="19">
        <v>46128</v>
      </c>
      <c r="J957" s="19">
        <f t="shared" si="30"/>
        <v>46131</v>
      </c>
      <c r="L957">
        <f t="shared" si="31"/>
        <v>53</v>
      </c>
    </row>
    <row r="958" spans="1:12" x14ac:dyDescent="0.25">
      <c r="A958">
        <v>3</v>
      </c>
      <c r="B958">
        <v>4140</v>
      </c>
      <c r="C958">
        <v>131</v>
      </c>
      <c r="D958">
        <v>3</v>
      </c>
      <c r="E958" t="s">
        <v>123</v>
      </c>
      <c r="F958" s="19">
        <v>46078</v>
      </c>
      <c r="G958" t="s">
        <v>131</v>
      </c>
      <c r="H958">
        <v>0</v>
      </c>
      <c r="I958" s="19">
        <v>46128</v>
      </c>
      <c r="J958" s="19">
        <f t="shared" si="30"/>
        <v>46131</v>
      </c>
      <c r="L958">
        <f t="shared" si="31"/>
        <v>53</v>
      </c>
    </row>
    <row r="959" spans="1:12" x14ac:dyDescent="0.25">
      <c r="A959">
        <v>5</v>
      </c>
      <c r="B959">
        <v>4532</v>
      </c>
      <c r="C959">
        <v>131</v>
      </c>
      <c r="D959">
        <v>2</v>
      </c>
      <c r="E959" t="s">
        <v>123</v>
      </c>
      <c r="F959" s="19">
        <v>46078</v>
      </c>
      <c r="G959" t="s">
        <v>131</v>
      </c>
      <c r="H959">
        <v>0</v>
      </c>
      <c r="I959" s="19">
        <v>46128</v>
      </c>
      <c r="J959" s="19">
        <f t="shared" si="30"/>
        <v>46131</v>
      </c>
      <c r="L959">
        <f t="shared" si="31"/>
        <v>53</v>
      </c>
    </row>
    <row r="960" spans="1:12" x14ac:dyDescent="0.25">
      <c r="A960">
        <v>3</v>
      </c>
      <c r="B960">
        <v>4759</v>
      </c>
      <c r="C960">
        <v>130</v>
      </c>
      <c r="D960">
        <v>2</v>
      </c>
      <c r="E960" t="s">
        <v>123</v>
      </c>
      <c r="F960" s="19">
        <v>46078</v>
      </c>
      <c r="G960" t="s">
        <v>132</v>
      </c>
      <c r="H960">
        <v>0</v>
      </c>
      <c r="I960" s="19">
        <v>46129</v>
      </c>
      <c r="J960" s="19">
        <f t="shared" si="30"/>
        <v>46132</v>
      </c>
      <c r="L960">
        <f t="shared" si="31"/>
        <v>54</v>
      </c>
    </row>
    <row r="961" spans="1:12" x14ac:dyDescent="0.25">
      <c r="A961">
        <v>3</v>
      </c>
      <c r="B961">
        <v>4293</v>
      </c>
      <c r="C961">
        <v>130</v>
      </c>
      <c r="D961">
        <v>2</v>
      </c>
      <c r="E961" t="s">
        <v>123</v>
      </c>
      <c r="F961" s="19">
        <v>46078</v>
      </c>
      <c r="G961" t="s">
        <v>120</v>
      </c>
      <c r="H961">
        <v>0</v>
      </c>
      <c r="I961" s="19">
        <v>46129</v>
      </c>
      <c r="J961" s="19">
        <f t="shared" si="30"/>
        <v>46132</v>
      </c>
      <c r="L961">
        <f t="shared" si="31"/>
        <v>54</v>
      </c>
    </row>
    <row r="962" spans="1:12" x14ac:dyDescent="0.25">
      <c r="A962">
        <v>5</v>
      </c>
      <c r="B962">
        <v>3355</v>
      </c>
      <c r="C962">
        <v>129</v>
      </c>
      <c r="D962">
        <v>4</v>
      </c>
      <c r="E962" t="s">
        <v>123</v>
      </c>
      <c r="F962" s="19">
        <v>46078</v>
      </c>
      <c r="G962" t="s">
        <v>120</v>
      </c>
      <c r="H962">
        <v>0</v>
      </c>
      <c r="I962" s="19">
        <v>46130</v>
      </c>
      <c r="J962" s="19">
        <f t="shared" si="30"/>
        <v>46133</v>
      </c>
      <c r="L962">
        <f t="shared" si="31"/>
        <v>55</v>
      </c>
    </row>
    <row r="963" spans="1:12" x14ac:dyDescent="0.25">
      <c r="A963">
        <v>2</v>
      </c>
      <c r="B963">
        <v>3853</v>
      </c>
      <c r="C963">
        <v>128</v>
      </c>
      <c r="D963">
        <v>3</v>
      </c>
      <c r="E963" t="s">
        <v>123</v>
      </c>
      <c r="F963" s="19">
        <v>46078</v>
      </c>
      <c r="G963" t="s">
        <v>132</v>
      </c>
      <c r="H963">
        <v>0</v>
      </c>
      <c r="I963" s="19">
        <v>46131</v>
      </c>
      <c r="J963" s="19">
        <f t="shared" si="30"/>
        <v>46134</v>
      </c>
      <c r="L963">
        <f t="shared" si="31"/>
        <v>56</v>
      </c>
    </row>
    <row r="964" spans="1:12" x14ac:dyDescent="0.25">
      <c r="A964">
        <v>2</v>
      </c>
      <c r="B964">
        <v>4776</v>
      </c>
      <c r="C964">
        <v>126</v>
      </c>
      <c r="D964">
        <v>2</v>
      </c>
      <c r="E964" t="s">
        <v>123</v>
      </c>
      <c r="F964" s="19">
        <v>46078</v>
      </c>
      <c r="G964" t="s">
        <v>132</v>
      </c>
      <c r="H964">
        <v>0</v>
      </c>
      <c r="I964" s="19">
        <v>46133</v>
      </c>
      <c r="J964" s="19">
        <f t="shared" si="30"/>
        <v>46136</v>
      </c>
      <c r="L964">
        <f t="shared" si="31"/>
        <v>58</v>
      </c>
    </row>
    <row r="965" spans="1:12" x14ac:dyDescent="0.25">
      <c r="A965">
        <v>5</v>
      </c>
      <c r="B965">
        <v>3803</v>
      </c>
      <c r="C965">
        <v>125</v>
      </c>
      <c r="D965">
        <v>3</v>
      </c>
      <c r="E965" t="s">
        <v>123</v>
      </c>
      <c r="F965" s="19">
        <v>46078</v>
      </c>
      <c r="G965" t="s">
        <v>120</v>
      </c>
      <c r="H965">
        <v>0</v>
      </c>
      <c r="I965" s="19">
        <v>46134</v>
      </c>
      <c r="J965" s="19">
        <f t="shared" si="30"/>
        <v>46137</v>
      </c>
      <c r="L965">
        <f t="shared" si="31"/>
        <v>59</v>
      </c>
    </row>
    <row r="966" spans="1:12" x14ac:dyDescent="0.25">
      <c r="A966">
        <v>5</v>
      </c>
      <c r="B966">
        <v>4028</v>
      </c>
      <c r="C966">
        <v>125</v>
      </c>
      <c r="D966">
        <v>3</v>
      </c>
      <c r="E966" t="s">
        <v>123</v>
      </c>
      <c r="F966" s="19">
        <v>46078</v>
      </c>
      <c r="G966" t="s">
        <v>131</v>
      </c>
      <c r="H966">
        <v>0</v>
      </c>
      <c r="I966" s="19">
        <v>46134</v>
      </c>
      <c r="J966" s="19">
        <f t="shared" si="30"/>
        <v>46137</v>
      </c>
      <c r="L966">
        <f t="shared" si="31"/>
        <v>59</v>
      </c>
    </row>
    <row r="967" spans="1:12" x14ac:dyDescent="0.25">
      <c r="A967">
        <v>10</v>
      </c>
      <c r="B967">
        <v>4596</v>
      </c>
      <c r="C967">
        <v>117</v>
      </c>
      <c r="D967">
        <v>2</v>
      </c>
      <c r="E967" t="s">
        <v>123</v>
      </c>
      <c r="F967" s="19">
        <v>46078</v>
      </c>
      <c r="G967" t="s">
        <v>122</v>
      </c>
      <c r="H967">
        <v>0</v>
      </c>
      <c r="I967" s="19">
        <v>46134</v>
      </c>
      <c r="J967" s="19">
        <f t="shared" si="30"/>
        <v>46137</v>
      </c>
      <c r="L967">
        <f t="shared" si="31"/>
        <v>59</v>
      </c>
    </row>
    <row r="968" spans="1:12" x14ac:dyDescent="0.25">
      <c r="A968">
        <v>3</v>
      </c>
      <c r="B968">
        <v>2703</v>
      </c>
      <c r="C968">
        <v>122</v>
      </c>
      <c r="D968">
        <v>5</v>
      </c>
      <c r="E968" t="s">
        <v>123</v>
      </c>
      <c r="F968" s="19">
        <v>46078</v>
      </c>
      <c r="G968" t="s">
        <v>132</v>
      </c>
      <c r="H968">
        <v>0</v>
      </c>
      <c r="I968" s="19">
        <v>46137</v>
      </c>
      <c r="J968" s="19">
        <f t="shared" si="30"/>
        <v>46140</v>
      </c>
      <c r="L968">
        <f t="shared" si="31"/>
        <v>62</v>
      </c>
    </row>
    <row r="969" spans="1:12" x14ac:dyDescent="0.25">
      <c r="A969">
        <v>5</v>
      </c>
      <c r="B969">
        <v>4829</v>
      </c>
      <c r="C969">
        <v>90</v>
      </c>
      <c r="D969">
        <v>2</v>
      </c>
      <c r="E969" t="s">
        <v>123</v>
      </c>
      <c r="F969" s="19">
        <v>46078</v>
      </c>
      <c r="G969" t="s">
        <v>132</v>
      </c>
      <c r="H969">
        <v>0</v>
      </c>
      <c r="I969" s="19">
        <v>46169</v>
      </c>
      <c r="J969" s="19">
        <f t="shared" si="30"/>
        <v>46172</v>
      </c>
      <c r="L969">
        <f t="shared" si="31"/>
        <v>94</v>
      </c>
    </row>
    <row r="970" spans="1:12" x14ac:dyDescent="0.25">
      <c r="A970">
        <v>3</v>
      </c>
      <c r="B970">
        <v>4731</v>
      </c>
      <c r="C970">
        <v>10</v>
      </c>
      <c r="D970">
        <v>2</v>
      </c>
      <c r="E970" t="s">
        <v>123</v>
      </c>
      <c r="F970" s="19">
        <v>46078</v>
      </c>
      <c r="G970" t="s">
        <v>122</v>
      </c>
      <c r="H970">
        <v>0</v>
      </c>
      <c r="I970" s="19">
        <v>46210</v>
      </c>
      <c r="J970" s="19">
        <f t="shared" si="30"/>
        <v>46213</v>
      </c>
      <c r="L970">
        <f t="shared" si="31"/>
        <v>135</v>
      </c>
    </row>
    <row r="971" spans="1:12" x14ac:dyDescent="0.25">
      <c r="A971">
        <v>10</v>
      </c>
      <c r="B971">
        <v>4821</v>
      </c>
      <c r="C971">
        <v>87</v>
      </c>
      <c r="D971">
        <v>2</v>
      </c>
      <c r="E971" t="s">
        <v>123</v>
      </c>
      <c r="F971" s="19">
        <v>46085</v>
      </c>
      <c r="G971" t="s">
        <v>122</v>
      </c>
      <c r="H971">
        <v>0</v>
      </c>
      <c r="I971" s="19">
        <v>46117</v>
      </c>
      <c r="J971" s="19">
        <f t="shared" si="30"/>
        <v>46120</v>
      </c>
      <c r="L971">
        <f t="shared" si="31"/>
        <v>35</v>
      </c>
    </row>
    <row r="972" spans="1:12" x14ac:dyDescent="0.25">
      <c r="A972">
        <v>5</v>
      </c>
      <c r="B972">
        <v>4646</v>
      </c>
      <c r="C972">
        <v>137</v>
      </c>
      <c r="D972">
        <v>2</v>
      </c>
      <c r="E972" t="s">
        <v>123</v>
      </c>
      <c r="F972" s="19">
        <v>46085</v>
      </c>
      <c r="G972" t="s">
        <v>131</v>
      </c>
      <c r="H972">
        <v>0</v>
      </c>
      <c r="I972" s="19">
        <v>46122</v>
      </c>
      <c r="J972" s="19">
        <f t="shared" si="30"/>
        <v>46125</v>
      </c>
      <c r="L972">
        <f t="shared" si="31"/>
        <v>40</v>
      </c>
    </row>
    <row r="973" spans="1:12" x14ac:dyDescent="0.25">
      <c r="A973">
        <v>2</v>
      </c>
      <c r="B973">
        <v>3833</v>
      </c>
      <c r="C973">
        <v>134</v>
      </c>
      <c r="D973">
        <v>3</v>
      </c>
      <c r="E973" t="s">
        <v>123</v>
      </c>
      <c r="F973" s="19">
        <v>46085</v>
      </c>
      <c r="G973" t="s">
        <v>131</v>
      </c>
      <c r="H973">
        <v>0</v>
      </c>
      <c r="I973" s="19">
        <v>46125</v>
      </c>
      <c r="J973" s="19">
        <f t="shared" si="30"/>
        <v>46128</v>
      </c>
      <c r="L973">
        <f t="shared" si="31"/>
        <v>43</v>
      </c>
    </row>
    <row r="974" spans="1:12" x14ac:dyDescent="0.25">
      <c r="A974">
        <v>5</v>
      </c>
      <c r="B974">
        <v>4811</v>
      </c>
      <c r="C974">
        <v>134</v>
      </c>
      <c r="D974">
        <v>2</v>
      </c>
      <c r="E974" t="s">
        <v>123</v>
      </c>
      <c r="F974" s="19">
        <v>46085</v>
      </c>
      <c r="G974" t="s">
        <v>132</v>
      </c>
      <c r="H974">
        <v>0</v>
      </c>
      <c r="I974" s="19">
        <v>46125</v>
      </c>
      <c r="J974" s="19">
        <f t="shared" si="30"/>
        <v>46128</v>
      </c>
      <c r="L974">
        <f t="shared" si="31"/>
        <v>43</v>
      </c>
    </row>
    <row r="975" spans="1:12" x14ac:dyDescent="0.25">
      <c r="A975">
        <v>6</v>
      </c>
      <c r="B975">
        <v>4074</v>
      </c>
      <c r="C975">
        <v>131</v>
      </c>
      <c r="D975">
        <v>3</v>
      </c>
      <c r="E975" t="s">
        <v>123</v>
      </c>
      <c r="F975" s="19">
        <v>46085</v>
      </c>
      <c r="G975" t="s">
        <v>132</v>
      </c>
      <c r="H975">
        <v>0</v>
      </c>
      <c r="I975" s="19">
        <v>46128</v>
      </c>
      <c r="J975" s="19">
        <f t="shared" si="30"/>
        <v>46131</v>
      </c>
      <c r="L975">
        <f t="shared" si="31"/>
        <v>46</v>
      </c>
    </row>
    <row r="976" spans="1:12" x14ac:dyDescent="0.25">
      <c r="A976">
        <v>3</v>
      </c>
      <c r="B976">
        <v>4667</v>
      </c>
      <c r="C976">
        <v>131</v>
      </c>
      <c r="D976">
        <v>2</v>
      </c>
      <c r="E976" t="s">
        <v>123</v>
      </c>
      <c r="F976" s="19">
        <v>46085</v>
      </c>
      <c r="G976" t="s">
        <v>120</v>
      </c>
      <c r="H976">
        <v>0</v>
      </c>
      <c r="I976" s="19">
        <v>46128</v>
      </c>
      <c r="J976" s="19">
        <f t="shared" si="30"/>
        <v>46131</v>
      </c>
      <c r="L976">
        <f t="shared" si="31"/>
        <v>46</v>
      </c>
    </row>
    <row r="977" spans="1:12" x14ac:dyDescent="0.25">
      <c r="A977">
        <v>5</v>
      </c>
      <c r="B977">
        <v>4949</v>
      </c>
      <c r="C977">
        <v>131</v>
      </c>
      <c r="D977">
        <v>2</v>
      </c>
      <c r="E977" t="s">
        <v>123</v>
      </c>
      <c r="F977" s="19">
        <v>46085</v>
      </c>
      <c r="G977" t="s">
        <v>120</v>
      </c>
      <c r="H977">
        <v>0</v>
      </c>
      <c r="I977" s="19">
        <v>46128</v>
      </c>
      <c r="J977" s="19">
        <f t="shared" si="30"/>
        <v>46131</v>
      </c>
      <c r="L977">
        <f t="shared" si="31"/>
        <v>46</v>
      </c>
    </row>
    <row r="978" spans="1:12" x14ac:dyDescent="0.25">
      <c r="A978">
        <v>10</v>
      </c>
      <c r="B978">
        <v>2921</v>
      </c>
      <c r="C978">
        <v>18</v>
      </c>
      <c r="D978">
        <v>5</v>
      </c>
      <c r="E978" t="s">
        <v>123</v>
      </c>
      <c r="F978" s="19">
        <v>46085</v>
      </c>
      <c r="G978" t="s">
        <v>122</v>
      </c>
      <c r="H978">
        <v>0</v>
      </c>
      <c r="I978" s="19">
        <v>46130</v>
      </c>
      <c r="J978" s="19">
        <f t="shared" si="30"/>
        <v>46133</v>
      </c>
      <c r="L978">
        <f t="shared" si="31"/>
        <v>48</v>
      </c>
    </row>
    <row r="979" spans="1:12" x14ac:dyDescent="0.25">
      <c r="A979">
        <v>5</v>
      </c>
      <c r="B979">
        <v>4478</v>
      </c>
      <c r="C979">
        <v>129</v>
      </c>
      <c r="D979">
        <v>2</v>
      </c>
      <c r="E979" t="s">
        <v>123</v>
      </c>
      <c r="F979" s="19">
        <v>46085</v>
      </c>
      <c r="G979" t="s">
        <v>132</v>
      </c>
      <c r="H979">
        <v>0</v>
      </c>
      <c r="I979" s="19">
        <v>46130</v>
      </c>
      <c r="J979" s="19">
        <f t="shared" si="30"/>
        <v>46133</v>
      </c>
      <c r="L979">
        <f t="shared" si="31"/>
        <v>48</v>
      </c>
    </row>
    <row r="980" spans="1:12" x14ac:dyDescent="0.25">
      <c r="A980">
        <v>2</v>
      </c>
      <c r="B980">
        <v>3915</v>
      </c>
      <c r="C980">
        <v>128</v>
      </c>
      <c r="D980">
        <v>3</v>
      </c>
      <c r="E980" t="s">
        <v>123</v>
      </c>
      <c r="F980" s="19">
        <v>46085</v>
      </c>
      <c r="G980" t="s">
        <v>120</v>
      </c>
      <c r="H980">
        <v>0</v>
      </c>
      <c r="I980" s="19">
        <v>46131</v>
      </c>
      <c r="J980" s="19">
        <f t="shared" si="30"/>
        <v>46134</v>
      </c>
      <c r="L980">
        <f t="shared" si="31"/>
        <v>49</v>
      </c>
    </row>
    <row r="981" spans="1:12" x14ac:dyDescent="0.25">
      <c r="A981">
        <v>5</v>
      </c>
      <c r="B981">
        <v>4919</v>
      </c>
      <c r="C981">
        <v>128</v>
      </c>
      <c r="D981">
        <v>2</v>
      </c>
      <c r="E981" t="s">
        <v>123</v>
      </c>
      <c r="F981" s="19">
        <v>46085</v>
      </c>
      <c r="G981" t="s">
        <v>132</v>
      </c>
      <c r="H981">
        <v>0</v>
      </c>
      <c r="I981" s="19">
        <v>46131</v>
      </c>
      <c r="J981" s="19">
        <f t="shared" si="30"/>
        <v>46134</v>
      </c>
      <c r="L981">
        <f t="shared" si="31"/>
        <v>49</v>
      </c>
    </row>
    <row r="982" spans="1:12" x14ac:dyDescent="0.25">
      <c r="A982">
        <v>10</v>
      </c>
      <c r="B982">
        <v>4182</v>
      </c>
      <c r="C982">
        <v>50</v>
      </c>
      <c r="D982">
        <v>3</v>
      </c>
      <c r="E982" t="s">
        <v>123</v>
      </c>
      <c r="F982" s="19">
        <v>46085</v>
      </c>
      <c r="G982" t="s">
        <v>122</v>
      </c>
      <c r="H982">
        <v>0</v>
      </c>
      <c r="I982" s="19">
        <v>46131</v>
      </c>
      <c r="J982" s="19">
        <f t="shared" si="30"/>
        <v>46134</v>
      </c>
      <c r="L982">
        <f t="shared" si="31"/>
        <v>49</v>
      </c>
    </row>
    <row r="983" spans="1:12" x14ac:dyDescent="0.25">
      <c r="A983">
        <v>5</v>
      </c>
      <c r="B983">
        <v>2679</v>
      </c>
      <c r="C983">
        <v>127</v>
      </c>
      <c r="D983">
        <v>5</v>
      </c>
      <c r="E983" t="s">
        <v>123</v>
      </c>
      <c r="F983" s="19">
        <v>46085</v>
      </c>
      <c r="G983" t="s">
        <v>132</v>
      </c>
      <c r="H983">
        <v>0</v>
      </c>
      <c r="I983" s="19">
        <v>46132</v>
      </c>
      <c r="J983" s="19">
        <f t="shared" si="30"/>
        <v>46135</v>
      </c>
      <c r="L983">
        <f t="shared" si="31"/>
        <v>50</v>
      </c>
    </row>
    <row r="984" spans="1:12" x14ac:dyDescent="0.25">
      <c r="A984">
        <v>3</v>
      </c>
      <c r="B984">
        <v>4921</v>
      </c>
      <c r="C984">
        <v>127</v>
      </c>
      <c r="D984">
        <v>2</v>
      </c>
      <c r="E984" t="s">
        <v>123</v>
      </c>
      <c r="F984" s="19">
        <v>46085</v>
      </c>
      <c r="G984" t="s">
        <v>132</v>
      </c>
      <c r="H984">
        <v>0</v>
      </c>
      <c r="I984" s="19">
        <v>46132</v>
      </c>
      <c r="J984" s="19">
        <f t="shared" si="30"/>
        <v>46135</v>
      </c>
      <c r="L984">
        <f t="shared" si="31"/>
        <v>50</v>
      </c>
    </row>
    <row r="985" spans="1:12" x14ac:dyDescent="0.25">
      <c r="A985">
        <v>2</v>
      </c>
      <c r="B985">
        <v>4863</v>
      </c>
      <c r="C985">
        <v>127</v>
      </c>
      <c r="D985">
        <v>2</v>
      </c>
      <c r="E985" t="s">
        <v>123</v>
      </c>
      <c r="F985" s="19">
        <v>46085</v>
      </c>
      <c r="G985" t="s">
        <v>132</v>
      </c>
      <c r="H985">
        <v>0</v>
      </c>
      <c r="I985" s="19">
        <v>46132</v>
      </c>
      <c r="J985" s="19">
        <f t="shared" si="30"/>
        <v>46135</v>
      </c>
      <c r="L985">
        <f t="shared" si="31"/>
        <v>50</v>
      </c>
    </row>
    <row r="986" spans="1:12" x14ac:dyDescent="0.25">
      <c r="A986">
        <v>2</v>
      </c>
      <c r="B986">
        <v>4052</v>
      </c>
      <c r="C986">
        <v>126</v>
      </c>
      <c r="D986">
        <v>3</v>
      </c>
      <c r="E986" t="s">
        <v>123</v>
      </c>
      <c r="F986" s="19">
        <v>46085</v>
      </c>
      <c r="G986" t="s">
        <v>120</v>
      </c>
      <c r="H986">
        <v>0</v>
      </c>
      <c r="I986" s="19">
        <v>46133</v>
      </c>
      <c r="J986" s="19">
        <f t="shared" si="30"/>
        <v>46136</v>
      </c>
      <c r="L986">
        <f t="shared" si="31"/>
        <v>51</v>
      </c>
    </row>
    <row r="987" spans="1:12" x14ac:dyDescent="0.25">
      <c r="A987">
        <v>2</v>
      </c>
      <c r="B987">
        <v>4848</v>
      </c>
      <c r="C987">
        <v>125</v>
      </c>
      <c r="D987">
        <v>2</v>
      </c>
      <c r="E987" t="s">
        <v>123</v>
      </c>
      <c r="F987" s="19">
        <v>46085</v>
      </c>
      <c r="G987" t="s">
        <v>132</v>
      </c>
      <c r="H987">
        <v>0</v>
      </c>
      <c r="I987" s="19">
        <v>46134</v>
      </c>
      <c r="J987" s="19">
        <f t="shared" si="30"/>
        <v>46137</v>
      </c>
      <c r="L987">
        <f t="shared" si="31"/>
        <v>52</v>
      </c>
    </row>
    <row r="988" spans="1:12" x14ac:dyDescent="0.25">
      <c r="A988">
        <v>10</v>
      </c>
      <c r="B988">
        <v>4165</v>
      </c>
      <c r="C988">
        <v>9</v>
      </c>
      <c r="D988">
        <v>3</v>
      </c>
      <c r="E988" t="s">
        <v>123</v>
      </c>
      <c r="F988" s="19">
        <v>46085</v>
      </c>
      <c r="G988" t="s">
        <v>122</v>
      </c>
      <c r="H988">
        <v>0</v>
      </c>
      <c r="I988" s="19">
        <v>46134</v>
      </c>
      <c r="J988" s="19">
        <f t="shared" si="30"/>
        <v>46137</v>
      </c>
      <c r="L988">
        <f t="shared" si="31"/>
        <v>52</v>
      </c>
    </row>
    <row r="989" spans="1:12" x14ac:dyDescent="0.25">
      <c r="A989">
        <v>5</v>
      </c>
      <c r="B989">
        <v>1216</v>
      </c>
      <c r="C989">
        <v>124</v>
      </c>
      <c r="D989">
        <v>5</v>
      </c>
      <c r="E989" t="s">
        <v>123</v>
      </c>
      <c r="F989" s="19">
        <v>46085</v>
      </c>
      <c r="G989" t="s">
        <v>132</v>
      </c>
      <c r="H989">
        <v>0</v>
      </c>
      <c r="I989" s="19">
        <v>46135</v>
      </c>
      <c r="J989" s="19">
        <f t="shared" si="30"/>
        <v>46138</v>
      </c>
      <c r="L989">
        <f t="shared" si="31"/>
        <v>53</v>
      </c>
    </row>
    <row r="990" spans="1:12" x14ac:dyDescent="0.25">
      <c r="A990">
        <v>2</v>
      </c>
      <c r="B990">
        <v>4891</v>
      </c>
      <c r="C990">
        <v>124</v>
      </c>
      <c r="D990">
        <v>2</v>
      </c>
      <c r="E990" t="s">
        <v>123</v>
      </c>
      <c r="F990" s="19">
        <v>46085</v>
      </c>
      <c r="G990" t="s">
        <v>131</v>
      </c>
      <c r="H990">
        <v>0</v>
      </c>
      <c r="I990" s="19">
        <v>46135</v>
      </c>
      <c r="J990" s="19">
        <f t="shared" si="30"/>
        <v>46138</v>
      </c>
      <c r="L990">
        <f t="shared" si="31"/>
        <v>53</v>
      </c>
    </row>
    <row r="991" spans="1:12" x14ac:dyDescent="0.25">
      <c r="A991">
        <v>2</v>
      </c>
      <c r="B991">
        <v>3339</v>
      </c>
      <c r="C991">
        <v>123</v>
      </c>
      <c r="D991">
        <v>4</v>
      </c>
      <c r="E991" t="s">
        <v>123</v>
      </c>
      <c r="F991" s="19">
        <v>46085</v>
      </c>
      <c r="G991" t="s">
        <v>132</v>
      </c>
      <c r="H991">
        <v>0</v>
      </c>
      <c r="I991" s="19">
        <v>46136</v>
      </c>
      <c r="J991" s="19">
        <f t="shared" si="30"/>
        <v>46139</v>
      </c>
      <c r="L991">
        <f t="shared" si="31"/>
        <v>54</v>
      </c>
    </row>
    <row r="992" spans="1:12" x14ac:dyDescent="0.25">
      <c r="A992">
        <v>2</v>
      </c>
      <c r="B992">
        <v>3861</v>
      </c>
      <c r="C992">
        <v>122</v>
      </c>
      <c r="D992">
        <v>3</v>
      </c>
      <c r="E992" t="s">
        <v>123</v>
      </c>
      <c r="F992" s="19">
        <v>46085</v>
      </c>
      <c r="G992" t="s">
        <v>131</v>
      </c>
      <c r="H992">
        <v>0</v>
      </c>
      <c r="I992" s="19">
        <v>46137</v>
      </c>
      <c r="J992" s="19">
        <f t="shared" si="30"/>
        <v>46140</v>
      </c>
      <c r="L992">
        <f t="shared" si="31"/>
        <v>55</v>
      </c>
    </row>
    <row r="993" spans="1:12" x14ac:dyDescent="0.25">
      <c r="A993">
        <v>6</v>
      </c>
      <c r="B993">
        <v>2971</v>
      </c>
      <c r="C993">
        <v>122</v>
      </c>
      <c r="D993">
        <v>5</v>
      </c>
      <c r="E993" t="s">
        <v>123</v>
      </c>
      <c r="F993" s="19">
        <v>46085</v>
      </c>
      <c r="G993" t="s">
        <v>131</v>
      </c>
      <c r="H993">
        <v>0</v>
      </c>
      <c r="I993" s="19">
        <v>46137</v>
      </c>
      <c r="J993" s="19">
        <f t="shared" si="30"/>
        <v>46140</v>
      </c>
      <c r="L993">
        <f t="shared" si="31"/>
        <v>55</v>
      </c>
    </row>
    <row r="994" spans="1:12" x14ac:dyDescent="0.25">
      <c r="A994">
        <v>5</v>
      </c>
      <c r="B994">
        <v>4252</v>
      </c>
      <c r="C994">
        <v>51</v>
      </c>
      <c r="D994">
        <v>2</v>
      </c>
      <c r="E994" t="s">
        <v>123</v>
      </c>
      <c r="F994" s="19">
        <v>46085</v>
      </c>
      <c r="G994" t="s">
        <v>122</v>
      </c>
      <c r="H994">
        <v>0</v>
      </c>
      <c r="I994" s="19">
        <v>46148</v>
      </c>
      <c r="J994" s="19">
        <f t="shared" si="30"/>
        <v>46151</v>
      </c>
      <c r="L994">
        <f t="shared" si="31"/>
        <v>66</v>
      </c>
    </row>
    <row r="995" spans="1:12" x14ac:dyDescent="0.25">
      <c r="A995">
        <v>10</v>
      </c>
      <c r="B995">
        <v>3146</v>
      </c>
      <c r="C995">
        <v>127</v>
      </c>
      <c r="D995">
        <v>4</v>
      </c>
      <c r="E995" t="s">
        <v>123</v>
      </c>
      <c r="F995" s="19">
        <v>46092</v>
      </c>
      <c r="G995" t="s">
        <v>131</v>
      </c>
      <c r="H995">
        <v>0</v>
      </c>
      <c r="I995" s="19">
        <v>46132</v>
      </c>
      <c r="J995" s="19">
        <f t="shared" si="30"/>
        <v>46135</v>
      </c>
      <c r="L995">
        <f t="shared" si="31"/>
        <v>43</v>
      </c>
    </row>
    <row r="996" spans="1:12" x14ac:dyDescent="0.25">
      <c r="A996">
        <v>3</v>
      </c>
      <c r="B996">
        <v>2688</v>
      </c>
      <c r="C996">
        <v>126</v>
      </c>
      <c r="D996">
        <v>5</v>
      </c>
      <c r="E996" t="s">
        <v>123</v>
      </c>
      <c r="F996" s="19">
        <v>46092</v>
      </c>
      <c r="G996" t="s">
        <v>120</v>
      </c>
      <c r="H996">
        <v>0</v>
      </c>
      <c r="I996" s="19">
        <v>46133</v>
      </c>
      <c r="J996" s="19">
        <f t="shared" si="30"/>
        <v>46136</v>
      </c>
      <c r="L996">
        <f t="shared" si="31"/>
        <v>44</v>
      </c>
    </row>
    <row r="997" spans="1:12" x14ac:dyDescent="0.25">
      <c r="A997">
        <v>2</v>
      </c>
      <c r="B997">
        <v>4123</v>
      </c>
      <c r="C997">
        <v>126</v>
      </c>
      <c r="D997">
        <v>3</v>
      </c>
      <c r="E997" t="s">
        <v>123</v>
      </c>
      <c r="F997" s="19">
        <v>46092</v>
      </c>
      <c r="G997" t="s">
        <v>120</v>
      </c>
      <c r="H997">
        <v>0</v>
      </c>
      <c r="I997" s="19">
        <v>46133</v>
      </c>
      <c r="J997" s="19">
        <f t="shared" si="30"/>
        <v>46136</v>
      </c>
      <c r="L997">
        <f t="shared" si="31"/>
        <v>44</v>
      </c>
    </row>
    <row r="998" spans="1:12" x14ac:dyDescent="0.25">
      <c r="A998">
        <v>2</v>
      </c>
      <c r="B998">
        <v>4049</v>
      </c>
      <c r="C998">
        <v>124</v>
      </c>
      <c r="D998">
        <v>3</v>
      </c>
      <c r="E998" t="s">
        <v>123</v>
      </c>
      <c r="F998" s="19">
        <v>46092</v>
      </c>
      <c r="G998" t="s">
        <v>125</v>
      </c>
      <c r="H998">
        <v>0</v>
      </c>
      <c r="I998" s="19">
        <v>46135</v>
      </c>
      <c r="J998" s="19">
        <f t="shared" si="30"/>
        <v>46138</v>
      </c>
      <c r="L998">
        <f t="shared" si="31"/>
        <v>46</v>
      </c>
    </row>
    <row r="999" spans="1:12" x14ac:dyDescent="0.25">
      <c r="A999">
        <v>10</v>
      </c>
      <c r="B999">
        <v>4934</v>
      </c>
      <c r="C999">
        <v>123</v>
      </c>
      <c r="D999">
        <v>2</v>
      </c>
      <c r="E999" t="s">
        <v>123</v>
      </c>
      <c r="F999" s="19">
        <v>46092</v>
      </c>
      <c r="G999" t="s">
        <v>132</v>
      </c>
      <c r="H999">
        <v>0</v>
      </c>
      <c r="I999" s="19">
        <v>46136</v>
      </c>
      <c r="J999" s="19">
        <f t="shared" si="30"/>
        <v>46139</v>
      </c>
      <c r="L999">
        <f t="shared" si="31"/>
        <v>47</v>
      </c>
    </row>
    <row r="1000" spans="1:12" x14ac:dyDescent="0.25">
      <c r="A1000">
        <v>2</v>
      </c>
      <c r="B1000">
        <v>4307</v>
      </c>
      <c r="C1000">
        <v>123</v>
      </c>
      <c r="D1000">
        <v>2</v>
      </c>
      <c r="E1000" t="s">
        <v>123</v>
      </c>
      <c r="F1000" s="19">
        <v>46092</v>
      </c>
      <c r="G1000" t="s">
        <v>120</v>
      </c>
      <c r="H1000">
        <v>0</v>
      </c>
      <c r="I1000" s="19">
        <v>46136</v>
      </c>
      <c r="J1000" s="19">
        <f t="shared" si="30"/>
        <v>46139</v>
      </c>
      <c r="L1000">
        <f t="shared" si="31"/>
        <v>47</v>
      </c>
    </row>
    <row r="1001" spans="1:12" x14ac:dyDescent="0.25">
      <c r="A1001">
        <v>5</v>
      </c>
      <c r="B1001">
        <v>4860</v>
      </c>
      <c r="C1001">
        <v>122</v>
      </c>
      <c r="D1001">
        <v>2</v>
      </c>
      <c r="E1001" t="s">
        <v>123</v>
      </c>
      <c r="F1001" s="19">
        <v>46092</v>
      </c>
      <c r="G1001" t="s">
        <v>132</v>
      </c>
      <c r="H1001">
        <v>0</v>
      </c>
      <c r="I1001" s="19">
        <v>46137</v>
      </c>
      <c r="J1001" s="19">
        <f t="shared" ref="J1001:J1064" si="32">I1001+3</f>
        <v>46140</v>
      </c>
      <c r="L1001">
        <f t="shared" ref="L1001:L1064" si="33">J1001-F1001</f>
        <v>48</v>
      </c>
    </row>
    <row r="1002" spans="1:12" x14ac:dyDescent="0.25">
      <c r="A1002">
        <v>2</v>
      </c>
      <c r="B1002">
        <v>4040</v>
      </c>
      <c r="C1002">
        <v>121</v>
      </c>
      <c r="D1002">
        <v>3</v>
      </c>
      <c r="E1002" t="s">
        <v>123</v>
      </c>
      <c r="F1002" s="19">
        <v>46092</v>
      </c>
      <c r="G1002" t="s">
        <v>132</v>
      </c>
      <c r="H1002">
        <v>0</v>
      </c>
      <c r="I1002" s="19">
        <v>46138</v>
      </c>
      <c r="J1002" s="19">
        <f t="shared" si="32"/>
        <v>46141</v>
      </c>
      <c r="L1002">
        <f t="shared" si="33"/>
        <v>49</v>
      </c>
    </row>
    <row r="1003" spans="1:12" x14ac:dyDescent="0.25">
      <c r="A1003">
        <v>2</v>
      </c>
      <c r="B1003">
        <v>3210</v>
      </c>
      <c r="C1003">
        <v>121</v>
      </c>
      <c r="D1003">
        <v>4</v>
      </c>
      <c r="E1003" t="s">
        <v>123</v>
      </c>
      <c r="F1003" s="19">
        <v>46092</v>
      </c>
      <c r="G1003" t="s">
        <v>132</v>
      </c>
      <c r="H1003">
        <v>0</v>
      </c>
      <c r="I1003" s="19">
        <v>46138</v>
      </c>
      <c r="J1003" s="19">
        <f t="shared" si="32"/>
        <v>46141</v>
      </c>
      <c r="L1003">
        <f t="shared" si="33"/>
        <v>49</v>
      </c>
    </row>
    <row r="1004" spans="1:12" x14ac:dyDescent="0.25">
      <c r="A1004">
        <v>3</v>
      </c>
      <c r="B1004">
        <v>4995</v>
      </c>
      <c r="C1004">
        <v>118</v>
      </c>
      <c r="D1004">
        <v>2</v>
      </c>
      <c r="E1004" t="s">
        <v>123</v>
      </c>
      <c r="F1004" s="19">
        <v>46092</v>
      </c>
      <c r="G1004" t="s">
        <v>132</v>
      </c>
      <c r="H1004">
        <v>0</v>
      </c>
      <c r="I1004" s="19">
        <v>46141</v>
      </c>
      <c r="J1004" s="19">
        <f t="shared" si="32"/>
        <v>46144</v>
      </c>
      <c r="L1004">
        <f t="shared" si="33"/>
        <v>52</v>
      </c>
    </row>
    <row r="1005" spans="1:12" x14ac:dyDescent="0.25">
      <c r="A1005">
        <v>3</v>
      </c>
      <c r="B1005">
        <v>4772</v>
      </c>
      <c r="C1005">
        <v>118</v>
      </c>
      <c r="D1005">
        <v>2</v>
      </c>
      <c r="E1005" t="s">
        <v>123</v>
      </c>
      <c r="F1005" s="19">
        <v>46092</v>
      </c>
      <c r="G1005" t="s">
        <v>120</v>
      </c>
      <c r="H1005">
        <v>0</v>
      </c>
      <c r="I1005" s="19">
        <v>46141</v>
      </c>
      <c r="J1005" s="19">
        <f t="shared" si="32"/>
        <v>46144</v>
      </c>
      <c r="L1005">
        <f t="shared" si="33"/>
        <v>52</v>
      </c>
    </row>
    <row r="1006" spans="1:12" x14ac:dyDescent="0.25">
      <c r="A1006">
        <v>3</v>
      </c>
      <c r="B1006">
        <v>4801</v>
      </c>
      <c r="C1006">
        <v>118</v>
      </c>
      <c r="D1006">
        <v>2</v>
      </c>
      <c r="E1006" t="s">
        <v>123</v>
      </c>
      <c r="F1006" s="19">
        <v>46092</v>
      </c>
      <c r="G1006" t="s">
        <v>132</v>
      </c>
      <c r="H1006">
        <v>0</v>
      </c>
      <c r="I1006" s="19">
        <v>46141</v>
      </c>
      <c r="J1006" s="19">
        <f t="shared" si="32"/>
        <v>46144</v>
      </c>
      <c r="L1006">
        <f t="shared" si="33"/>
        <v>52</v>
      </c>
    </row>
    <row r="1007" spans="1:12" x14ac:dyDescent="0.25">
      <c r="A1007">
        <v>5</v>
      </c>
      <c r="B1007">
        <v>4847</v>
      </c>
      <c r="C1007">
        <v>118</v>
      </c>
      <c r="D1007">
        <v>2</v>
      </c>
      <c r="E1007" t="s">
        <v>123</v>
      </c>
      <c r="F1007" s="19">
        <v>46092</v>
      </c>
      <c r="G1007" t="s">
        <v>120</v>
      </c>
      <c r="H1007">
        <v>0</v>
      </c>
      <c r="I1007" s="19">
        <v>46141</v>
      </c>
      <c r="J1007" s="19">
        <f t="shared" si="32"/>
        <v>46144</v>
      </c>
      <c r="L1007">
        <f t="shared" si="33"/>
        <v>52</v>
      </c>
    </row>
    <row r="1008" spans="1:12" x14ac:dyDescent="0.25">
      <c r="A1008">
        <v>2</v>
      </c>
      <c r="B1008">
        <v>4009</v>
      </c>
      <c r="C1008">
        <v>116</v>
      </c>
      <c r="D1008">
        <v>3</v>
      </c>
      <c r="E1008" t="s">
        <v>123</v>
      </c>
      <c r="F1008" s="19">
        <v>46092</v>
      </c>
      <c r="G1008" t="s">
        <v>120</v>
      </c>
      <c r="H1008">
        <v>0</v>
      </c>
      <c r="I1008" s="19">
        <v>46143</v>
      </c>
      <c r="J1008" s="19">
        <f t="shared" si="32"/>
        <v>46146</v>
      </c>
      <c r="L1008">
        <f t="shared" si="33"/>
        <v>54</v>
      </c>
    </row>
    <row r="1009" spans="1:12" x14ac:dyDescent="0.25">
      <c r="A1009">
        <v>2</v>
      </c>
      <c r="B1009">
        <v>4451</v>
      </c>
      <c r="C1009">
        <v>115</v>
      </c>
      <c r="D1009">
        <v>2</v>
      </c>
      <c r="E1009" t="s">
        <v>123</v>
      </c>
      <c r="F1009" s="19">
        <v>46092</v>
      </c>
      <c r="G1009" t="s">
        <v>132</v>
      </c>
      <c r="H1009">
        <v>0</v>
      </c>
      <c r="I1009" s="19">
        <v>46144</v>
      </c>
      <c r="J1009" s="19">
        <f t="shared" si="32"/>
        <v>46147</v>
      </c>
      <c r="L1009">
        <f t="shared" si="33"/>
        <v>55</v>
      </c>
    </row>
    <row r="1010" spans="1:12" x14ac:dyDescent="0.25">
      <c r="A1010">
        <v>3</v>
      </c>
      <c r="B1010">
        <v>4855</v>
      </c>
      <c r="C1010">
        <v>114</v>
      </c>
      <c r="D1010">
        <v>2</v>
      </c>
      <c r="E1010" t="s">
        <v>123</v>
      </c>
      <c r="F1010" s="19">
        <v>46092</v>
      </c>
      <c r="G1010" t="s">
        <v>132</v>
      </c>
      <c r="H1010">
        <v>0</v>
      </c>
      <c r="I1010" s="19">
        <v>46145</v>
      </c>
      <c r="J1010" s="19">
        <f t="shared" si="32"/>
        <v>46148</v>
      </c>
      <c r="L1010">
        <f t="shared" si="33"/>
        <v>56</v>
      </c>
    </row>
    <row r="1011" spans="1:12" x14ac:dyDescent="0.25">
      <c r="A1011">
        <v>2</v>
      </c>
      <c r="B1011">
        <v>4156</v>
      </c>
      <c r="C1011">
        <v>113</v>
      </c>
      <c r="D1011">
        <v>3</v>
      </c>
      <c r="E1011" t="s">
        <v>123</v>
      </c>
      <c r="F1011" s="19">
        <v>46092</v>
      </c>
      <c r="G1011" t="s">
        <v>120</v>
      </c>
      <c r="H1011">
        <v>0</v>
      </c>
      <c r="I1011" s="19">
        <v>46146</v>
      </c>
      <c r="J1011" s="19">
        <f t="shared" si="32"/>
        <v>46149</v>
      </c>
      <c r="L1011">
        <f t="shared" si="33"/>
        <v>57</v>
      </c>
    </row>
    <row r="1012" spans="1:12" x14ac:dyDescent="0.25">
      <c r="A1012">
        <v>3</v>
      </c>
      <c r="B1012">
        <v>4124</v>
      </c>
      <c r="C1012">
        <v>110</v>
      </c>
      <c r="D1012">
        <v>2</v>
      </c>
      <c r="E1012" t="s">
        <v>123</v>
      </c>
      <c r="F1012" s="19">
        <v>46092</v>
      </c>
      <c r="G1012" t="s">
        <v>131</v>
      </c>
      <c r="H1012">
        <v>0</v>
      </c>
      <c r="I1012" s="19">
        <v>46149</v>
      </c>
      <c r="J1012" s="19">
        <f t="shared" si="32"/>
        <v>46152</v>
      </c>
      <c r="L1012">
        <f t="shared" si="33"/>
        <v>60</v>
      </c>
    </row>
    <row r="1013" spans="1:12" x14ac:dyDescent="0.25">
      <c r="A1013">
        <v>10</v>
      </c>
      <c r="B1013">
        <v>4455</v>
      </c>
      <c r="C1013">
        <v>96</v>
      </c>
      <c r="D1013">
        <v>2</v>
      </c>
      <c r="E1013" t="s">
        <v>123</v>
      </c>
      <c r="F1013" s="19">
        <v>46092</v>
      </c>
      <c r="G1013" t="s">
        <v>131</v>
      </c>
      <c r="H1013">
        <v>0</v>
      </c>
      <c r="I1013" s="19">
        <v>46163</v>
      </c>
      <c r="J1013" s="19">
        <f t="shared" si="32"/>
        <v>46166</v>
      </c>
      <c r="L1013">
        <f t="shared" si="33"/>
        <v>74</v>
      </c>
    </row>
    <row r="1014" spans="1:12" x14ac:dyDescent="0.25">
      <c r="A1014">
        <v>5</v>
      </c>
      <c r="B1014">
        <v>4760</v>
      </c>
      <c r="C1014">
        <v>122</v>
      </c>
      <c r="D1014">
        <v>2</v>
      </c>
      <c r="E1014" t="s">
        <v>123</v>
      </c>
      <c r="F1014" s="19">
        <v>46099</v>
      </c>
      <c r="G1014" t="s">
        <v>120</v>
      </c>
      <c r="H1014">
        <v>0</v>
      </c>
      <c r="I1014" s="19">
        <v>46137</v>
      </c>
      <c r="J1014" s="19">
        <f t="shared" si="32"/>
        <v>46140</v>
      </c>
      <c r="L1014">
        <f t="shared" si="33"/>
        <v>41</v>
      </c>
    </row>
    <row r="1015" spans="1:12" x14ac:dyDescent="0.25">
      <c r="A1015">
        <v>10</v>
      </c>
      <c r="B1015">
        <v>3623</v>
      </c>
      <c r="C1015">
        <v>10</v>
      </c>
      <c r="D1015">
        <v>3</v>
      </c>
      <c r="E1015" t="s">
        <v>123</v>
      </c>
      <c r="F1015" s="19">
        <v>46099</v>
      </c>
      <c r="G1015" t="s">
        <v>122</v>
      </c>
      <c r="H1015">
        <v>0</v>
      </c>
      <c r="I1015" s="19">
        <v>46138</v>
      </c>
      <c r="J1015" s="19">
        <f t="shared" si="32"/>
        <v>46141</v>
      </c>
      <c r="L1015">
        <f t="shared" si="33"/>
        <v>42</v>
      </c>
    </row>
    <row r="1016" spans="1:12" x14ac:dyDescent="0.25">
      <c r="A1016">
        <v>2</v>
      </c>
      <c r="B1016">
        <v>4802</v>
      </c>
      <c r="C1016">
        <v>118</v>
      </c>
      <c r="D1016">
        <v>2</v>
      </c>
      <c r="E1016" t="s">
        <v>123</v>
      </c>
      <c r="F1016" s="19">
        <v>46099</v>
      </c>
      <c r="G1016" t="s">
        <v>131</v>
      </c>
      <c r="H1016">
        <v>0</v>
      </c>
      <c r="I1016" s="19">
        <v>46141</v>
      </c>
      <c r="J1016" s="19">
        <f t="shared" si="32"/>
        <v>46144</v>
      </c>
      <c r="L1016">
        <f t="shared" si="33"/>
        <v>45</v>
      </c>
    </row>
    <row r="1017" spans="1:12" x14ac:dyDescent="0.25">
      <c r="A1017">
        <v>2</v>
      </c>
      <c r="B1017">
        <v>4953</v>
      </c>
      <c r="C1017">
        <v>118</v>
      </c>
      <c r="D1017">
        <v>2</v>
      </c>
      <c r="E1017" t="s">
        <v>123</v>
      </c>
      <c r="F1017" s="19">
        <v>46099</v>
      </c>
      <c r="G1017" t="s">
        <v>120</v>
      </c>
      <c r="H1017">
        <v>0</v>
      </c>
      <c r="I1017" s="19">
        <v>46141</v>
      </c>
      <c r="J1017" s="19">
        <f t="shared" si="32"/>
        <v>46144</v>
      </c>
      <c r="L1017">
        <f t="shared" si="33"/>
        <v>45</v>
      </c>
    </row>
    <row r="1018" spans="1:12" x14ac:dyDescent="0.25">
      <c r="A1018">
        <v>5</v>
      </c>
      <c r="B1018">
        <v>4872</v>
      </c>
      <c r="C1018">
        <v>114</v>
      </c>
      <c r="D1018">
        <v>2</v>
      </c>
      <c r="E1018" t="s">
        <v>123</v>
      </c>
      <c r="F1018" s="19">
        <v>46099</v>
      </c>
      <c r="G1018" t="s">
        <v>132</v>
      </c>
      <c r="H1018">
        <v>0</v>
      </c>
      <c r="I1018" s="19">
        <v>46145</v>
      </c>
      <c r="J1018" s="19">
        <f t="shared" si="32"/>
        <v>46148</v>
      </c>
      <c r="L1018">
        <f t="shared" si="33"/>
        <v>49</v>
      </c>
    </row>
    <row r="1019" spans="1:12" x14ac:dyDescent="0.25">
      <c r="A1019">
        <v>5</v>
      </c>
      <c r="B1019">
        <v>3632</v>
      </c>
      <c r="C1019">
        <v>113</v>
      </c>
      <c r="D1019">
        <v>3</v>
      </c>
      <c r="E1019" t="s">
        <v>123</v>
      </c>
      <c r="F1019" s="19">
        <v>46099</v>
      </c>
      <c r="G1019" t="s">
        <v>132</v>
      </c>
      <c r="H1019">
        <v>0</v>
      </c>
      <c r="I1019" s="19">
        <v>46146</v>
      </c>
      <c r="J1019" s="19">
        <f t="shared" si="32"/>
        <v>46149</v>
      </c>
      <c r="L1019">
        <f t="shared" si="33"/>
        <v>50</v>
      </c>
    </row>
    <row r="1020" spans="1:12" x14ac:dyDescent="0.25">
      <c r="A1020">
        <v>3</v>
      </c>
      <c r="B1020">
        <v>4704</v>
      </c>
      <c r="C1020">
        <v>113</v>
      </c>
      <c r="D1020">
        <v>2</v>
      </c>
      <c r="E1020" t="s">
        <v>123</v>
      </c>
      <c r="F1020" s="19">
        <v>46099</v>
      </c>
      <c r="G1020" t="s">
        <v>120</v>
      </c>
      <c r="H1020">
        <v>0</v>
      </c>
      <c r="I1020" s="19">
        <v>46146</v>
      </c>
      <c r="J1020" s="19">
        <f t="shared" si="32"/>
        <v>46149</v>
      </c>
      <c r="L1020">
        <f t="shared" si="33"/>
        <v>50</v>
      </c>
    </row>
    <row r="1021" spans="1:12" x14ac:dyDescent="0.25">
      <c r="A1021">
        <v>10</v>
      </c>
      <c r="B1021">
        <v>3188</v>
      </c>
      <c r="C1021">
        <v>112</v>
      </c>
      <c r="D1021">
        <v>4</v>
      </c>
      <c r="E1021" t="s">
        <v>123</v>
      </c>
      <c r="F1021" s="19">
        <v>46099</v>
      </c>
      <c r="G1021" t="s">
        <v>132</v>
      </c>
      <c r="H1021">
        <v>0</v>
      </c>
      <c r="I1021" s="19">
        <v>46147</v>
      </c>
      <c r="J1021" s="19">
        <f t="shared" si="32"/>
        <v>46150</v>
      </c>
      <c r="L1021">
        <f t="shared" si="33"/>
        <v>51</v>
      </c>
    </row>
    <row r="1022" spans="1:12" x14ac:dyDescent="0.25">
      <c r="A1022">
        <v>2</v>
      </c>
      <c r="B1022">
        <v>4808</v>
      </c>
      <c r="C1022">
        <v>112</v>
      </c>
      <c r="D1022">
        <v>2</v>
      </c>
      <c r="E1022" t="s">
        <v>123</v>
      </c>
      <c r="F1022" s="19">
        <v>46099</v>
      </c>
      <c r="G1022" t="s">
        <v>132</v>
      </c>
      <c r="H1022">
        <v>0</v>
      </c>
      <c r="I1022" s="19">
        <v>46147</v>
      </c>
      <c r="J1022" s="19">
        <f t="shared" si="32"/>
        <v>46150</v>
      </c>
      <c r="L1022">
        <f t="shared" si="33"/>
        <v>51</v>
      </c>
    </row>
    <row r="1023" spans="1:12" x14ac:dyDescent="0.25">
      <c r="A1023">
        <v>5</v>
      </c>
      <c r="B1023">
        <v>4222</v>
      </c>
      <c r="C1023">
        <v>112</v>
      </c>
      <c r="D1023">
        <v>2</v>
      </c>
      <c r="E1023" t="s">
        <v>123</v>
      </c>
      <c r="F1023" s="19">
        <v>46099</v>
      </c>
      <c r="G1023" t="s">
        <v>131</v>
      </c>
      <c r="H1023">
        <v>0</v>
      </c>
      <c r="I1023" s="19">
        <v>46147</v>
      </c>
      <c r="J1023" s="19">
        <f t="shared" si="32"/>
        <v>46150</v>
      </c>
      <c r="L1023">
        <f t="shared" si="33"/>
        <v>51</v>
      </c>
    </row>
    <row r="1024" spans="1:12" x14ac:dyDescent="0.25">
      <c r="A1024">
        <v>5</v>
      </c>
      <c r="B1024">
        <v>4113</v>
      </c>
      <c r="C1024">
        <v>111</v>
      </c>
      <c r="D1024">
        <v>2</v>
      </c>
      <c r="E1024" t="s">
        <v>123</v>
      </c>
      <c r="F1024" s="19">
        <v>46099</v>
      </c>
      <c r="G1024" t="s">
        <v>131</v>
      </c>
      <c r="H1024">
        <v>0</v>
      </c>
      <c r="I1024" s="19">
        <v>46148</v>
      </c>
      <c r="J1024" s="19">
        <f t="shared" si="32"/>
        <v>46151</v>
      </c>
      <c r="L1024">
        <f t="shared" si="33"/>
        <v>52</v>
      </c>
    </row>
    <row r="1025" spans="1:12" x14ac:dyDescent="0.25">
      <c r="A1025">
        <v>10</v>
      </c>
      <c r="B1025">
        <v>4196</v>
      </c>
      <c r="C1025">
        <v>111</v>
      </c>
      <c r="D1025">
        <v>2</v>
      </c>
      <c r="E1025" t="s">
        <v>123</v>
      </c>
      <c r="F1025" s="19">
        <v>46099</v>
      </c>
      <c r="G1025" t="s">
        <v>131</v>
      </c>
      <c r="H1025">
        <v>0</v>
      </c>
      <c r="I1025" s="19">
        <v>46148</v>
      </c>
      <c r="J1025" s="19">
        <f t="shared" si="32"/>
        <v>46151</v>
      </c>
      <c r="L1025">
        <f t="shared" si="33"/>
        <v>52</v>
      </c>
    </row>
    <row r="1026" spans="1:12" x14ac:dyDescent="0.25">
      <c r="A1026">
        <v>2</v>
      </c>
      <c r="B1026">
        <v>3717</v>
      </c>
      <c r="C1026">
        <v>110</v>
      </c>
      <c r="D1026">
        <v>3</v>
      </c>
      <c r="E1026" t="s">
        <v>123</v>
      </c>
      <c r="F1026" s="19">
        <v>46099</v>
      </c>
      <c r="G1026" t="s">
        <v>132</v>
      </c>
      <c r="H1026">
        <v>0</v>
      </c>
      <c r="I1026" s="19">
        <v>46149</v>
      </c>
      <c r="J1026" s="19">
        <f t="shared" si="32"/>
        <v>46152</v>
      </c>
      <c r="L1026">
        <f t="shared" si="33"/>
        <v>53</v>
      </c>
    </row>
    <row r="1027" spans="1:12" x14ac:dyDescent="0.25">
      <c r="A1027">
        <v>6</v>
      </c>
      <c r="B1027">
        <v>4910</v>
      </c>
      <c r="C1027">
        <v>110</v>
      </c>
      <c r="D1027">
        <v>2</v>
      </c>
      <c r="E1027" t="s">
        <v>123</v>
      </c>
      <c r="F1027" s="19">
        <v>46099</v>
      </c>
      <c r="G1027" t="s">
        <v>132</v>
      </c>
      <c r="H1027">
        <v>0</v>
      </c>
      <c r="I1027" s="19">
        <v>46149</v>
      </c>
      <c r="J1027" s="19">
        <f t="shared" si="32"/>
        <v>46152</v>
      </c>
      <c r="L1027">
        <f t="shared" si="33"/>
        <v>53</v>
      </c>
    </row>
    <row r="1028" spans="1:12" x14ac:dyDescent="0.25">
      <c r="A1028">
        <v>5</v>
      </c>
      <c r="B1028">
        <v>2763</v>
      </c>
      <c r="C1028">
        <v>109</v>
      </c>
      <c r="D1028">
        <v>5</v>
      </c>
      <c r="E1028" t="s">
        <v>123</v>
      </c>
      <c r="F1028" s="19">
        <v>46099</v>
      </c>
      <c r="G1028" t="s">
        <v>132</v>
      </c>
      <c r="H1028">
        <v>0</v>
      </c>
      <c r="I1028" s="19">
        <v>46150</v>
      </c>
      <c r="J1028" s="19">
        <f t="shared" si="32"/>
        <v>46153</v>
      </c>
      <c r="L1028">
        <f t="shared" si="33"/>
        <v>54</v>
      </c>
    </row>
    <row r="1029" spans="1:12" x14ac:dyDescent="0.25">
      <c r="A1029">
        <v>2</v>
      </c>
      <c r="B1029">
        <v>3501</v>
      </c>
      <c r="C1029">
        <v>108</v>
      </c>
      <c r="D1029">
        <v>4</v>
      </c>
      <c r="E1029" t="s">
        <v>123</v>
      </c>
      <c r="F1029" s="19">
        <v>46099</v>
      </c>
      <c r="G1029" t="s">
        <v>132</v>
      </c>
      <c r="H1029">
        <v>0</v>
      </c>
      <c r="I1029" s="19">
        <v>46151</v>
      </c>
      <c r="J1029" s="19">
        <f t="shared" si="32"/>
        <v>46154</v>
      </c>
      <c r="L1029">
        <f t="shared" si="33"/>
        <v>55</v>
      </c>
    </row>
    <row r="1030" spans="1:12" x14ac:dyDescent="0.25">
      <c r="A1030">
        <v>3</v>
      </c>
      <c r="B1030">
        <v>4894</v>
      </c>
      <c r="C1030">
        <v>108</v>
      </c>
      <c r="D1030">
        <v>2</v>
      </c>
      <c r="E1030" t="s">
        <v>123</v>
      </c>
      <c r="F1030" s="19">
        <v>46099</v>
      </c>
      <c r="G1030" t="s">
        <v>120</v>
      </c>
      <c r="H1030">
        <v>0</v>
      </c>
      <c r="I1030" s="19">
        <v>46151</v>
      </c>
      <c r="J1030" s="19">
        <f t="shared" si="32"/>
        <v>46154</v>
      </c>
      <c r="L1030">
        <f t="shared" si="33"/>
        <v>55</v>
      </c>
    </row>
    <row r="1031" spans="1:12" x14ac:dyDescent="0.25">
      <c r="A1031">
        <v>2</v>
      </c>
      <c r="B1031">
        <v>4215</v>
      </c>
      <c r="C1031">
        <v>107</v>
      </c>
      <c r="D1031">
        <v>3</v>
      </c>
      <c r="E1031" t="s">
        <v>123</v>
      </c>
      <c r="F1031" s="19">
        <v>46099</v>
      </c>
      <c r="G1031" t="s">
        <v>120</v>
      </c>
      <c r="H1031">
        <v>0</v>
      </c>
      <c r="I1031" s="19">
        <v>46152</v>
      </c>
      <c r="J1031" s="19">
        <f t="shared" si="32"/>
        <v>46155</v>
      </c>
      <c r="L1031">
        <f t="shared" si="33"/>
        <v>56</v>
      </c>
    </row>
    <row r="1032" spans="1:12" x14ac:dyDescent="0.25">
      <c r="A1032">
        <v>6</v>
      </c>
      <c r="B1032">
        <v>4780</v>
      </c>
      <c r="C1032">
        <v>104</v>
      </c>
      <c r="D1032">
        <v>2</v>
      </c>
      <c r="E1032" t="s">
        <v>123</v>
      </c>
      <c r="F1032" s="19">
        <v>46099</v>
      </c>
      <c r="G1032" t="s">
        <v>131</v>
      </c>
      <c r="H1032">
        <v>0</v>
      </c>
      <c r="I1032" s="19">
        <v>46155</v>
      </c>
      <c r="J1032" s="19">
        <f t="shared" si="32"/>
        <v>46158</v>
      </c>
      <c r="L1032">
        <f t="shared" si="33"/>
        <v>59</v>
      </c>
    </row>
    <row r="1033" spans="1:12" x14ac:dyDescent="0.25">
      <c r="A1033">
        <v>2</v>
      </c>
      <c r="B1033">
        <v>4185</v>
      </c>
      <c r="C1033">
        <v>104</v>
      </c>
      <c r="D1033">
        <v>3</v>
      </c>
      <c r="E1033" t="s">
        <v>123</v>
      </c>
      <c r="F1033" s="19">
        <v>46099</v>
      </c>
      <c r="G1033" t="s">
        <v>120</v>
      </c>
      <c r="H1033">
        <v>0</v>
      </c>
      <c r="I1033" s="19">
        <v>46155</v>
      </c>
      <c r="J1033" s="19">
        <f t="shared" si="32"/>
        <v>46158</v>
      </c>
      <c r="L1033">
        <f t="shared" si="33"/>
        <v>59</v>
      </c>
    </row>
    <row r="1034" spans="1:12" x14ac:dyDescent="0.25">
      <c r="A1034">
        <v>2</v>
      </c>
      <c r="B1034">
        <v>4078</v>
      </c>
      <c r="C1034">
        <v>103</v>
      </c>
      <c r="D1034">
        <v>3</v>
      </c>
      <c r="E1034" t="s">
        <v>123</v>
      </c>
      <c r="F1034" s="19">
        <v>46099</v>
      </c>
      <c r="G1034" t="s">
        <v>132</v>
      </c>
      <c r="H1034">
        <v>0</v>
      </c>
      <c r="I1034" s="19">
        <v>46156</v>
      </c>
      <c r="J1034" s="19">
        <f t="shared" si="32"/>
        <v>46159</v>
      </c>
      <c r="L1034">
        <f t="shared" si="33"/>
        <v>60</v>
      </c>
    </row>
    <row r="1035" spans="1:12" x14ac:dyDescent="0.25">
      <c r="A1035">
        <v>2</v>
      </c>
      <c r="B1035">
        <v>4717</v>
      </c>
      <c r="C1035">
        <v>103</v>
      </c>
      <c r="D1035">
        <v>2</v>
      </c>
      <c r="E1035" t="s">
        <v>123</v>
      </c>
      <c r="F1035" s="19">
        <v>46099</v>
      </c>
      <c r="G1035" t="s">
        <v>132</v>
      </c>
      <c r="H1035">
        <v>0</v>
      </c>
      <c r="I1035" s="19">
        <v>46156</v>
      </c>
      <c r="J1035" s="19">
        <f t="shared" si="32"/>
        <v>46159</v>
      </c>
      <c r="L1035">
        <f t="shared" si="33"/>
        <v>60</v>
      </c>
    </row>
    <row r="1036" spans="1:12" x14ac:dyDescent="0.25">
      <c r="A1036">
        <v>5</v>
      </c>
      <c r="B1036">
        <v>4943</v>
      </c>
      <c r="C1036">
        <v>103</v>
      </c>
      <c r="D1036">
        <v>2</v>
      </c>
      <c r="E1036" t="s">
        <v>123</v>
      </c>
      <c r="F1036" s="19">
        <v>46099</v>
      </c>
      <c r="G1036" t="s">
        <v>132</v>
      </c>
      <c r="H1036">
        <v>0</v>
      </c>
      <c r="I1036" s="19">
        <v>46156</v>
      </c>
      <c r="J1036" s="19">
        <f t="shared" si="32"/>
        <v>46159</v>
      </c>
      <c r="L1036">
        <f t="shared" si="33"/>
        <v>60</v>
      </c>
    </row>
    <row r="1037" spans="1:12" x14ac:dyDescent="0.25">
      <c r="A1037">
        <v>2</v>
      </c>
      <c r="B1037">
        <v>4896</v>
      </c>
      <c r="C1037">
        <v>103</v>
      </c>
      <c r="D1037">
        <v>2</v>
      </c>
      <c r="E1037" t="s">
        <v>123</v>
      </c>
      <c r="F1037" s="19">
        <v>46099</v>
      </c>
      <c r="G1037" t="s">
        <v>132</v>
      </c>
      <c r="H1037">
        <v>0</v>
      </c>
      <c r="I1037" s="19">
        <v>46156</v>
      </c>
      <c r="J1037" s="19">
        <f t="shared" si="32"/>
        <v>46159</v>
      </c>
      <c r="L1037">
        <f t="shared" si="33"/>
        <v>60</v>
      </c>
    </row>
    <row r="1038" spans="1:12" x14ac:dyDescent="0.25">
      <c r="A1038">
        <v>5</v>
      </c>
      <c r="B1038">
        <v>4242</v>
      </c>
      <c r="C1038">
        <v>103</v>
      </c>
      <c r="D1038">
        <v>3</v>
      </c>
      <c r="E1038" t="s">
        <v>123</v>
      </c>
      <c r="F1038" s="19">
        <v>46099</v>
      </c>
      <c r="G1038" t="s">
        <v>131</v>
      </c>
      <c r="H1038">
        <v>0</v>
      </c>
      <c r="I1038" s="19">
        <v>46156</v>
      </c>
      <c r="J1038" s="19">
        <f t="shared" si="32"/>
        <v>46159</v>
      </c>
      <c r="L1038">
        <f t="shared" si="33"/>
        <v>60</v>
      </c>
    </row>
    <row r="1039" spans="1:12" x14ac:dyDescent="0.25">
      <c r="A1039">
        <v>2</v>
      </c>
      <c r="B1039">
        <v>4563</v>
      </c>
      <c r="C1039">
        <v>102</v>
      </c>
      <c r="D1039">
        <v>2</v>
      </c>
      <c r="E1039" t="s">
        <v>123</v>
      </c>
      <c r="F1039" s="19">
        <v>46099</v>
      </c>
      <c r="G1039" t="s">
        <v>131</v>
      </c>
      <c r="H1039">
        <v>0</v>
      </c>
      <c r="I1039" s="19">
        <v>46157</v>
      </c>
      <c r="J1039" s="19">
        <f t="shared" si="32"/>
        <v>46160</v>
      </c>
      <c r="L1039">
        <f t="shared" si="33"/>
        <v>61</v>
      </c>
    </row>
    <row r="1040" spans="1:12" x14ac:dyDescent="0.25">
      <c r="A1040">
        <v>5</v>
      </c>
      <c r="B1040">
        <v>3547</v>
      </c>
      <c r="C1040">
        <v>101</v>
      </c>
      <c r="D1040">
        <v>3</v>
      </c>
      <c r="E1040" t="s">
        <v>123</v>
      </c>
      <c r="F1040" s="19">
        <v>46099</v>
      </c>
      <c r="G1040" t="s">
        <v>132</v>
      </c>
      <c r="H1040">
        <v>0</v>
      </c>
      <c r="I1040" s="19">
        <v>46158</v>
      </c>
      <c r="J1040" s="19">
        <f t="shared" si="32"/>
        <v>46161</v>
      </c>
      <c r="L1040">
        <f t="shared" si="33"/>
        <v>62</v>
      </c>
    </row>
    <row r="1041" spans="1:12" x14ac:dyDescent="0.25">
      <c r="A1041">
        <v>5</v>
      </c>
      <c r="B1041">
        <v>4599</v>
      </c>
      <c r="C1041">
        <v>101</v>
      </c>
      <c r="D1041">
        <v>2</v>
      </c>
      <c r="E1041" t="s">
        <v>123</v>
      </c>
      <c r="F1041" s="19">
        <v>46099</v>
      </c>
      <c r="G1041" t="s">
        <v>132</v>
      </c>
      <c r="H1041">
        <v>0</v>
      </c>
      <c r="I1041" s="19">
        <v>46158</v>
      </c>
      <c r="J1041" s="19">
        <f t="shared" si="32"/>
        <v>46161</v>
      </c>
      <c r="L1041">
        <f t="shared" si="33"/>
        <v>62</v>
      </c>
    </row>
    <row r="1042" spans="1:12" x14ac:dyDescent="0.25">
      <c r="A1042">
        <v>2</v>
      </c>
      <c r="B1042">
        <v>3469</v>
      </c>
      <c r="C1042">
        <v>100</v>
      </c>
      <c r="D1042">
        <v>5</v>
      </c>
      <c r="E1042" t="s">
        <v>123</v>
      </c>
      <c r="F1042" s="19">
        <v>46099</v>
      </c>
      <c r="G1042" t="s">
        <v>132</v>
      </c>
      <c r="H1042">
        <v>0</v>
      </c>
      <c r="I1042" s="19">
        <v>46159</v>
      </c>
      <c r="J1042" s="19">
        <f t="shared" si="32"/>
        <v>46162</v>
      </c>
      <c r="L1042">
        <f t="shared" si="33"/>
        <v>63</v>
      </c>
    </row>
    <row r="1043" spans="1:12" x14ac:dyDescent="0.25">
      <c r="A1043">
        <v>10</v>
      </c>
      <c r="B1043">
        <v>2544</v>
      </c>
      <c r="C1043">
        <v>97</v>
      </c>
      <c r="D1043">
        <v>5</v>
      </c>
      <c r="E1043" t="s">
        <v>123</v>
      </c>
      <c r="F1043" s="19">
        <v>46099</v>
      </c>
      <c r="G1043" t="s">
        <v>125</v>
      </c>
      <c r="H1043">
        <v>0</v>
      </c>
      <c r="I1043" s="19">
        <v>46162</v>
      </c>
      <c r="J1043" s="19">
        <f t="shared" si="32"/>
        <v>46165</v>
      </c>
      <c r="L1043">
        <f t="shared" si="33"/>
        <v>66</v>
      </c>
    </row>
    <row r="1044" spans="1:12" x14ac:dyDescent="0.25">
      <c r="A1044">
        <v>2</v>
      </c>
      <c r="B1044">
        <v>4597</v>
      </c>
      <c r="C1044">
        <v>94</v>
      </c>
      <c r="D1044">
        <v>2</v>
      </c>
      <c r="E1044" t="s">
        <v>123</v>
      </c>
      <c r="F1044" s="19">
        <v>46099</v>
      </c>
      <c r="G1044" t="s">
        <v>132</v>
      </c>
      <c r="H1044">
        <v>0</v>
      </c>
      <c r="I1044" s="19">
        <v>46165</v>
      </c>
      <c r="J1044" s="19">
        <f t="shared" si="32"/>
        <v>46168</v>
      </c>
      <c r="L1044">
        <f t="shared" si="33"/>
        <v>69</v>
      </c>
    </row>
    <row r="1045" spans="1:12" x14ac:dyDescent="0.25">
      <c r="A1045">
        <v>10</v>
      </c>
      <c r="B1045">
        <v>5016</v>
      </c>
      <c r="C1045">
        <v>63</v>
      </c>
      <c r="D1045">
        <v>2</v>
      </c>
      <c r="E1045" t="s">
        <v>123</v>
      </c>
      <c r="F1045" s="19">
        <v>46099</v>
      </c>
      <c r="G1045" t="s">
        <v>130</v>
      </c>
      <c r="H1045">
        <v>0</v>
      </c>
      <c r="I1045" s="19">
        <v>46196</v>
      </c>
      <c r="J1045" s="19">
        <f t="shared" si="32"/>
        <v>46199</v>
      </c>
      <c r="L1045">
        <f t="shared" si="33"/>
        <v>100</v>
      </c>
    </row>
    <row r="1046" spans="1:12" x14ac:dyDescent="0.25">
      <c r="A1046">
        <v>3</v>
      </c>
      <c r="B1046">
        <v>4031</v>
      </c>
      <c r="C1046">
        <v>110</v>
      </c>
      <c r="D1046">
        <v>3</v>
      </c>
      <c r="E1046" t="s">
        <v>123</v>
      </c>
      <c r="F1046" s="19">
        <v>46105</v>
      </c>
      <c r="G1046" t="s">
        <v>132</v>
      </c>
      <c r="H1046">
        <v>0</v>
      </c>
      <c r="I1046" s="19">
        <v>46149</v>
      </c>
      <c r="J1046" s="19">
        <f t="shared" si="32"/>
        <v>46152</v>
      </c>
      <c r="L1046">
        <f t="shared" si="33"/>
        <v>47</v>
      </c>
    </row>
    <row r="1047" spans="1:12" x14ac:dyDescent="0.25">
      <c r="A1047">
        <v>6</v>
      </c>
      <c r="B1047">
        <v>4968</v>
      </c>
      <c r="C1047">
        <v>121</v>
      </c>
      <c r="D1047">
        <v>2</v>
      </c>
      <c r="E1047" t="s">
        <v>123</v>
      </c>
      <c r="F1047" s="19">
        <v>46106</v>
      </c>
      <c r="G1047" t="s">
        <v>132</v>
      </c>
      <c r="H1047">
        <v>0</v>
      </c>
      <c r="I1047" s="19">
        <v>46138</v>
      </c>
      <c r="J1047" s="19">
        <f t="shared" si="32"/>
        <v>46141</v>
      </c>
      <c r="L1047">
        <f t="shared" si="33"/>
        <v>35</v>
      </c>
    </row>
    <row r="1048" spans="1:12" x14ac:dyDescent="0.25">
      <c r="A1048">
        <v>5</v>
      </c>
      <c r="B1048">
        <v>3565</v>
      </c>
      <c r="C1048">
        <v>93</v>
      </c>
      <c r="D1048">
        <v>4</v>
      </c>
      <c r="E1048" t="s">
        <v>123</v>
      </c>
      <c r="F1048" s="19">
        <v>46106</v>
      </c>
      <c r="G1048" t="s">
        <v>122</v>
      </c>
      <c r="H1048">
        <v>0</v>
      </c>
      <c r="I1048" s="19">
        <v>46152</v>
      </c>
      <c r="J1048" s="19">
        <f t="shared" si="32"/>
        <v>46155</v>
      </c>
      <c r="L1048">
        <f t="shared" si="33"/>
        <v>49</v>
      </c>
    </row>
    <row r="1049" spans="1:12" x14ac:dyDescent="0.25">
      <c r="A1049">
        <v>3</v>
      </c>
      <c r="B1049">
        <v>4062</v>
      </c>
      <c r="C1049">
        <v>106</v>
      </c>
      <c r="D1049">
        <v>3</v>
      </c>
      <c r="E1049" t="s">
        <v>123</v>
      </c>
      <c r="F1049" s="19">
        <v>46106</v>
      </c>
      <c r="G1049" t="s">
        <v>132</v>
      </c>
      <c r="H1049">
        <v>0</v>
      </c>
      <c r="I1049" s="19">
        <v>46153</v>
      </c>
      <c r="J1049" s="19">
        <f t="shared" si="32"/>
        <v>46156</v>
      </c>
      <c r="L1049">
        <f t="shared" si="33"/>
        <v>50</v>
      </c>
    </row>
    <row r="1050" spans="1:12" x14ac:dyDescent="0.25">
      <c r="A1050">
        <v>2</v>
      </c>
      <c r="B1050">
        <v>4824</v>
      </c>
      <c r="C1050">
        <v>105</v>
      </c>
      <c r="D1050">
        <v>2</v>
      </c>
      <c r="E1050" t="s">
        <v>123</v>
      </c>
      <c r="F1050" s="19">
        <v>46106</v>
      </c>
      <c r="G1050" t="s">
        <v>132</v>
      </c>
      <c r="H1050">
        <v>0</v>
      </c>
      <c r="I1050" s="19">
        <v>46154</v>
      </c>
      <c r="J1050" s="19">
        <f t="shared" si="32"/>
        <v>46157</v>
      </c>
      <c r="L1050">
        <f t="shared" si="33"/>
        <v>51</v>
      </c>
    </row>
    <row r="1051" spans="1:12" x14ac:dyDescent="0.25">
      <c r="A1051">
        <v>5</v>
      </c>
      <c r="B1051">
        <v>4789</v>
      </c>
      <c r="C1051">
        <v>104</v>
      </c>
      <c r="D1051">
        <v>2</v>
      </c>
      <c r="E1051" t="s">
        <v>123</v>
      </c>
      <c r="F1051" s="19">
        <v>46106</v>
      </c>
      <c r="G1051" t="s">
        <v>120</v>
      </c>
      <c r="H1051">
        <v>0</v>
      </c>
      <c r="I1051" s="19">
        <v>46155</v>
      </c>
      <c r="J1051" s="19">
        <f t="shared" si="32"/>
        <v>46158</v>
      </c>
      <c r="L1051">
        <f t="shared" si="33"/>
        <v>52</v>
      </c>
    </row>
    <row r="1052" spans="1:12" x14ac:dyDescent="0.25">
      <c r="A1052">
        <v>2</v>
      </c>
      <c r="B1052">
        <v>4840</v>
      </c>
      <c r="C1052">
        <v>104</v>
      </c>
      <c r="D1052">
        <v>2</v>
      </c>
      <c r="E1052" t="s">
        <v>123</v>
      </c>
      <c r="F1052" s="19">
        <v>46106</v>
      </c>
      <c r="G1052" t="s">
        <v>131</v>
      </c>
      <c r="H1052">
        <v>0</v>
      </c>
      <c r="I1052" s="19">
        <v>46155</v>
      </c>
      <c r="J1052" s="19">
        <f t="shared" si="32"/>
        <v>46158</v>
      </c>
      <c r="L1052">
        <f t="shared" si="33"/>
        <v>52</v>
      </c>
    </row>
    <row r="1053" spans="1:12" x14ac:dyDescent="0.25">
      <c r="A1053">
        <v>5</v>
      </c>
      <c r="B1053">
        <v>4237</v>
      </c>
      <c r="C1053">
        <v>103</v>
      </c>
      <c r="D1053">
        <v>3</v>
      </c>
      <c r="E1053" t="s">
        <v>123</v>
      </c>
      <c r="F1053" s="19">
        <v>46106</v>
      </c>
      <c r="G1053" t="s">
        <v>132</v>
      </c>
      <c r="H1053">
        <v>0</v>
      </c>
      <c r="I1053" s="19">
        <v>46156</v>
      </c>
      <c r="J1053" s="19">
        <f t="shared" si="32"/>
        <v>46159</v>
      </c>
      <c r="L1053">
        <f t="shared" si="33"/>
        <v>53</v>
      </c>
    </row>
    <row r="1054" spans="1:12" x14ac:dyDescent="0.25">
      <c r="A1054">
        <v>2</v>
      </c>
      <c r="B1054">
        <v>4132</v>
      </c>
      <c r="C1054">
        <v>103</v>
      </c>
      <c r="D1054">
        <v>3</v>
      </c>
      <c r="E1054" t="s">
        <v>123</v>
      </c>
      <c r="F1054" s="19">
        <v>46106</v>
      </c>
      <c r="G1054" t="s">
        <v>120</v>
      </c>
      <c r="H1054">
        <v>0</v>
      </c>
      <c r="I1054" s="19">
        <v>46156</v>
      </c>
      <c r="J1054" s="19">
        <f t="shared" si="32"/>
        <v>46159</v>
      </c>
      <c r="L1054">
        <f t="shared" si="33"/>
        <v>53</v>
      </c>
    </row>
    <row r="1055" spans="1:12" x14ac:dyDescent="0.25">
      <c r="A1055">
        <v>2</v>
      </c>
      <c r="B1055">
        <v>4996</v>
      </c>
      <c r="C1055">
        <v>102</v>
      </c>
      <c r="D1055">
        <v>2</v>
      </c>
      <c r="E1055" t="s">
        <v>123</v>
      </c>
      <c r="F1055" s="19">
        <v>46106</v>
      </c>
      <c r="G1055" t="s">
        <v>132</v>
      </c>
      <c r="H1055">
        <v>0</v>
      </c>
      <c r="I1055" s="19">
        <v>46157</v>
      </c>
      <c r="J1055" s="19">
        <f t="shared" si="32"/>
        <v>46160</v>
      </c>
      <c r="L1055">
        <f t="shared" si="33"/>
        <v>54</v>
      </c>
    </row>
    <row r="1056" spans="1:12" x14ac:dyDescent="0.25">
      <c r="A1056">
        <v>2</v>
      </c>
      <c r="B1056">
        <v>4114</v>
      </c>
      <c r="C1056">
        <v>101</v>
      </c>
      <c r="D1056">
        <v>3</v>
      </c>
      <c r="E1056" t="s">
        <v>123</v>
      </c>
      <c r="F1056" s="19">
        <v>46106</v>
      </c>
      <c r="G1056" t="s">
        <v>132</v>
      </c>
      <c r="H1056">
        <v>0</v>
      </c>
      <c r="I1056" s="19">
        <v>46158</v>
      </c>
      <c r="J1056" s="19">
        <f t="shared" si="32"/>
        <v>46161</v>
      </c>
      <c r="L1056">
        <f t="shared" si="33"/>
        <v>55</v>
      </c>
    </row>
    <row r="1057" spans="1:12" x14ac:dyDescent="0.25">
      <c r="A1057">
        <v>2</v>
      </c>
      <c r="B1057">
        <v>4835</v>
      </c>
      <c r="C1057">
        <v>98</v>
      </c>
      <c r="D1057">
        <v>2</v>
      </c>
      <c r="E1057" t="s">
        <v>123</v>
      </c>
      <c r="F1057" s="19">
        <v>46106</v>
      </c>
      <c r="G1057" t="s">
        <v>120</v>
      </c>
      <c r="H1057">
        <v>0</v>
      </c>
      <c r="I1057" s="19">
        <v>46161</v>
      </c>
      <c r="J1057" s="19">
        <f t="shared" si="32"/>
        <v>46164</v>
      </c>
      <c r="L1057">
        <f t="shared" si="33"/>
        <v>58</v>
      </c>
    </row>
    <row r="1058" spans="1:12" x14ac:dyDescent="0.25">
      <c r="A1058">
        <v>2</v>
      </c>
      <c r="B1058">
        <v>4937</v>
      </c>
      <c r="C1058">
        <v>98</v>
      </c>
      <c r="D1058">
        <v>2</v>
      </c>
      <c r="E1058" t="s">
        <v>123</v>
      </c>
      <c r="F1058" s="19">
        <v>46106</v>
      </c>
      <c r="G1058" t="s">
        <v>120</v>
      </c>
      <c r="H1058">
        <v>0</v>
      </c>
      <c r="I1058" s="19">
        <v>46161</v>
      </c>
      <c r="J1058" s="19">
        <f t="shared" si="32"/>
        <v>46164</v>
      </c>
      <c r="L1058">
        <f t="shared" si="33"/>
        <v>58</v>
      </c>
    </row>
    <row r="1059" spans="1:12" x14ac:dyDescent="0.25">
      <c r="A1059">
        <v>6</v>
      </c>
      <c r="B1059">
        <v>3802</v>
      </c>
      <c r="C1059">
        <v>95</v>
      </c>
      <c r="D1059">
        <v>3</v>
      </c>
      <c r="E1059" t="s">
        <v>123</v>
      </c>
      <c r="F1059" s="19">
        <v>46106</v>
      </c>
      <c r="G1059" t="s">
        <v>131</v>
      </c>
      <c r="H1059">
        <v>0</v>
      </c>
      <c r="I1059" s="19">
        <v>46164</v>
      </c>
      <c r="J1059" s="19">
        <f t="shared" si="32"/>
        <v>46167</v>
      </c>
      <c r="L1059">
        <f t="shared" si="33"/>
        <v>61</v>
      </c>
    </row>
    <row r="1060" spans="1:12" x14ac:dyDescent="0.25">
      <c r="A1060">
        <v>2</v>
      </c>
      <c r="B1060">
        <v>2938</v>
      </c>
      <c r="C1060">
        <v>95</v>
      </c>
      <c r="D1060">
        <v>6</v>
      </c>
      <c r="E1060" t="s">
        <v>123</v>
      </c>
      <c r="F1060" s="19">
        <v>46106</v>
      </c>
      <c r="G1060" t="s">
        <v>132</v>
      </c>
      <c r="H1060">
        <v>0</v>
      </c>
      <c r="I1060" s="19">
        <v>46164</v>
      </c>
      <c r="J1060" s="19">
        <f t="shared" si="32"/>
        <v>46167</v>
      </c>
      <c r="L1060">
        <f t="shared" si="33"/>
        <v>61</v>
      </c>
    </row>
    <row r="1061" spans="1:12" x14ac:dyDescent="0.25">
      <c r="A1061">
        <v>2</v>
      </c>
      <c r="B1061">
        <v>5013</v>
      </c>
      <c r="C1061">
        <v>93</v>
      </c>
      <c r="D1061">
        <v>2</v>
      </c>
      <c r="E1061" t="s">
        <v>123</v>
      </c>
      <c r="F1061" s="19">
        <v>46106</v>
      </c>
      <c r="G1061" t="s">
        <v>132</v>
      </c>
      <c r="H1061">
        <v>0</v>
      </c>
      <c r="I1061" s="19">
        <v>46166</v>
      </c>
      <c r="J1061" s="19">
        <f t="shared" si="32"/>
        <v>46169</v>
      </c>
      <c r="L1061">
        <f t="shared" si="33"/>
        <v>63</v>
      </c>
    </row>
    <row r="1062" spans="1:12" x14ac:dyDescent="0.25">
      <c r="A1062">
        <v>6</v>
      </c>
      <c r="B1062">
        <v>4674</v>
      </c>
      <c r="C1062">
        <v>93</v>
      </c>
      <c r="D1062">
        <v>2</v>
      </c>
      <c r="E1062" t="s">
        <v>123</v>
      </c>
      <c r="F1062" s="19">
        <v>46106</v>
      </c>
      <c r="G1062" t="s">
        <v>132</v>
      </c>
      <c r="H1062">
        <v>0</v>
      </c>
      <c r="I1062" s="19">
        <v>46166</v>
      </c>
      <c r="J1062" s="19">
        <f t="shared" si="32"/>
        <v>46169</v>
      </c>
      <c r="L1062">
        <f t="shared" si="33"/>
        <v>63</v>
      </c>
    </row>
    <row r="1063" spans="1:12" x14ac:dyDescent="0.25">
      <c r="A1063">
        <v>5</v>
      </c>
      <c r="B1063">
        <v>3472</v>
      </c>
      <c r="C1063">
        <v>92</v>
      </c>
      <c r="D1063">
        <v>4</v>
      </c>
      <c r="E1063" t="s">
        <v>123</v>
      </c>
      <c r="F1063" s="19">
        <v>46106</v>
      </c>
      <c r="G1063" t="s">
        <v>132</v>
      </c>
      <c r="H1063">
        <v>0</v>
      </c>
      <c r="I1063" s="19">
        <v>46167</v>
      </c>
      <c r="J1063" s="19">
        <f t="shared" si="32"/>
        <v>46170</v>
      </c>
      <c r="L1063">
        <f t="shared" si="33"/>
        <v>64</v>
      </c>
    </row>
    <row r="1064" spans="1:12" x14ac:dyDescent="0.25">
      <c r="A1064">
        <v>3</v>
      </c>
      <c r="B1064">
        <v>4928</v>
      </c>
      <c r="C1064">
        <v>92</v>
      </c>
      <c r="D1064">
        <v>2</v>
      </c>
      <c r="E1064" t="s">
        <v>123</v>
      </c>
      <c r="F1064" s="19">
        <v>46106</v>
      </c>
      <c r="G1064" t="s">
        <v>132</v>
      </c>
      <c r="H1064">
        <v>0</v>
      </c>
      <c r="I1064" s="19">
        <v>46167</v>
      </c>
      <c r="J1064" s="19">
        <f t="shared" si="32"/>
        <v>46170</v>
      </c>
      <c r="L1064">
        <f t="shared" si="33"/>
        <v>64</v>
      </c>
    </row>
    <row r="1065" spans="1:12" x14ac:dyDescent="0.25">
      <c r="A1065">
        <v>5</v>
      </c>
      <c r="B1065">
        <v>4395</v>
      </c>
      <c r="C1065">
        <v>90</v>
      </c>
      <c r="D1065">
        <v>2</v>
      </c>
      <c r="E1065" t="s">
        <v>123</v>
      </c>
      <c r="F1065" s="19">
        <v>46106</v>
      </c>
      <c r="G1065" t="s">
        <v>132</v>
      </c>
      <c r="H1065">
        <v>0</v>
      </c>
      <c r="I1065" s="19">
        <v>46169</v>
      </c>
      <c r="J1065" s="19">
        <f t="shared" ref="J1065:J1128" si="34">I1065+3</f>
        <v>46172</v>
      </c>
      <c r="L1065">
        <f t="shared" ref="L1065:L1128" si="35">J1065-F1065</f>
        <v>66</v>
      </c>
    </row>
    <row r="1066" spans="1:12" x14ac:dyDescent="0.25">
      <c r="A1066">
        <v>10</v>
      </c>
      <c r="B1066">
        <v>4661</v>
      </c>
      <c r="C1066">
        <v>43</v>
      </c>
      <c r="D1066">
        <v>2</v>
      </c>
      <c r="E1066" t="s">
        <v>123</v>
      </c>
      <c r="F1066" s="19">
        <v>46106</v>
      </c>
      <c r="G1066" t="s">
        <v>122</v>
      </c>
      <c r="H1066">
        <v>0</v>
      </c>
      <c r="I1066" s="19">
        <v>46177</v>
      </c>
      <c r="J1066" s="19">
        <f t="shared" si="34"/>
        <v>46180</v>
      </c>
      <c r="L1066">
        <f t="shared" si="35"/>
        <v>74</v>
      </c>
    </row>
    <row r="1067" spans="1:12" x14ac:dyDescent="0.25">
      <c r="A1067">
        <v>2</v>
      </c>
      <c r="B1067">
        <v>4158</v>
      </c>
      <c r="C1067">
        <v>81</v>
      </c>
      <c r="D1067">
        <v>2</v>
      </c>
      <c r="E1067" t="s">
        <v>123</v>
      </c>
      <c r="F1067" s="19">
        <v>46106</v>
      </c>
      <c r="G1067" t="s">
        <v>132</v>
      </c>
      <c r="H1067">
        <v>0</v>
      </c>
      <c r="I1067" s="19">
        <v>46178</v>
      </c>
      <c r="J1067" s="19">
        <f t="shared" si="34"/>
        <v>46181</v>
      </c>
      <c r="L1067">
        <f t="shared" si="35"/>
        <v>75</v>
      </c>
    </row>
    <row r="1068" spans="1:12" x14ac:dyDescent="0.25">
      <c r="A1068">
        <v>2</v>
      </c>
      <c r="B1068">
        <v>3832</v>
      </c>
      <c r="C1068">
        <v>80</v>
      </c>
      <c r="D1068">
        <v>3</v>
      </c>
      <c r="E1068" t="s">
        <v>123</v>
      </c>
      <c r="F1068" s="19">
        <v>46106</v>
      </c>
      <c r="G1068" t="s">
        <v>132</v>
      </c>
      <c r="H1068">
        <v>0</v>
      </c>
      <c r="I1068" s="19">
        <v>46179</v>
      </c>
      <c r="J1068" s="19">
        <f t="shared" si="34"/>
        <v>46182</v>
      </c>
      <c r="L1068">
        <f t="shared" si="35"/>
        <v>76</v>
      </c>
    </row>
    <row r="1069" spans="1:12" x14ac:dyDescent="0.25">
      <c r="A1069">
        <v>2</v>
      </c>
      <c r="B1069">
        <v>3317</v>
      </c>
      <c r="C1069">
        <v>73</v>
      </c>
      <c r="D1069">
        <v>4</v>
      </c>
      <c r="E1069" t="s">
        <v>123</v>
      </c>
      <c r="F1069" s="19">
        <v>46106</v>
      </c>
      <c r="G1069" t="s">
        <v>132</v>
      </c>
      <c r="H1069">
        <v>0</v>
      </c>
      <c r="I1069" s="19">
        <v>46186</v>
      </c>
      <c r="J1069" s="19">
        <f t="shared" si="34"/>
        <v>46189</v>
      </c>
      <c r="L1069">
        <f t="shared" si="35"/>
        <v>83</v>
      </c>
    </row>
    <row r="1070" spans="1:12" x14ac:dyDescent="0.25">
      <c r="A1070">
        <v>3</v>
      </c>
      <c r="B1070">
        <v>5044</v>
      </c>
      <c r="C1070">
        <v>60</v>
      </c>
      <c r="D1070">
        <v>2</v>
      </c>
      <c r="E1070" t="s">
        <v>123</v>
      </c>
      <c r="F1070" s="19">
        <v>46106</v>
      </c>
      <c r="G1070" t="s">
        <v>130</v>
      </c>
      <c r="H1070">
        <v>0</v>
      </c>
      <c r="I1070" s="19">
        <v>46199</v>
      </c>
      <c r="J1070" s="19">
        <f t="shared" si="34"/>
        <v>46202</v>
      </c>
      <c r="L1070">
        <f t="shared" si="35"/>
        <v>96</v>
      </c>
    </row>
    <row r="1071" spans="1:12" x14ac:dyDescent="0.25">
      <c r="A1071">
        <v>3</v>
      </c>
      <c r="B1071">
        <v>5079</v>
      </c>
      <c r="C1071">
        <v>13</v>
      </c>
      <c r="D1071">
        <v>2</v>
      </c>
      <c r="E1071" t="s">
        <v>123</v>
      </c>
      <c r="F1071" s="19">
        <v>46106</v>
      </c>
      <c r="G1071" t="s">
        <v>130</v>
      </c>
      <c r="H1071">
        <v>16</v>
      </c>
      <c r="I1071" s="19">
        <v>46246</v>
      </c>
      <c r="J1071" s="19">
        <f t="shared" si="34"/>
        <v>46249</v>
      </c>
      <c r="L1071">
        <f t="shared" si="35"/>
        <v>143</v>
      </c>
    </row>
    <row r="1072" spans="1:12" x14ac:dyDescent="0.25">
      <c r="A1072">
        <v>5</v>
      </c>
      <c r="B1072">
        <v>3736</v>
      </c>
      <c r="C1072">
        <v>101</v>
      </c>
      <c r="D1072">
        <v>4</v>
      </c>
      <c r="E1072" t="s">
        <v>123</v>
      </c>
      <c r="F1072" s="19">
        <v>46107</v>
      </c>
      <c r="G1072" t="s">
        <v>131</v>
      </c>
      <c r="H1072">
        <v>0</v>
      </c>
      <c r="I1072" s="19">
        <v>46158</v>
      </c>
      <c r="J1072" s="19">
        <f t="shared" si="34"/>
        <v>46161</v>
      </c>
      <c r="L1072">
        <f t="shared" si="35"/>
        <v>54</v>
      </c>
    </row>
    <row r="1073" spans="1:12" x14ac:dyDescent="0.25">
      <c r="A1073">
        <v>5</v>
      </c>
      <c r="B1073">
        <v>4768</v>
      </c>
      <c r="C1073">
        <v>45</v>
      </c>
      <c r="D1073">
        <v>2</v>
      </c>
      <c r="E1073" t="s">
        <v>123</v>
      </c>
      <c r="F1073" s="19">
        <v>46107</v>
      </c>
      <c r="G1073" t="s">
        <v>130</v>
      </c>
      <c r="H1073">
        <v>0</v>
      </c>
      <c r="I1073" s="19">
        <v>46214</v>
      </c>
      <c r="J1073" s="19">
        <f t="shared" si="34"/>
        <v>46217</v>
      </c>
      <c r="L1073">
        <f t="shared" si="35"/>
        <v>110</v>
      </c>
    </row>
    <row r="1074" spans="1:12" x14ac:dyDescent="0.25">
      <c r="A1074">
        <v>10</v>
      </c>
      <c r="B1074">
        <v>3876</v>
      </c>
      <c r="C1074">
        <v>85</v>
      </c>
      <c r="D1074">
        <v>3</v>
      </c>
      <c r="E1074" t="s">
        <v>123</v>
      </c>
      <c r="F1074" s="19">
        <v>46113</v>
      </c>
      <c r="G1074" t="s">
        <v>122</v>
      </c>
      <c r="H1074">
        <v>0</v>
      </c>
      <c r="I1074" s="19">
        <v>46154</v>
      </c>
      <c r="J1074" s="19">
        <f t="shared" si="34"/>
        <v>46157</v>
      </c>
      <c r="L1074">
        <f t="shared" si="35"/>
        <v>44</v>
      </c>
    </row>
    <row r="1075" spans="1:12" x14ac:dyDescent="0.25">
      <c r="A1075">
        <v>2</v>
      </c>
      <c r="B1075">
        <v>4958</v>
      </c>
      <c r="C1075">
        <v>95</v>
      </c>
      <c r="D1075">
        <v>2</v>
      </c>
      <c r="E1075" t="s">
        <v>123</v>
      </c>
      <c r="F1075" s="19">
        <v>46113</v>
      </c>
      <c r="G1075" t="s">
        <v>132</v>
      </c>
      <c r="H1075">
        <v>0</v>
      </c>
      <c r="I1075" s="19">
        <v>46164</v>
      </c>
      <c r="J1075" s="19">
        <f t="shared" si="34"/>
        <v>46167</v>
      </c>
      <c r="L1075">
        <f t="shared" si="35"/>
        <v>54</v>
      </c>
    </row>
    <row r="1076" spans="1:12" x14ac:dyDescent="0.25">
      <c r="A1076">
        <v>5</v>
      </c>
      <c r="B1076">
        <v>5085</v>
      </c>
      <c r="C1076">
        <v>94</v>
      </c>
      <c r="D1076">
        <v>2</v>
      </c>
      <c r="E1076" t="s">
        <v>123</v>
      </c>
      <c r="F1076" s="19">
        <v>46113</v>
      </c>
      <c r="G1076" t="s">
        <v>132</v>
      </c>
      <c r="H1076">
        <v>0</v>
      </c>
      <c r="I1076" s="19">
        <v>46165</v>
      </c>
      <c r="J1076" s="19">
        <f t="shared" si="34"/>
        <v>46168</v>
      </c>
      <c r="L1076">
        <f t="shared" si="35"/>
        <v>55</v>
      </c>
    </row>
    <row r="1077" spans="1:12" x14ac:dyDescent="0.25">
      <c r="A1077">
        <v>3</v>
      </c>
      <c r="B1077">
        <v>4930</v>
      </c>
      <c r="C1077">
        <v>93</v>
      </c>
      <c r="D1077">
        <v>2</v>
      </c>
      <c r="E1077" t="s">
        <v>123</v>
      </c>
      <c r="F1077" s="19">
        <v>46113</v>
      </c>
      <c r="G1077" t="s">
        <v>132</v>
      </c>
      <c r="H1077">
        <v>0</v>
      </c>
      <c r="I1077" s="19">
        <v>46166</v>
      </c>
      <c r="J1077" s="19">
        <f t="shared" si="34"/>
        <v>46169</v>
      </c>
      <c r="L1077">
        <f t="shared" si="35"/>
        <v>56</v>
      </c>
    </row>
    <row r="1078" spans="1:12" x14ac:dyDescent="0.25">
      <c r="A1078">
        <v>5</v>
      </c>
      <c r="B1078">
        <v>4100</v>
      </c>
      <c r="C1078">
        <v>93</v>
      </c>
      <c r="D1078">
        <v>3</v>
      </c>
      <c r="E1078" t="s">
        <v>123</v>
      </c>
      <c r="F1078" s="19">
        <v>46113</v>
      </c>
      <c r="G1078" t="s">
        <v>132</v>
      </c>
      <c r="H1078">
        <v>0</v>
      </c>
      <c r="I1078" s="19">
        <v>46166</v>
      </c>
      <c r="J1078" s="19">
        <f t="shared" si="34"/>
        <v>46169</v>
      </c>
      <c r="L1078">
        <f t="shared" si="35"/>
        <v>56</v>
      </c>
    </row>
    <row r="1079" spans="1:12" x14ac:dyDescent="0.25">
      <c r="A1079">
        <v>2</v>
      </c>
      <c r="B1079">
        <v>3885</v>
      </c>
      <c r="C1079">
        <v>90</v>
      </c>
      <c r="D1079">
        <v>3</v>
      </c>
      <c r="E1079" t="s">
        <v>123</v>
      </c>
      <c r="F1079" s="19">
        <v>46113</v>
      </c>
      <c r="G1079" t="s">
        <v>131</v>
      </c>
      <c r="H1079">
        <v>0</v>
      </c>
      <c r="I1079" s="19">
        <v>46169</v>
      </c>
      <c r="J1079" s="19">
        <f t="shared" si="34"/>
        <v>46172</v>
      </c>
      <c r="L1079">
        <f t="shared" si="35"/>
        <v>59</v>
      </c>
    </row>
    <row r="1080" spans="1:12" x14ac:dyDescent="0.25">
      <c r="A1080">
        <v>6</v>
      </c>
      <c r="B1080">
        <v>4940</v>
      </c>
      <c r="C1080">
        <v>89</v>
      </c>
      <c r="D1080">
        <v>2</v>
      </c>
      <c r="E1080" t="s">
        <v>123</v>
      </c>
      <c r="F1080" s="19">
        <v>46113</v>
      </c>
      <c r="G1080" t="s">
        <v>132</v>
      </c>
      <c r="H1080">
        <v>0</v>
      </c>
      <c r="I1080" s="19">
        <v>46170</v>
      </c>
      <c r="J1080" s="19">
        <f t="shared" si="34"/>
        <v>46173</v>
      </c>
      <c r="L1080">
        <f t="shared" si="35"/>
        <v>60</v>
      </c>
    </row>
    <row r="1081" spans="1:12" x14ac:dyDescent="0.25">
      <c r="A1081">
        <v>6</v>
      </c>
      <c r="B1081">
        <v>3827</v>
      </c>
      <c r="C1081">
        <v>87</v>
      </c>
      <c r="D1081">
        <v>3</v>
      </c>
      <c r="E1081" t="s">
        <v>123</v>
      </c>
      <c r="F1081" s="19">
        <v>46113</v>
      </c>
      <c r="G1081" t="s">
        <v>131</v>
      </c>
      <c r="H1081">
        <v>0</v>
      </c>
      <c r="I1081" s="19">
        <v>46172</v>
      </c>
      <c r="J1081" s="19">
        <f t="shared" si="34"/>
        <v>46175</v>
      </c>
      <c r="L1081">
        <f t="shared" si="35"/>
        <v>62</v>
      </c>
    </row>
    <row r="1082" spans="1:12" x14ac:dyDescent="0.25">
      <c r="A1082">
        <v>5</v>
      </c>
      <c r="B1082">
        <v>4883</v>
      </c>
      <c r="C1082">
        <v>87</v>
      </c>
      <c r="D1082">
        <v>2</v>
      </c>
      <c r="E1082" t="s">
        <v>123</v>
      </c>
      <c r="F1082" s="19">
        <v>46113</v>
      </c>
      <c r="G1082" t="s">
        <v>132</v>
      </c>
      <c r="H1082">
        <v>0</v>
      </c>
      <c r="I1082" s="19">
        <v>46172</v>
      </c>
      <c r="J1082" s="19">
        <f t="shared" si="34"/>
        <v>46175</v>
      </c>
      <c r="L1082">
        <f t="shared" si="35"/>
        <v>62</v>
      </c>
    </row>
    <row r="1083" spans="1:12" x14ac:dyDescent="0.25">
      <c r="A1083">
        <v>2</v>
      </c>
      <c r="B1083">
        <v>4668</v>
      </c>
      <c r="C1083">
        <v>85</v>
      </c>
      <c r="D1083">
        <v>2</v>
      </c>
      <c r="E1083" t="s">
        <v>123</v>
      </c>
      <c r="F1083" s="19">
        <v>46113</v>
      </c>
      <c r="G1083" t="s">
        <v>132</v>
      </c>
      <c r="H1083">
        <v>0</v>
      </c>
      <c r="I1083" s="19">
        <v>46174</v>
      </c>
      <c r="J1083" s="19">
        <f t="shared" si="34"/>
        <v>46177</v>
      </c>
      <c r="L1083">
        <f t="shared" si="35"/>
        <v>64</v>
      </c>
    </row>
    <row r="1084" spans="1:12" x14ac:dyDescent="0.25">
      <c r="A1084">
        <v>2</v>
      </c>
      <c r="B1084">
        <v>3246</v>
      </c>
      <c r="C1084">
        <v>84</v>
      </c>
      <c r="D1084">
        <v>4</v>
      </c>
      <c r="E1084" t="s">
        <v>123</v>
      </c>
      <c r="F1084" s="19">
        <v>46113</v>
      </c>
      <c r="G1084" t="s">
        <v>132</v>
      </c>
      <c r="H1084">
        <v>0</v>
      </c>
      <c r="I1084" s="19">
        <v>46175</v>
      </c>
      <c r="J1084" s="19">
        <f t="shared" si="34"/>
        <v>46178</v>
      </c>
      <c r="L1084">
        <f t="shared" si="35"/>
        <v>65</v>
      </c>
    </row>
    <row r="1085" spans="1:12" x14ac:dyDescent="0.25">
      <c r="A1085">
        <v>2</v>
      </c>
      <c r="B1085">
        <v>4892</v>
      </c>
      <c r="C1085">
        <v>84</v>
      </c>
      <c r="D1085">
        <v>2</v>
      </c>
      <c r="E1085" t="s">
        <v>123</v>
      </c>
      <c r="F1085" s="19">
        <v>46113</v>
      </c>
      <c r="G1085" t="s">
        <v>132</v>
      </c>
      <c r="H1085">
        <v>0</v>
      </c>
      <c r="I1085" s="19">
        <v>46175</v>
      </c>
      <c r="J1085" s="19">
        <f t="shared" si="34"/>
        <v>46178</v>
      </c>
      <c r="L1085">
        <f t="shared" si="35"/>
        <v>65</v>
      </c>
    </row>
    <row r="1086" spans="1:12" x14ac:dyDescent="0.25">
      <c r="A1086">
        <v>6</v>
      </c>
      <c r="B1086">
        <v>4399</v>
      </c>
      <c r="C1086">
        <v>78</v>
      </c>
      <c r="D1086">
        <v>2</v>
      </c>
      <c r="E1086" t="s">
        <v>123</v>
      </c>
      <c r="F1086" s="19">
        <v>46113</v>
      </c>
      <c r="G1086" t="s">
        <v>131</v>
      </c>
      <c r="H1086">
        <v>0</v>
      </c>
      <c r="I1086" s="19">
        <v>46181</v>
      </c>
      <c r="J1086" s="19">
        <f t="shared" si="34"/>
        <v>46184</v>
      </c>
      <c r="L1086">
        <f t="shared" si="35"/>
        <v>71</v>
      </c>
    </row>
    <row r="1087" spans="1:12" x14ac:dyDescent="0.25">
      <c r="A1087">
        <v>2</v>
      </c>
      <c r="B1087">
        <v>4519</v>
      </c>
      <c r="C1087">
        <v>76</v>
      </c>
      <c r="D1087">
        <v>2</v>
      </c>
      <c r="E1087" t="s">
        <v>123</v>
      </c>
      <c r="F1087" s="19">
        <v>46113</v>
      </c>
      <c r="G1087" t="s">
        <v>132</v>
      </c>
      <c r="H1087">
        <v>0</v>
      </c>
      <c r="I1087" s="19">
        <v>46183</v>
      </c>
      <c r="J1087" s="19">
        <f t="shared" si="34"/>
        <v>46186</v>
      </c>
      <c r="L1087">
        <f t="shared" si="35"/>
        <v>73</v>
      </c>
    </row>
    <row r="1088" spans="1:12" x14ac:dyDescent="0.25">
      <c r="A1088">
        <v>3</v>
      </c>
      <c r="B1088">
        <v>4108</v>
      </c>
      <c r="C1088">
        <v>73</v>
      </c>
      <c r="D1088">
        <v>3</v>
      </c>
      <c r="E1088" t="s">
        <v>123</v>
      </c>
      <c r="F1088" s="19">
        <v>46113</v>
      </c>
      <c r="G1088" t="s">
        <v>132</v>
      </c>
      <c r="H1088">
        <v>0</v>
      </c>
      <c r="I1088" s="19">
        <v>46186</v>
      </c>
      <c r="J1088" s="19">
        <f t="shared" si="34"/>
        <v>46189</v>
      </c>
      <c r="L1088">
        <f t="shared" si="35"/>
        <v>76</v>
      </c>
    </row>
    <row r="1089" spans="1:12" x14ac:dyDescent="0.25">
      <c r="A1089">
        <v>5</v>
      </c>
      <c r="B1089">
        <v>3675</v>
      </c>
      <c r="C1089">
        <v>66</v>
      </c>
      <c r="D1089">
        <v>3</v>
      </c>
      <c r="E1089" t="s">
        <v>123</v>
      </c>
      <c r="F1089" s="19">
        <v>46113</v>
      </c>
      <c r="G1089" t="s">
        <v>131</v>
      </c>
      <c r="H1089">
        <v>0</v>
      </c>
      <c r="I1089" s="19">
        <v>46193</v>
      </c>
      <c r="J1089" s="19">
        <f t="shared" si="34"/>
        <v>46196</v>
      </c>
      <c r="L1089">
        <f t="shared" si="35"/>
        <v>83</v>
      </c>
    </row>
    <row r="1090" spans="1:12" x14ac:dyDescent="0.25">
      <c r="A1090">
        <v>3</v>
      </c>
      <c r="B1090">
        <v>3507</v>
      </c>
      <c r="C1090">
        <v>34</v>
      </c>
      <c r="D1090">
        <v>4</v>
      </c>
      <c r="E1090" t="s">
        <v>123</v>
      </c>
      <c r="F1090" s="19">
        <v>46113</v>
      </c>
      <c r="G1090" t="s">
        <v>130</v>
      </c>
      <c r="H1090">
        <v>0</v>
      </c>
      <c r="I1090" s="19">
        <v>46225</v>
      </c>
      <c r="J1090" s="19">
        <f t="shared" si="34"/>
        <v>46228</v>
      </c>
      <c r="L1090">
        <f t="shared" si="35"/>
        <v>115</v>
      </c>
    </row>
    <row r="1091" spans="1:12" x14ac:dyDescent="0.25">
      <c r="A1091">
        <v>3</v>
      </c>
      <c r="B1091">
        <v>3668</v>
      </c>
      <c r="C1091">
        <v>24</v>
      </c>
      <c r="D1091">
        <v>3</v>
      </c>
      <c r="E1091" t="s">
        <v>123</v>
      </c>
      <c r="F1091" s="19">
        <v>46113</v>
      </c>
      <c r="G1091" t="s">
        <v>130</v>
      </c>
      <c r="H1091">
        <v>2</v>
      </c>
      <c r="I1091" s="19">
        <v>46235</v>
      </c>
      <c r="J1091" s="19">
        <f t="shared" si="34"/>
        <v>46238</v>
      </c>
      <c r="L1091">
        <f t="shared" si="35"/>
        <v>125</v>
      </c>
    </row>
    <row r="1092" spans="1:12" x14ac:dyDescent="0.25">
      <c r="A1092">
        <v>3</v>
      </c>
      <c r="B1092">
        <v>4279</v>
      </c>
      <c r="C1092">
        <v>19</v>
      </c>
      <c r="D1092">
        <v>3</v>
      </c>
      <c r="E1092" t="s">
        <v>123</v>
      </c>
      <c r="F1092" s="19">
        <v>46113</v>
      </c>
      <c r="G1092" t="s">
        <v>130</v>
      </c>
      <c r="H1092">
        <v>9</v>
      </c>
      <c r="I1092" s="19">
        <v>46240</v>
      </c>
      <c r="J1092" s="19">
        <f t="shared" si="34"/>
        <v>46243</v>
      </c>
      <c r="L1092">
        <f t="shared" si="35"/>
        <v>130</v>
      </c>
    </row>
    <row r="1093" spans="1:12" x14ac:dyDescent="0.25">
      <c r="A1093">
        <v>2</v>
      </c>
      <c r="B1093">
        <v>4179</v>
      </c>
      <c r="C1093">
        <v>101</v>
      </c>
      <c r="D1093">
        <v>3</v>
      </c>
      <c r="E1093" t="s">
        <v>123</v>
      </c>
      <c r="F1093" s="19">
        <v>46120</v>
      </c>
      <c r="G1093" t="s">
        <v>132</v>
      </c>
      <c r="H1093">
        <v>0</v>
      </c>
      <c r="I1093" s="19">
        <v>46158</v>
      </c>
      <c r="J1093" s="19">
        <f t="shared" si="34"/>
        <v>46161</v>
      </c>
      <c r="L1093">
        <f t="shared" si="35"/>
        <v>41</v>
      </c>
    </row>
    <row r="1094" spans="1:12" x14ac:dyDescent="0.25">
      <c r="A1094">
        <v>5</v>
      </c>
      <c r="B1094">
        <v>4931</v>
      </c>
      <c r="C1094">
        <v>97</v>
      </c>
      <c r="D1094">
        <v>2</v>
      </c>
      <c r="E1094" t="s">
        <v>123</v>
      </c>
      <c r="F1094" s="19">
        <v>46120</v>
      </c>
      <c r="G1094" t="s">
        <v>131</v>
      </c>
      <c r="H1094">
        <v>0</v>
      </c>
      <c r="I1094" s="19">
        <v>46162</v>
      </c>
      <c r="J1094" s="19">
        <f t="shared" si="34"/>
        <v>46165</v>
      </c>
      <c r="L1094">
        <f t="shared" si="35"/>
        <v>45</v>
      </c>
    </row>
    <row r="1095" spans="1:12" x14ac:dyDescent="0.25">
      <c r="A1095">
        <v>2</v>
      </c>
      <c r="B1095">
        <v>4117</v>
      </c>
      <c r="C1095">
        <v>97</v>
      </c>
      <c r="D1095">
        <v>3</v>
      </c>
      <c r="E1095" t="s">
        <v>123</v>
      </c>
      <c r="F1095" s="19">
        <v>46120</v>
      </c>
      <c r="G1095" t="s">
        <v>132</v>
      </c>
      <c r="H1095">
        <v>0</v>
      </c>
      <c r="I1095" s="19">
        <v>46162</v>
      </c>
      <c r="J1095" s="19">
        <f t="shared" si="34"/>
        <v>46165</v>
      </c>
      <c r="L1095">
        <f t="shared" si="35"/>
        <v>45</v>
      </c>
    </row>
    <row r="1096" spans="1:12" x14ac:dyDescent="0.25">
      <c r="A1096">
        <v>5</v>
      </c>
      <c r="B1096">
        <v>5017</v>
      </c>
      <c r="C1096">
        <v>93</v>
      </c>
      <c r="D1096">
        <v>2</v>
      </c>
      <c r="E1096" t="s">
        <v>123</v>
      </c>
      <c r="F1096" s="19">
        <v>46120</v>
      </c>
      <c r="G1096" t="s">
        <v>132</v>
      </c>
      <c r="H1096">
        <v>0</v>
      </c>
      <c r="I1096" s="19">
        <v>46166</v>
      </c>
      <c r="J1096" s="19">
        <f t="shared" si="34"/>
        <v>46169</v>
      </c>
      <c r="L1096">
        <f t="shared" si="35"/>
        <v>49</v>
      </c>
    </row>
    <row r="1097" spans="1:12" x14ac:dyDescent="0.25">
      <c r="A1097">
        <v>2</v>
      </c>
      <c r="B1097">
        <v>4193</v>
      </c>
      <c r="C1097">
        <v>91</v>
      </c>
      <c r="D1097">
        <v>3</v>
      </c>
      <c r="E1097" t="s">
        <v>123</v>
      </c>
      <c r="F1097" s="19">
        <v>46120</v>
      </c>
      <c r="G1097" t="s">
        <v>132</v>
      </c>
      <c r="H1097">
        <v>0</v>
      </c>
      <c r="I1097" s="19">
        <v>46168</v>
      </c>
      <c r="J1097" s="19">
        <f t="shared" si="34"/>
        <v>46171</v>
      </c>
      <c r="L1097">
        <f t="shared" si="35"/>
        <v>51</v>
      </c>
    </row>
    <row r="1098" spans="1:12" x14ac:dyDescent="0.25">
      <c r="A1098">
        <v>2</v>
      </c>
      <c r="B1098">
        <v>4955</v>
      </c>
      <c r="C1098">
        <v>89</v>
      </c>
      <c r="D1098">
        <v>2</v>
      </c>
      <c r="E1098" t="s">
        <v>123</v>
      </c>
      <c r="F1098" s="19">
        <v>46120</v>
      </c>
      <c r="G1098" t="s">
        <v>132</v>
      </c>
      <c r="H1098">
        <v>0</v>
      </c>
      <c r="I1098" s="19">
        <v>46170</v>
      </c>
      <c r="J1098" s="19">
        <f t="shared" si="34"/>
        <v>46173</v>
      </c>
      <c r="L1098">
        <f t="shared" si="35"/>
        <v>53</v>
      </c>
    </row>
    <row r="1099" spans="1:12" x14ac:dyDescent="0.25">
      <c r="A1099">
        <v>2</v>
      </c>
      <c r="B1099">
        <v>3812</v>
      </c>
      <c r="C1099">
        <v>86</v>
      </c>
      <c r="D1099">
        <v>3</v>
      </c>
      <c r="E1099" t="s">
        <v>123</v>
      </c>
      <c r="F1099" s="19">
        <v>46120</v>
      </c>
      <c r="G1099" t="s">
        <v>132</v>
      </c>
      <c r="H1099">
        <v>0</v>
      </c>
      <c r="I1099" s="19">
        <v>46173</v>
      </c>
      <c r="J1099" s="19">
        <f t="shared" si="34"/>
        <v>46176</v>
      </c>
      <c r="L1099">
        <f t="shared" si="35"/>
        <v>56</v>
      </c>
    </row>
    <row r="1100" spans="1:12" x14ac:dyDescent="0.25">
      <c r="A1100">
        <v>2</v>
      </c>
      <c r="B1100">
        <v>4071</v>
      </c>
      <c r="C1100">
        <v>86</v>
      </c>
      <c r="D1100">
        <v>3</v>
      </c>
      <c r="E1100" t="s">
        <v>123</v>
      </c>
      <c r="F1100" s="19">
        <v>46120</v>
      </c>
      <c r="G1100" t="s">
        <v>132</v>
      </c>
      <c r="H1100">
        <v>0</v>
      </c>
      <c r="I1100" s="19">
        <v>46173</v>
      </c>
      <c r="J1100" s="19">
        <f t="shared" si="34"/>
        <v>46176</v>
      </c>
      <c r="L1100">
        <f t="shared" si="35"/>
        <v>56</v>
      </c>
    </row>
    <row r="1101" spans="1:12" x14ac:dyDescent="0.25">
      <c r="A1101">
        <v>2</v>
      </c>
      <c r="B1101">
        <v>4054</v>
      </c>
      <c r="C1101">
        <v>86</v>
      </c>
      <c r="D1101">
        <v>2</v>
      </c>
      <c r="E1101" t="s">
        <v>123</v>
      </c>
      <c r="F1101" s="19">
        <v>46120</v>
      </c>
      <c r="G1101" t="s">
        <v>132</v>
      </c>
      <c r="H1101">
        <v>0</v>
      </c>
      <c r="I1101" s="19">
        <v>46173</v>
      </c>
      <c r="J1101" s="19">
        <f t="shared" si="34"/>
        <v>46176</v>
      </c>
      <c r="L1101">
        <f t="shared" si="35"/>
        <v>56</v>
      </c>
    </row>
    <row r="1102" spans="1:12" x14ac:dyDescent="0.25">
      <c r="A1102">
        <v>3</v>
      </c>
      <c r="B1102">
        <v>4754</v>
      </c>
      <c r="C1102">
        <v>85</v>
      </c>
      <c r="D1102">
        <v>2</v>
      </c>
      <c r="E1102" t="s">
        <v>123</v>
      </c>
      <c r="F1102" s="19">
        <v>46120</v>
      </c>
      <c r="G1102" t="s">
        <v>132</v>
      </c>
      <c r="H1102">
        <v>0</v>
      </c>
      <c r="I1102" s="19">
        <v>46174</v>
      </c>
      <c r="J1102" s="19">
        <f t="shared" si="34"/>
        <v>46177</v>
      </c>
      <c r="L1102">
        <f t="shared" si="35"/>
        <v>57</v>
      </c>
    </row>
    <row r="1103" spans="1:12" x14ac:dyDescent="0.25">
      <c r="A1103">
        <v>3</v>
      </c>
      <c r="B1103">
        <v>4938</v>
      </c>
      <c r="C1103">
        <v>85</v>
      </c>
      <c r="D1103">
        <v>2</v>
      </c>
      <c r="E1103" t="s">
        <v>123</v>
      </c>
      <c r="F1103" s="19">
        <v>46120</v>
      </c>
      <c r="G1103" t="s">
        <v>132</v>
      </c>
      <c r="H1103">
        <v>0</v>
      </c>
      <c r="I1103" s="19">
        <v>46174</v>
      </c>
      <c r="J1103" s="19">
        <f t="shared" si="34"/>
        <v>46177</v>
      </c>
      <c r="L1103">
        <f t="shared" si="35"/>
        <v>57</v>
      </c>
    </row>
    <row r="1104" spans="1:12" x14ac:dyDescent="0.25">
      <c r="A1104">
        <v>6</v>
      </c>
      <c r="B1104">
        <v>3039</v>
      </c>
      <c r="C1104">
        <v>83</v>
      </c>
      <c r="D1104">
        <v>4</v>
      </c>
      <c r="E1104" t="s">
        <v>123</v>
      </c>
      <c r="F1104" s="19">
        <v>46120</v>
      </c>
      <c r="G1104" t="s">
        <v>132</v>
      </c>
      <c r="H1104">
        <v>0</v>
      </c>
      <c r="I1104" s="19">
        <v>46176</v>
      </c>
      <c r="J1104" s="19">
        <f t="shared" si="34"/>
        <v>46179</v>
      </c>
      <c r="L1104">
        <f t="shared" si="35"/>
        <v>59</v>
      </c>
    </row>
    <row r="1105" spans="1:12" x14ac:dyDescent="0.25">
      <c r="A1105">
        <v>2</v>
      </c>
      <c r="B1105">
        <v>4098</v>
      </c>
      <c r="C1105">
        <v>83</v>
      </c>
      <c r="D1105">
        <v>3</v>
      </c>
      <c r="E1105" t="s">
        <v>123</v>
      </c>
      <c r="F1105" s="19">
        <v>46120</v>
      </c>
      <c r="G1105" t="s">
        <v>132</v>
      </c>
      <c r="H1105">
        <v>0</v>
      </c>
      <c r="I1105" s="19">
        <v>46176</v>
      </c>
      <c r="J1105" s="19">
        <f t="shared" si="34"/>
        <v>46179</v>
      </c>
      <c r="L1105">
        <f t="shared" si="35"/>
        <v>59</v>
      </c>
    </row>
    <row r="1106" spans="1:12" x14ac:dyDescent="0.25">
      <c r="A1106">
        <v>2</v>
      </c>
      <c r="B1106">
        <v>4637</v>
      </c>
      <c r="C1106">
        <v>82</v>
      </c>
      <c r="D1106">
        <v>2</v>
      </c>
      <c r="E1106" t="s">
        <v>123</v>
      </c>
      <c r="F1106" s="19">
        <v>46120</v>
      </c>
      <c r="G1106" t="s">
        <v>132</v>
      </c>
      <c r="H1106">
        <v>0</v>
      </c>
      <c r="I1106" s="19">
        <v>46177</v>
      </c>
      <c r="J1106" s="19">
        <f t="shared" si="34"/>
        <v>46180</v>
      </c>
      <c r="L1106">
        <f t="shared" si="35"/>
        <v>60</v>
      </c>
    </row>
    <row r="1107" spans="1:12" x14ac:dyDescent="0.25">
      <c r="A1107">
        <v>3</v>
      </c>
      <c r="B1107">
        <v>3718</v>
      </c>
      <c r="C1107">
        <v>81</v>
      </c>
      <c r="D1107">
        <v>3</v>
      </c>
      <c r="E1107" t="s">
        <v>123</v>
      </c>
      <c r="F1107" s="19">
        <v>46120</v>
      </c>
      <c r="G1107" t="s">
        <v>132</v>
      </c>
      <c r="H1107">
        <v>0</v>
      </c>
      <c r="I1107" s="19">
        <v>46178</v>
      </c>
      <c r="J1107" s="19">
        <f t="shared" si="34"/>
        <v>46181</v>
      </c>
      <c r="L1107">
        <f t="shared" si="35"/>
        <v>61</v>
      </c>
    </row>
    <row r="1108" spans="1:12" x14ac:dyDescent="0.25">
      <c r="A1108">
        <v>3</v>
      </c>
      <c r="B1108">
        <v>4912</v>
      </c>
      <c r="C1108">
        <v>80</v>
      </c>
      <c r="D1108">
        <v>2</v>
      </c>
      <c r="E1108" t="s">
        <v>123</v>
      </c>
      <c r="F1108" s="19">
        <v>46120</v>
      </c>
      <c r="G1108" t="s">
        <v>132</v>
      </c>
      <c r="H1108">
        <v>0</v>
      </c>
      <c r="I1108" s="19">
        <v>46179</v>
      </c>
      <c r="J1108" s="19">
        <f t="shared" si="34"/>
        <v>46182</v>
      </c>
      <c r="L1108">
        <f t="shared" si="35"/>
        <v>62</v>
      </c>
    </row>
    <row r="1109" spans="1:12" x14ac:dyDescent="0.25">
      <c r="A1109">
        <v>5</v>
      </c>
      <c r="B1109">
        <v>4809</v>
      </c>
      <c r="C1109">
        <v>78</v>
      </c>
      <c r="D1109">
        <v>2</v>
      </c>
      <c r="E1109" t="s">
        <v>123</v>
      </c>
      <c r="F1109" s="19">
        <v>46120</v>
      </c>
      <c r="G1109" t="s">
        <v>132</v>
      </c>
      <c r="H1109">
        <v>0</v>
      </c>
      <c r="I1109" s="19">
        <v>46181</v>
      </c>
      <c r="J1109" s="19">
        <f t="shared" si="34"/>
        <v>46184</v>
      </c>
      <c r="L1109">
        <f t="shared" si="35"/>
        <v>64</v>
      </c>
    </row>
    <row r="1110" spans="1:12" x14ac:dyDescent="0.25">
      <c r="A1110">
        <v>5</v>
      </c>
      <c r="B1110">
        <v>4979</v>
      </c>
      <c r="C1110">
        <v>77</v>
      </c>
      <c r="D1110">
        <v>2</v>
      </c>
      <c r="E1110" t="s">
        <v>123</v>
      </c>
      <c r="F1110" s="19">
        <v>46120</v>
      </c>
      <c r="G1110" t="s">
        <v>132</v>
      </c>
      <c r="H1110">
        <v>0</v>
      </c>
      <c r="I1110" s="19">
        <v>46182</v>
      </c>
      <c r="J1110" s="19">
        <f t="shared" si="34"/>
        <v>46185</v>
      </c>
      <c r="L1110">
        <f t="shared" si="35"/>
        <v>65</v>
      </c>
    </row>
    <row r="1111" spans="1:12" x14ac:dyDescent="0.25">
      <c r="A1111">
        <v>3</v>
      </c>
      <c r="B1111">
        <v>3671</v>
      </c>
      <c r="C1111">
        <v>75</v>
      </c>
      <c r="D1111">
        <v>4</v>
      </c>
      <c r="E1111" t="s">
        <v>123</v>
      </c>
      <c r="F1111" s="19">
        <v>46120</v>
      </c>
      <c r="G1111" t="s">
        <v>132</v>
      </c>
      <c r="H1111">
        <v>0</v>
      </c>
      <c r="I1111" s="19">
        <v>46184</v>
      </c>
      <c r="J1111" s="19">
        <f t="shared" si="34"/>
        <v>46187</v>
      </c>
      <c r="L1111">
        <f t="shared" si="35"/>
        <v>67</v>
      </c>
    </row>
    <row r="1112" spans="1:12" x14ac:dyDescent="0.25">
      <c r="A1112">
        <v>3</v>
      </c>
      <c r="B1112">
        <v>2922</v>
      </c>
      <c r="C1112">
        <v>6</v>
      </c>
      <c r="D1112">
        <v>5</v>
      </c>
      <c r="E1112" t="s">
        <v>123</v>
      </c>
      <c r="F1112" s="19">
        <v>46120</v>
      </c>
      <c r="G1112" t="s">
        <v>130</v>
      </c>
      <c r="H1112">
        <v>0</v>
      </c>
      <c r="I1112" s="19">
        <v>46253</v>
      </c>
      <c r="J1112" s="19">
        <f t="shared" si="34"/>
        <v>46256</v>
      </c>
      <c r="L1112">
        <f t="shared" si="35"/>
        <v>136</v>
      </c>
    </row>
    <row r="1113" spans="1:12" x14ac:dyDescent="0.25">
      <c r="A1113">
        <v>5</v>
      </c>
      <c r="B1113">
        <v>5060</v>
      </c>
      <c r="C1113">
        <v>83</v>
      </c>
      <c r="D1113">
        <v>2</v>
      </c>
      <c r="E1113" t="s">
        <v>123</v>
      </c>
      <c r="F1113" s="19">
        <v>46127</v>
      </c>
      <c r="G1113" t="s">
        <v>132</v>
      </c>
      <c r="H1113">
        <v>0</v>
      </c>
      <c r="I1113" s="19">
        <v>46176</v>
      </c>
      <c r="J1113" s="19">
        <f t="shared" si="34"/>
        <v>46179</v>
      </c>
      <c r="L1113">
        <f t="shared" si="35"/>
        <v>52</v>
      </c>
    </row>
    <row r="1114" spans="1:12" x14ac:dyDescent="0.25">
      <c r="A1114">
        <v>2</v>
      </c>
      <c r="B1114">
        <v>4586</v>
      </c>
      <c r="C1114">
        <v>83</v>
      </c>
      <c r="D1114">
        <v>2</v>
      </c>
      <c r="E1114" t="s">
        <v>123</v>
      </c>
      <c r="F1114" s="19">
        <v>46127</v>
      </c>
      <c r="G1114" t="s">
        <v>132</v>
      </c>
      <c r="H1114">
        <v>0</v>
      </c>
      <c r="I1114" s="19">
        <v>46176</v>
      </c>
      <c r="J1114" s="19">
        <f t="shared" si="34"/>
        <v>46179</v>
      </c>
      <c r="L1114">
        <f t="shared" si="35"/>
        <v>52</v>
      </c>
    </row>
    <row r="1115" spans="1:12" x14ac:dyDescent="0.25">
      <c r="A1115">
        <v>2</v>
      </c>
      <c r="B1115">
        <v>4318</v>
      </c>
      <c r="C1115">
        <v>81</v>
      </c>
      <c r="D1115">
        <v>3</v>
      </c>
      <c r="E1115" t="s">
        <v>123</v>
      </c>
      <c r="F1115" s="19">
        <v>46127</v>
      </c>
      <c r="G1115" t="s">
        <v>132</v>
      </c>
      <c r="H1115">
        <v>0</v>
      </c>
      <c r="I1115" s="19">
        <v>46178</v>
      </c>
      <c r="J1115" s="19">
        <f t="shared" si="34"/>
        <v>46181</v>
      </c>
      <c r="L1115">
        <f t="shared" si="35"/>
        <v>54</v>
      </c>
    </row>
    <row r="1116" spans="1:12" x14ac:dyDescent="0.25">
      <c r="A1116">
        <v>2</v>
      </c>
      <c r="B1116">
        <v>3891</v>
      </c>
      <c r="C1116">
        <v>80</v>
      </c>
      <c r="D1116">
        <v>3</v>
      </c>
      <c r="E1116" t="s">
        <v>123</v>
      </c>
      <c r="F1116" s="19">
        <v>46127</v>
      </c>
      <c r="G1116" t="s">
        <v>132</v>
      </c>
      <c r="H1116">
        <v>0</v>
      </c>
      <c r="I1116" s="19">
        <v>46179</v>
      </c>
      <c r="J1116" s="19">
        <f t="shared" si="34"/>
        <v>46182</v>
      </c>
      <c r="L1116">
        <f t="shared" si="35"/>
        <v>55</v>
      </c>
    </row>
    <row r="1117" spans="1:12" x14ac:dyDescent="0.25">
      <c r="A1117">
        <v>2</v>
      </c>
      <c r="B1117">
        <v>4096</v>
      </c>
      <c r="C1117">
        <v>80</v>
      </c>
      <c r="D1117">
        <v>3</v>
      </c>
      <c r="E1117" t="s">
        <v>123</v>
      </c>
      <c r="F1117" s="19">
        <v>46127</v>
      </c>
      <c r="G1117" t="s">
        <v>132</v>
      </c>
      <c r="H1117">
        <v>0</v>
      </c>
      <c r="I1117" s="19">
        <v>46179</v>
      </c>
      <c r="J1117" s="19">
        <f t="shared" si="34"/>
        <v>46182</v>
      </c>
      <c r="L1117">
        <f t="shared" si="35"/>
        <v>55</v>
      </c>
    </row>
    <row r="1118" spans="1:12" x14ac:dyDescent="0.25">
      <c r="A1118">
        <v>2</v>
      </c>
      <c r="B1118">
        <v>3703</v>
      </c>
      <c r="C1118">
        <v>79</v>
      </c>
      <c r="D1118">
        <v>4</v>
      </c>
      <c r="E1118" t="s">
        <v>123</v>
      </c>
      <c r="F1118" s="19">
        <v>46127</v>
      </c>
      <c r="G1118" t="s">
        <v>132</v>
      </c>
      <c r="H1118">
        <v>0</v>
      </c>
      <c r="I1118" s="19">
        <v>46180</v>
      </c>
      <c r="J1118" s="19">
        <f t="shared" si="34"/>
        <v>46183</v>
      </c>
      <c r="L1118">
        <f t="shared" si="35"/>
        <v>56</v>
      </c>
    </row>
    <row r="1119" spans="1:12" x14ac:dyDescent="0.25">
      <c r="A1119">
        <v>3</v>
      </c>
      <c r="B1119">
        <v>4997</v>
      </c>
      <c r="C1119">
        <v>76</v>
      </c>
      <c r="D1119">
        <v>2</v>
      </c>
      <c r="E1119" t="s">
        <v>123</v>
      </c>
      <c r="F1119" s="19">
        <v>46127</v>
      </c>
      <c r="G1119" t="s">
        <v>132</v>
      </c>
      <c r="H1119">
        <v>0</v>
      </c>
      <c r="I1119" s="19">
        <v>46183</v>
      </c>
      <c r="J1119" s="19">
        <f t="shared" si="34"/>
        <v>46186</v>
      </c>
      <c r="L1119">
        <f t="shared" si="35"/>
        <v>59</v>
      </c>
    </row>
    <row r="1120" spans="1:12" x14ac:dyDescent="0.25">
      <c r="A1120">
        <v>2</v>
      </c>
      <c r="B1120">
        <v>4431</v>
      </c>
      <c r="C1120">
        <v>76</v>
      </c>
      <c r="D1120">
        <v>3</v>
      </c>
      <c r="E1120" t="s">
        <v>123</v>
      </c>
      <c r="F1120" s="19">
        <v>46127</v>
      </c>
      <c r="G1120" t="s">
        <v>132</v>
      </c>
      <c r="H1120">
        <v>0</v>
      </c>
      <c r="I1120" s="19">
        <v>46183</v>
      </c>
      <c r="J1120" s="19">
        <f t="shared" si="34"/>
        <v>46186</v>
      </c>
      <c r="L1120">
        <f t="shared" si="35"/>
        <v>59</v>
      </c>
    </row>
    <row r="1121" spans="1:12" x14ac:dyDescent="0.25">
      <c r="A1121">
        <v>2</v>
      </c>
      <c r="B1121">
        <v>4086</v>
      </c>
      <c r="C1121">
        <v>75</v>
      </c>
      <c r="D1121">
        <v>3</v>
      </c>
      <c r="E1121" t="s">
        <v>123</v>
      </c>
      <c r="F1121" s="19">
        <v>46127</v>
      </c>
      <c r="G1121" t="s">
        <v>132</v>
      </c>
      <c r="H1121">
        <v>0</v>
      </c>
      <c r="I1121" s="19">
        <v>46184</v>
      </c>
      <c r="J1121" s="19">
        <f t="shared" si="34"/>
        <v>46187</v>
      </c>
      <c r="L1121">
        <f t="shared" si="35"/>
        <v>60</v>
      </c>
    </row>
    <row r="1122" spans="1:12" x14ac:dyDescent="0.25">
      <c r="A1122">
        <v>3</v>
      </c>
      <c r="B1122">
        <v>5010</v>
      </c>
      <c r="C1122">
        <v>36</v>
      </c>
      <c r="D1122">
        <v>2</v>
      </c>
      <c r="E1122" t="s">
        <v>123</v>
      </c>
      <c r="F1122" s="19">
        <v>46127</v>
      </c>
      <c r="G1122" t="s">
        <v>122</v>
      </c>
      <c r="H1122">
        <v>0</v>
      </c>
      <c r="I1122" s="19">
        <v>46184</v>
      </c>
      <c r="J1122" s="19">
        <f t="shared" si="34"/>
        <v>46187</v>
      </c>
      <c r="L1122">
        <f t="shared" si="35"/>
        <v>60</v>
      </c>
    </row>
    <row r="1123" spans="1:12" x14ac:dyDescent="0.25">
      <c r="A1123">
        <v>2</v>
      </c>
      <c r="B1123">
        <v>3858</v>
      </c>
      <c r="C1123">
        <v>74</v>
      </c>
      <c r="D1123">
        <v>3</v>
      </c>
      <c r="E1123" t="s">
        <v>123</v>
      </c>
      <c r="F1123" s="19">
        <v>46127</v>
      </c>
      <c r="G1123" t="s">
        <v>132</v>
      </c>
      <c r="H1123">
        <v>0</v>
      </c>
      <c r="I1123" s="19">
        <v>46185</v>
      </c>
      <c r="J1123" s="19">
        <f t="shared" si="34"/>
        <v>46188</v>
      </c>
      <c r="L1123">
        <f t="shared" si="35"/>
        <v>61</v>
      </c>
    </row>
    <row r="1124" spans="1:12" x14ac:dyDescent="0.25">
      <c r="A1124">
        <v>5</v>
      </c>
      <c r="B1124">
        <v>4991</v>
      </c>
      <c r="C1124">
        <v>74</v>
      </c>
      <c r="D1124">
        <v>2</v>
      </c>
      <c r="E1124" t="s">
        <v>123</v>
      </c>
      <c r="F1124" s="19">
        <v>46127</v>
      </c>
      <c r="G1124" t="s">
        <v>131</v>
      </c>
      <c r="H1124">
        <v>0</v>
      </c>
      <c r="I1124" s="19">
        <v>46185</v>
      </c>
      <c r="J1124" s="19">
        <f t="shared" si="34"/>
        <v>46188</v>
      </c>
      <c r="L1124">
        <f t="shared" si="35"/>
        <v>61</v>
      </c>
    </row>
    <row r="1125" spans="1:12" x14ac:dyDescent="0.25">
      <c r="A1125">
        <v>2</v>
      </c>
      <c r="B1125">
        <v>3879</v>
      </c>
      <c r="C1125">
        <v>71</v>
      </c>
      <c r="D1125">
        <v>3</v>
      </c>
      <c r="E1125" t="s">
        <v>123</v>
      </c>
      <c r="F1125" s="19">
        <v>46127</v>
      </c>
      <c r="G1125" t="s">
        <v>131</v>
      </c>
      <c r="H1125">
        <v>0</v>
      </c>
      <c r="I1125" s="19">
        <v>46188</v>
      </c>
      <c r="J1125" s="19">
        <f t="shared" si="34"/>
        <v>46191</v>
      </c>
      <c r="L1125">
        <f t="shared" si="35"/>
        <v>64</v>
      </c>
    </row>
    <row r="1126" spans="1:12" x14ac:dyDescent="0.25">
      <c r="A1126">
        <v>2</v>
      </c>
      <c r="B1126">
        <v>4091</v>
      </c>
      <c r="C1126">
        <v>70</v>
      </c>
      <c r="D1126">
        <v>3</v>
      </c>
      <c r="E1126" t="s">
        <v>123</v>
      </c>
      <c r="F1126" s="19">
        <v>46127</v>
      </c>
      <c r="G1126" t="s">
        <v>132</v>
      </c>
      <c r="H1126">
        <v>0</v>
      </c>
      <c r="I1126" s="19">
        <v>46189</v>
      </c>
      <c r="J1126" s="19">
        <f t="shared" si="34"/>
        <v>46192</v>
      </c>
      <c r="L1126">
        <f t="shared" si="35"/>
        <v>65</v>
      </c>
    </row>
    <row r="1127" spans="1:12" x14ac:dyDescent="0.25">
      <c r="A1127">
        <v>2</v>
      </c>
      <c r="B1127">
        <v>4924</v>
      </c>
      <c r="C1127">
        <v>69</v>
      </c>
      <c r="D1127">
        <v>2</v>
      </c>
      <c r="E1127" t="s">
        <v>123</v>
      </c>
      <c r="F1127" s="19">
        <v>46127</v>
      </c>
      <c r="G1127" t="s">
        <v>132</v>
      </c>
      <c r="H1127">
        <v>0</v>
      </c>
      <c r="I1127" s="19">
        <v>46190</v>
      </c>
      <c r="J1127" s="19">
        <f t="shared" si="34"/>
        <v>46193</v>
      </c>
      <c r="L1127">
        <f t="shared" si="35"/>
        <v>66</v>
      </c>
    </row>
    <row r="1128" spans="1:12" x14ac:dyDescent="0.25">
      <c r="A1128">
        <v>2</v>
      </c>
      <c r="B1128">
        <v>3805</v>
      </c>
      <c r="C1128">
        <v>74</v>
      </c>
      <c r="D1128">
        <v>3</v>
      </c>
      <c r="E1128" t="s">
        <v>123</v>
      </c>
      <c r="F1128" s="19">
        <v>46130</v>
      </c>
      <c r="G1128" t="s">
        <v>132</v>
      </c>
      <c r="H1128">
        <v>0</v>
      </c>
      <c r="I1128" s="19">
        <v>46185</v>
      </c>
      <c r="J1128" s="19">
        <f t="shared" si="34"/>
        <v>46188</v>
      </c>
      <c r="L1128">
        <f t="shared" si="35"/>
        <v>58</v>
      </c>
    </row>
    <row r="1129" spans="1:12" x14ac:dyDescent="0.25">
      <c r="A1129">
        <v>3</v>
      </c>
      <c r="B1129">
        <v>4316</v>
      </c>
      <c r="C1129">
        <v>79</v>
      </c>
      <c r="D1129">
        <v>3</v>
      </c>
      <c r="E1129" t="s">
        <v>123</v>
      </c>
      <c r="F1129" s="19">
        <v>46134</v>
      </c>
      <c r="G1129" t="s">
        <v>132</v>
      </c>
      <c r="H1129">
        <v>0</v>
      </c>
      <c r="I1129" s="19">
        <v>46180</v>
      </c>
      <c r="J1129" s="19">
        <f t="shared" ref="J1129:J1192" si="36">I1129+3</f>
        <v>46183</v>
      </c>
      <c r="L1129">
        <f t="shared" ref="L1129:L1192" si="37">J1129-F1129</f>
        <v>49</v>
      </c>
    </row>
    <row r="1130" spans="1:12" x14ac:dyDescent="0.25">
      <c r="A1130">
        <v>5</v>
      </c>
      <c r="B1130">
        <v>4734</v>
      </c>
      <c r="C1130">
        <v>78</v>
      </c>
      <c r="D1130">
        <v>2</v>
      </c>
      <c r="E1130" t="s">
        <v>123</v>
      </c>
      <c r="F1130" s="19">
        <v>46134</v>
      </c>
      <c r="G1130" t="s">
        <v>132</v>
      </c>
      <c r="H1130">
        <v>0</v>
      </c>
      <c r="I1130" s="19">
        <v>46181</v>
      </c>
      <c r="J1130" s="19">
        <f t="shared" si="36"/>
        <v>46184</v>
      </c>
      <c r="L1130">
        <f t="shared" si="37"/>
        <v>50</v>
      </c>
    </row>
    <row r="1131" spans="1:12" x14ac:dyDescent="0.25">
      <c r="A1131">
        <v>6</v>
      </c>
      <c r="B1131">
        <v>4138</v>
      </c>
      <c r="C1131">
        <v>76</v>
      </c>
      <c r="D1131">
        <v>3</v>
      </c>
      <c r="E1131" t="s">
        <v>123</v>
      </c>
      <c r="F1131" s="19">
        <v>46134</v>
      </c>
      <c r="G1131" t="s">
        <v>125</v>
      </c>
      <c r="H1131">
        <v>0</v>
      </c>
      <c r="I1131" s="19">
        <v>46183</v>
      </c>
      <c r="J1131" s="19">
        <f t="shared" si="36"/>
        <v>46186</v>
      </c>
      <c r="L1131">
        <f t="shared" si="37"/>
        <v>52</v>
      </c>
    </row>
    <row r="1132" spans="1:12" x14ac:dyDescent="0.25">
      <c r="A1132">
        <v>2</v>
      </c>
      <c r="B1132">
        <v>4015</v>
      </c>
      <c r="C1132">
        <v>75</v>
      </c>
      <c r="D1132">
        <v>3</v>
      </c>
      <c r="E1132" t="s">
        <v>123</v>
      </c>
      <c r="F1132" s="19">
        <v>46134</v>
      </c>
      <c r="G1132" t="s">
        <v>132</v>
      </c>
      <c r="H1132">
        <v>0</v>
      </c>
      <c r="I1132" s="19">
        <v>46184</v>
      </c>
      <c r="J1132" s="19">
        <f t="shared" si="36"/>
        <v>46187</v>
      </c>
      <c r="L1132">
        <f t="shared" si="37"/>
        <v>53</v>
      </c>
    </row>
    <row r="1133" spans="1:12" x14ac:dyDescent="0.25">
      <c r="A1133">
        <v>5</v>
      </c>
      <c r="B1133">
        <v>5027</v>
      </c>
      <c r="C1133">
        <v>74</v>
      </c>
      <c r="D1133">
        <v>2</v>
      </c>
      <c r="E1133" t="s">
        <v>123</v>
      </c>
      <c r="F1133" s="19">
        <v>46134</v>
      </c>
      <c r="G1133" t="s">
        <v>132</v>
      </c>
      <c r="H1133">
        <v>0</v>
      </c>
      <c r="I1133" s="19">
        <v>46185</v>
      </c>
      <c r="J1133" s="19">
        <f t="shared" si="36"/>
        <v>46188</v>
      </c>
      <c r="L1133">
        <f t="shared" si="37"/>
        <v>54</v>
      </c>
    </row>
    <row r="1134" spans="1:12" x14ac:dyDescent="0.25">
      <c r="A1134">
        <v>3</v>
      </c>
      <c r="B1134">
        <v>4712</v>
      </c>
      <c r="C1134">
        <v>74</v>
      </c>
      <c r="D1134">
        <v>2</v>
      </c>
      <c r="E1134" t="s">
        <v>123</v>
      </c>
      <c r="F1134" s="19">
        <v>46134</v>
      </c>
      <c r="G1134" t="s">
        <v>132</v>
      </c>
      <c r="H1134">
        <v>0</v>
      </c>
      <c r="I1134" s="19">
        <v>46185</v>
      </c>
      <c r="J1134" s="19">
        <f t="shared" si="36"/>
        <v>46188</v>
      </c>
      <c r="L1134">
        <f t="shared" si="37"/>
        <v>54</v>
      </c>
    </row>
    <row r="1135" spans="1:12" x14ac:dyDescent="0.25">
      <c r="A1135">
        <v>3</v>
      </c>
      <c r="B1135">
        <v>4755</v>
      </c>
      <c r="C1135">
        <v>73</v>
      </c>
      <c r="D1135">
        <v>2</v>
      </c>
      <c r="E1135" t="s">
        <v>123</v>
      </c>
      <c r="F1135" s="19">
        <v>46134</v>
      </c>
      <c r="G1135" t="s">
        <v>132</v>
      </c>
      <c r="H1135">
        <v>0</v>
      </c>
      <c r="I1135" s="19">
        <v>46186</v>
      </c>
      <c r="J1135" s="19">
        <f t="shared" si="36"/>
        <v>46189</v>
      </c>
      <c r="L1135">
        <f t="shared" si="37"/>
        <v>55</v>
      </c>
    </row>
    <row r="1136" spans="1:12" x14ac:dyDescent="0.25">
      <c r="A1136">
        <v>5</v>
      </c>
      <c r="B1136">
        <v>4838</v>
      </c>
      <c r="C1136">
        <v>72</v>
      </c>
      <c r="D1136">
        <v>2</v>
      </c>
      <c r="E1136" t="s">
        <v>123</v>
      </c>
      <c r="F1136" s="19">
        <v>46134</v>
      </c>
      <c r="G1136" t="s">
        <v>132</v>
      </c>
      <c r="H1136">
        <v>0</v>
      </c>
      <c r="I1136" s="19">
        <v>46187</v>
      </c>
      <c r="J1136" s="19">
        <f t="shared" si="36"/>
        <v>46190</v>
      </c>
      <c r="L1136">
        <f t="shared" si="37"/>
        <v>56</v>
      </c>
    </row>
    <row r="1137" spans="1:12" x14ac:dyDescent="0.25">
      <c r="A1137">
        <v>3</v>
      </c>
      <c r="B1137">
        <v>4238</v>
      </c>
      <c r="C1137">
        <v>7</v>
      </c>
      <c r="D1137">
        <v>3</v>
      </c>
      <c r="E1137" t="s">
        <v>123</v>
      </c>
      <c r="F1137" s="19">
        <v>46134</v>
      </c>
      <c r="G1137" t="s">
        <v>122</v>
      </c>
      <c r="H1137">
        <v>0</v>
      </c>
      <c r="I1137" s="19">
        <v>46188</v>
      </c>
      <c r="J1137" s="19">
        <f t="shared" si="36"/>
        <v>46191</v>
      </c>
      <c r="L1137">
        <f t="shared" si="37"/>
        <v>57</v>
      </c>
    </row>
    <row r="1138" spans="1:12" x14ac:dyDescent="0.25">
      <c r="A1138">
        <v>2</v>
      </c>
      <c r="B1138">
        <v>4715</v>
      </c>
      <c r="C1138">
        <v>70</v>
      </c>
      <c r="D1138">
        <v>2</v>
      </c>
      <c r="E1138" t="s">
        <v>123</v>
      </c>
      <c r="F1138" s="19">
        <v>46134</v>
      </c>
      <c r="G1138" t="s">
        <v>131</v>
      </c>
      <c r="H1138">
        <v>0</v>
      </c>
      <c r="I1138" s="19">
        <v>46189</v>
      </c>
      <c r="J1138" s="19">
        <f t="shared" si="36"/>
        <v>46192</v>
      </c>
      <c r="L1138">
        <f t="shared" si="37"/>
        <v>58</v>
      </c>
    </row>
    <row r="1139" spans="1:12" x14ac:dyDescent="0.25">
      <c r="A1139">
        <v>2</v>
      </c>
      <c r="B1139">
        <v>4396</v>
      </c>
      <c r="C1139">
        <v>70</v>
      </c>
      <c r="D1139">
        <v>2</v>
      </c>
      <c r="E1139" t="s">
        <v>123</v>
      </c>
      <c r="F1139" s="19">
        <v>46134</v>
      </c>
      <c r="G1139" t="s">
        <v>132</v>
      </c>
      <c r="H1139">
        <v>0</v>
      </c>
      <c r="I1139" s="19">
        <v>46189</v>
      </c>
      <c r="J1139" s="19">
        <f t="shared" si="36"/>
        <v>46192</v>
      </c>
      <c r="L1139">
        <f t="shared" si="37"/>
        <v>58</v>
      </c>
    </row>
    <row r="1140" spans="1:12" x14ac:dyDescent="0.25">
      <c r="A1140">
        <v>2</v>
      </c>
      <c r="B1140">
        <v>3910</v>
      </c>
      <c r="C1140">
        <v>69</v>
      </c>
      <c r="D1140">
        <v>3</v>
      </c>
      <c r="E1140" t="s">
        <v>123</v>
      </c>
      <c r="F1140" s="19">
        <v>46134</v>
      </c>
      <c r="G1140" t="s">
        <v>132</v>
      </c>
      <c r="H1140">
        <v>0</v>
      </c>
      <c r="I1140" s="19">
        <v>46190</v>
      </c>
      <c r="J1140" s="19">
        <f t="shared" si="36"/>
        <v>46193</v>
      </c>
      <c r="L1140">
        <f t="shared" si="37"/>
        <v>59</v>
      </c>
    </row>
    <row r="1141" spans="1:12" x14ac:dyDescent="0.25">
      <c r="A1141">
        <v>5</v>
      </c>
      <c r="B1141">
        <v>4845</v>
      </c>
      <c r="C1141">
        <v>69</v>
      </c>
      <c r="D1141">
        <v>2</v>
      </c>
      <c r="E1141" t="s">
        <v>123</v>
      </c>
      <c r="F1141" s="19">
        <v>46134</v>
      </c>
      <c r="G1141" t="s">
        <v>132</v>
      </c>
      <c r="H1141">
        <v>0</v>
      </c>
      <c r="I1141" s="19">
        <v>46190</v>
      </c>
      <c r="J1141" s="19">
        <f t="shared" si="36"/>
        <v>46193</v>
      </c>
      <c r="L1141">
        <f t="shared" si="37"/>
        <v>59</v>
      </c>
    </row>
    <row r="1142" spans="1:12" x14ac:dyDescent="0.25">
      <c r="A1142">
        <v>2</v>
      </c>
      <c r="B1142">
        <v>4154</v>
      </c>
      <c r="C1142">
        <v>69</v>
      </c>
      <c r="D1142">
        <v>3</v>
      </c>
      <c r="E1142" t="s">
        <v>123</v>
      </c>
      <c r="F1142" s="19">
        <v>46134</v>
      </c>
      <c r="G1142" t="s">
        <v>131</v>
      </c>
      <c r="H1142">
        <v>0</v>
      </c>
      <c r="I1142" s="19">
        <v>46190</v>
      </c>
      <c r="J1142" s="19">
        <f t="shared" si="36"/>
        <v>46193</v>
      </c>
      <c r="L1142">
        <f t="shared" si="37"/>
        <v>59</v>
      </c>
    </row>
    <row r="1143" spans="1:12" x14ac:dyDescent="0.25">
      <c r="A1143">
        <v>5</v>
      </c>
      <c r="B1143">
        <v>3504</v>
      </c>
      <c r="C1143">
        <v>68</v>
      </c>
      <c r="D1143">
        <v>3</v>
      </c>
      <c r="E1143" t="s">
        <v>123</v>
      </c>
      <c r="F1143" s="19">
        <v>46134</v>
      </c>
      <c r="G1143" t="s">
        <v>132</v>
      </c>
      <c r="H1143">
        <v>0</v>
      </c>
      <c r="I1143" s="19">
        <v>46191</v>
      </c>
      <c r="J1143" s="19">
        <f t="shared" si="36"/>
        <v>46194</v>
      </c>
      <c r="L1143">
        <f t="shared" si="37"/>
        <v>60</v>
      </c>
    </row>
    <row r="1144" spans="1:12" x14ac:dyDescent="0.25">
      <c r="A1144">
        <v>2</v>
      </c>
      <c r="B1144">
        <v>5061</v>
      </c>
      <c r="C1144">
        <v>67</v>
      </c>
      <c r="D1144">
        <v>2</v>
      </c>
      <c r="E1144" t="s">
        <v>123</v>
      </c>
      <c r="F1144" s="19">
        <v>46134</v>
      </c>
      <c r="G1144" t="s">
        <v>131</v>
      </c>
      <c r="H1144">
        <v>0</v>
      </c>
      <c r="I1144" s="19">
        <v>46192</v>
      </c>
      <c r="J1144" s="19">
        <f t="shared" si="36"/>
        <v>46195</v>
      </c>
      <c r="L1144">
        <f t="shared" si="37"/>
        <v>61</v>
      </c>
    </row>
    <row r="1145" spans="1:12" x14ac:dyDescent="0.25">
      <c r="A1145">
        <v>2</v>
      </c>
      <c r="B1145">
        <v>4960</v>
      </c>
      <c r="C1145">
        <v>67</v>
      </c>
      <c r="D1145">
        <v>2</v>
      </c>
      <c r="E1145" t="s">
        <v>123</v>
      </c>
      <c r="F1145" s="19">
        <v>46134</v>
      </c>
      <c r="G1145" t="s">
        <v>132</v>
      </c>
      <c r="H1145">
        <v>0</v>
      </c>
      <c r="I1145" s="19">
        <v>46192</v>
      </c>
      <c r="J1145" s="19">
        <f t="shared" si="36"/>
        <v>46195</v>
      </c>
      <c r="L1145">
        <f t="shared" si="37"/>
        <v>61</v>
      </c>
    </row>
    <row r="1146" spans="1:12" x14ac:dyDescent="0.25">
      <c r="A1146">
        <v>2</v>
      </c>
      <c r="B1146">
        <v>4175</v>
      </c>
      <c r="C1146">
        <v>67</v>
      </c>
      <c r="D1146">
        <v>3</v>
      </c>
      <c r="E1146" t="s">
        <v>123</v>
      </c>
      <c r="F1146" s="19">
        <v>46134</v>
      </c>
      <c r="G1146" t="s">
        <v>131</v>
      </c>
      <c r="H1146">
        <v>0</v>
      </c>
      <c r="I1146" s="19">
        <v>46192</v>
      </c>
      <c r="J1146" s="19">
        <f t="shared" si="36"/>
        <v>46195</v>
      </c>
      <c r="L1146">
        <f t="shared" si="37"/>
        <v>61</v>
      </c>
    </row>
    <row r="1147" spans="1:12" x14ac:dyDescent="0.25">
      <c r="A1147">
        <v>5</v>
      </c>
      <c r="B1147">
        <v>3599</v>
      </c>
      <c r="C1147">
        <v>66</v>
      </c>
      <c r="D1147">
        <v>4</v>
      </c>
      <c r="E1147" t="s">
        <v>123</v>
      </c>
      <c r="F1147" s="19">
        <v>46134</v>
      </c>
      <c r="G1147" t="s">
        <v>131</v>
      </c>
      <c r="H1147">
        <v>0</v>
      </c>
      <c r="I1147" s="19">
        <v>46193</v>
      </c>
      <c r="J1147" s="19">
        <f t="shared" si="36"/>
        <v>46196</v>
      </c>
      <c r="L1147">
        <f t="shared" si="37"/>
        <v>62</v>
      </c>
    </row>
    <row r="1148" spans="1:12" x14ac:dyDescent="0.25">
      <c r="A1148">
        <v>2</v>
      </c>
      <c r="B1148">
        <v>3456</v>
      </c>
      <c r="C1148">
        <v>66</v>
      </c>
      <c r="D1148">
        <v>5</v>
      </c>
      <c r="E1148" t="s">
        <v>123</v>
      </c>
      <c r="F1148" s="19">
        <v>46134</v>
      </c>
      <c r="G1148" t="s">
        <v>131</v>
      </c>
      <c r="H1148">
        <v>0</v>
      </c>
      <c r="I1148" s="19">
        <v>46193</v>
      </c>
      <c r="J1148" s="19">
        <f t="shared" si="36"/>
        <v>46196</v>
      </c>
      <c r="L1148">
        <f t="shared" si="37"/>
        <v>62</v>
      </c>
    </row>
    <row r="1149" spans="1:12" x14ac:dyDescent="0.25">
      <c r="A1149">
        <v>3</v>
      </c>
      <c r="B1149">
        <v>5040</v>
      </c>
      <c r="C1149">
        <v>64</v>
      </c>
      <c r="D1149">
        <v>2</v>
      </c>
      <c r="E1149" t="s">
        <v>123</v>
      </c>
      <c r="F1149" s="19">
        <v>46134</v>
      </c>
      <c r="G1149" t="s">
        <v>130</v>
      </c>
      <c r="H1149">
        <v>0</v>
      </c>
      <c r="I1149" s="19">
        <v>46195</v>
      </c>
      <c r="J1149" s="19">
        <f t="shared" si="36"/>
        <v>46198</v>
      </c>
      <c r="L1149">
        <f t="shared" si="37"/>
        <v>64</v>
      </c>
    </row>
    <row r="1150" spans="1:12" x14ac:dyDescent="0.25">
      <c r="A1150">
        <v>3</v>
      </c>
      <c r="B1150">
        <v>4959</v>
      </c>
      <c r="C1150">
        <v>64</v>
      </c>
      <c r="D1150">
        <v>2</v>
      </c>
      <c r="E1150" t="s">
        <v>123</v>
      </c>
      <c r="F1150" s="19">
        <v>46134</v>
      </c>
      <c r="G1150" t="s">
        <v>130</v>
      </c>
      <c r="H1150">
        <v>0</v>
      </c>
      <c r="I1150" s="19">
        <v>46195</v>
      </c>
      <c r="J1150" s="19">
        <f t="shared" si="36"/>
        <v>46198</v>
      </c>
      <c r="L1150">
        <f t="shared" si="37"/>
        <v>64</v>
      </c>
    </row>
    <row r="1151" spans="1:12" x14ac:dyDescent="0.25">
      <c r="A1151">
        <v>2</v>
      </c>
      <c r="B1151">
        <v>4286</v>
      </c>
      <c r="C1151">
        <v>55</v>
      </c>
      <c r="D1151">
        <v>3</v>
      </c>
      <c r="E1151" t="s">
        <v>123</v>
      </c>
      <c r="F1151" s="19">
        <v>46134</v>
      </c>
      <c r="G1151" t="s">
        <v>130</v>
      </c>
      <c r="H1151">
        <v>2</v>
      </c>
      <c r="I1151" s="19">
        <v>46204</v>
      </c>
      <c r="J1151" s="19">
        <f t="shared" si="36"/>
        <v>46207</v>
      </c>
      <c r="L1151">
        <f t="shared" si="37"/>
        <v>73</v>
      </c>
    </row>
    <row r="1152" spans="1:12" x14ac:dyDescent="0.25">
      <c r="A1152">
        <v>6</v>
      </c>
      <c r="B1152">
        <v>3824</v>
      </c>
      <c r="C1152">
        <v>44</v>
      </c>
      <c r="D1152">
        <v>3</v>
      </c>
      <c r="E1152" t="s">
        <v>123</v>
      </c>
      <c r="F1152" s="19">
        <v>46135</v>
      </c>
      <c r="G1152" t="s">
        <v>130</v>
      </c>
      <c r="H1152">
        <v>0</v>
      </c>
      <c r="I1152" s="19">
        <v>46215</v>
      </c>
      <c r="J1152" s="19">
        <f t="shared" si="36"/>
        <v>46218</v>
      </c>
      <c r="L1152">
        <f t="shared" si="37"/>
        <v>83</v>
      </c>
    </row>
    <row r="1153" spans="1:12" x14ac:dyDescent="0.25">
      <c r="A1153">
        <v>10</v>
      </c>
      <c r="B1153">
        <v>4820</v>
      </c>
      <c r="C1153">
        <v>5</v>
      </c>
      <c r="D1153">
        <v>2</v>
      </c>
      <c r="E1153" t="s">
        <v>123</v>
      </c>
      <c r="F1153" s="19">
        <v>46135</v>
      </c>
      <c r="G1153" t="s">
        <v>130</v>
      </c>
      <c r="H1153">
        <v>0</v>
      </c>
      <c r="I1153" s="19">
        <v>46254</v>
      </c>
      <c r="J1153" s="19">
        <f t="shared" si="36"/>
        <v>46257</v>
      </c>
      <c r="L1153">
        <f t="shared" si="37"/>
        <v>122</v>
      </c>
    </row>
    <row r="1154" spans="1:12" x14ac:dyDescent="0.25">
      <c r="A1154">
        <v>3</v>
      </c>
      <c r="B1154">
        <v>5213</v>
      </c>
      <c r="C1154">
        <v>30</v>
      </c>
      <c r="D1154">
        <v>2</v>
      </c>
      <c r="E1154" t="s">
        <v>123</v>
      </c>
      <c r="F1154" s="19">
        <v>46140</v>
      </c>
      <c r="G1154" t="s">
        <v>130</v>
      </c>
      <c r="H1154">
        <v>0</v>
      </c>
      <c r="I1154" s="19">
        <v>46229</v>
      </c>
      <c r="J1154" s="19">
        <f t="shared" si="36"/>
        <v>46232</v>
      </c>
      <c r="L1154">
        <f t="shared" si="37"/>
        <v>92</v>
      </c>
    </row>
    <row r="1155" spans="1:12" x14ac:dyDescent="0.25">
      <c r="A1155">
        <v>2</v>
      </c>
      <c r="B1155">
        <v>4853</v>
      </c>
      <c r="C1155">
        <v>78</v>
      </c>
      <c r="D1155">
        <v>2</v>
      </c>
      <c r="E1155" t="s">
        <v>123</v>
      </c>
      <c r="F1155" s="19">
        <v>46141</v>
      </c>
      <c r="G1155" t="s">
        <v>132</v>
      </c>
      <c r="H1155">
        <v>0</v>
      </c>
      <c r="I1155" s="19">
        <v>46181</v>
      </c>
      <c r="J1155" s="19">
        <f t="shared" si="36"/>
        <v>46184</v>
      </c>
      <c r="L1155">
        <f t="shared" si="37"/>
        <v>43</v>
      </c>
    </row>
    <row r="1156" spans="1:12" x14ac:dyDescent="0.25">
      <c r="A1156">
        <v>5</v>
      </c>
      <c r="B1156">
        <v>4564</v>
      </c>
      <c r="C1156">
        <v>68</v>
      </c>
      <c r="D1156">
        <v>2</v>
      </c>
      <c r="E1156" t="s">
        <v>123</v>
      </c>
      <c r="F1156" s="19">
        <v>46141</v>
      </c>
      <c r="G1156" t="s">
        <v>131</v>
      </c>
      <c r="H1156">
        <v>0</v>
      </c>
      <c r="I1156" s="19">
        <v>46191</v>
      </c>
      <c r="J1156" s="19">
        <f t="shared" si="36"/>
        <v>46194</v>
      </c>
      <c r="L1156">
        <f t="shared" si="37"/>
        <v>53</v>
      </c>
    </row>
    <row r="1157" spans="1:12" x14ac:dyDescent="0.25">
      <c r="A1157">
        <v>2</v>
      </c>
      <c r="B1157">
        <v>3721</v>
      </c>
      <c r="C1157">
        <v>67</v>
      </c>
      <c r="D1157">
        <v>4</v>
      </c>
      <c r="E1157" t="s">
        <v>123</v>
      </c>
      <c r="F1157" s="19">
        <v>46141</v>
      </c>
      <c r="G1157" t="s">
        <v>131</v>
      </c>
      <c r="H1157">
        <v>0</v>
      </c>
      <c r="I1157" s="19">
        <v>46192</v>
      </c>
      <c r="J1157" s="19">
        <f t="shared" si="36"/>
        <v>46195</v>
      </c>
      <c r="L1157">
        <f t="shared" si="37"/>
        <v>54</v>
      </c>
    </row>
    <row r="1158" spans="1:12" x14ac:dyDescent="0.25">
      <c r="A1158">
        <v>2</v>
      </c>
      <c r="B1158">
        <v>4240</v>
      </c>
      <c r="C1158">
        <v>67</v>
      </c>
      <c r="D1158">
        <v>3</v>
      </c>
      <c r="E1158" t="s">
        <v>123</v>
      </c>
      <c r="F1158" s="19">
        <v>46141</v>
      </c>
      <c r="G1158" t="s">
        <v>131</v>
      </c>
      <c r="H1158">
        <v>0</v>
      </c>
      <c r="I1158" s="19">
        <v>46192</v>
      </c>
      <c r="J1158" s="19">
        <f t="shared" si="36"/>
        <v>46195</v>
      </c>
      <c r="L1158">
        <f t="shared" si="37"/>
        <v>54</v>
      </c>
    </row>
    <row r="1159" spans="1:12" x14ac:dyDescent="0.25">
      <c r="A1159">
        <v>2</v>
      </c>
      <c r="B1159">
        <v>4623</v>
      </c>
      <c r="C1159">
        <v>67</v>
      </c>
      <c r="D1159">
        <v>2</v>
      </c>
      <c r="E1159" t="s">
        <v>123</v>
      </c>
      <c r="F1159" s="19">
        <v>46141</v>
      </c>
      <c r="G1159" t="s">
        <v>131</v>
      </c>
      <c r="H1159">
        <v>0</v>
      </c>
      <c r="I1159" s="19">
        <v>46192</v>
      </c>
      <c r="J1159" s="19">
        <f t="shared" si="36"/>
        <v>46195</v>
      </c>
      <c r="L1159">
        <f t="shared" si="37"/>
        <v>54</v>
      </c>
    </row>
    <row r="1160" spans="1:12" x14ac:dyDescent="0.25">
      <c r="A1160">
        <v>5</v>
      </c>
      <c r="B1160">
        <v>4939</v>
      </c>
      <c r="C1160">
        <v>65</v>
      </c>
      <c r="D1160">
        <v>2</v>
      </c>
      <c r="E1160" t="s">
        <v>123</v>
      </c>
      <c r="F1160" s="19">
        <v>46141</v>
      </c>
      <c r="G1160" t="s">
        <v>131</v>
      </c>
      <c r="H1160">
        <v>0</v>
      </c>
      <c r="I1160" s="19">
        <v>46194</v>
      </c>
      <c r="J1160" s="19">
        <f t="shared" si="36"/>
        <v>46197</v>
      </c>
      <c r="L1160">
        <f t="shared" si="37"/>
        <v>56</v>
      </c>
    </row>
    <row r="1161" spans="1:12" x14ac:dyDescent="0.25">
      <c r="A1161">
        <v>5</v>
      </c>
      <c r="B1161">
        <v>5094</v>
      </c>
      <c r="C1161">
        <v>62</v>
      </c>
      <c r="D1161">
        <v>2</v>
      </c>
      <c r="E1161" t="s">
        <v>123</v>
      </c>
      <c r="F1161" s="19">
        <v>46141</v>
      </c>
      <c r="G1161" t="s">
        <v>130</v>
      </c>
      <c r="H1161">
        <v>0</v>
      </c>
      <c r="I1161" s="19">
        <v>46197</v>
      </c>
      <c r="J1161" s="19">
        <f t="shared" si="36"/>
        <v>46200</v>
      </c>
      <c r="L1161">
        <f t="shared" si="37"/>
        <v>59</v>
      </c>
    </row>
    <row r="1162" spans="1:12" x14ac:dyDescent="0.25">
      <c r="A1162">
        <v>2</v>
      </c>
      <c r="B1162">
        <v>4975</v>
      </c>
      <c r="C1162">
        <v>62</v>
      </c>
      <c r="D1162">
        <v>2</v>
      </c>
      <c r="E1162" t="s">
        <v>123</v>
      </c>
      <c r="F1162" s="19">
        <v>46141</v>
      </c>
      <c r="G1162" t="s">
        <v>130</v>
      </c>
      <c r="H1162">
        <v>0</v>
      </c>
      <c r="I1162" s="19">
        <v>46197</v>
      </c>
      <c r="J1162" s="19">
        <f t="shared" si="36"/>
        <v>46200</v>
      </c>
      <c r="L1162">
        <f t="shared" si="37"/>
        <v>59</v>
      </c>
    </row>
    <row r="1163" spans="1:12" x14ac:dyDescent="0.25">
      <c r="A1163">
        <v>2</v>
      </c>
      <c r="B1163">
        <v>4936</v>
      </c>
      <c r="C1163">
        <v>61</v>
      </c>
      <c r="D1163">
        <v>2</v>
      </c>
      <c r="E1163" t="s">
        <v>123</v>
      </c>
      <c r="F1163" s="19">
        <v>46141</v>
      </c>
      <c r="G1163" t="s">
        <v>130</v>
      </c>
      <c r="H1163">
        <v>0</v>
      </c>
      <c r="I1163" s="19">
        <v>46198</v>
      </c>
      <c r="J1163" s="19">
        <f t="shared" si="36"/>
        <v>46201</v>
      </c>
      <c r="L1163">
        <f t="shared" si="37"/>
        <v>60</v>
      </c>
    </row>
    <row r="1164" spans="1:12" x14ac:dyDescent="0.25">
      <c r="A1164">
        <v>6</v>
      </c>
      <c r="B1164">
        <v>4944</v>
      </c>
      <c r="C1164">
        <v>61</v>
      </c>
      <c r="D1164">
        <v>2</v>
      </c>
      <c r="E1164" t="s">
        <v>123</v>
      </c>
      <c r="F1164" s="19">
        <v>46141</v>
      </c>
      <c r="G1164" t="s">
        <v>130</v>
      </c>
      <c r="H1164">
        <v>0</v>
      </c>
      <c r="I1164" s="19">
        <v>46198</v>
      </c>
      <c r="J1164" s="19">
        <f t="shared" si="36"/>
        <v>46201</v>
      </c>
      <c r="L1164">
        <f t="shared" si="37"/>
        <v>60</v>
      </c>
    </row>
    <row r="1165" spans="1:12" x14ac:dyDescent="0.25">
      <c r="A1165">
        <v>3</v>
      </c>
      <c r="B1165">
        <v>4321</v>
      </c>
      <c r="C1165">
        <v>61</v>
      </c>
      <c r="D1165">
        <v>3</v>
      </c>
      <c r="E1165" t="s">
        <v>123</v>
      </c>
      <c r="F1165" s="19">
        <v>46141</v>
      </c>
      <c r="G1165" t="s">
        <v>130</v>
      </c>
      <c r="H1165">
        <v>0</v>
      </c>
      <c r="I1165" s="19">
        <v>46198</v>
      </c>
      <c r="J1165" s="19">
        <f t="shared" si="36"/>
        <v>46201</v>
      </c>
      <c r="L1165">
        <f t="shared" si="37"/>
        <v>60</v>
      </c>
    </row>
    <row r="1166" spans="1:12" x14ac:dyDescent="0.25">
      <c r="A1166">
        <v>5</v>
      </c>
      <c r="B1166">
        <v>4983</v>
      </c>
      <c r="C1166">
        <v>60</v>
      </c>
      <c r="D1166">
        <v>2</v>
      </c>
      <c r="E1166" t="s">
        <v>123</v>
      </c>
      <c r="F1166" s="19">
        <v>46141</v>
      </c>
      <c r="G1166" t="s">
        <v>130</v>
      </c>
      <c r="H1166">
        <v>0</v>
      </c>
      <c r="I1166" s="19">
        <v>46199</v>
      </c>
      <c r="J1166" s="19">
        <f t="shared" si="36"/>
        <v>46202</v>
      </c>
      <c r="L1166">
        <f t="shared" si="37"/>
        <v>61</v>
      </c>
    </row>
    <row r="1167" spans="1:12" x14ac:dyDescent="0.25">
      <c r="A1167">
        <v>6</v>
      </c>
      <c r="B1167">
        <v>4033</v>
      </c>
      <c r="C1167">
        <v>59</v>
      </c>
      <c r="D1167">
        <v>3</v>
      </c>
      <c r="E1167" t="s">
        <v>123</v>
      </c>
      <c r="F1167" s="19">
        <v>46141</v>
      </c>
      <c r="G1167" t="s">
        <v>130</v>
      </c>
      <c r="H1167">
        <v>0</v>
      </c>
      <c r="I1167" s="19">
        <v>46200</v>
      </c>
      <c r="J1167" s="19">
        <f t="shared" si="36"/>
        <v>46203</v>
      </c>
      <c r="L1167">
        <f t="shared" si="37"/>
        <v>62</v>
      </c>
    </row>
    <row r="1168" spans="1:12" x14ac:dyDescent="0.25">
      <c r="A1168">
        <v>10</v>
      </c>
      <c r="B1168">
        <v>3831</v>
      </c>
      <c r="C1168">
        <v>12</v>
      </c>
      <c r="D1168">
        <v>3</v>
      </c>
      <c r="E1168" t="s">
        <v>123</v>
      </c>
      <c r="F1168" s="19">
        <v>46141</v>
      </c>
      <c r="G1168" t="s">
        <v>122</v>
      </c>
      <c r="H1168">
        <v>0</v>
      </c>
      <c r="I1168" s="19">
        <v>46200</v>
      </c>
      <c r="J1168" s="19">
        <f t="shared" si="36"/>
        <v>46203</v>
      </c>
      <c r="L1168">
        <f t="shared" si="37"/>
        <v>62</v>
      </c>
    </row>
    <row r="1169" spans="1:12" x14ac:dyDescent="0.25">
      <c r="A1169">
        <v>2</v>
      </c>
      <c r="B1169">
        <v>4972</v>
      </c>
      <c r="C1169">
        <v>59</v>
      </c>
      <c r="D1169">
        <v>2</v>
      </c>
      <c r="E1169" t="s">
        <v>123</v>
      </c>
      <c r="F1169" s="19">
        <v>46141</v>
      </c>
      <c r="G1169" t="s">
        <v>130</v>
      </c>
      <c r="H1169">
        <v>0</v>
      </c>
      <c r="I1169" s="19">
        <v>46200</v>
      </c>
      <c r="J1169" s="19">
        <f t="shared" si="36"/>
        <v>46203</v>
      </c>
      <c r="L1169">
        <f t="shared" si="37"/>
        <v>62</v>
      </c>
    </row>
    <row r="1170" spans="1:12" x14ac:dyDescent="0.25">
      <c r="A1170">
        <v>5</v>
      </c>
      <c r="B1170">
        <v>5039</v>
      </c>
      <c r="C1170">
        <v>58</v>
      </c>
      <c r="D1170">
        <v>2</v>
      </c>
      <c r="E1170" t="s">
        <v>123</v>
      </c>
      <c r="F1170" s="19">
        <v>46141</v>
      </c>
      <c r="G1170" t="s">
        <v>130</v>
      </c>
      <c r="H1170">
        <v>0</v>
      </c>
      <c r="I1170" s="19">
        <v>46201</v>
      </c>
      <c r="J1170" s="19">
        <f t="shared" si="36"/>
        <v>46204</v>
      </c>
      <c r="L1170">
        <f t="shared" si="37"/>
        <v>63</v>
      </c>
    </row>
    <row r="1171" spans="1:12" x14ac:dyDescent="0.25">
      <c r="A1171">
        <v>3</v>
      </c>
      <c r="B1171">
        <v>4729</v>
      </c>
      <c r="C1171">
        <v>6</v>
      </c>
      <c r="D1171">
        <v>2</v>
      </c>
      <c r="E1171" t="s">
        <v>123</v>
      </c>
      <c r="F1171" s="19">
        <v>46141</v>
      </c>
      <c r="G1171" t="s">
        <v>122</v>
      </c>
      <c r="H1171">
        <v>0</v>
      </c>
      <c r="I1171" s="19">
        <v>46211</v>
      </c>
      <c r="J1171" s="19">
        <f t="shared" si="36"/>
        <v>46214</v>
      </c>
      <c r="L1171">
        <f t="shared" si="37"/>
        <v>73</v>
      </c>
    </row>
    <row r="1172" spans="1:12" x14ac:dyDescent="0.25">
      <c r="A1172">
        <v>2</v>
      </c>
      <c r="B1172">
        <v>4274</v>
      </c>
      <c r="C1172">
        <v>55</v>
      </c>
      <c r="D1172">
        <v>3</v>
      </c>
      <c r="E1172" t="s">
        <v>123</v>
      </c>
      <c r="F1172" s="19">
        <v>46141</v>
      </c>
      <c r="G1172" t="s">
        <v>130</v>
      </c>
      <c r="H1172">
        <v>2</v>
      </c>
      <c r="I1172" s="19">
        <v>46204</v>
      </c>
      <c r="J1172" s="19">
        <f t="shared" si="36"/>
        <v>46207</v>
      </c>
      <c r="L1172">
        <f t="shared" si="37"/>
        <v>66</v>
      </c>
    </row>
    <row r="1173" spans="1:12" x14ac:dyDescent="0.25">
      <c r="A1173">
        <v>2</v>
      </c>
      <c r="B1173">
        <v>4573</v>
      </c>
      <c r="C1173">
        <v>55</v>
      </c>
      <c r="D1173">
        <v>2</v>
      </c>
      <c r="E1173" t="s">
        <v>123</v>
      </c>
      <c r="F1173" s="19">
        <v>46141</v>
      </c>
      <c r="G1173" t="s">
        <v>130</v>
      </c>
      <c r="H1173">
        <v>2</v>
      </c>
      <c r="I1173" s="19">
        <v>46204</v>
      </c>
      <c r="J1173" s="19">
        <f t="shared" si="36"/>
        <v>46207</v>
      </c>
      <c r="L1173">
        <f t="shared" si="37"/>
        <v>66</v>
      </c>
    </row>
    <row r="1174" spans="1:12" x14ac:dyDescent="0.25">
      <c r="A1174">
        <v>3</v>
      </c>
      <c r="B1174">
        <v>3224</v>
      </c>
      <c r="C1174">
        <v>24</v>
      </c>
      <c r="D1174">
        <v>4</v>
      </c>
      <c r="E1174" t="s">
        <v>123</v>
      </c>
      <c r="F1174" s="19">
        <v>46141</v>
      </c>
      <c r="G1174" t="s">
        <v>130</v>
      </c>
      <c r="H1174">
        <v>2</v>
      </c>
      <c r="I1174" s="19">
        <v>46235</v>
      </c>
      <c r="J1174" s="19">
        <f t="shared" si="36"/>
        <v>46238</v>
      </c>
      <c r="L1174">
        <f t="shared" si="37"/>
        <v>97</v>
      </c>
    </row>
    <row r="1175" spans="1:12" x14ac:dyDescent="0.25">
      <c r="A1175">
        <v>3</v>
      </c>
      <c r="B1175">
        <v>3542</v>
      </c>
      <c r="C1175">
        <v>15</v>
      </c>
      <c r="D1175">
        <v>4</v>
      </c>
      <c r="E1175" t="s">
        <v>123</v>
      </c>
      <c r="F1175" s="19">
        <v>46141</v>
      </c>
      <c r="G1175" t="s">
        <v>130</v>
      </c>
      <c r="H1175">
        <v>9</v>
      </c>
      <c r="I1175" s="19">
        <v>46244</v>
      </c>
      <c r="J1175" s="19">
        <f t="shared" si="36"/>
        <v>46247</v>
      </c>
      <c r="L1175">
        <f t="shared" si="37"/>
        <v>106</v>
      </c>
    </row>
    <row r="1176" spans="1:12" x14ac:dyDescent="0.25">
      <c r="A1176">
        <v>5</v>
      </c>
      <c r="B1176">
        <v>3050</v>
      </c>
      <c r="C1176">
        <v>66</v>
      </c>
      <c r="D1176">
        <v>5</v>
      </c>
      <c r="E1176" t="s">
        <v>121</v>
      </c>
      <c r="F1176" s="19">
        <v>46142</v>
      </c>
      <c r="G1176" t="s">
        <v>131</v>
      </c>
      <c r="H1176">
        <v>0</v>
      </c>
      <c r="I1176" s="19">
        <v>46193</v>
      </c>
      <c r="J1176" s="19">
        <f t="shared" si="36"/>
        <v>46196</v>
      </c>
      <c r="L1176">
        <f t="shared" si="37"/>
        <v>54</v>
      </c>
    </row>
    <row r="1177" spans="1:12" x14ac:dyDescent="0.25">
      <c r="A1177">
        <v>2</v>
      </c>
      <c r="B1177">
        <v>3493</v>
      </c>
      <c r="C1177">
        <v>66</v>
      </c>
      <c r="D1177">
        <v>4</v>
      </c>
      <c r="E1177" t="s">
        <v>123</v>
      </c>
      <c r="F1177" s="19">
        <v>46148</v>
      </c>
      <c r="G1177" t="s">
        <v>131</v>
      </c>
      <c r="H1177">
        <v>0</v>
      </c>
      <c r="I1177" s="19">
        <v>46193</v>
      </c>
      <c r="J1177" s="19">
        <f t="shared" si="36"/>
        <v>46196</v>
      </c>
      <c r="L1177">
        <f t="shared" si="37"/>
        <v>48</v>
      </c>
    </row>
    <row r="1178" spans="1:12" x14ac:dyDescent="0.25">
      <c r="A1178">
        <v>2</v>
      </c>
      <c r="B1178">
        <v>4310</v>
      </c>
      <c r="C1178">
        <v>64</v>
      </c>
      <c r="D1178">
        <v>3</v>
      </c>
      <c r="E1178" t="s">
        <v>123</v>
      </c>
      <c r="F1178" s="19">
        <v>46148</v>
      </c>
      <c r="G1178" t="s">
        <v>130</v>
      </c>
      <c r="H1178">
        <v>0</v>
      </c>
      <c r="I1178" s="19">
        <v>46195</v>
      </c>
      <c r="J1178" s="19">
        <f t="shared" si="36"/>
        <v>46198</v>
      </c>
      <c r="L1178">
        <f t="shared" si="37"/>
        <v>50</v>
      </c>
    </row>
    <row r="1179" spans="1:12" x14ac:dyDescent="0.25">
      <c r="A1179">
        <v>2</v>
      </c>
      <c r="B1179">
        <v>5004</v>
      </c>
      <c r="C1179">
        <v>63</v>
      </c>
      <c r="D1179">
        <v>2</v>
      </c>
      <c r="E1179" t="s">
        <v>123</v>
      </c>
      <c r="F1179" s="19">
        <v>46148</v>
      </c>
      <c r="G1179" t="s">
        <v>130</v>
      </c>
      <c r="H1179">
        <v>0</v>
      </c>
      <c r="I1179" s="19">
        <v>46196</v>
      </c>
      <c r="J1179" s="19">
        <f t="shared" si="36"/>
        <v>46199</v>
      </c>
      <c r="L1179">
        <f t="shared" si="37"/>
        <v>51</v>
      </c>
    </row>
    <row r="1180" spans="1:12" x14ac:dyDescent="0.25">
      <c r="A1180">
        <v>5</v>
      </c>
      <c r="B1180">
        <v>4985</v>
      </c>
      <c r="C1180">
        <v>60</v>
      </c>
      <c r="D1180">
        <v>2</v>
      </c>
      <c r="E1180" t="s">
        <v>121</v>
      </c>
      <c r="F1180" s="19">
        <v>46148</v>
      </c>
      <c r="G1180" t="s">
        <v>130</v>
      </c>
      <c r="H1180">
        <v>0</v>
      </c>
      <c r="I1180" s="19">
        <v>46199</v>
      </c>
      <c r="J1180" s="19">
        <f t="shared" si="36"/>
        <v>46202</v>
      </c>
      <c r="L1180">
        <f t="shared" si="37"/>
        <v>54</v>
      </c>
    </row>
    <row r="1181" spans="1:12" x14ac:dyDescent="0.25">
      <c r="A1181">
        <v>5</v>
      </c>
      <c r="B1181">
        <v>5123</v>
      </c>
      <c r="C1181">
        <v>58</v>
      </c>
      <c r="D1181">
        <v>2</v>
      </c>
      <c r="E1181" t="s">
        <v>123</v>
      </c>
      <c r="F1181" s="19">
        <v>46148</v>
      </c>
      <c r="G1181" t="s">
        <v>130</v>
      </c>
      <c r="H1181">
        <v>0</v>
      </c>
      <c r="I1181" s="19">
        <v>46201</v>
      </c>
      <c r="J1181" s="19">
        <f t="shared" si="36"/>
        <v>46204</v>
      </c>
      <c r="L1181">
        <f t="shared" si="37"/>
        <v>56</v>
      </c>
    </row>
    <row r="1182" spans="1:12" x14ac:dyDescent="0.25">
      <c r="A1182">
        <v>2</v>
      </c>
      <c r="B1182">
        <v>5000</v>
      </c>
      <c r="C1182">
        <v>50</v>
      </c>
      <c r="D1182">
        <v>2</v>
      </c>
      <c r="E1182" t="s">
        <v>123</v>
      </c>
      <c r="F1182" s="19">
        <v>46148</v>
      </c>
      <c r="G1182" t="s">
        <v>122</v>
      </c>
      <c r="H1182">
        <v>0</v>
      </c>
      <c r="I1182" s="19">
        <v>46201</v>
      </c>
      <c r="J1182" s="19">
        <f t="shared" si="36"/>
        <v>46204</v>
      </c>
      <c r="L1182">
        <f t="shared" si="37"/>
        <v>56</v>
      </c>
    </row>
    <row r="1183" spans="1:12" x14ac:dyDescent="0.25">
      <c r="A1183">
        <v>10</v>
      </c>
      <c r="B1183">
        <v>4076</v>
      </c>
      <c r="C1183">
        <v>52</v>
      </c>
      <c r="D1183">
        <v>3</v>
      </c>
      <c r="E1183" t="s">
        <v>123</v>
      </c>
      <c r="F1183" s="19">
        <v>46148</v>
      </c>
      <c r="G1183" t="s">
        <v>122</v>
      </c>
      <c r="H1183">
        <v>0</v>
      </c>
      <c r="I1183" s="19">
        <v>46204</v>
      </c>
      <c r="J1183" s="19">
        <f t="shared" si="36"/>
        <v>46207</v>
      </c>
      <c r="L1183">
        <f t="shared" si="37"/>
        <v>59</v>
      </c>
    </row>
    <row r="1184" spans="1:12" x14ac:dyDescent="0.25">
      <c r="A1184">
        <v>10</v>
      </c>
      <c r="B1184">
        <v>1203</v>
      </c>
      <c r="C1184">
        <v>55</v>
      </c>
      <c r="D1184">
        <v>4</v>
      </c>
      <c r="E1184" t="s">
        <v>121</v>
      </c>
      <c r="F1184" s="19">
        <v>46148</v>
      </c>
      <c r="G1184" t="s">
        <v>130</v>
      </c>
      <c r="H1184">
        <v>0</v>
      </c>
      <c r="I1184" s="19">
        <v>46204</v>
      </c>
      <c r="J1184" s="19">
        <f t="shared" si="36"/>
        <v>46207</v>
      </c>
      <c r="L1184">
        <f t="shared" si="37"/>
        <v>59</v>
      </c>
    </row>
    <row r="1185" spans="1:12" x14ac:dyDescent="0.25">
      <c r="A1185">
        <v>10</v>
      </c>
      <c r="B1185">
        <v>4915</v>
      </c>
      <c r="C1185">
        <v>11</v>
      </c>
      <c r="D1185">
        <v>2</v>
      </c>
      <c r="E1185" t="s">
        <v>123</v>
      </c>
      <c r="F1185" s="19">
        <v>46148</v>
      </c>
      <c r="G1185" t="s">
        <v>122</v>
      </c>
      <c r="H1185">
        <v>0</v>
      </c>
      <c r="I1185" s="19">
        <v>46206</v>
      </c>
      <c r="J1185" s="19">
        <f t="shared" si="36"/>
        <v>46209</v>
      </c>
      <c r="L1185">
        <f t="shared" si="37"/>
        <v>61</v>
      </c>
    </row>
    <row r="1186" spans="1:12" x14ac:dyDescent="0.25">
      <c r="A1186">
        <v>6</v>
      </c>
      <c r="B1186">
        <v>3997</v>
      </c>
      <c r="C1186">
        <v>52</v>
      </c>
      <c r="D1186">
        <v>3</v>
      </c>
      <c r="E1186" t="s">
        <v>123</v>
      </c>
      <c r="F1186" s="19">
        <v>46148</v>
      </c>
      <c r="G1186" t="s">
        <v>130</v>
      </c>
      <c r="H1186">
        <v>0</v>
      </c>
      <c r="I1186" s="19">
        <v>46207</v>
      </c>
      <c r="J1186" s="19">
        <f t="shared" si="36"/>
        <v>46210</v>
      </c>
      <c r="L1186">
        <f t="shared" si="37"/>
        <v>62</v>
      </c>
    </row>
    <row r="1187" spans="1:12" x14ac:dyDescent="0.25">
      <c r="A1187">
        <v>5</v>
      </c>
      <c r="B1187">
        <v>5014</v>
      </c>
      <c r="C1187">
        <v>52</v>
      </c>
      <c r="D1187">
        <v>2</v>
      </c>
      <c r="E1187" t="s">
        <v>123</v>
      </c>
      <c r="F1187" s="19">
        <v>46148</v>
      </c>
      <c r="G1187" t="s">
        <v>130</v>
      </c>
      <c r="H1187">
        <v>0</v>
      </c>
      <c r="I1187" s="19">
        <v>46207</v>
      </c>
      <c r="J1187" s="19">
        <f t="shared" si="36"/>
        <v>46210</v>
      </c>
      <c r="L1187">
        <f t="shared" si="37"/>
        <v>62</v>
      </c>
    </row>
    <row r="1188" spans="1:12" x14ac:dyDescent="0.25">
      <c r="A1188">
        <v>5</v>
      </c>
      <c r="B1188">
        <v>3445</v>
      </c>
      <c r="C1188">
        <v>55</v>
      </c>
      <c r="D1188">
        <v>4</v>
      </c>
      <c r="E1188" t="s">
        <v>123</v>
      </c>
      <c r="F1188" s="19">
        <v>46148</v>
      </c>
      <c r="G1188" t="s">
        <v>130</v>
      </c>
      <c r="H1188">
        <v>2</v>
      </c>
      <c r="I1188" s="19">
        <v>46204</v>
      </c>
      <c r="J1188" s="19">
        <f t="shared" si="36"/>
        <v>46207</v>
      </c>
      <c r="L1188">
        <f t="shared" si="37"/>
        <v>59</v>
      </c>
    </row>
    <row r="1189" spans="1:12" x14ac:dyDescent="0.25">
      <c r="A1189">
        <v>5</v>
      </c>
      <c r="B1189">
        <v>5007</v>
      </c>
      <c r="C1189">
        <v>55</v>
      </c>
      <c r="D1189">
        <v>2</v>
      </c>
      <c r="E1189" t="s">
        <v>123</v>
      </c>
      <c r="F1189" s="19">
        <v>46148</v>
      </c>
      <c r="G1189" t="s">
        <v>130</v>
      </c>
      <c r="H1189">
        <v>2</v>
      </c>
      <c r="I1189" s="19">
        <v>46204</v>
      </c>
      <c r="J1189" s="19">
        <f t="shared" si="36"/>
        <v>46207</v>
      </c>
      <c r="L1189">
        <f t="shared" si="37"/>
        <v>59</v>
      </c>
    </row>
    <row r="1190" spans="1:12" x14ac:dyDescent="0.25">
      <c r="A1190">
        <v>2</v>
      </c>
      <c r="B1190">
        <v>4327</v>
      </c>
      <c r="C1190">
        <v>55</v>
      </c>
      <c r="D1190">
        <v>3</v>
      </c>
      <c r="E1190" t="s">
        <v>123</v>
      </c>
      <c r="F1190" s="19">
        <v>46148</v>
      </c>
      <c r="G1190" t="s">
        <v>130</v>
      </c>
      <c r="H1190">
        <v>2</v>
      </c>
      <c r="I1190" s="19">
        <v>46204</v>
      </c>
      <c r="J1190" s="19">
        <f t="shared" si="36"/>
        <v>46207</v>
      </c>
      <c r="L1190">
        <f t="shared" si="37"/>
        <v>59</v>
      </c>
    </row>
    <row r="1191" spans="1:12" x14ac:dyDescent="0.25">
      <c r="A1191">
        <v>2</v>
      </c>
      <c r="B1191">
        <v>4281</v>
      </c>
      <c r="C1191">
        <v>54</v>
      </c>
      <c r="D1191">
        <v>3</v>
      </c>
      <c r="E1191" t="s">
        <v>123</v>
      </c>
      <c r="F1191" s="19">
        <v>46148</v>
      </c>
      <c r="G1191" t="s">
        <v>130</v>
      </c>
      <c r="H1191">
        <v>2</v>
      </c>
      <c r="I1191" s="19">
        <v>46205</v>
      </c>
      <c r="J1191" s="19">
        <f t="shared" si="36"/>
        <v>46208</v>
      </c>
      <c r="L1191">
        <f t="shared" si="37"/>
        <v>60</v>
      </c>
    </row>
    <row r="1192" spans="1:12" x14ac:dyDescent="0.25">
      <c r="A1192">
        <v>5</v>
      </c>
      <c r="B1192">
        <v>3439</v>
      </c>
      <c r="C1192">
        <v>53</v>
      </c>
      <c r="D1192">
        <v>4</v>
      </c>
      <c r="E1192" t="s">
        <v>123</v>
      </c>
      <c r="F1192" s="19">
        <v>46148</v>
      </c>
      <c r="G1192" t="s">
        <v>130</v>
      </c>
      <c r="H1192">
        <v>2</v>
      </c>
      <c r="I1192" s="19">
        <v>46206</v>
      </c>
      <c r="J1192" s="19">
        <f t="shared" si="36"/>
        <v>46209</v>
      </c>
      <c r="L1192">
        <f t="shared" si="37"/>
        <v>61</v>
      </c>
    </row>
    <row r="1193" spans="1:12" x14ac:dyDescent="0.25">
      <c r="A1193">
        <v>2</v>
      </c>
      <c r="B1193">
        <v>3986</v>
      </c>
      <c r="C1193">
        <v>49</v>
      </c>
      <c r="D1193">
        <v>3</v>
      </c>
      <c r="E1193" t="s">
        <v>123</v>
      </c>
      <c r="F1193" s="19">
        <v>46148</v>
      </c>
      <c r="G1193" t="s">
        <v>130</v>
      </c>
      <c r="H1193">
        <v>9</v>
      </c>
      <c r="I1193" s="19">
        <v>46210</v>
      </c>
      <c r="J1193" s="19">
        <f t="shared" ref="J1193:J1256" si="38">I1193+3</f>
        <v>46213</v>
      </c>
      <c r="L1193">
        <f t="shared" ref="L1193:L1256" si="39">J1193-F1193</f>
        <v>65</v>
      </c>
    </row>
    <row r="1194" spans="1:12" x14ac:dyDescent="0.25">
      <c r="A1194">
        <v>5</v>
      </c>
      <c r="B1194">
        <v>4989</v>
      </c>
      <c r="C1194">
        <v>60</v>
      </c>
      <c r="D1194">
        <v>2</v>
      </c>
      <c r="E1194" t="s">
        <v>123</v>
      </c>
      <c r="F1194" s="19">
        <v>46151</v>
      </c>
      <c r="G1194" t="s">
        <v>130</v>
      </c>
      <c r="H1194">
        <v>0</v>
      </c>
      <c r="I1194" s="19">
        <v>46199</v>
      </c>
      <c r="J1194" s="19">
        <f t="shared" si="38"/>
        <v>46202</v>
      </c>
      <c r="L1194">
        <f t="shared" si="39"/>
        <v>51</v>
      </c>
    </row>
    <row r="1195" spans="1:12" x14ac:dyDescent="0.25">
      <c r="A1195">
        <v>2</v>
      </c>
      <c r="B1195">
        <v>5083</v>
      </c>
      <c r="C1195">
        <v>58</v>
      </c>
      <c r="D1195">
        <v>2</v>
      </c>
      <c r="E1195" t="s">
        <v>123</v>
      </c>
      <c r="F1195" s="19">
        <v>46155</v>
      </c>
      <c r="G1195" t="s">
        <v>130</v>
      </c>
      <c r="H1195">
        <v>0</v>
      </c>
      <c r="I1195" s="19">
        <v>46201</v>
      </c>
      <c r="J1195" s="19">
        <f t="shared" si="38"/>
        <v>46204</v>
      </c>
      <c r="L1195">
        <f t="shared" si="39"/>
        <v>49</v>
      </c>
    </row>
    <row r="1196" spans="1:12" x14ac:dyDescent="0.25">
      <c r="A1196">
        <v>5</v>
      </c>
      <c r="B1196">
        <v>4047</v>
      </c>
      <c r="C1196">
        <v>57</v>
      </c>
      <c r="D1196">
        <v>3</v>
      </c>
      <c r="E1196" t="s">
        <v>123</v>
      </c>
      <c r="F1196" s="19">
        <v>46155</v>
      </c>
      <c r="G1196" t="s">
        <v>130</v>
      </c>
      <c r="H1196">
        <v>0</v>
      </c>
      <c r="I1196" s="19">
        <v>46202</v>
      </c>
      <c r="J1196" s="19">
        <f t="shared" si="38"/>
        <v>46205</v>
      </c>
      <c r="L1196">
        <f t="shared" si="39"/>
        <v>50</v>
      </c>
    </row>
    <row r="1197" spans="1:12" x14ac:dyDescent="0.25">
      <c r="A1197">
        <v>10</v>
      </c>
      <c r="B1197">
        <v>4617</v>
      </c>
      <c r="C1197">
        <v>31</v>
      </c>
      <c r="D1197">
        <v>2</v>
      </c>
      <c r="E1197" t="s">
        <v>123</v>
      </c>
      <c r="F1197" s="19">
        <v>46155</v>
      </c>
      <c r="G1197" t="s">
        <v>122</v>
      </c>
      <c r="H1197">
        <v>0</v>
      </c>
      <c r="I1197" s="19">
        <v>46208</v>
      </c>
      <c r="J1197" s="19">
        <f t="shared" si="38"/>
        <v>46211</v>
      </c>
      <c r="L1197">
        <f t="shared" si="39"/>
        <v>56</v>
      </c>
    </row>
    <row r="1198" spans="1:12" x14ac:dyDescent="0.25">
      <c r="A1198">
        <v>5</v>
      </c>
      <c r="B1198">
        <v>4903</v>
      </c>
      <c r="C1198">
        <v>49</v>
      </c>
      <c r="D1198">
        <v>2</v>
      </c>
      <c r="E1198" t="s">
        <v>123</v>
      </c>
      <c r="F1198" s="19">
        <v>46155</v>
      </c>
      <c r="G1198" t="s">
        <v>130</v>
      </c>
      <c r="H1198">
        <v>0</v>
      </c>
      <c r="I1198" s="19">
        <v>46210</v>
      </c>
      <c r="J1198" s="19">
        <f t="shared" si="38"/>
        <v>46213</v>
      </c>
      <c r="L1198">
        <f t="shared" si="39"/>
        <v>58</v>
      </c>
    </row>
    <row r="1199" spans="1:12" x14ac:dyDescent="0.25">
      <c r="A1199">
        <v>2</v>
      </c>
      <c r="B1199">
        <v>4352</v>
      </c>
      <c r="C1199">
        <v>48</v>
      </c>
      <c r="D1199">
        <v>3</v>
      </c>
      <c r="E1199" t="s">
        <v>123</v>
      </c>
      <c r="F1199" s="19">
        <v>46155</v>
      </c>
      <c r="G1199" t="s">
        <v>130</v>
      </c>
      <c r="H1199">
        <v>0</v>
      </c>
      <c r="I1199" s="19">
        <v>46211</v>
      </c>
      <c r="J1199" s="19">
        <f t="shared" si="38"/>
        <v>46214</v>
      </c>
      <c r="L1199">
        <f t="shared" si="39"/>
        <v>59</v>
      </c>
    </row>
    <row r="1200" spans="1:12" x14ac:dyDescent="0.25">
      <c r="A1200">
        <v>2</v>
      </c>
      <c r="B1200">
        <v>4917</v>
      </c>
      <c r="C1200">
        <v>47</v>
      </c>
      <c r="D1200">
        <v>2</v>
      </c>
      <c r="E1200" t="s">
        <v>123</v>
      </c>
      <c r="F1200" s="19">
        <v>46155</v>
      </c>
      <c r="G1200" t="s">
        <v>130</v>
      </c>
      <c r="H1200">
        <v>0</v>
      </c>
      <c r="I1200" s="19">
        <v>46212</v>
      </c>
      <c r="J1200" s="19">
        <f t="shared" si="38"/>
        <v>46215</v>
      </c>
      <c r="L1200">
        <f t="shared" si="39"/>
        <v>60</v>
      </c>
    </row>
    <row r="1201" spans="1:12" x14ac:dyDescent="0.25">
      <c r="A1201">
        <v>6</v>
      </c>
      <c r="B1201">
        <v>3611</v>
      </c>
      <c r="C1201">
        <v>46</v>
      </c>
      <c r="D1201">
        <v>3</v>
      </c>
      <c r="E1201" t="s">
        <v>123</v>
      </c>
      <c r="F1201" s="19">
        <v>46155</v>
      </c>
      <c r="G1201" t="s">
        <v>130</v>
      </c>
      <c r="H1201">
        <v>0</v>
      </c>
      <c r="I1201" s="19">
        <v>46213</v>
      </c>
      <c r="J1201" s="19">
        <f t="shared" si="38"/>
        <v>46216</v>
      </c>
      <c r="L1201">
        <f t="shared" si="39"/>
        <v>61</v>
      </c>
    </row>
    <row r="1202" spans="1:12" x14ac:dyDescent="0.25">
      <c r="A1202">
        <v>5</v>
      </c>
      <c r="B1202">
        <v>4922</v>
      </c>
      <c r="C1202">
        <v>46</v>
      </c>
      <c r="D1202">
        <v>2</v>
      </c>
      <c r="E1202" t="s">
        <v>123</v>
      </c>
      <c r="F1202" s="19">
        <v>46155</v>
      </c>
      <c r="G1202" t="s">
        <v>130</v>
      </c>
      <c r="H1202">
        <v>0</v>
      </c>
      <c r="I1202" s="19">
        <v>46213</v>
      </c>
      <c r="J1202" s="19">
        <f t="shared" si="38"/>
        <v>46216</v>
      </c>
      <c r="L1202">
        <f t="shared" si="39"/>
        <v>61</v>
      </c>
    </row>
    <row r="1203" spans="1:12" x14ac:dyDescent="0.25">
      <c r="A1203">
        <v>3</v>
      </c>
      <c r="B1203">
        <v>4647</v>
      </c>
      <c r="C1203">
        <v>45</v>
      </c>
      <c r="D1203">
        <v>2</v>
      </c>
      <c r="E1203" t="s">
        <v>123</v>
      </c>
      <c r="F1203" s="19">
        <v>46155</v>
      </c>
      <c r="G1203" t="s">
        <v>130</v>
      </c>
      <c r="H1203">
        <v>0</v>
      </c>
      <c r="I1203" s="19">
        <v>46214</v>
      </c>
      <c r="J1203" s="19">
        <f t="shared" si="38"/>
        <v>46217</v>
      </c>
      <c r="L1203">
        <f t="shared" si="39"/>
        <v>62</v>
      </c>
    </row>
    <row r="1204" spans="1:12" x14ac:dyDescent="0.25">
      <c r="A1204">
        <v>3</v>
      </c>
      <c r="B1204">
        <v>5026</v>
      </c>
      <c r="C1204">
        <v>41</v>
      </c>
      <c r="D1204">
        <v>2</v>
      </c>
      <c r="E1204" t="s">
        <v>123</v>
      </c>
      <c r="F1204" s="19">
        <v>46155</v>
      </c>
      <c r="G1204" t="s">
        <v>130</v>
      </c>
      <c r="H1204">
        <v>0</v>
      </c>
      <c r="I1204" s="19">
        <v>46218</v>
      </c>
      <c r="J1204" s="19">
        <f t="shared" si="38"/>
        <v>46221</v>
      </c>
      <c r="L1204">
        <f t="shared" si="39"/>
        <v>66</v>
      </c>
    </row>
    <row r="1205" spans="1:12" x14ac:dyDescent="0.25">
      <c r="A1205">
        <v>10</v>
      </c>
      <c r="B1205">
        <v>4929</v>
      </c>
      <c r="C1205">
        <v>21</v>
      </c>
      <c r="D1205">
        <v>2</v>
      </c>
      <c r="E1205" t="s">
        <v>123</v>
      </c>
      <c r="F1205" s="19">
        <v>46155</v>
      </c>
      <c r="G1205" t="s">
        <v>122</v>
      </c>
      <c r="H1205">
        <v>0</v>
      </c>
      <c r="I1205" s="19">
        <v>46218</v>
      </c>
      <c r="J1205" s="19">
        <f t="shared" si="38"/>
        <v>46221</v>
      </c>
      <c r="L1205">
        <f t="shared" si="39"/>
        <v>66</v>
      </c>
    </row>
    <row r="1206" spans="1:12" x14ac:dyDescent="0.25">
      <c r="A1206">
        <v>3</v>
      </c>
      <c r="B1206">
        <v>4385</v>
      </c>
      <c r="C1206">
        <v>39</v>
      </c>
      <c r="D1206">
        <v>3</v>
      </c>
      <c r="E1206" t="s">
        <v>123</v>
      </c>
      <c r="F1206" s="19">
        <v>46155</v>
      </c>
      <c r="G1206" t="s">
        <v>130</v>
      </c>
      <c r="H1206">
        <v>0</v>
      </c>
      <c r="I1206" s="19">
        <v>46220</v>
      </c>
      <c r="J1206" s="19">
        <f t="shared" si="38"/>
        <v>46223</v>
      </c>
      <c r="L1206">
        <f t="shared" si="39"/>
        <v>68</v>
      </c>
    </row>
    <row r="1207" spans="1:12" x14ac:dyDescent="0.25">
      <c r="A1207">
        <v>2</v>
      </c>
      <c r="B1207">
        <v>3785</v>
      </c>
      <c r="C1207">
        <v>36</v>
      </c>
      <c r="D1207">
        <v>3</v>
      </c>
      <c r="E1207" t="s">
        <v>123</v>
      </c>
      <c r="F1207" s="19">
        <v>46155</v>
      </c>
      <c r="G1207" t="s">
        <v>130</v>
      </c>
      <c r="H1207">
        <v>0</v>
      </c>
      <c r="I1207" s="19">
        <v>46223</v>
      </c>
      <c r="J1207" s="19">
        <f t="shared" si="38"/>
        <v>46226</v>
      </c>
      <c r="L1207">
        <f t="shared" si="39"/>
        <v>71</v>
      </c>
    </row>
    <row r="1208" spans="1:12" x14ac:dyDescent="0.25">
      <c r="A1208">
        <v>5</v>
      </c>
      <c r="B1208">
        <v>4899</v>
      </c>
      <c r="C1208">
        <v>55</v>
      </c>
      <c r="D1208">
        <v>2</v>
      </c>
      <c r="E1208" t="s">
        <v>123</v>
      </c>
      <c r="F1208" s="19">
        <v>46155</v>
      </c>
      <c r="G1208" t="s">
        <v>130</v>
      </c>
      <c r="H1208">
        <v>2</v>
      </c>
      <c r="I1208" s="19">
        <v>46204</v>
      </c>
      <c r="J1208" s="19">
        <f t="shared" si="38"/>
        <v>46207</v>
      </c>
      <c r="L1208">
        <f t="shared" si="39"/>
        <v>52</v>
      </c>
    </row>
    <row r="1209" spans="1:12" x14ac:dyDescent="0.25">
      <c r="A1209">
        <v>10</v>
      </c>
      <c r="B1209">
        <v>5032</v>
      </c>
      <c r="C1209">
        <v>53</v>
      </c>
      <c r="D1209">
        <v>2</v>
      </c>
      <c r="E1209" t="s">
        <v>123</v>
      </c>
      <c r="F1209" s="19">
        <v>46155</v>
      </c>
      <c r="G1209" t="s">
        <v>130</v>
      </c>
      <c r="H1209">
        <v>2</v>
      </c>
      <c r="I1209" s="19">
        <v>46206</v>
      </c>
      <c r="J1209" s="19">
        <f t="shared" si="38"/>
        <v>46209</v>
      </c>
      <c r="L1209">
        <f t="shared" si="39"/>
        <v>54</v>
      </c>
    </row>
    <row r="1210" spans="1:12" x14ac:dyDescent="0.25">
      <c r="A1210">
        <v>5</v>
      </c>
      <c r="B1210">
        <v>4971</v>
      </c>
      <c r="C1210">
        <v>53</v>
      </c>
      <c r="D1210">
        <v>2</v>
      </c>
      <c r="E1210" t="s">
        <v>123</v>
      </c>
      <c r="F1210" s="19">
        <v>46155</v>
      </c>
      <c r="G1210" t="s">
        <v>130</v>
      </c>
      <c r="H1210">
        <v>2</v>
      </c>
      <c r="I1210" s="19">
        <v>46206</v>
      </c>
      <c r="J1210" s="19">
        <f t="shared" si="38"/>
        <v>46209</v>
      </c>
      <c r="L1210">
        <f t="shared" si="39"/>
        <v>54</v>
      </c>
    </row>
    <row r="1211" spans="1:12" x14ac:dyDescent="0.25">
      <c r="A1211">
        <v>3</v>
      </c>
      <c r="B1211">
        <v>4184</v>
      </c>
      <c r="C1211">
        <v>53</v>
      </c>
      <c r="D1211">
        <v>3</v>
      </c>
      <c r="E1211" t="s">
        <v>123</v>
      </c>
      <c r="F1211" s="19">
        <v>46155</v>
      </c>
      <c r="G1211" t="s">
        <v>130</v>
      </c>
      <c r="H1211">
        <v>2</v>
      </c>
      <c r="I1211" s="19">
        <v>46206</v>
      </c>
      <c r="J1211" s="19">
        <f t="shared" si="38"/>
        <v>46209</v>
      </c>
      <c r="L1211">
        <f t="shared" si="39"/>
        <v>54</v>
      </c>
    </row>
    <row r="1212" spans="1:12" x14ac:dyDescent="0.25">
      <c r="A1212">
        <v>2</v>
      </c>
      <c r="B1212">
        <v>3491</v>
      </c>
      <c r="C1212">
        <v>51</v>
      </c>
      <c r="D1212">
        <v>5</v>
      </c>
      <c r="E1212" t="s">
        <v>123</v>
      </c>
      <c r="F1212" s="19">
        <v>46155</v>
      </c>
      <c r="G1212" t="s">
        <v>130</v>
      </c>
      <c r="H1212">
        <v>2</v>
      </c>
      <c r="I1212" s="19">
        <v>46208</v>
      </c>
      <c r="J1212" s="19">
        <f t="shared" si="38"/>
        <v>46211</v>
      </c>
      <c r="L1212">
        <f t="shared" si="39"/>
        <v>56</v>
      </c>
    </row>
    <row r="1213" spans="1:12" x14ac:dyDescent="0.25">
      <c r="A1213">
        <v>2</v>
      </c>
      <c r="B1213">
        <v>4231</v>
      </c>
      <c r="C1213">
        <v>50</v>
      </c>
      <c r="D1213">
        <v>3</v>
      </c>
      <c r="E1213" t="s">
        <v>123</v>
      </c>
      <c r="F1213" s="19">
        <v>46155</v>
      </c>
      <c r="G1213" t="s">
        <v>130</v>
      </c>
      <c r="H1213">
        <v>9</v>
      </c>
      <c r="I1213" s="19">
        <v>46209</v>
      </c>
      <c r="J1213" s="19">
        <f t="shared" si="38"/>
        <v>46212</v>
      </c>
      <c r="L1213">
        <f t="shared" si="39"/>
        <v>57</v>
      </c>
    </row>
    <row r="1214" spans="1:12" x14ac:dyDescent="0.25">
      <c r="A1214">
        <v>2</v>
      </c>
      <c r="B1214">
        <v>3393</v>
      </c>
      <c r="C1214">
        <v>49</v>
      </c>
      <c r="D1214">
        <v>4</v>
      </c>
      <c r="E1214" t="s">
        <v>123</v>
      </c>
      <c r="F1214" s="19">
        <v>46155</v>
      </c>
      <c r="G1214" t="s">
        <v>130</v>
      </c>
      <c r="H1214">
        <v>9</v>
      </c>
      <c r="I1214" s="19">
        <v>46210</v>
      </c>
      <c r="J1214" s="19">
        <f t="shared" si="38"/>
        <v>46213</v>
      </c>
      <c r="L1214">
        <f t="shared" si="39"/>
        <v>58</v>
      </c>
    </row>
    <row r="1215" spans="1:12" x14ac:dyDescent="0.25">
      <c r="A1215">
        <v>2</v>
      </c>
      <c r="B1215">
        <v>5021</v>
      </c>
      <c r="C1215">
        <v>49</v>
      </c>
      <c r="D1215">
        <v>2</v>
      </c>
      <c r="E1215" t="s">
        <v>123</v>
      </c>
      <c r="F1215" s="19">
        <v>46155</v>
      </c>
      <c r="G1215" t="s">
        <v>130</v>
      </c>
      <c r="H1215">
        <v>9</v>
      </c>
      <c r="I1215" s="19">
        <v>46210</v>
      </c>
      <c r="J1215" s="19">
        <f t="shared" si="38"/>
        <v>46213</v>
      </c>
      <c r="L1215">
        <f t="shared" si="39"/>
        <v>58</v>
      </c>
    </row>
    <row r="1216" spans="1:12" x14ac:dyDescent="0.25">
      <c r="A1216">
        <v>2</v>
      </c>
      <c r="B1216">
        <v>4130</v>
      </c>
      <c r="C1216">
        <v>49</v>
      </c>
      <c r="D1216">
        <v>3</v>
      </c>
      <c r="E1216" t="s">
        <v>123</v>
      </c>
      <c r="F1216" s="19">
        <v>46155</v>
      </c>
      <c r="G1216" t="s">
        <v>130</v>
      </c>
      <c r="H1216">
        <v>9</v>
      </c>
      <c r="I1216" s="19">
        <v>46210</v>
      </c>
      <c r="J1216" s="19">
        <f t="shared" si="38"/>
        <v>46213</v>
      </c>
      <c r="L1216">
        <f t="shared" si="39"/>
        <v>58</v>
      </c>
    </row>
    <row r="1217" spans="1:12" x14ac:dyDescent="0.25">
      <c r="A1217">
        <v>3</v>
      </c>
      <c r="B1217">
        <v>4415</v>
      </c>
      <c r="C1217">
        <v>11</v>
      </c>
      <c r="D1217">
        <v>2</v>
      </c>
      <c r="E1217" t="s">
        <v>123</v>
      </c>
      <c r="F1217" s="19">
        <v>46155</v>
      </c>
      <c r="G1217" t="s">
        <v>130</v>
      </c>
      <c r="H1217">
        <v>16</v>
      </c>
      <c r="I1217" s="19">
        <v>46248</v>
      </c>
      <c r="J1217" s="19">
        <f t="shared" si="38"/>
        <v>46251</v>
      </c>
      <c r="L1217">
        <f t="shared" si="39"/>
        <v>96</v>
      </c>
    </row>
    <row r="1218" spans="1:12" x14ac:dyDescent="0.25">
      <c r="A1218">
        <v>10</v>
      </c>
      <c r="B1218">
        <v>5024</v>
      </c>
      <c r="C1218">
        <v>5</v>
      </c>
      <c r="D1218">
        <v>2</v>
      </c>
      <c r="E1218" t="s">
        <v>123</v>
      </c>
      <c r="F1218" s="19">
        <v>46162</v>
      </c>
      <c r="G1218" t="s">
        <v>122</v>
      </c>
      <c r="H1218">
        <v>0</v>
      </c>
      <c r="I1218" s="19">
        <v>46207</v>
      </c>
      <c r="J1218" s="19">
        <f t="shared" si="38"/>
        <v>46210</v>
      </c>
      <c r="L1218">
        <f t="shared" si="39"/>
        <v>48</v>
      </c>
    </row>
    <row r="1219" spans="1:12" x14ac:dyDescent="0.25">
      <c r="A1219">
        <v>3</v>
      </c>
      <c r="B1219">
        <v>4207</v>
      </c>
      <c r="C1219">
        <v>48</v>
      </c>
      <c r="D1219">
        <v>3</v>
      </c>
      <c r="E1219" t="s">
        <v>123</v>
      </c>
      <c r="F1219" s="19">
        <v>46162</v>
      </c>
      <c r="G1219" t="s">
        <v>130</v>
      </c>
      <c r="H1219">
        <v>0</v>
      </c>
      <c r="I1219" s="19">
        <v>46211</v>
      </c>
      <c r="J1219" s="19">
        <f t="shared" si="38"/>
        <v>46214</v>
      </c>
      <c r="L1219">
        <f t="shared" si="39"/>
        <v>52</v>
      </c>
    </row>
    <row r="1220" spans="1:12" x14ac:dyDescent="0.25">
      <c r="A1220">
        <v>5</v>
      </c>
      <c r="B1220">
        <v>5078</v>
      </c>
      <c r="C1220">
        <v>47</v>
      </c>
      <c r="D1220">
        <v>2</v>
      </c>
      <c r="E1220" t="s">
        <v>123</v>
      </c>
      <c r="F1220" s="19">
        <v>46162</v>
      </c>
      <c r="G1220" t="s">
        <v>130</v>
      </c>
      <c r="H1220">
        <v>0</v>
      </c>
      <c r="I1220" s="19">
        <v>46212</v>
      </c>
      <c r="J1220" s="19">
        <f t="shared" si="38"/>
        <v>46215</v>
      </c>
      <c r="L1220">
        <f t="shared" si="39"/>
        <v>53</v>
      </c>
    </row>
    <row r="1221" spans="1:12" x14ac:dyDescent="0.25">
      <c r="A1221">
        <v>5</v>
      </c>
      <c r="B1221">
        <v>5082</v>
      </c>
      <c r="C1221">
        <v>46</v>
      </c>
      <c r="D1221">
        <v>2</v>
      </c>
      <c r="E1221" t="s">
        <v>123</v>
      </c>
      <c r="F1221" s="19">
        <v>46162</v>
      </c>
      <c r="G1221" t="s">
        <v>130</v>
      </c>
      <c r="H1221">
        <v>0</v>
      </c>
      <c r="I1221" s="19">
        <v>46213</v>
      </c>
      <c r="J1221" s="19">
        <f t="shared" si="38"/>
        <v>46216</v>
      </c>
      <c r="L1221">
        <f t="shared" si="39"/>
        <v>54</v>
      </c>
    </row>
    <row r="1222" spans="1:12" x14ac:dyDescent="0.25">
      <c r="A1222">
        <v>2</v>
      </c>
      <c r="B1222">
        <v>4220</v>
      </c>
      <c r="C1222">
        <v>46</v>
      </c>
      <c r="D1222">
        <v>3</v>
      </c>
      <c r="E1222" t="s">
        <v>123</v>
      </c>
      <c r="F1222" s="19">
        <v>46162</v>
      </c>
      <c r="G1222" t="s">
        <v>130</v>
      </c>
      <c r="H1222">
        <v>0</v>
      </c>
      <c r="I1222" s="19">
        <v>46213</v>
      </c>
      <c r="J1222" s="19">
        <f t="shared" si="38"/>
        <v>46216</v>
      </c>
      <c r="L1222">
        <f t="shared" si="39"/>
        <v>54</v>
      </c>
    </row>
    <row r="1223" spans="1:12" x14ac:dyDescent="0.25">
      <c r="A1223">
        <v>2</v>
      </c>
      <c r="B1223">
        <v>4360</v>
      </c>
      <c r="C1223">
        <v>46</v>
      </c>
      <c r="D1223">
        <v>3</v>
      </c>
      <c r="E1223" t="s">
        <v>123</v>
      </c>
      <c r="F1223" s="19">
        <v>46162</v>
      </c>
      <c r="G1223" t="s">
        <v>130</v>
      </c>
      <c r="H1223">
        <v>0</v>
      </c>
      <c r="I1223" s="19">
        <v>46213</v>
      </c>
      <c r="J1223" s="19">
        <f t="shared" si="38"/>
        <v>46216</v>
      </c>
      <c r="L1223">
        <f t="shared" si="39"/>
        <v>54</v>
      </c>
    </row>
    <row r="1224" spans="1:12" x14ac:dyDescent="0.25">
      <c r="A1224">
        <v>3</v>
      </c>
      <c r="B1224">
        <v>4948</v>
      </c>
      <c r="C1224">
        <v>45</v>
      </c>
      <c r="D1224">
        <v>2</v>
      </c>
      <c r="E1224" t="s">
        <v>123</v>
      </c>
      <c r="F1224" s="19">
        <v>46162</v>
      </c>
      <c r="G1224" t="s">
        <v>130</v>
      </c>
      <c r="H1224">
        <v>0</v>
      </c>
      <c r="I1224" s="19">
        <v>46214</v>
      </c>
      <c r="J1224" s="19">
        <f t="shared" si="38"/>
        <v>46217</v>
      </c>
      <c r="L1224">
        <f t="shared" si="39"/>
        <v>55</v>
      </c>
    </row>
    <row r="1225" spans="1:12" x14ac:dyDescent="0.25">
      <c r="A1225">
        <v>5</v>
      </c>
      <c r="B1225">
        <v>3481</v>
      </c>
      <c r="C1225">
        <v>43</v>
      </c>
      <c r="D1225">
        <v>4</v>
      </c>
      <c r="E1225" t="s">
        <v>123</v>
      </c>
      <c r="F1225" s="19">
        <v>46162</v>
      </c>
      <c r="G1225" t="s">
        <v>130</v>
      </c>
      <c r="H1225">
        <v>0</v>
      </c>
      <c r="I1225" s="19">
        <v>46216</v>
      </c>
      <c r="J1225" s="19">
        <f t="shared" si="38"/>
        <v>46219</v>
      </c>
      <c r="L1225">
        <f t="shared" si="39"/>
        <v>57</v>
      </c>
    </row>
    <row r="1226" spans="1:12" x14ac:dyDescent="0.25">
      <c r="A1226">
        <v>3</v>
      </c>
      <c r="B1226">
        <v>4901</v>
      </c>
      <c r="C1226">
        <v>43</v>
      </c>
      <c r="D1226">
        <v>2</v>
      </c>
      <c r="E1226" t="s">
        <v>123</v>
      </c>
      <c r="F1226" s="19">
        <v>46162</v>
      </c>
      <c r="G1226" t="s">
        <v>130</v>
      </c>
      <c r="H1226">
        <v>0</v>
      </c>
      <c r="I1226" s="19">
        <v>46216</v>
      </c>
      <c r="J1226" s="19">
        <f t="shared" si="38"/>
        <v>46219</v>
      </c>
      <c r="L1226">
        <f t="shared" si="39"/>
        <v>57</v>
      </c>
    </row>
    <row r="1227" spans="1:12" x14ac:dyDescent="0.25">
      <c r="A1227">
        <v>10</v>
      </c>
      <c r="B1227">
        <v>5009</v>
      </c>
      <c r="C1227">
        <v>42</v>
      </c>
      <c r="D1227">
        <v>2</v>
      </c>
      <c r="E1227" t="s">
        <v>123</v>
      </c>
      <c r="F1227" s="19">
        <v>46162</v>
      </c>
      <c r="G1227" t="s">
        <v>130</v>
      </c>
      <c r="H1227">
        <v>0</v>
      </c>
      <c r="I1227" s="19">
        <v>46217</v>
      </c>
      <c r="J1227" s="19">
        <f t="shared" si="38"/>
        <v>46220</v>
      </c>
      <c r="L1227">
        <f t="shared" si="39"/>
        <v>58</v>
      </c>
    </row>
    <row r="1228" spans="1:12" x14ac:dyDescent="0.25">
      <c r="A1228">
        <v>2</v>
      </c>
      <c r="B1228">
        <v>4682</v>
      </c>
      <c r="C1228">
        <v>42</v>
      </c>
      <c r="D1228">
        <v>2</v>
      </c>
      <c r="E1228" t="s">
        <v>123</v>
      </c>
      <c r="F1228" s="19">
        <v>46162</v>
      </c>
      <c r="G1228" t="s">
        <v>130</v>
      </c>
      <c r="H1228">
        <v>0</v>
      </c>
      <c r="I1228" s="19">
        <v>46217</v>
      </c>
      <c r="J1228" s="19">
        <f t="shared" si="38"/>
        <v>46220</v>
      </c>
      <c r="L1228">
        <f t="shared" si="39"/>
        <v>58</v>
      </c>
    </row>
    <row r="1229" spans="1:12" x14ac:dyDescent="0.25">
      <c r="A1229">
        <v>2</v>
      </c>
      <c r="B1229">
        <v>4792</v>
      </c>
      <c r="C1229">
        <v>41</v>
      </c>
      <c r="D1229">
        <v>2</v>
      </c>
      <c r="E1229" t="s">
        <v>123</v>
      </c>
      <c r="F1229" s="19">
        <v>46162</v>
      </c>
      <c r="G1229" t="s">
        <v>130</v>
      </c>
      <c r="H1229">
        <v>0</v>
      </c>
      <c r="I1229" s="19">
        <v>46218</v>
      </c>
      <c r="J1229" s="19">
        <f t="shared" si="38"/>
        <v>46221</v>
      </c>
      <c r="L1229">
        <f t="shared" si="39"/>
        <v>59</v>
      </c>
    </row>
    <row r="1230" spans="1:12" x14ac:dyDescent="0.25">
      <c r="A1230">
        <v>2</v>
      </c>
      <c r="B1230">
        <v>4280</v>
      </c>
      <c r="C1230">
        <v>41</v>
      </c>
      <c r="D1230">
        <v>3</v>
      </c>
      <c r="E1230" t="s">
        <v>123</v>
      </c>
      <c r="F1230" s="19">
        <v>46162</v>
      </c>
      <c r="G1230" t="s">
        <v>130</v>
      </c>
      <c r="H1230">
        <v>0</v>
      </c>
      <c r="I1230" s="19">
        <v>46218</v>
      </c>
      <c r="J1230" s="19">
        <f t="shared" si="38"/>
        <v>46221</v>
      </c>
      <c r="L1230">
        <f t="shared" si="39"/>
        <v>59</v>
      </c>
    </row>
    <row r="1231" spans="1:12" x14ac:dyDescent="0.25">
      <c r="A1231">
        <v>10</v>
      </c>
      <c r="B1231">
        <v>4007</v>
      </c>
      <c r="C1231">
        <v>26</v>
      </c>
      <c r="D1231">
        <v>3</v>
      </c>
      <c r="E1231" t="s">
        <v>123</v>
      </c>
      <c r="F1231" s="19">
        <v>46162</v>
      </c>
      <c r="G1231" t="s">
        <v>122</v>
      </c>
      <c r="H1231">
        <v>0</v>
      </c>
      <c r="I1231" s="19">
        <v>46219</v>
      </c>
      <c r="J1231" s="19">
        <f t="shared" si="38"/>
        <v>46222</v>
      </c>
      <c r="L1231">
        <f t="shared" si="39"/>
        <v>60</v>
      </c>
    </row>
    <row r="1232" spans="1:12" x14ac:dyDescent="0.25">
      <c r="A1232">
        <v>5</v>
      </c>
      <c r="B1232">
        <v>4950</v>
      </c>
      <c r="C1232">
        <v>40</v>
      </c>
      <c r="D1232">
        <v>2</v>
      </c>
      <c r="E1232" t="s">
        <v>123</v>
      </c>
      <c r="F1232" s="19">
        <v>46162</v>
      </c>
      <c r="G1232" t="s">
        <v>130</v>
      </c>
      <c r="H1232">
        <v>0</v>
      </c>
      <c r="I1232" s="19">
        <v>46219</v>
      </c>
      <c r="J1232" s="19">
        <f t="shared" si="38"/>
        <v>46222</v>
      </c>
      <c r="L1232">
        <f t="shared" si="39"/>
        <v>60</v>
      </c>
    </row>
    <row r="1233" spans="1:12" x14ac:dyDescent="0.25">
      <c r="A1233">
        <v>6</v>
      </c>
      <c r="B1233">
        <v>4970</v>
      </c>
      <c r="C1233">
        <v>39</v>
      </c>
      <c r="D1233">
        <v>2</v>
      </c>
      <c r="E1233" t="s">
        <v>123</v>
      </c>
      <c r="F1233" s="19">
        <v>46162</v>
      </c>
      <c r="G1233" t="s">
        <v>130</v>
      </c>
      <c r="H1233">
        <v>0</v>
      </c>
      <c r="I1233" s="19">
        <v>46220</v>
      </c>
      <c r="J1233" s="19">
        <f t="shared" si="38"/>
        <v>46223</v>
      </c>
      <c r="L1233">
        <f t="shared" si="39"/>
        <v>61</v>
      </c>
    </row>
    <row r="1234" spans="1:12" x14ac:dyDescent="0.25">
      <c r="A1234">
        <v>2</v>
      </c>
      <c r="B1234">
        <v>4889</v>
      </c>
      <c r="C1234">
        <v>36</v>
      </c>
      <c r="D1234">
        <v>2</v>
      </c>
      <c r="E1234" t="s">
        <v>123</v>
      </c>
      <c r="F1234" s="19">
        <v>46162</v>
      </c>
      <c r="G1234" t="s">
        <v>130</v>
      </c>
      <c r="H1234">
        <v>0</v>
      </c>
      <c r="I1234" s="19">
        <v>46223</v>
      </c>
      <c r="J1234" s="19">
        <f t="shared" si="38"/>
        <v>46226</v>
      </c>
      <c r="L1234">
        <f t="shared" si="39"/>
        <v>64</v>
      </c>
    </row>
    <row r="1235" spans="1:12" x14ac:dyDescent="0.25">
      <c r="A1235">
        <v>3</v>
      </c>
      <c r="B1235">
        <v>4677</v>
      </c>
      <c r="C1235">
        <v>32</v>
      </c>
      <c r="D1235">
        <v>2</v>
      </c>
      <c r="E1235" t="s">
        <v>123</v>
      </c>
      <c r="F1235" s="19">
        <v>46162</v>
      </c>
      <c r="G1235" t="s">
        <v>130</v>
      </c>
      <c r="H1235">
        <v>0</v>
      </c>
      <c r="I1235" s="19">
        <v>46227</v>
      </c>
      <c r="J1235" s="19">
        <f t="shared" si="38"/>
        <v>46230</v>
      </c>
      <c r="L1235">
        <f t="shared" si="39"/>
        <v>68</v>
      </c>
    </row>
    <row r="1236" spans="1:12" x14ac:dyDescent="0.25">
      <c r="A1236">
        <v>3</v>
      </c>
      <c r="B1236">
        <v>3975</v>
      </c>
      <c r="C1236">
        <v>7</v>
      </c>
      <c r="D1236">
        <v>3</v>
      </c>
      <c r="E1236" t="s">
        <v>123</v>
      </c>
      <c r="F1236" s="19">
        <v>46162</v>
      </c>
      <c r="G1236" t="s">
        <v>130</v>
      </c>
      <c r="H1236">
        <v>0</v>
      </c>
      <c r="I1236" s="19">
        <v>46252</v>
      </c>
      <c r="J1236" s="19">
        <f t="shared" si="38"/>
        <v>46255</v>
      </c>
      <c r="L1236">
        <f t="shared" si="39"/>
        <v>93</v>
      </c>
    </row>
    <row r="1237" spans="1:12" x14ac:dyDescent="0.25">
      <c r="A1237">
        <v>2</v>
      </c>
      <c r="B1237">
        <v>3737</v>
      </c>
      <c r="C1237">
        <v>50</v>
      </c>
      <c r="D1237">
        <v>4</v>
      </c>
      <c r="E1237" t="s">
        <v>123</v>
      </c>
      <c r="F1237" s="19">
        <v>46162</v>
      </c>
      <c r="G1237" t="s">
        <v>130</v>
      </c>
      <c r="H1237">
        <v>9</v>
      </c>
      <c r="I1237" s="19">
        <v>46209</v>
      </c>
      <c r="J1237" s="19">
        <f t="shared" si="38"/>
        <v>46212</v>
      </c>
      <c r="L1237">
        <f t="shared" si="39"/>
        <v>50</v>
      </c>
    </row>
    <row r="1238" spans="1:12" x14ac:dyDescent="0.25">
      <c r="A1238">
        <v>2</v>
      </c>
      <c r="B1238">
        <v>4142</v>
      </c>
      <c r="C1238">
        <v>49</v>
      </c>
      <c r="D1238">
        <v>3</v>
      </c>
      <c r="E1238" t="s">
        <v>123</v>
      </c>
      <c r="F1238" s="19">
        <v>46162</v>
      </c>
      <c r="G1238" t="s">
        <v>130</v>
      </c>
      <c r="H1238">
        <v>9</v>
      </c>
      <c r="I1238" s="19">
        <v>46210</v>
      </c>
      <c r="J1238" s="19">
        <f t="shared" si="38"/>
        <v>46213</v>
      </c>
      <c r="L1238">
        <f t="shared" si="39"/>
        <v>51</v>
      </c>
    </row>
    <row r="1239" spans="1:12" x14ac:dyDescent="0.25">
      <c r="A1239">
        <v>5</v>
      </c>
      <c r="B1239">
        <v>4166</v>
      </c>
      <c r="C1239">
        <v>49</v>
      </c>
      <c r="D1239">
        <v>3</v>
      </c>
      <c r="E1239" t="s">
        <v>123</v>
      </c>
      <c r="F1239" s="19">
        <v>46162</v>
      </c>
      <c r="G1239" t="s">
        <v>130</v>
      </c>
      <c r="H1239">
        <v>9</v>
      </c>
      <c r="I1239" s="19">
        <v>46210</v>
      </c>
      <c r="J1239" s="19">
        <f t="shared" si="38"/>
        <v>46213</v>
      </c>
      <c r="L1239">
        <f t="shared" si="39"/>
        <v>51</v>
      </c>
    </row>
    <row r="1240" spans="1:12" x14ac:dyDescent="0.25">
      <c r="A1240">
        <v>5</v>
      </c>
      <c r="B1240">
        <v>4965</v>
      </c>
      <c r="C1240">
        <v>46</v>
      </c>
      <c r="D1240">
        <v>2</v>
      </c>
      <c r="E1240" t="s">
        <v>123</v>
      </c>
      <c r="F1240" s="19">
        <v>46169</v>
      </c>
      <c r="G1240" t="s">
        <v>130</v>
      </c>
      <c r="H1240">
        <v>0</v>
      </c>
      <c r="I1240" s="19">
        <v>46213</v>
      </c>
      <c r="J1240" s="19">
        <f t="shared" si="38"/>
        <v>46216</v>
      </c>
      <c r="L1240">
        <f t="shared" si="39"/>
        <v>47</v>
      </c>
    </row>
    <row r="1241" spans="1:12" x14ac:dyDescent="0.25">
      <c r="A1241">
        <v>3</v>
      </c>
      <c r="B1241">
        <v>3349</v>
      </c>
      <c r="C1241">
        <v>39</v>
      </c>
      <c r="D1241">
        <v>4</v>
      </c>
      <c r="E1241" t="s">
        <v>123</v>
      </c>
      <c r="F1241" s="19">
        <v>46169</v>
      </c>
      <c r="G1241" t="s">
        <v>130</v>
      </c>
      <c r="H1241">
        <v>0</v>
      </c>
      <c r="I1241" s="19">
        <v>46220</v>
      </c>
      <c r="J1241" s="19">
        <f t="shared" si="38"/>
        <v>46223</v>
      </c>
      <c r="L1241">
        <f t="shared" si="39"/>
        <v>54</v>
      </c>
    </row>
    <row r="1242" spans="1:12" x14ac:dyDescent="0.25">
      <c r="A1242">
        <v>3</v>
      </c>
      <c r="B1242">
        <v>5149</v>
      </c>
      <c r="C1242">
        <v>39</v>
      </c>
      <c r="D1242">
        <v>2</v>
      </c>
      <c r="E1242" t="s">
        <v>123</v>
      </c>
      <c r="F1242" s="19">
        <v>46169</v>
      </c>
      <c r="G1242" t="s">
        <v>130</v>
      </c>
      <c r="H1242">
        <v>0</v>
      </c>
      <c r="I1242" s="19">
        <v>46220</v>
      </c>
      <c r="J1242" s="19">
        <f t="shared" si="38"/>
        <v>46223</v>
      </c>
      <c r="L1242">
        <f t="shared" si="39"/>
        <v>54</v>
      </c>
    </row>
    <row r="1243" spans="1:12" x14ac:dyDescent="0.25">
      <c r="A1243">
        <v>3</v>
      </c>
      <c r="B1243">
        <v>4981</v>
      </c>
      <c r="C1243">
        <v>38</v>
      </c>
      <c r="D1243">
        <v>2</v>
      </c>
      <c r="E1243" t="s">
        <v>123</v>
      </c>
      <c r="F1243" s="19">
        <v>46169</v>
      </c>
      <c r="G1243" t="s">
        <v>130</v>
      </c>
      <c r="H1243">
        <v>0</v>
      </c>
      <c r="I1243" s="19">
        <v>46221</v>
      </c>
      <c r="J1243" s="19">
        <f t="shared" si="38"/>
        <v>46224</v>
      </c>
      <c r="L1243">
        <f t="shared" si="39"/>
        <v>55</v>
      </c>
    </row>
    <row r="1244" spans="1:12" x14ac:dyDescent="0.25">
      <c r="A1244">
        <v>3</v>
      </c>
      <c r="B1244">
        <v>5064</v>
      </c>
      <c r="C1244">
        <v>36</v>
      </c>
      <c r="D1244">
        <v>2</v>
      </c>
      <c r="E1244" t="s">
        <v>123</v>
      </c>
      <c r="F1244" s="19">
        <v>46169</v>
      </c>
      <c r="G1244" t="s">
        <v>130</v>
      </c>
      <c r="H1244">
        <v>0</v>
      </c>
      <c r="I1244" s="19">
        <v>46223</v>
      </c>
      <c r="J1244" s="19">
        <f t="shared" si="38"/>
        <v>46226</v>
      </c>
      <c r="L1244">
        <f t="shared" si="39"/>
        <v>57</v>
      </c>
    </row>
    <row r="1245" spans="1:12" x14ac:dyDescent="0.25">
      <c r="A1245">
        <v>5</v>
      </c>
      <c r="B1245">
        <v>4391</v>
      </c>
      <c r="C1245">
        <v>35</v>
      </c>
      <c r="D1245">
        <v>3</v>
      </c>
      <c r="E1245" t="s">
        <v>123</v>
      </c>
      <c r="F1245" s="19">
        <v>46169</v>
      </c>
      <c r="G1245" t="s">
        <v>130</v>
      </c>
      <c r="H1245">
        <v>0</v>
      </c>
      <c r="I1245" s="19">
        <v>46224</v>
      </c>
      <c r="J1245" s="19">
        <f t="shared" si="38"/>
        <v>46227</v>
      </c>
      <c r="L1245">
        <f t="shared" si="39"/>
        <v>58</v>
      </c>
    </row>
    <row r="1246" spans="1:12" x14ac:dyDescent="0.25">
      <c r="A1246">
        <v>3</v>
      </c>
      <c r="B1246">
        <v>4756</v>
      </c>
      <c r="C1246">
        <v>34</v>
      </c>
      <c r="D1246">
        <v>2</v>
      </c>
      <c r="E1246" t="s">
        <v>123</v>
      </c>
      <c r="F1246" s="19">
        <v>46169</v>
      </c>
      <c r="G1246" t="s">
        <v>130</v>
      </c>
      <c r="H1246">
        <v>0</v>
      </c>
      <c r="I1246" s="19">
        <v>46225</v>
      </c>
      <c r="J1246" s="19">
        <f t="shared" si="38"/>
        <v>46228</v>
      </c>
      <c r="L1246">
        <f t="shared" si="39"/>
        <v>59</v>
      </c>
    </row>
    <row r="1247" spans="1:12" x14ac:dyDescent="0.25">
      <c r="A1247">
        <v>3</v>
      </c>
      <c r="B1247">
        <v>5059</v>
      </c>
      <c r="C1247">
        <v>33</v>
      </c>
      <c r="D1247">
        <v>2</v>
      </c>
      <c r="E1247" t="s">
        <v>123</v>
      </c>
      <c r="F1247" s="19">
        <v>46169</v>
      </c>
      <c r="G1247" t="s">
        <v>130</v>
      </c>
      <c r="H1247">
        <v>0</v>
      </c>
      <c r="I1247" s="19">
        <v>46226</v>
      </c>
      <c r="J1247" s="19">
        <f t="shared" si="38"/>
        <v>46229</v>
      </c>
      <c r="L1247">
        <f t="shared" si="39"/>
        <v>60</v>
      </c>
    </row>
    <row r="1248" spans="1:12" x14ac:dyDescent="0.25">
      <c r="A1248">
        <v>3</v>
      </c>
      <c r="B1248">
        <v>3413</v>
      </c>
      <c r="C1248">
        <v>29</v>
      </c>
      <c r="D1248">
        <v>4</v>
      </c>
      <c r="E1248" t="s">
        <v>123</v>
      </c>
      <c r="F1248" s="19">
        <v>46169</v>
      </c>
      <c r="G1248" t="s">
        <v>130</v>
      </c>
      <c r="H1248">
        <v>0</v>
      </c>
      <c r="I1248" s="19">
        <v>46230</v>
      </c>
      <c r="J1248" s="19">
        <f t="shared" si="38"/>
        <v>46233</v>
      </c>
      <c r="L1248">
        <f t="shared" si="39"/>
        <v>64</v>
      </c>
    </row>
    <row r="1249" spans="1:12" x14ac:dyDescent="0.25">
      <c r="A1249">
        <v>3</v>
      </c>
      <c r="B1249">
        <v>4255</v>
      </c>
      <c r="C1249">
        <v>29</v>
      </c>
      <c r="D1249">
        <v>3</v>
      </c>
      <c r="E1249" t="s">
        <v>123</v>
      </c>
      <c r="F1249" s="19">
        <v>46169</v>
      </c>
      <c r="G1249" t="s">
        <v>130</v>
      </c>
      <c r="H1249">
        <v>0</v>
      </c>
      <c r="I1249" s="19">
        <v>46230</v>
      </c>
      <c r="J1249" s="19">
        <f t="shared" si="38"/>
        <v>46233</v>
      </c>
      <c r="L1249">
        <f t="shared" si="39"/>
        <v>64</v>
      </c>
    </row>
    <row r="1250" spans="1:12" x14ac:dyDescent="0.25">
      <c r="A1250">
        <v>5</v>
      </c>
      <c r="B1250">
        <v>4104</v>
      </c>
      <c r="C1250">
        <v>49</v>
      </c>
      <c r="D1250">
        <v>3</v>
      </c>
      <c r="E1250" t="s">
        <v>123</v>
      </c>
      <c r="F1250" s="19">
        <v>46169</v>
      </c>
      <c r="G1250" t="s">
        <v>130</v>
      </c>
      <c r="H1250">
        <v>9</v>
      </c>
      <c r="I1250" s="19">
        <v>46210</v>
      </c>
      <c r="J1250" s="19">
        <f t="shared" si="38"/>
        <v>46213</v>
      </c>
      <c r="L1250">
        <f t="shared" si="39"/>
        <v>44</v>
      </c>
    </row>
    <row r="1251" spans="1:12" x14ac:dyDescent="0.25">
      <c r="A1251">
        <v>2</v>
      </c>
      <c r="B1251">
        <v>4226</v>
      </c>
      <c r="C1251">
        <v>44</v>
      </c>
      <c r="D1251">
        <v>3</v>
      </c>
      <c r="E1251" t="s">
        <v>123</v>
      </c>
      <c r="F1251" s="19">
        <v>46171</v>
      </c>
      <c r="G1251" t="s">
        <v>130</v>
      </c>
      <c r="H1251">
        <v>0</v>
      </c>
      <c r="I1251" s="19">
        <v>46215</v>
      </c>
      <c r="J1251" s="19">
        <f t="shared" si="38"/>
        <v>46218</v>
      </c>
      <c r="L1251">
        <f t="shared" si="39"/>
        <v>47</v>
      </c>
    </row>
    <row r="1252" spans="1:12" x14ac:dyDescent="0.25">
      <c r="A1252">
        <v>5</v>
      </c>
      <c r="B1252">
        <v>3503</v>
      </c>
      <c r="C1252">
        <v>38</v>
      </c>
      <c r="D1252">
        <v>4</v>
      </c>
      <c r="E1252" t="s">
        <v>123</v>
      </c>
      <c r="F1252" s="19">
        <v>46171</v>
      </c>
      <c r="G1252" t="s">
        <v>130</v>
      </c>
      <c r="H1252">
        <v>0</v>
      </c>
      <c r="I1252" s="19">
        <v>46221</v>
      </c>
      <c r="J1252" s="19">
        <f t="shared" si="38"/>
        <v>46224</v>
      </c>
      <c r="L1252">
        <f t="shared" si="39"/>
        <v>53</v>
      </c>
    </row>
    <row r="1253" spans="1:12" x14ac:dyDescent="0.25">
      <c r="A1253">
        <v>3</v>
      </c>
      <c r="B1253">
        <v>4990</v>
      </c>
      <c r="C1253">
        <v>37</v>
      </c>
      <c r="D1253">
        <v>2</v>
      </c>
      <c r="E1253" t="s">
        <v>123</v>
      </c>
      <c r="F1253" s="19">
        <v>46171</v>
      </c>
      <c r="G1253" t="s">
        <v>130</v>
      </c>
      <c r="H1253">
        <v>0</v>
      </c>
      <c r="I1253" s="19">
        <v>46222</v>
      </c>
      <c r="J1253" s="19">
        <f t="shared" si="38"/>
        <v>46225</v>
      </c>
      <c r="L1253">
        <f t="shared" si="39"/>
        <v>54</v>
      </c>
    </row>
    <row r="1254" spans="1:12" x14ac:dyDescent="0.25">
      <c r="A1254">
        <v>2</v>
      </c>
      <c r="B1254">
        <v>4882</v>
      </c>
      <c r="C1254">
        <v>37</v>
      </c>
      <c r="D1254">
        <v>2</v>
      </c>
      <c r="E1254" t="s">
        <v>123</v>
      </c>
      <c r="F1254" s="19">
        <v>46171</v>
      </c>
      <c r="G1254" t="s">
        <v>130</v>
      </c>
      <c r="H1254">
        <v>0</v>
      </c>
      <c r="I1254" s="19">
        <v>46222</v>
      </c>
      <c r="J1254" s="19">
        <f t="shared" si="38"/>
        <v>46225</v>
      </c>
      <c r="L1254">
        <f t="shared" si="39"/>
        <v>54</v>
      </c>
    </row>
    <row r="1255" spans="1:12" x14ac:dyDescent="0.25">
      <c r="A1255">
        <v>3</v>
      </c>
      <c r="B1255">
        <v>5070</v>
      </c>
      <c r="C1255">
        <v>36</v>
      </c>
      <c r="D1255">
        <v>2</v>
      </c>
      <c r="E1255" t="s">
        <v>123</v>
      </c>
      <c r="F1255" s="19">
        <v>46176</v>
      </c>
      <c r="G1255" t="s">
        <v>130</v>
      </c>
      <c r="H1255">
        <v>0</v>
      </c>
      <c r="I1255" s="19">
        <v>46223</v>
      </c>
      <c r="J1255" s="19">
        <f t="shared" si="38"/>
        <v>46226</v>
      </c>
      <c r="L1255">
        <f t="shared" si="39"/>
        <v>50</v>
      </c>
    </row>
    <row r="1256" spans="1:12" x14ac:dyDescent="0.25">
      <c r="A1256">
        <v>3</v>
      </c>
      <c r="B1256">
        <v>4392</v>
      </c>
      <c r="C1256">
        <v>35</v>
      </c>
      <c r="D1256">
        <v>2</v>
      </c>
      <c r="E1256" t="s">
        <v>123</v>
      </c>
      <c r="F1256" s="19">
        <v>46176</v>
      </c>
      <c r="G1256" t="s">
        <v>130</v>
      </c>
      <c r="H1256">
        <v>0</v>
      </c>
      <c r="I1256" s="19">
        <v>46224</v>
      </c>
      <c r="J1256" s="19">
        <f t="shared" si="38"/>
        <v>46227</v>
      </c>
      <c r="L1256">
        <f t="shared" si="39"/>
        <v>51</v>
      </c>
    </row>
    <row r="1257" spans="1:12" x14ac:dyDescent="0.25">
      <c r="A1257">
        <v>3</v>
      </c>
      <c r="B1257">
        <v>3913</v>
      </c>
      <c r="C1257">
        <v>34</v>
      </c>
      <c r="D1257">
        <v>3</v>
      </c>
      <c r="E1257" t="s">
        <v>123</v>
      </c>
      <c r="F1257" s="19">
        <v>46176</v>
      </c>
      <c r="G1257" t="s">
        <v>130</v>
      </c>
      <c r="H1257">
        <v>0</v>
      </c>
      <c r="I1257" s="19">
        <v>46225</v>
      </c>
      <c r="J1257" s="19">
        <f t="shared" ref="J1257:J1320" si="40">I1257+3</f>
        <v>46228</v>
      </c>
      <c r="L1257">
        <f t="shared" ref="L1257:L1320" si="41">J1257-F1257</f>
        <v>52</v>
      </c>
    </row>
    <row r="1258" spans="1:12" x14ac:dyDescent="0.25">
      <c r="A1258">
        <v>3</v>
      </c>
      <c r="B1258">
        <v>4992</v>
      </c>
      <c r="C1258">
        <v>33</v>
      </c>
      <c r="D1258">
        <v>2</v>
      </c>
      <c r="E1258" t="s">
        <v>123</v>
      </c>
      <c r="F1258" s="19">
        <v>46176</v>
      </c>
      <c r="G1258" t="s">
        <v>130</v>
      </c>
      <c r="H1258">
        <v>0</v>
      </c>
      <c r="I1258" s="19">
        <v>46226</v>
      </c>
      <c r="J1258" s="19">
        <f t="shared" si="40"/>
        <v>46229</v>
      </c>
      <c r="L1258">
        <f t="shared" si="41"/>
        <v>53</v>
      </c>
    </row>
    <row r="1259" spans="1:12" x14ac:dyDescent="0.25">
      <c r="A1259">
        <v>3</v>
      </c>
      <c r="B1259">
        <v>4367</v>
      </c>
      <c r="C1259">
        <v>33</v>
      </c>
      <c r="D1259">
        <v>3</v>
      </c>
      <c r="E1259" t="s">
        <v>123</v>
      </c>
      <c r="F1259" s="19">
        <v>46176</v>
      </c>
      <c r="G1259" t="s">
        <v>130</v>
      </c>
      <c r="H1259">
        <v>0</v>
      </c>
      <c r="I1259" s="19">
        <v>46226</v>
      </c>
      <c r="J1259" s="19">
        <f t="shared" si="40"/>
        <v>46229</v>
      </c>
      <c r="L1259">
        <f t="shared" si="41"/>
        <v>53</v>
      </c>
    </row>
    <row r="1260" spans="1:12" x14ac:dyDescent="0.25">
      <c r="A1260">
        <v>3</v>
      </c>
      <c r="B1260">
        <v>3710</v>
      </c>
      <c r="C1260">
        <v>32</v>
      </c>
      <c r="D1260">
        <v>4</v>
      </c>
      <c r="E1260" t="s">
        <v>123</v>
      </c>
      <c r="F1260" s="19">
        <v>46176</v>
      </c>
      <c r="G1260" t="s">
        <v>130</v>
      </c>
      <c r="H1260">
        <v>0</v>
      </c>
      <c r="I1260" s="19">
        <v>46227</v>
      </c>
      <c r="J1260" s="19">
        <f t="shared" si="40"/>
        <v>46230</v>
      </c>
      <c r="L1260">
        <f t="shared" si="41"/>
        <v>54</v>
      </c>
    </row>
    <row r="1261" spans="1:12" x14ac:dyDescent="0.25">
      <c r="A1261">
        <v>3</v>
      </c>
      <c r="B1261">
        <v>5186</v>
      </c>
      <c r="C1261">
        <v>31</v>
      </c>
      <c r="D1261">
        <v>2</v>
      </c>
      <c r="E1261" t="s">
        <v>123</v>
      </c>
      <c r="F1261" s="19">
        <v>46176</v>
      </c>
      <c r="G1261" t="s">
        <v>130</v>
      </c>
      <c r="H1261">
        <v>0</v>
      </c>
      <c r="I1261" s="19">
        <v>46228</v>
      </c>
      <c r="J1261" s="19">
        <f t="shared" si="40"/>
        <v>46231</v>
      </c>
      <c r="L1261">
        <f t="shared" si="41"/>
        <v>55</v>
      </c>
    </row>
    <row r="1262" spans="1:12" x14ac:dyDescent="0.25">
      <c r="A1262">
        <v>3</v>
      </c>
      <c r="B1262">
        <v>4720</v>
      </c>
      <c r="C1262">
        <v>31</v>
      </c>
      <c r="D1262">
        <v>2</v>
      </c>
      <c r="E1262" t="s">
        <v>123</v>
      </c>
      <c r="F1262" s="19">
        <v>46176</v>
      </c>
      <c r="G1262" t="s">
        <v>130</v>
      </c>
      <c r="H1262">
        <v>0</v>
      </c>
      <c r="I1262" s="19">
        <v>46228</v>
      </c>
      <c r="J1262" s="19">
        <f t="shared" si="40"/>
        <v>46231</v>
      </c>
      <c r="L1262">
        <f t="shared" si="41"/>
        <v>55</v>
      </c>
    </row>
    <row r="1263" spans="1:12" x14ac:dyDescent="0.25">
      <c r="A1263">
        <v>3</v>
      </c>
      <c r="B1263">
        <v>4361</v>
      </c>
      <c r="C1263">
        <v>31</v>
      </c>
      <c r="D1263">
        <v>3</v>
      </c>
      <c r="E1263" t="s">
        <v>123</v>
      </c>
      <c r="F1263" s="19">
        <v>46176</v>
      </c>
      <c r="G1263" t="s">
        <v>130</v>
      </c>
      <c r="H1263">
        <v>0</v>
      </c>
      <c r="I1263" s="19">
        <v>46228</v>
      </c>
      <c r="J1263" s="19">
        <f t="shared" si="40"/>
        <v>46231</v>
      </c>
      <c r="L1263">
        <f t="shared" si="41"/>
        <v>55</v>
      </c>
    </row>
    <row r="1264" spans="1:12" x14ac:dyDescent="0.25">
      <c r="A1264">
        <v>3</v>
      </c>
      <c r="B1264">
        <v>3291</v>
      </c>
      <c r="C1264">
        <v>30</v>
      </c>
      <c r="D1264">
        <v>4</v>
      </c>
      <c r="E1264" t="s">
        <v>123</v>
      </c>
      <c r="F1264" s="19">
        <v>46176</v>
      </c>
      <c r="G1264" t="s">
        <v>130</v>
      </c>
      <c r="H1264">
        <v>0</v>
      </c>
      <c r="I1264" s="19">
        <v>46229</v>
      </c>
      <c r="J1264" s="19">
        <f t="shared" si="40"/>
        <v>46232</v>
      </c>
      <c r="L1264">
        <f t="shared" si="41"/>
        <v>56</v>
      </c>
    </row>
    <row r="1265" spans="1:12" x14ac:dyDescent="0.25">
      <c r="A1265">
        <v>6</v>
      </c>
      <c r="B1265">
        <v>3822</v>
      </c>
      <c r="C1265">
        <v>28</v>
      </c>
      <c r="D1265">
        <v>3</v>
      </c>
      <c r="E1265" t="s">
        <v>123</v>
      </c>
      <c r="F1265" s="19">
        <v>46176</v>
      </c>
      <c r="G1265" t="s">
        <v>130</v>
      </c>
      <c r="H1265">
        <v>0</v>
      </c>
      <c r="I1265" s="19">
        <v>46231</v>
      </c>
      <c r="J1265" s="19">
        <f t="shared" si="40"/>
        <v>46234</v>
      </c>
      <c r="L1265">
        <f t="shared" si="41"/>
        <v>58</v>
      </c>
    </row>
    <row r="1266" spans="1:12" x14ac:dyDescent="0.25">
      <c r="A1266">
        <v>10</v>
      </c>
      <c r="B1266">
        <v>4235</v>
      </c>
      <c r="C1266">
        <v>14</v>
      </c>
      <c r="D1266">
        <v>3</v>
      </c>
      <c r="E1266" t="s">
        <v>123</v>
      </c>
      <c r="F1266" s="19">
        <v>46176</v>
      </c>
      <c r="G1266" t="s">
        <v>122</v>
      </c>
      <c r="H1266">
        <v>0</v>
      </c>
      <c r="I1266" s="19">
        <v>46231</v>
      </c>
      <c r="J1266" s="19">
        <f t="shared" si="40"/>
        <v>46234</v>
      </c>
      <c r="L1266">
        <f t="shared" si="41"/>
        <v>58</v>
      </c>
    </row>
    <row r="1267" spans="1:12" x14ac:dyDescent="0.25">
      <c r="A1267">
        <v>3</v>
      </c>
      <c r="B1267">
        <v>4952</v>
      </c>
      <c r="C1267">
        <v>27</v>
      </c>
      <c r="D1267">
        <v>2</v>
      </c>
      <c r="E1267" t="s">
        <v>123</v>
      </c>
      <c r="F1267" s="19">
        <v>46176</v>
      </c>
      <c r="G1267" t="s">
        <v>130</v>
      </c>
      <c r="H1267">
        <v>2</v>
      </c>
      <c r="I1267" s="19">
        <v>46232</v>
      </c>
      <c r="J1267" s="19">
        <f t="shared" si="40"/>
        <v>46235</v>
      </c>
      <c r="L1267">
        <f t="shared" si="41"/>
        <v>59</v>
      </c>
    </row>
    <row r="1268" spans="1:12" x14ac:dyDescent="0.25">
      <c r="A1268">
        <v>3</v>
      </c>
      <c r="B1268">
        <v>4977</v>
      </c>
      <c r="C1268">
        <v>23</v>
      </c>
      <c r="D1268">
        <v>2</v>
      </c>
      <c r="E1268" t="s">
        <v>123</v>
      </c>
      <c r="F1268" s="19">
        <v>46176</v>
      </c>
      <c r="G1268" t="s">
        <v>130</v>
      </c>
      <c r="H1268">
        <v>2</v>
      </c>
      <c r="I1268" s="19">
        <v>46236</v>
      </c>
      <c r="J1268" s="19">
        <f t="shared" si="40"/>
        <v>46239</v>
      </c>
      <c r="L1268">
        <f t="shared" si="41"/>
        <v>63</v>
      </c>
    </row>
    <row r="1269" spans="1:12" x14ac:dyDescent="0.25">
      <c r="A1269">
        <v>6</v>
      </c>
      <c r="B1269">
        <v>5206</v>
      </c>
      <c r="C1269">
        <v>22</v>
      </c>
      <c r="D1269">
        <v>2</v>
      </c>
      <c r="E1269" t="s">
        <v>123</v>
      </c>
      <c r="F1269" s="19">
        <v>46176</v>
      </c>
      <c r="G1269" t="s">
        <v>130</v>
      </c>
      <c r="H1269">
        <v>2</v>
      </c>
      <c r="I1269" s="19">
        <v>46237</v>
      </c>
      <c r="J1269" s="19">
        <f t="shared" si="40"/>
        <v>46240</v>
      </c>
      <c r="L1269">
        <f t="shared" si="41"/>
        <v>64</v>
      </c>
    </row>
    <row r="1270" spans="1:12" x14ac:dyDescent="0.25">
      <c r="A1270">
        <v>3</v>
      </c>
      <c r="B1270">
        <v>4390</v>
      </c>
      <c r="C1270">
        <v>6</v>
      </c>
      <c r="D1270">
        <v>3</v>
      </c>
      <c r="E1270" t="s">
        <v>123</v>
      </c>
      <c r="F1270" s="19">
        <v>46177</v>
      </c>
      <c r="G1270" t="s">
        <v>130</v>
      </c>
      <c r="H1270">
        <v>0</v>
      </c>
      <c r="I1270" s="19">
        <v>46253</v>
      </c>
      <c r="J1270" s="19">
        <f t="shared" si="40"/>
        <v>46256</v>
      </c>
      <c r="L1270">
        <f t="shared" si="41"/>
        <v>79</v>
      </c>
    </row>
    <row r="1271" spans="1:12" x14ac:dyDescent="0.25">
      <c r="A1271">
        <v>3</v>
      </c>
      <c r="B1271">
        <v>4426</v>
      </c>
      <c r="C1271">
        <v>28</v>
      </c>
      <c r="D1271">
        <v>3</v>
      </c>
      <c r="E1271" t="s">
        <v>123</v>
      </c>
      <c r="F1271" s="19">
        <v>46183</v>
      </c>
      <c r="G1271" t="s">
        <v>130</v>
      </c>
      <c r="H1271">
        <v>0</v>
      </c>
      <c r="I1271" s="19">
        <v>46231</v>
      </c>
      <c r="J1271" s="19">
        <f t="shared" si="40"/>
        <v>46234</v>
      </c>
      <c r="L1271">
        <f t="shared" si="41"/>
        <v>51</v>
      </c>
    </row>
    <row r="1272" spans="1:12" x14ac:dyDescent="0.25">
      <c r="A1272">
        <v>3</v>
      </c>
      <c r="B1272">
        <v>4153</v>
      </c>
      <c r="C1272">
        <v>3</v>
      </c>
      <c r="D1272">
        <v>3</v>
      </c>
      <c r="E1272" t="s">
        <v>123</v>
      </c>
      <c r="F1272" s="19">
        <v>46183</v>
      </c>
      <c r="G1272" t="s">
        <v>122</v>
      </c>
      <c r="H1272">
        <v>0</v>
      </c>
      <c r="I1272" s="19">
        <v>46232</v>
      </c>
      <c r="J1272" s="19">
        <f t="shared" si="40"/>
        <v>46235</v>
      </c>
      <c r="L1272">
        <f t="shared" si="41"/>
        <v>52</v>
      </c>
    </row>
    <row r="1273" spans="1:12" x14ac:dyDescent="0.25">
      <c r="A1273">
        <v>3</v>
      </c>
      <c r="B1273">
        <v>2723</v>
      </c>
      <c r="C1273">
        <v>9</v>
      </c>
      <c r="D1273">
        <v>6</v>
      </c>
      <c r="E1273" t="s">
        <v>123</v>
      </c>
      <c r="F1273" s="19">
        <v>46183</v>
      </c>
      <c r="G1273" t="s">
        <v>130</v>
      </c>
      <c r="H1273">
        <v>0</v>
      </c>
      <c r="I1273" s="19">
        <v>46250</v>
      </c>
      <c r="J1273" s="19">
        <f t="shared" si="40"/>
        <v>46253</v>
      </c>
      <c r="L1273">
        <f t="shared" si="41"/>
        <v>70</v>
      </c>
    </row>
    <row r="1274" spans="1:12" x14ac:dyDescent="0.25">
      <c r="A1274">
        <v>3</v>
      </c>
      <c r="B1274">
        <v>4973</v>
      </c>
      <c r="C1274">
        <v>27</v>
      </c>
      <c r="D1274">
        <v>2</v>
      </c>
      <c r="E1274" t="s">
        <v>123</v>
      </c>
      <c r="F1274" s="19">
        <v>46183</v>
      </c>
      <c r="G1274" t="s">
        <v>130</v>
      </c>
      <c r="H1274">
        <v>2</v>
      </c>
      <c r="I1274" s="19">
        <v>46232</v>
      </c>
      <c r="J1274" s="19">
        <f t="shared" si="40"/>
        <v>46235</v>
      </c>
      <c r="L1274">
        <f t="shared" si="41"/>
        <v>52</v>
      </c>
    </row>
    <row r="1275" spans="1:12" x14ac:dyDescent="0.25">
      <c r="A1275">
        <v>3</v>
      </c>
      <c r="B1275">
        <v>3110</v>
      </c>
      <c r="C1275">
        <v>26</v>
      </c>
      <c r="D1275">
        <v>5</v>
      </c>
      <c r="E1275" t="s">
        <v>123</v>
      </c>
      <c r="F1275" s="19">
        <v>46183</v>
      </c>
      <c r="G1275" t="s">
        <v>130</v>
      </c>
      <c r="H1275">
        <v>2</v>
      </c>
      <c r="I1275" s="19">
        <v>46233</v>
      </c>
      <c r="J1275" s="19">
        <f t="shared" si="40"/>
        <v>46236</v>
      </c>
      <c r="L1275">
        <f t="shared" si="41"/>
        <v>53</v>
      </c>
    </row>
    <row r="1276" spans="1:12" x14ac:dyDescent="0.25">
      <c r="A1276">
        <v>10</v>
      </c>
      <c r="B1276">
        <v>5140</v>
      </c>
      <c r="C1276">
        <v>26</v>
      </c>
      <c r="D1276">
        <v>2</v>
      </c>
      <c r="E1276" t="s">
        <v>123</v>
      </c>
      <c r="F1276" s="19">
        <v>46183</v>
      </c>
      <c r="G1276" t="s">
        <v>130</v>
      </c>
      <c r="H1276">
        <v>2</v>
      </c>
      <c r="I1276" s="19">
        <v>46233</v>
      </c>
      <c r="J1276" s="19">
        <f t="shared" si="40"/>
        <v>46236</v>
      </c>
      <c r="L1276">
        <f t="shared" si="41"/>
        <v>53</v>
      </c>
    </row>
    <row r="1277" spans="1:12" x14ac:dyDescent="0.25">
      <c r="A1277">
        <v>3</v>
      </c>
      <c r="B1277">
        <v>4061</v>
      </c>
      <c r="C1277">
        <v>24</v>
      </c>
      <c r="D1277">
        <v>3</v>
      </c>
      <c r="E1277" t="s">
        <v>123</v>
      </c>
      <c r="F1277" s="19">
        <v>46183</v>
      </c>
      <c r="G1277" t="s">
        <v>130</v>
      </c>
      <c r="H1277">
        <v>2</v>
      </c>
      <c r="I1277" s="19">
        <v>46235</v>
      </c>
      <c r="J1277" s="19">
        <f t="shared" si="40"/>
        <v>46238</v>
      </c>
      <c r="L1277">
        <f t="shared" si="41"/>
        <v>55</v>
      </c>
    </row>
    <row r="1278" spans="1:12" x14ac:dyDescent="0.25">
      <c r="A1278">
        <v>3</v>
      </c>
      <c r="B1278">
        <v>4254</v>
      </c>
      <c r="C1278">
        <v>24</v>
      </c>
      <c r="D1278">
        <v>3</v>
      </c>
      <c r="E1278" t="s">
        <v>123</v>
      </c>
      <c r="F1278" s="19">
        <v>46183</v>
      </c>
      <c r="G1278" t="s">
        <v>130</v>
      </c>
      <c r="H1278">
        <v>2</v>
      </c>
      <c r="I1278" s="19">
        <v>46235</v>
      </c>
      <c r="J1278" s="19">
        <f t="shared" si="40"/>
        <v>46238</v>
      </c>
      <c r="L1278">
        <f t="shared" si="41"/>
        <v>55</v>
      </c>
    </row>
    <row r="1279" spans="1:12" x14ac:dyDescent="0.25">
      <c r="A1279">
        <v>10</v>
      </c>
      <c r="B1279">
        <v>4357</v>
      </c>
      <c r="C1279">
        <v>24</v>
      </c>
      <c r="D1279">
        <v>3</v>
      </c>
      <c r="E1279" t="s">
        <v>123</v>
      </c>
      <c r="F1279" s="19">
        <v>46183</v>
      </c>
      <c r="G1279" t="s">
        <v>130</v>
      </c>
      <c r="H1279">
        <v>2</v>
      </c>
      <c r="I1279" s="19">
        <v>46235</v>
      </c>
      <c r="J1279" s="19">
        <f t="shared" si="40"/>
        <v>46238</v>
      </c>
      <c r="L1279">
        <f t="shared" si="41"/>
        <v>55</v>
      </c>
    </row>
    <row r="1280" spans="1:12" x14ac:dyDescent="0.25">
      <c r="A1280">
        <v>10</v>
      </c>
      <c r="B1280">
        <v>2943</v>
      </c>
      <c r="C1280">
        <v>23</v>
      </c>
      <c r="D1280">
        <v>4</v>
      </c>
      <c r="E1280" t="s">
        <v>123</v>
      </c>
      <c r="F1280" s="19">
        <v>46183</v>
      </c>
      <c r="G1280" t="s">
        <v>130</v>
      </c>
      <c r="H1280">
        <v>2</v>
      </c>
      <c r="I1280" s="19">
        <v>46236</v>
      </c>
      <c r="J1280" s="19">
        <f t="shared" si="40"/>
        <v>46239</v>
      </c>
      <c r="L1280">
        <f t="shared" si="41"/>
        <v>56</v>
      </c>
    </row>
    <row r="1281" spans="1:12" x14ac:dyDescent="0.25">
      <c r="A1281">
        <v>3</v>
      </c>
      <c r="B1281">
        <v>5143</v>
      </c>
      <c r="C1281">
        <v>23</v>
      </c>
      <c r="D1281">
        <v>2</v>
      </c>
      <c r="E1281" t="s">
        <v>123</v>
      </c>
      <c r="F1281" s="19">
        <v>46183</v>
      </c>
      <c r="G1281" t="s">
        <v>130</v>
      </c>
      <c r="H1281">
        <v>2</v>
      </c>
      <c r="I1281" s="19">
        <v>46236</v>
      </c>
      <c r="J1281" s="19">
        <f t="shared" si="40"/>
        <v>46239</v>
      </c>
      <c r="L1281">
        <f t="shared" si="41"/>
        <v>56</v>
      </c>
    </row>
    <row r="1282" spans="1:12" x14ac:dyDescent="0.25">
      <c r="A1282">
        <v>3</v>
      </c>
      <c r="B1282">
        <v>5199</v>
      </c>
      <c r="C1282">
        <v>23</v>
      </c>
      <c r="D1282">
        <v>2</v>
      </c>
      <c r="E1282" t="s">
        <v>123</v>
      </c>
      <c r="F1282" s="19">
        <v>46183</v>
      </c>
      <c r="G1282" t="s">
        <v>130</v>
      </c>
      <c r="H1282">
        <v>2</v>
      </c>
      <c r="I1282" s="19">
        <v>46236</v>
      </c>
      <c r="J1282" s="19">
        <f t="shared" si="40"/>
        <v>46239</v>
      </c>
      <c r="L1282">
        <f t="shared" si="41"/>
        <v>56</v>
      </c>
    </row>
    <row r="1283" spans="1:12" x14ac:dyDescent="0.25">
      <c r="A1283">
        <v>3</v>
      </c>
      <c r="B1283">
        <v>4876</v>
      </c>
      <c r="C1283">
        <v>23</v>
      </c>
      <c r="D1283">
        <v>2</v>
      </c>
      <c r="E1283" t="s">
        <v>123</v>
      </c>
      <c r="F1283" s="19">
        <v>46183</v>
      </c>
      <c r="G1283" t="s">
        <v>130</v>
      </c>
      <c r="H1283">
        <v>2</v>
      </c>
      <c r="I1283" s="19">
        <v>46236</v>
      </c>
      <c r="J1283" s="19">
        <f t="shared" si="40"/>
        <v>46239</v>
      </c>
      <c r="L1283">
        <f t="shared" si="41"/>
        <v>56</v>
      </c>
    </row>
    <row r="1284" spans="1:12" x14ac:dyDescent="0.25">
      <c r="A1284">
        <v>6</v>
      </c>
      <c r="B1284">
        <v>5303</v>
      </c>
      <c r="C1284">
        <v>21</v>
      </c>
      <c r="D1284">
        <v>2</v>
      </c>
      <c r="E1284" t="s">
        <v>123</v>
      </c>
      <c r="F1284" s="19">
        <v>46183</v>
      </c>
      <c r="G1284" t="s">
        <v>130</v>
      </c>
      <c r="H1284">
        <v>2</v>
      </c>
      <c r="I1284" s="19">
        <v>46238</v>
      </c>
      <c r="J1284" s="19">
        <f t="shared" si="40"/>
        <v>46241</v>
      </c>
      <c r="L1284">
        <f t="shared" si="41"/>
        <v>58</v>
      </c>
    </row>
    <row r="1285" spans="1:12" x14ac:dyDescent="0.25">
      <c r="A1285">
        <v>3</v>
      </c>
      <c r="B1285">
        <v>5168</v>
      </c>
      <c r="C1285">
        <v>21</v>
      </c>
      <c r="D1285">
        <v>2</v>
      </c>
      <c r="E1285" t="s">
        <v>123</v>
      </c>
      <c r="F1285" s="19">
        <v>46183</v>
      </c>
      <c r="G1285" t="s">
        <v>130</v>
      </c>
      <c r="H1285">
        <v>2</v>
      </c>
      <c r="I1285" s="19">
        <v>46238</v>
      </c>
      <c r="J1285" s="19">
        <f t="shared" si="40"/>
        <v>46241</v>
      </c>
      <c r="L1285">
        <f t="shared" si="41"/>
        <v>58</v>
      </c>
    </row>
    <row r="1286" spans="1:12" x14ac:dyDescent="0.25">
      <c r="A1286">
        <v>3</v>
      </c>
      <c r="B1286">
        <v>5174</v>
      </c>
      <c r="C1286">
        <v>19</v>
      </c>
      <c r="D1286">
        <v>2</v>
      </c>
      <c r="E1286" t="s">
        <v>123</v>
      </c>
      <c r="F1286" s="19">
        <v>46183</v>
      </c>
      <c r="G1286" t="s">
        <v>130</v>
      </c>
      <c r="H1286">
        <v>9</v>
      </c>
      <c r="I1286" s="19">
        <v>46240</v>
      </c>
      <c r="J1286" s="19">
        <f t="shared" si="40"/>
        <v>46243</v>
      </c>
      <c r="L1286">
        <f t="shared" si="41"/>
        <v>60</v>
      </c>
    </row>
    <row r="1287" spans="1:12" x14ac:dyDescent="0.25">
      <c r="A1287">
        <v>3</v>
      </c>
      <c r="B1287">
        <v>5177</v>
      </c>
      <c r="C1287">
        <v>19</v>
      </c>
      <c r="D1287">
        <v>2</v>
      </c>
      <c r="E1287" t="s">
        <v>123</v>
      </c>
      <c r="F1287" s="19">
        <v>46183</v>
      </c>
      <c r="G1287" t="s">
        <v>130</v>
      </c>
      <c r="H1287">
        <v>9</v>
      </c>
      <c r="I1287" s="19">
        <v>46240</v>
      </c>
      <c r="J1287" s="19">
        <f t="shared" si="40"/>
        <v>46243</v>
      </c>
      <c r="L1287">
        <f t="shared" si="41"/>
        <v>60</v>
      </c>
    </row>
    <row r="1288" spans="1:12" x14ac:dyDescent="0.25">
      <c r="A1288">
        <v>3</v>
      </c>
      <c r="B1288">
        <v>4116</v>
      </c>
      <c r="C1288">
        <v>17</v>
      </c>
      <c r="D1288">
        <v>3</v>
      </c>
      <c r="E1288" t="s">
        <v>123</v>
      </c>
      <c r="F1288" s="19">
        <v>46183</v>
      </c>
      <c r="G1288" t="s">
        <v>130</v>
      </c>
      <c r="H1288">
        <v>9</v>
      </c>
      <c r="I1288" s="19">
        <v>46242</v>
      </c>
      <c r="J1288" s="19">
        <f t="shared" si="40"/>
        <v>46245</v>
      </c>
      <c r="L1288">
        <f t="shared" si="41"/>
        <v>62</v>
      </c>
    </row>
    <row r="1289" spans="1:12" x14ac:dyDescent="0.25">
      <c r="A1289">
        <v>3</v>
      </c>
      <c r="B1289">
        <v>4812</v>
      </c>
      <c r="C1289">
        <v>11</v>
      </c>
      <c r="D1289">
        <v>2</v>
      </c>
      <c r="E1289" t="s">
        <v>123</v>
      </c>
      <c r="F1289" s="19">
        <v>46183</v>
      </c>
      <c r="G1289" t="s">
        <v>130</v>
      </c>
      <c r="H1289">
        <v>16</v>
      </c>
      <c r="I1289" s="19">
        <v>46248</v>
      </c>
      <c r="J1289" s="19">
        <f t="shared" si="40"/>
        <v>46251</v>
      </c>
      <c r="L1289">
        <f t="shared" si="41"/>
        <v>68</v>
      </c>
    </row>
    <row r="1290" spans="1:12" x14ac:dyDescent="0.25">
      <c r="A1290">
        <v>3</v>
      </c>
      <c r="B1290">
        <v>4188</v>
      </c>
      <c r="C1290">
        <v>10</v>
      </c>
      <c r="D1290">
        <v>3</v>
      </c>
      <c r="E1290" t="s">
        <v>123</v>
      </c>
      <c r="F1290" s="19">
        <v>46190</v>
      </c>
      <c r="G1290" t="s">
        <v>130</v>
      </c>
      <c r="H1290">
        <v>0</v>
      </c>
      <c r="I1290" s="19">
        <v>46249</v>
      </c>
      <c r="J1290" s="19">
        <f t="shared" si="40"/>
        <v>46252</v>
      </c>
      <c r="L1290">
        <f t="shared" si="41"/>
        <v>62</v>
      </c>
    </row>
    <row r="1291" spans="1:12" x14ac:dyDescent="0.25">
      <c r="A1291">
        <v>3</v>
      </c>
      <c r="B1291">
        <v>5043</v>
      </c>
      <c r="C1291">
        <v>9</v>
      </c>
      <c r="D1291">
        <v>2</v>
      </c>
      <c r="E1291" t="s">
        <v>123</v>
      </c>
      <c r="F1291" s="19">
        <v>46190</v>
      </c>
      <c r="G1291" t="s">
        <v>130</v>
      </c>
      <c r="H1291">
        <v>0</v>
      </c>
      <c r="I1291" s="19">
        <v>46250</v>
      </c>
      <c r="J1291" s="19">
        <f t="shared" si="40"/>
        <v>46253</v>
      </c>
      <c r="L1291">
        <f t="shared" si="41"/>
        <v>63</v>
      </c>
    </row>
    <row r="1292" spans="1:12" x14ac:dyDescent="0.25">
      <c r="A1292">
        <v>10</v>
      </c>
      <c r="B1292">
        <v>5156</v>
      </c>
      <c r="C1292">
        <v>9</v>
      </c>
      <c r="D1292">
        <v>2</v>
      </c>
      <c r="E1292" t="s">
        <v>123</v>
      </c>
      <c r="F1292" s="19">
        <v>46190</v>
      </c>
      <c r="G1292" t="s">
        <v>130</v>
      </c>
      <c r="H1292">
        <v>0</v>
      </c>
      <c r="I1292" s="19">
        <v>46250</v>
      </c>
      <c r="J1292" s="19">
        <f t="shared" si="40"/>
        <v>46253</v>
      </c>
      <c r="L1292">
        <f t="shared" si="41"/>
        <v>63</v>
      </c>
    </row>
    <row r="1293" spans="1:12" x14ac:dyDescent="0.25">
      <c r="A1293">
        <v>3</v>
      </c>
      <c r="B1293">
        <v>4886</v>
      </c>
      <c r="C1293">
        <v>9</v>
      </c>
      <c r="D1293">
        <v>2</v>
      </c>
      <c r="E1293" t="s">
        <v>123</v>
      </c>
      <c r="F1293" s="19">
        <v>46190</v>
      </c>
      <c r="G1293" t="s">
        <v>130</v>
      </c>
      <c r="H1293">
        <v>0</v>
      </c>
      <c r="I1293" s="19">
        <v>46250</v>
      </c>
      <c r="J1293" s="19">
        <f t="shared" si="40"/>
        <v>46253</v>
      </c>
      <c r="L1293">
        <f t="shared" si="41"/>
        <v>63</v>
      </c>
    </row>
    <row r="1294" spans="1:12" x14ac:dyDescent="0.25">
      <c r="A1294">
        <v>3</v>
      </c>
      <c r="B1294">
        <v>5015</v>
      </c>
      <c r="C1294">
        <v>8</v>
      </c>
      <c r="D1294">
        <v>2</v>
      </c>
      <c r="E1294" t="s">
        <v>123</v>
      </c>
      <c r="F1294" s="19">
        <v>46190</v>
      </c>
      <c r="G1294" t="s">
        <v>130</v>
      </c>
      <c r="H1294">
        <v>0</v>
      </c>
      <c r="I1294" s="19">
        <v>46251</v>
      </c>
      <c r="J1294" s="19">
        <f t="shared" si="40"/>
        <v>46254</v>
      </c>
      <c r="L1294">
        <f t="shared" si="41"/>
        <v>64</v>
      </c>
    </row>
    <row r="1295" spans="1:12" x14ac:dyDescent="0.25">
      <c r="A1295">
        <v>3</v>
      </c>
      <c r="B1295">
        <v>5155</v>
      </c>
      <c r="C1295">
        <v>23</v>
      </c>
      <c r="D1295">
        <v>2</v>
      </c>
      <c r="E1295" t="s">
        <v>123</v>
      </c>
      <c r="F1295" s="19">
        <v>46190</v>
      </c>
      <c r="G1295" t="s">
        <v>130</v>
      </c>
      <c r="H1295">
        <v>2</v>
      </c>
      <c r="I1295" s="19">
        <v>46236</v>
      </c>
      <c r="J1295" s="19">
        <f t="shared" si="40"/>
        <v>46239</v>
      </c>
      <c r="L1295">
        <f t="shared" si="41"/>
        <v>49</v>
      </c>
    </row>
    <row r="1296" spans="1:12" x14ac:dyDescent="0.25">
      <c r="A1296">
        <v>6</v>
      </c>
      <c r="B1296">
        <v>4850</v>
      </c>
      <c r="C1296">
        <v>21</v>
      </c>
      <c r="D1296">
        <v>2</v>
      </c>
      <c r="E1296" t="s">
        <v>123</v>
      </c>
      <c r="F1296" s="19">
        <v>46190</v>
      </c>
      <c r="G1296" t="s">
        <v>130</v>
      </c>
      <c r="H1296">
        <v>2</v>
      </c>
      <c r="I1296" s="19">
        <v>46238</v>
      </c>
      <c r="J1296" s="19">
        <f t="shared" si="40"/>
        <v>46241</v>
      </c>
      <c r="L1296">
        <f t="shared" si="41"/>
        <v>51</v>
      </c>
    </row>
    <row r="1297" spans="1:12" x14ac:dyDescent="0.25">
      <c r="A1297">
        <v>3</v>
      </c>
      <c r="B1297">
        <v>4592</v>
      </c>
      <c r="C1297">
        <v>17</v>
      </c>
      <c r="D1297">
        <v>2</v>
      </c>
      <c r="E1297" t="s">
        <v>123</v>
      </c>
      <c r="F1297" s="19">
        <v>46190</v>
      </c>
      <c r="G1297" t="s">
        <v>130</v>
      </c>
      <c r="H1297">
        <v>9</v>
      </c>
      <c r="I1297" s="19">
        <v>46242</v>
      </c>
      <c r="J1297" s="19">
        <f t="shared" si="40"/>
        <v>46245</v>
      </c>
      <c r="L1297">
        <f t="shared" si="41"/>
        <v>55</v>
      </c>
    </row>
    <row r="1298" spans="1:12" x14ac:dyDescent="0.25">
      <c r="A1298">
        <v>6</v>
      </c>
      <c r="B1298">
        <v>5106</v>
      </c>
      <c r="C1298">
        <v>15</v>
      </c>
      <c r="D1298">
        <v>2</v>
      </c>
      <c r="E1298" t="s">
        <v>123</v>
      </c>
      <c r="F1298" s="19">
        <v>46190</v>
      </c>
      <c r="G1298" t="s">
        <v>130</v>
      </c>
      <c r="H1298">
        <v>9</v>
      </c>
      <c r="I1298" s="19">
        <v>46244</v>
      </c>
      <c r="J1298" s="19">
        <f t="shared" si="40"/>
        <v>46247</v>
      </c>
      <c r="L1298">
        <f t="shared" si="41"/>
        <v>57</v>
      </c>
    </row>
    <row r="1299" spans="1:12" x14ac:dyDescent="0.25">
      <c r="A1299">
        <v>3</v>
      </c>
      <c r="B1299">
        <v>4986</v>
      </c>
      <c r="C1299">
        <v>15</v>
      </c>
      <c r="D1299">
        <v>2</v>
      </c>
      <c r="E1299" t="s">
        <v>123</v>
      </c>
      <c r="F1299" s="19">
        <v>46190</v>
      </c>
      <c r="G1299" t="s">
        <v>130</v>
      </c>
      <c r="H1299">
        <v>9</v>
      </c>
      <c r="I1299" s="19">
        <v>46244</v>
      </c>
      <c r="J1299" s="19">
        <f t="shared" si="40"/>
        <v>46247</v>
      </c>
      <c r="L1299">
        <f t="shared" si="41"/>
        <v>57</v>
      </c>
    </row>
    <row r="1300" spans="1:12" x14ac:dyDescent="0.25">
      <c r="A1300">
        <v>3</v>
      </c>
      <c r="B1300">
        <v>4244</v>
      </c>
      <c r="C1300">
        <v>15</v>
      </c>
      <c r="D1300">
        <v>3</v>
      </c>
      <c r="E1300" t="s">
        <v>123</v>
      </c>
      <c r="F1300" s="19">
        <v>46190</v>
      </c>
      <c r="G1300" t="s">
        <v>130</v>
      </c>
      <c r="H1300">
        <v>9</v>
      </c>
      <c r="I1300" s="19">
        <v>46244</v>
      </c>
      <c r="J1300" s="19">
        <f t="shared" si="40"/>
        <v>46247</v>
      </c>
      <c r="L1300">
        <f t="shared" si="41"/>
        <v>57</v>
      </c>
    </row>
    <row r="1301" spans="1:12" x14ac:dyDescent="0.25">
      <c r="A1301">
        <v>3</v>
      </c>
      <c r="B1301">
        <v>4828</v>
      </c>
      <c r="C1301">
        <v>15</v>
      </c>
      <c r="D1301">
        <v>2</v>
      </c>
      <c r="E1301" t="s">
        <v>123</v>
      </c>
      <c r="F1301" s="19">
        <v>46190</v>
      </c>
      <c r="G1301" t="s">
        <v>130</v>
      </c>
      <c r="H1301">
        <v>9</v>
      </c>
      <c r="I1301" s="19">
        <v>46244</v>
      </c>
      <c r="J1301" s="19">
        <f t="shared" si="40"/>
        <v>46247</v>
      </c>
      <c r="L1301">
        <f t="shared" si="41"/>
        <v>57</v>
      </c>
    </row>
    <row r="1302" spans="1:12" x14ac:dyDescent="0.25">
      <c r="A1302">
        <v>10</v>
      </c>
      <c r="B1302">
        <v>4439</v>
      </c>
      <c r="C1302">
        <v>14</v>
      </c>
      <c r="D1302">
        <v>3</v>
      </c>
      <c r="E1302" t="s">
        <v>123</v>
      </c>
      <c r="F1302" s="19">
        <v>46190</v>
      </c>
      <c r="G1302" t="s">
        <v>130</v>
      </c>
      <c r="H1302">
        <v>9</v>
      </c>
      <c r="I1302" s="19">
        <v>46245</v>
      </c>
      <c r="J1302" s="19">
        <f t="shared" si="40"/>
        <v>46248</v>
      </c>
      <c r="L1302">
        <f t="shared" si="41"/>
        <v>58</v>
      </c>
    </row>
    <row r="1303" spans="1:12" x14ac:dyDescent="0.25">
      <c r="A1303">
        <v>3</v>
      </c>
      <c r="B1303">
        <v>5089</v>
      </c>
      <c r="C1303">
        <v>13</v>
      </c>
      <c r="D1303">
        <v>2</v>
      </c>
      <c r="E1303" t="s">
        <v>123</v>
      </c>
      <c r="F1303" s="19">
        <v>46190</v>
      </c>
      <c r="G1303" t="s">
        <v>130</v>
      </c>
      <c r="H1303">
        <v>16</v>
      </c>
      <c r="I1303" s="19">
        <v>46246</v>
      </c>
      <c r="J1303" s="19">
        <f t="shared" si="40"/>
        <v>46249</v>
      </c>
      <c r="L1303">
        <f t="shared" si="41"/>
        <v>59</v>
      </c>
    </row>
    <row r="1304" spans="1:12" x14ac:dyDescent="0.25">
      <c r="A1304">
        <v>3</v>
      </c>
      <c r="B1304">
        <v>4967</v>
      </c>
      <c r="C1304">
        <v>13</v>
      </c>
      <c r="D1304">
        <v>2</v>
      </c>
      <c r="E1304" t="s">
        <v>123</v>
      </c>
      <c r="F1304" s="19">
        <v>46190</v>
      </c>
      <c r="G1304" t="s">
        <v>130</v>
      </c>
      <c r="H1304">
        <v>16</v>
      </c>
      <c r="I1304" s="19">
        <v>46246</v>
      </c>
      <c r="J1304" s="19">
        <f t="shared" si="40"/>
        <v>46249</v>
      </c>
      <c r="L1304">
        <f t="shared" si="41"/>
        <v>59</v>
      </c>
    </row>
    <row r="1305" spans="1:12" x14ac:dyDescent="0.25">
      <c r="A1305">
        <v>3</v>
      </c>
      <c r="B1305">
        <v>1200</v>
      </c>
      <c r="C1305">
        <v>11</v>
      </c>
      <c r="D1305">
        <v>6</v>
      </c>
      <c r="E1305" t="s">
        <v>123</v>
      </c>
      <c r="F1305" s="19">
        <v>46190</v>
      </c>
      <c r="G1305" t="s">
        <v>130</v>
      </c>
      <c r="H1305">
        <v>16</v>
      </c>
      <c r="I1305" s="19">
        <v>46248</v>
      </c>
      <c r="J1305" s="19">
        <f t="shared" si="40"/>
        <v>46251</v>
      </c>
      <c r="L1305">
        <f t="shared" si="41"/>
        <v>61</v>
      </c>
    </row>
    <row r="1306" spans="1:12" x14ac:dyDescent="0.25">
      <c r="A1306">
        <v>3</v>
      </c>
      <c r="B1306">
        <v>5067</v>
      </c>
      <c r="C1306">
        <v>11</v>
      </c>
      <c r="D1306">
        <v>2</v>
      </c>
      <c r="E1306" t="s">
        <v>123</v>
      </c>
      <c r="F1306" s="19">
        <v>46190</v>
      </c>
      <c r="G1306" t="s">
        <v>130</v>
      </c>
      <c r="H1306">
        <v>16</v>
      </c>
      <c r="I1306" s="19">
        <v>46248</v>
      </c>
      <c r="J1306" s="19">
        <f t="shared" si="40"/>
        <v>46251</v>
      </c>
      <c r="L1306">
        <f t="shared" si="41"/>
        <v>61</v>
      </c>
    </row>
    <row r="1307" spans="1:12" x14ac:dyDescent="0.25">
      <c r="A1307">
        <v>3</v>
      </c>
      <c r="B1307">
        <v>5142</v>
      </c>
      <c r="C1307">
        <v>11</v>
      </c>
      <c r="D1307">
        <v>2</v>
      </c>
      <c r="E1307" t="s">
        <v>123</v>
      </c>
      <c r="F1307" s="19">
        <v>46190</v>
      </c>
      <c r="G1307" t="s">
        <v>130</v>
      </c>
      <c r="H1307">
        <v>16</v>
      </c>
      <c r="I1307" s="19">
        <v>46248</v>
      </c>
      <c r="J1307" s="19">
        <f t="shared" si="40"/>
        <v>46251</v>
      </c>
      <c r="L1307">
        <f t="shared" si="41"/>
        <v>61</v>
      </c>
    </row>
    <row r="1308" spans="1:12" x14ac:dyDescent="0.25">
      <c r="A1308">
        <v>3</v>
      </c>
      <c r="B1308">
        <v>4160</v>
      </c>
      <c r="C1308">
        <v>11</v>
      </c>
      <c r="D1308">
        <v>3</v>
      </c>
      <c r="E1308" t="s">
        <v>123</v>
      </c>
      <c r="F1308" s="19">
        <v>46190</v>
      </c>
      <c r="G1308" t="s">
        <v>130</v>
      </c>
      <c r="H1308">
        <v>16</v>
      </c>
      <c r="I1308" s="19">
        <v>46248</v>
      </c>
      <c r="J1308" s="19">
        <f t="shared" si="40"/>
        <v>46251</v>
      </c>
      <c r="L1308">
        <f t="shared" si="41"/>
        <v>61</v>
      </c>
    </row>
    <row r="1309" spans="1:12" x14ac:dyDescent="0.25">
      <c r="A1309">
        <v>3</v>
      </c>
      <c r="B1309">
        <v>3226</v>
      </c>
      <c r="C1309">
        <v>3</v>
      </c>
      <c r="D1309">
        <v>5</v>
      </c>
      <c r="E1309" t="s">
        <v>123</v>
      </c>
      <c r="F1309" s="19">
        <v>46192</v>
      </c>
      <c r="G1309" t="s">
        <v>130</v>
      </c>
      <c r="H1309">
        <v>0</v>
      </c>
      <c r="I1309" s="19">
        <v>46256</v>
      </c>
      <c r="J1309" s="19">
        <f t="shared" si="40"/>
        <v>46259</v>
      </c>
      <c r="L1309">
        <f t="shared" si="41"/>
        <v>67</v>
      </c>
    </row>
    <row r="1310" spans="1:12" x14ac:dyDescent="0.25">
      <c r="A1310">
        <v>3</v>
      </c>
      <c r="B1310">
        <v>4004</v>
      </c>
      <c r="C1310">
        <v>8</v>
      </c>
      <c r="D1310">
        <v>3</v>
      </c>
      <c r="E1310" t="s">
        <v>128</v>
      </c>
      <c r="F1310" s="19">
        <v>46197</v>
      </c>
      <c r="G1310" t="s">
        <v>130</v>
      </c>
      <c r="H1310">
        <v>0</v>
      </c>
      <c r="I1310" s="19">
        <v>46251</v>
      </c>
      <c r="J1310" s="19">
        <f t="shared" si="40"/>
        <v>46254</v>
      </c>
      <c r="L1310">
        <f t="shared" si="41"/>
        <v>57</v>
      </c>
    </row>
    <row r="1311" spans="1:12" x14ac:dyDescent="0.25">
      <c r="A1311">
        <v>3</v>
      </c>
      <c r="B1311">
        <v>3218</v>
      </c>
      <c r="C1311">
        <v>6</v>
      </c>
      <c r="D1311">
        <v>4</v>
      </c>
      <c r="E1311" t="s">
        <v>128</v>
      </c>
      <c r="F1311" s="19">
        <v>46197</v>
      </c>
      <c r="G1311" t="s">
        <v>130</v>
      </c>
      <c r="H1311">
        <v>0</v>
      </c>
      <c r="I1311" s="19">
        <v>46253</v>
      </c>
      <c r="J1311" s="19">
        <f t="shared" si="40"/>
        <v>46256</v>
      </c>
      <c r="L1311">
        <f t="shared" si="41"/>
        <v>59</v>
      </c>
    </row>
    <row r="1312" spans="1:12" x14ac:dyDescent="0.25">
      <c r="A1312">
        <v>3</v>
      </c>
      <c r="B1312">
        <v>5116</v>
      </c>
      <c r="C1312">
        <v>3</v>
      </c>
      <c r="D1312">
        <v>2</v>
      </c>
      <c r="E1312" t="s">
        <v>128</v>
      </c>
      <c r="F1312" s="19">
        <v>46197</v>
      </c>
      <c r="G1312" t="s">
        <v>130</v>
      </c>
      <c r="H1312">
        <v>0</v>
      </c>
      <c r="I1312" s="19">
        <v>46256</v>
      </c>
      <c r="J1312" s="19">
        <f t="shared" si="40"/>
        <v>46259</v>
      </c>
      <c r="L1312">
        <f t="shared" si="41"/>
        <v>62</v>
      </c>
    </row>
    <row r="1313" spans="1:12" x14ac:dyDescent="0.25">
      <c r="A1313">
        <v>3</v>
      </c>
      <c r="B1313">
        <v>2183</v>
      </c>
      <c r="C1313">
        <v>13</v>
      </c>
      <c r="D1313">
        <v>6</v>
      </c>
      <c r="E1313" t="s">
        <v>128</v>
      </c>
      <c r="F1313" s="19">
        <v>46197</v>
      </c>
      <c r="G1313" t="s">
        <v>130</v>
      </c>
      <c r="H1313">
        <v>16</v>
      </c>
      <c r="I1313" s="19">
        <v>46246</v>
      </c>
      <c r="J1313" s="19">
        <f t="shared" si="40"/>
        <v>46249</v>
      </c>
      <c r="L1313">
        <f t="shared" si="41"/>
        <v>52</v>
      </c>
    </row>
    <row r="1314" spans="1:12" x14ac:dyDescent="0.25">
      <c r="A1314">
        <v>3</v>
      </c>
      <c r="B1314">
        <v>4282</v>
      </c>
      <c r="C1314">
        <v>12</v>
      </c>
      <c r="D1314">
        <v>3</v>
      </c>
      <c r="E1314" t="s">
        <v>128</v>
      </c>
      <c r="F1314" s="19">
        <v>46197</v>
      </c>
      <c r="G1314" t="s">
        <v>130</v>
      </c>
      <c r="H1314">
        <v>16</v>
      </c>
      <c r="I1314" s="19">
        <v>46247</v>
      </c>
      <c r="J1314" s="19">
        <f t="shared" si="40"/>
        <v>46250</v>
      </c>
      <c r="L1314">
        <f t="shared" si="41"/>
        <v>53</v>
      </c>
    </row>
    <row r="1315" spans="1:12" x14ac:dyDescent="0.25">
      <c r="A1315">
        <v>3</v>
      </c>
      <c r="B1315">
        <v>4822</v>
      </c>
      <c r="C1315">
        <v>9</v>
      </c>
      <c r="D1315">
        <v>2</v>
      </c>
      <c r="E1315" t="s">
        <v>128</v>
      </c>
      <c r="F1315" s="19">
        <v>46204</v>
      </c>
      <c r="G1315" t="s">
        <v>130</v>
      </c>
      <c r="H1315">
        <v>0</v>
      </c>
      <c r="I1315" s="19">
        <v>46250</v>
      </c>
      <c r="J1315" s="19">
        <f t="shared" si="40"/>
        <v>46253</v>
      </c>
      <c r="L1315">
        <f t="shared" si="41"/>
        <v>49</v>
      </c>
    </row>
    <row r="1316" spans="1:12" x14ac:dyDescent="0.25">
      <c r="A1316">
        <v>10</v>
      </c>
      <c r="B1316">
        <v>4146</v>
      </c>
      <c r="C1316">
        <v>9</v>
      </c>
      <c r="D1316">
        <v>3</v>
      </c>
      <c r="E1316" t="s">
        <v>126</v>
      </c>
      <c r="F1316" s="19">
        <v>46204</v>
      </c>
      <c r="G1316" t="s">
        <v>130</v>
      </c>
      <c r="H1316">
        <v>0</v>
      </c>
      <c r="I1316" s="19">
        <v>46250</v>
      </c>
      <c r="J1316" s="19">
        <f t="shared" si="40"/>
        <v>46253</v>
      </c>
      <c r="L1316">
        <f t="shared" si="41"/>
        <v>49</v>
      </c>
    </row>
    <row r="1317" spans="1:12" x14ac:dyDescent="0.25">
      <c r="A1317">
        <v>3</v>
      </c>
      <c r="B1317">
        <v>4766</v>
      </c>
      <c r="C1317">
        <v>7</v>
      </c>
      <c r="D1317">
        <v>2</v>
      </c>
      <c r="E1317" t="s">
        <v>128</v>
      </c>
      <c r="F1317" s="19">
        <v>46204</v>
      </c>
      <c r="G1317" t="s">
        <v>130</v>
      </c>
      <c r="H1317">
        <v>0</v>
      </c>
      <c r="I1317" s="19">
        <v>46252</v>
      </c>
      <c r="J1317" s="19">
        <f t="shared" si="40"/>
        <v>46255</v>
      </c>
      <c r="L1317">
        <f t="shared" si="41"/>
        <v>51</v>
      </c>
    </row>
    <row r="1318" spans="1:12" x14ac:dyDescent="0.25">
      <c r="A1318">
        <v>3</v>
      </c>
      <c r="B1318">
        <v>4351</v>
      </c>
      <c r="C1318">
        <v>6</v>
      </c>
      <c r="D1318">
        <v>3</v>
      </c>
      <c r="E1318" t="s">
        <v>128</v>
      </c>
      <c r="F1318" s="19">
        <v>46204</v>
      </c>
      <c r="G1318" t="s">
        <v>130</v>
      </c>
      <c r="H1318">
        <v>0</v>
      </c>
      <c r="I1318" s="19">
        <v>46253</v>
      </c>
      <c r="J1318" s="19">
        <f t="shared" si="40"/>
        <v>46256</v>
      </c>
      <c r="L1318">
        <f t="shared" si="41"/>
        <v>52</v>
      </c>
    </row>
    <row r="1319" spans="1:12" x14ac:dyDescent="0.25">
      <c r="A1319">
        <v>3</v>
      </c>
      <c r="B1319">
        <v>4063</v>
      </c>
      <c r="C1319">
        <v>5</v>
      </c>
      <c r="D1319">
        <v>3</v>
      </c>
      <c r="E1319" t="s">
        <v>127</v>
      </c>
      <c r="F1319" s="19">
        <v>46204</v>
      </c>
      <c r="G1319" t="s">
        <v>130</v>
      </c>
      <c r="H1319">
        <v>0</v>
      </c>
      <c r="I1319" s="19">
        <v>46254</v>
      </c>
      <c r="J1319" s="19">
        <f t="shared" si="40"/>
        <v>46257</v>
      </c>
      <c r="L1319">
        <f t="shared" si="41"/>
        <v>53</v>
      </c>
    </row>
    <row r="1320" spans="1:12" x14ac:dyDescent="0.25">
      <c r="A1320">
        <v>10</v>
      </c>
      <c r="B1320">
        <v>3510</v>
      </c>
      <c r="C1320">
        <v>5</v>
      </c>
      <c r="D1320">
        <v>4</v>
      </c>
      <c r="E1320" t="s">
        <v>126</v>
      </c>
      <c r="F1320" s="19">
        <v>46204</v>
      </c>
      <c r="G1320" t="s">
        <v>130</v>
      </c>
      <c r="H1320">
        <v>0</v>
      </c>
      <c r="I1320" s="19">
        <v>46254</v>
      </c>
      <c r="J1320" s="19">
        <f t="shared" si="40"/>
        <v>46257</v>
      </c>
      <c r="L1320">
        <f t="shared" si="41"/>
        <v>53</v>
      </c>
    </row>
    <row r="1321" spans="1:12" x14ac:dyDescent="0.25">
      <c r="A1321">
        <v>3</v>
      </c>
      <c r="B1321">
        <v>5088</v>
      </c>
      <c r="C1321">
        <v>4</v>
      </c>
      <c r="D1321">
        <v>2</v>
      </c>
      <c r="E1321" t="s">
        <v>128</v>
      </c>
      <c r="F1321" s="19">
        <v>46204</v>
      </c>
      <c r="G1321" t="s">
        <v>130</v>
      </c>
      <c r="H1321">
        <v>0</v>
      </c>
      <c r="I1321" s="19">
        <v>46255</v>
      </c>
      <c r="J1321" s="19">
        <f t="shared" ref="J1321:J1331" si="42">I1321+3</f>
        <v>46258</v>
      </c>
      <c r="L1321">
        <f t="shared" ref="L1321:L1331" si="43">J1321-F1321</f>
        <v>54</v>
      </c>
    </row>
    <row r="1322" spans="1:12" x14ac:dyDescent="0.25">
      <c r="A1322">
        <v>3</v>
      </c>
      <c r="B1322">
        <v>4295</v>
      </c>
      <c r="C1322">
        <v>4</v>
      </c>
      <c r="D1322">
        <v>3</v>
      </c>
      <c r="E1322" t="s">
        <v>127</v>
      </c>
      <c r="F1322" s="19">
        <v>46204</v>
      </c>
      <c r="G1322" t="s">
        <v>130</v>
      </c>
      <c r="H1322">
        <v>0</v>
      </c>
      <c r="I1322" s="19">
        <v>46255</v>
      </c>
      <c r="J1322" s="19">
        <f t="shared" si="42"/>
        <v>46258</v>
      </c>
      <c r="L1322">
        <f t="shared" si="43"/>
        <v>54</v>
      </c>
    </row>
    <row r="1323" spans="1:12" x14ac:dyDescent="0.25">
      <c r="A1323">
        <v>3</v>
      </c>
      <c r="B1323">
        <v>4442</v>
      </c>
      <c r="C1323">
        <v>4</v>
      </c>
      <c r="D1323">
        <v>3</v>
      </c>
      <c r="E1323" t="s">
        <v>128</v>
      </c>
      <c r="F1323" s="19">
        <v>46204</v>
      </c>
      <c r="G1323" t="s">
        <v>130</v>
      </c>
      <c r="H1323">
        <v>0</v>
      </c>
      <c r="I1323" s="19">
        <v>46255</v>
      </c>
      <c r="J1323" s="19">
        <f t="shared" si="42"/>
        <v>46258</v>
      </c>
      <c r="L1323">
        <f t="shared" si="43"/>
        <v>54</v>
      </c>
    </row>
    <row r="1324" spans="1:12" x14ac:dyDescent="0.25">
      <c r="A1324">
        <v>3</v>
      </c>
      <c r="B1324">
        <v>4942</v>
      </c>
      <c r="C1324">
        <v>2</v>
      </c>
      <c r="D1324">
        <v>2</v>
      </c>
      <c r="E1324" t="s">
        <v>128</v>
      </c>
      <c r="F1324" s="19">
        <v>46204</v>
      </c>
      <c r="G1324" t="s">
        <v>130</v>
      </c>
      <c r="H1324">
        <v>0</v>
      </c>
      <c r="I1324" s="19">
        <v>46257</v>
      </c>
      <c r="J1324" s="19">
        <f t="shared" si="42"/>
        <v>46260</v>
      </c>
      <c r="L1324">
        <f t="shared" si="43"/>
        <v>56</v>
      </c>
    </row>
    <row r="1325" spans="1:12" x14ac:dyDescent="0.25">
      <c r="A1325">
        <v>10</v>
      </c>
      <c r="B1325">
        <v>5003</v>
      </c>
      <c r="C1325">
        <v>15</v>
      </c>
      <c r="D1325">
        <v>2</v>
      </c>
      <c r="E1325" t="s">
        <v>128</v>
      </c>
      <c r="F1325" s="19">
        <v>46204</v>
      </c>
      <c r="G1325" t="s">
        <v>130</v>
      </c>
      <c r="H1325">
        <v>9</v>
      </c>
      <c r="I1325" s="19">
        <v>46244</v>
      </c>
      <c r="J1325" s="19">
        <f t="shared" si="42"/>
        <v>46247</v>
      </c>
      <c r="L1325">
        <f t="shared" si="43"/>
        <v>43</v>
      </c>
    </row>
    <row r="1326" spans="1:12" x14ac:dyDescent="0.25">
      <c r="A1326">
        <v>10</v>
      </c>
      <c r="B1326">
        <v>4945</v>
      </c>
      <c r="C1326">
        <v>6</v>
      </c>
      <c r="D1326">
        <v>2</v>
      </c>
      <c r="E1326" t="s">
        <v>128</v>
      </c>
      <c r="F1326" s="19">
        <v>46211</v>
      </c>
      <c r="G1326" t="s">
        <v>130</v>
      </c>
      <c r="H1326">
        <v>0</v>
      </c>
      <c r="I1326" s="19">
        <v>46253</v>
      </c>
      <c r="J1326" s="19">
        <f t="shared" si="42"/>
        <v>46256</v>
      </c>
      <c r="L1326">
        <f t="shared" si="43"/>
        <v>45</v>
      </c>
    </row>
    <row r="1327" spans="1:12" x14ac:dyDescent="0.25">
      <c r="A1327">
        <v>3</v>
      </c>
      <c r="B1327">
        <v>4916</v>
      </c>
      <c r="C1327">
        <v>4</v>
      </c>
      <c r="D1327">
        <v>2</v>
      </c>
      <c r="E1327" t="s">
        <v>126</v>
      </c>
      <c r="F1327" s="19">
        <v>46211</v>
      </c>
      <c r="G1327" t="s">
        <v>130</v>
      </c>
      <c r="H1327">
        <v>0</v>
      </c>
      <c r="I1327" s="19">
        <v>46255</v>
      </c>
      <c r="J1327" s="19">
        <f t="shared" si="42"/>
        <v>46258</v>
      </c>
      <c r="L1327">
        <f t="shared" si="43"/>
        <v>47</v>
      </c>
    </row>
    <row r="1328" spans="1:12" x14ac:dyDescent="0.25">
      <c r="A1328">
        <v>3</v>
      </c>
      <c r="B1328">
        <v>4857</v>
      </c>
      <c r="C1328">
        <v>3</v>
      </c>
      <c r="D1328">
        <v>2</v>
      </c>
      <c r="E1328" t="s">
        <v>128</v>
      </c>
      <c r="F1328" s="19">
        <v>46211</v>
      </c>
      <c r="G1328" t="s">
        <v>130</v>
      </c>
      <c r="H1328">
        <v>0</v>
      </c>
      <c r="I1328" s="19">
        <v>46256</v>
      </c>
      <c r="J1328" s="19">
        <f t="shared" si="42"/>
        <v>46259</v>
      </c>
      <c r="L1328">
        <f t="shared" si="43"/>
        <v>48</v>
      </c>
    </row>
    <row r="1329" spans="1:12" x14ac:dyDescent="0.25">
      <c r="A1329">
        <v>3</v>
      </c>
      <c r="B1329">
        <v>4338</v>
      </c>
      <c r="C1329">
        <v>2</v>
      </c>
      <c r="D1329">
        <v>3</v>
      </c>
      <c r="E1329" t="s">
        <v>128</v>
      </c>
      <c r="F1329" s="19">
        <v>46211</v>
      </c>
      <c r="G1329" t="s">
        <v>130</v>
      </c>
      <c r="H1329">
        <v>0</v>
      </c>
      <c r="I1329" s="19">
        <v>46257</v>
      </c>
      <c r="J1329" s="19">
        <f t="shared" si="42"/>
        <v>46260</v>
      </c>
      <c r="L1329">
        <f t="shared" si="43"/>
        <v>49</v>
      </c>
    </row>
    <row r="1330" spans="1:12" x14ac:dyDescent="0.25">
      <c r="A1330">
        <v>3</v>
      </c>
      <c r="B1330">
        <v>4225</v>
      </c>
      <c r="C1330">
        <v>1</v>
      </c>
      <c r="D1330">
        <v>3</v>
      </c>
      <c r="E1330" t="s">
        <v>126</v>
      </c>
      <c r="F1330" s="19">
        <v>46211</v>
      </c>
      <c r="G1330" t="s">
        <v>130</v>
      </c>
      <c r="H1330">
        <v>0</v>
      </c>
      <c r="I1330" s="19">
        <v>46258</v>
      </c>
      <c r="J1330" s="19">
        <f t="shared" si="42"/>
        <v>46261</v>
      </c>
      <c r="L1330">
        <f t="shared" si="43"/>
        <v>50</v>
      </c>
    </row>
    <row r="1331" spans="1:12" x14ac:dyDescent="0.25">
      <c r="A1331">
        <v>10</v>
      </c>
      <c r="B1331">
        <v>4906</v>
      </c>
      <c r="C1331">
        <v>6</v>
      </c>
      <c r="D1331">
        <v>2</v>
      </c>
      <c r="E1331" t="s">
        <v>128</v>
      </c>
      <c r="F1331" s="19">
        <v>46218</v>
      </c>
      <c r="G1331" t="s">
        <v>130</v>
      </c>
      <c r="H1331">
        <v>0</v>
      </c>
      <c r="I1331" s="19">
        <v>46253</v>
      </c>
      <c r="J1331" s="19">
        <f t="shared" si="42"/>
        <v>46256</v>
      </c>
      <c r="L1331">
        <f t="shared" si="43"/>
        <v>38</v>
      </c>
    </row>
  </sheetData>
  <autoFilter ref="A1:L1331" xr:uid="{47954883-7E83-43FB-92B9-64DF35C7C9F1}">
    <sortState xmlns:xlrd2="http://schemas.microsoft.com/office/spreadsheetml/2017/richdata2" ref="A2:L1331">
      <sortCondition ref="F1"/>
    </sortState>
  </autoFilter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C7D37-A93D-4F77-8C9E-E5D41826026D}">
  <dimension ref="A1:J380"/>
  <sheetViews>
    <sheetView topLeftCell="A130" workbookViewId="0">
      <selection activeCell="D137" sqref="D137"/>
    </sheetView>
  </sheetViews>
  <sheetFormatPr defaultRowHeight="18.75" customHeight="1" x14ac:dyDescent="0.25"/>
  <cols>
    <col min="1" max="1" width="10.42578125" customWidth="1"/>
    <col min="2" max="2" width="11.85546875" customWidth="1"/>
    <col min="3" max="3" width="23.140625" bestFit="1" customWidth="1"/>
    <col min="4" max="4" width="60.7109375" customWidth="1"/>
    <col min="10" max="10" width="10.7109375" bestFit="1" customWidth="1"/>
  </cols>
  <sheetData>
    <row r="1" spans="1:10" s="99" customFormat="1" ht="18.75" customHeight="1" x14ac:dyDescent="0.25">
      <c r="A1" s="98" t="s">
        <v>137</v>
      </c>
      <c r="B1" s="98" t="s">
        <v>36</v>
      </c>
      <c r="C1" s="98" t="s">
        <v>138</v>
      </c>
      <c r="D1" s="98" t="s">
        <v>139</v>
      </c>
      <c r="E1" s="102" t="s">
        <v>39</v>
      </c>
      <c r="F1" s="103"/>
      <c r="G1" s="103"/>
      <c r="H1" s="103"/>
      <c r="I1" s="104"/>
      <c r="J1" s="98" t="s">
        <v>104</v>
      </c>
    </row>
    <row r="2" spans="1:10" ht="18.75" customHeight="1" x14ac:dyDescent="0.25">
      <c r="A2" s="89">
        <v>46204</v>
      </c>
      <c r="B2" s="28">
        <v>5566</v>
      </c>
      <c r="C2" s="28" t="s">
        <v>140</v>
      </c>
      <c r="D2" s="28" t="s">
        <v>141</v>
      </c>
      <c r="E2" s="28">
        <v>1</v>
      </c>
      <c r="F2" s="28">
        <v>2</v>
      </c>
      <c r="G2" s="28">
        <v>3</v>
      </c>
      <c r="H2" s="28"/>
      <c r="I2" s="28"/>
      <c r="J2" s="89">
        <v>46210</v>
      </c>
    </row>
    <row r="3" spans="1:10" ht="18.75" customHeight="1" x14ac:dyDescent="0.25">
      <c r="A3" s="89">
        <v>46204</v>
      </c>
      <c r="B3" s="28">
        <v>4038</v>
      </c>
      <c r="C3" s="28" t="s">
        <v>140</v>
      </c>
      <c r="D3" s="28" t="s">
        <v>141</v>
      </c>
      <c r="E3" s="28">
        <v>1</v>
      </c>
      <c r="F3" s="28">
        <v>2</v>
      </c>
      <c r="G3" s="28">
        <v>3</v>
      </c>
      <c r="H3" s="28"/>
      <c r="I3" s="28"/>
      <c r="J3" s="89">
        <v>46210</v>
      </c>
    </row>
    <row r="4" spans="1:10" ht="18.75" customHeight="1" x14ac:dyDescent="0.25">
      <c r="A4" s="89">
        <v>46204</v>
      </c>
      <c r="B4" s="28">
        <v>2936</v>
      </c>
      <c r="C4" s="28" t="s">
        <v>140</v>
      </c>
      <c r="D4" s="28" t="s">
        <v>142</v>
      </c>
      <c r="E4" s="28">
        <v>1</v>
      </c>
      <c r="F4" s="28">
        <v>2</v>
      </c>
      <c r="G4" s="28">
        <v>3</v>
      </c>
      <c r="H4" s="28"/>
      <c r="I4" s="28"/>
      <c r="J4" s="89">
        <v>46211</v>
      </c>
    </row>
    <row r="5" spans="1:10" ht="18.75" customHeight="1" x14ac:dyDescent="0.25">
      <c r="A5" s="89">
        <v>46204</v>
      </c>
      <c r="B5" s="28">
        <v>4587</v>
      </c>
      <c r="C5" s="28" t="s">
        <v>143</v>
      </c>
      <c r="D5" s="28" t="s">
        <v>144</v>
      </c>
      <c r="E5" s="28">
        <v>1</v>
      </c>
      <c r="F5" s="28">
        <v>2</v>
      </c>
      <c r="G5" s="28">
        <v>3</v>
      </c>
      <c r="H5" s="28"/>
      <c r="I5" s="28"/>
      <c r="J5" s="89">
        <v>46228</v>
      </c>
    </row>
    <row r="6" spans="1:10" ht="18.75" customHeight="1" x14ac:dyDescent="0.25">
      <c r="A6" s="89">
        <v>46204</v>
      </c>
      <c r="B6" s="28">
        <v>3445</v>
      </c>
      <c r="C6" s="28" t="s">
        <v>145</v>
      </c>
      <c r="D6" s="28" t="s">
        <v>146</v>
      </c>
      <c r="E6" s="28">
        <v>1</v>
      </c>
      <c r="F6" s="28">
        <v>2</v>
      </c>
      <c r="G6" s="28">
        <v>3</v>
      </c>
      <c r="H6" s="28"/>
      <c r="I6" s="28"/>
      <c r="J6" s="89">
        <v>46211</v>
      </c>
    </row>
    <row r="7" spans="1:10" ht="18.75" customHeight="1" x14ac:dyDescent="0.25">
      <c r="A7" s="89">
        <v>46207</v>
      </c>
      <c r="B7" s="28">
        <v>5347</v>
      </c>
      <c r="C7" s="28" t="s">
        <v>140</v>
      </c>
      <c r="D7" s="28" t="s">
        <v>147</v>
      </c>
      <c r="E7" s="28">
        <v>4</v>
      </c>
      <c r="F7" s="28">
        <v>5</v>
      </c>
      <c r="G7" s="28">
        <v>6</v>
      </c>
      <c r="H7" s="28"/>
      <c r="I7" s="28"/>
      <c r="J7" s="89">
        <v>46214</v>
      </c>
    </row>
    <row r="8" spans="1:10" ht="18.75" customHeight="1" x14ac:dyDescent="0.25">
      <c r="A8" s="89">
        <v>46207</v>
      </c>
      <c r="B8" s="28">
        <v>3759</v>
      </c>
      <c r="C8" s="28" t="s">
        <v>140</v>
      </c>
      <c r="D8" s="28" t="s">
        <v>148</v>
      </c>
      <c r="E8" s="28">
        <v>4</v>
      </c>
      <c r="F8" s="28">
        <v>5</v>
      </c>
      <c r="G8" s="28">
        <v>6</v>
      </c>
      <c r="H8" s="28"/>
      <c r="I8" s="28"/>
      <c r="J8" s="89">
        <v>46214</v>
      </c>
    </row>
    <row r="9" spans="1:10" ht="18.75" customHeight="1" x14ac:dyDescent="0.25">
      <c r="A9" s="89">
        <v>46206</v>
      </c>
      <c r="B9" s="28">
        <v>5039</v>
      </c>
      <c r="C9" s="28" t="s">
        <v>149</v>
      </c>
      <c r="D9" s="28" t="s">
        <v>150</v>
      </c>
      <c r="E9" s="28">
        <v>3</v>
      </c>
      <c r="F9" s="28">
        <v>4</v>
      </c>
      <c r="G9" s="28">
        <v>5</v>
      </c>
      <c r="H9" s="28"/>
      <c r="I9" s="28"/>
      <c r="J9" s="89">
        <v>46213</v>
      </c>
    </row>
    <row r="10" spans="1:10" ht="18.75" customHeight="1" x14ac:dyDescent="0.25">
      <c r="A10" s="89">
        <v>46207</v>
      </c>
      <c r="B10" s="28">
        <v>4394</v>
      </c>
      <c r="C10" s="28" t="s">
        <v>140</v>
      </c>
      <c r="D10" s="28" t="s">
        <v>151</v>
      </c>
      <c r="E10" s="28">
        <v>4</v>
      </c>
      <c r="F10" s="28">
        <v>5</v>
      </c>
      <c r="G10" s="28">
        <v>6</v>
      </c>
      <c r="H10" s="28"/>
      <c r="I10" s="28"/>
      <c r="J10" s="89">
        <v>46213</v>
      </c>
    </row>
    <row r="11" spans="1:10" ht="18.75" customHeight="1" x14ac:dyDescent="0.25">
      <c r="A11" s="89">
        <v>46207</v>
      </c>
      <c r="B11" s="28">
        <v>5232</v>
      </c>
      <c r="C11" s="28" t="s">
        <v>140</v>
      </c>
      <c r="D11" s="28" t="s">
        <v>152</v>
      </c>
      <c r="E11" s="28">
        <v>4</v>
      </c>
      <c r="F11" s="28">
        <v>5</v>
      </c>
      <c r="G11" s="28">
        <v>6</v>
      </c>
      <c r="H11" s="28"/>
      <c r="I11" s="28"/>
      <c r="J11" s="89">
        <v>46231</v>
      </c>
    </row>
    <row r="12" spans="1:10" ht="18.75" customHeight="1" x14ac:dyDescent="0.25">
      <c r="A12" s="89">
        <v>46208</v>
      </c>
      <c r="B12" s="28">
        <v>2981</v>
      </c>
      <c r="C12" s="28" t="s">
        <v>140</v>
      </c>
      <c r="D12" s="28" t="s">
        <v>151</v>
      </c>
      <c r="E12" s="28">
        <v>5</v>
      </c>
      <c r="F12" s="28">
        <v>6</v>
      </c>
      <c r="G12" s="28">
        <v>7</v>
      </c>
      <c r="H12" s="28"/>
      <c r="I12" s="28"/>
      <c r="J12" s="89">
        <v>46214</v>
      </c>
    </row>
    <row r="13" spans="1:10" ht="18.75" customHeight="1" x14ac:dyDescent="0.25">
      <c r="A13" s="89">
        <v>46208</v>
      </c>
      <c r="B13" s="28">
        <v>2398</v>
      </c>
      <c r="C13" s="28" t="s">
        <v>149</v>
      </c>
      <c r="D13" s="28" t="s">
        <v>153</v>
      </c>
      <c r="E13" s="28">
        <v>5</v>
      </c>
      <c r="F13" s="28">
        <v>6</v>
      </c>
      <c r="G13" s="28">
        <v>7</v>
      </c>
      <c r="H13" s="28"/>
      <c r="I13" s="28"/>
      <c r="J13" s="89">
        <v>46216</v>
      </c>
    </row>
    <row r="14" spans="1:10" ht="18.75" customHeight="1" x14ac:dyDescent="0.25">
      <c r="A14" s="89">
        <v>46208</v>
      </c>
      <c r="B14" s="28">
        <v>5904</v>
      </c>
      <c r="C14" s="28" t="s">
        <v>145</v>
      </c>
      <c r="D14" s="28" t="s">
        <v>154</v>
      </c>
      <c r="E14" s="28">
        <v>5</v>
      </c>
      <c r="F14" s="28">
        <v>6</v>
      </c>
      <c r="G14" s="28">
        <v>7</v>
      </c>
      <c r="H14" s="28"/>
      <c r="I14" s="28"/>
      <c r="J14" s="89">
        <v>46216</v>
      </c>
    </row>
    <row r="15" spans="1:10" ht="18.75" customHeight="1" x14ac:dyDescent="0.25">
      <c r="A15" s="89">
        <v>46208</v>
      </c>
      <c r="B15" s="28">
        <v>3984</v>
      </c>
      <c r="C15" s="28" t="s">
        <v>149</v>
      </c>
      <c r="D15" s="28" t="s">
        <v>155</v>
      </c>
      <c r="E15" s="28">
        <v>5</v>
      </c>
      <c r="F15" s="28">
        <v>6</v>
      </c>
      <c r="G15" s="28">
        <v>7</v>
      </c>
      <c r="H15" s="28"/>
      <c r="I15" s="28"/>
      <c r="J15" s="89">
        <v>46216</v>
      </c>
    </row>
    <row r="16" spans="1:10" ht="18.75" customHeight="1" x14ac:dyDescent="0.25">
      <c r="A16" s="89">
        <v>46208</v>
      </c>
      <c r="B16" s="28">
        <v>3743</v>
      </c>
      <c r="C16" s="28" t="s">
        <v>149</v>
      </c>
      <c r="D16" s="28" t="s">
        <v>155</v>
      </c>
      <c r="E16" s="28">
        <v>5</v>
      </c>
      <c r="F16" s="28">
        <v>6</v>
      </c>
      <c r="G16" s="28">
        <v>7</v>
      </c>
      <c r="H16" s="28"/>
      <c r="I16" s="28"/>
      <c r="J16" s="89">
        <v>46216</v>
      </c>
    </row>
    <row r="17" spans="1:10" ht="18.75" customHeight="1" x14ac:dyDescent="0.25">
      <c r="A17" s="89">
        <v>46208</v>
      </c>
      <c r="B17" s="28">
        <v>5050</v>
      </c>
      <c r="C17" s="28" t="s">
        <v>140</v>
      </c>
      <c r="D17" s="28" t="s">
        <v>151</v>
      </c>
      <c r="E17" s="28">
        <v>5</v>
      </c>
      <c r="F17" s="28">
        <v>6</v>
      </c>
      <c r="G17" s="28">
        <v>7</v>
      </c>
      <c r="H17" s="28"/>
      <c r="I17" s="28"/>
      <c r="J17" s="89">
        <v>46216</v>
      </c>
    </row>
    <row r="18" spans="1:10" ht="18.75" customHeight="1" x14ac:dyDescent="0.25">
      <c r="A18" s="89">
        <v>46208</v>
      </c>
      <c r="B18" s="28">
        <v>4417</v>
      </c>
      <c r="C18" s="28" t="s">
        <v>140</v>
      </c>
      <c r="D18" s="28" t="s">
        <v>151</v>
      </c>
      <c r="E18" s="28">
        <v>5</v>
      </c>
      <c r="F18" s="28">
        <v>6</v>
      </c>
      <c r="G18" s="28">
        <v>7</v>
      </c>
      <c r="H18" s="28"/>
      <c r="I18" s="28"/>
      <c r="J18" s="89">
        <v>46216</v>
      </c>
    </row>
    <row r="19" spans="1:10" ht="18.75" customHeight="1" x14ac:dyDescent="0.25">
      <c r="A19" s="89">
        <v>46208</v>
      </c>
      <c r="B19" s="28">
        <v>5423</v>
      </c>
      <c r="C19" s="28" t="s">
        <v>156</v>
      </c>
      <c r="D19" s="28" t="s">
        <v>157</v>
      </c>
      <c r="E19" s="28">
        <v>5</v>
      </c>
      <c r="F19" s="28">
        <v>6</v>
      </c>
      <c r="G19" s="28">
        <v>7</v>
      </c>
      <c r="H19" s="28"/>
      <c r="I19" s="28"/>
      <c r="J19" s="89">
        <v>46214</v>
      </c>
    </row>
    <row r="20" spans="1:10" ht="18.75" customHeight="1" x14ac:dyDescent="0.25">
      <c r="A20" s="89">
        <v>46208</v>
      </c>
      <c r="B20" s="28">
        <v>4383</v>
      </c>
      <c r="C20" s="28" t="s">
        <v>140</v>
      </c>
      <c r="D20" s="28" t="s">
        <v>151</v>
      </c>
      <c r="E20" s="28">
        <v>5</v>
      </c>
      <c r="F20" s="28">
        <v>6</v>
      </c>
      <c r="G20" s="28">
        <v>7</v>
      </c>
      <c r="H20" s="28"/>
      <c r="I20" s="28"/>
      <c r="J20" s="89">
        <v>46216</v>
      </c>
    </row>
    <row r="21" spans="1:10" ht="18.75" customHeight="1" x14ac:dyDescent="0.25">
      <c r="A21" s="89">
        <v>46208</v>
      </c>
      <c r="B21" s="28">
        <v>5399</v>
      </c>
      <c r="C21" s="28" t="s">
        <v>140</v>
      </c>
      <c r="D21" s="28" t="s">
        <v>158</v>
      </c>
      <c r="E21" s="28">
        <v>5</v>
      </c>
      <c r="F21" s="28">
        <v>6</v>
      </c>
      <c r="G21" s="28">
        <v>7</v>
      </c>
      <c r="H21" s="28"/>
      <c r="I21" s="28"/>
      <c r="J21" s="89">
        <v>46216</v>
      </c>
    </row>
    <row r="22" spans="1:10" ht="18.75" customHeight="1" x14ac:dyDescent="0.25">
      <c r="A22" s="89">
        <v>46208</v>
      </c>
      <c r="B22" s="28">
        <v>4145</v>
      </c>
      <c r="C22" s="28" t="s">
        <v>143</v>
      </c>
      <c r="D22" s="28" t="s">
        <v>144</v>
      </c>
      <c r="E22" s="28">
        <v>5</v>
      </c>
      <c r="F22" s="28">
        <v>6</v>
      </c>
      <c r="G22" s="28">
        <v>7</v>
      </c>
      <c r="H22" s="28"/>
      <c r="I22" s="28"/>
      <c r="J22" s="89">
        <v>46232</v>
      </c>
    </row>
    <row r="23" spans="1:10" ht="18.75" customHeight="1" x14ac:dyDescent="0.25">
      <c r="A23" s="89">
        <v>46208</v>
      </c>
      <c r="B23" s="28">
        <v>4538</v>
      </c>
      <c r="C23" s="28" t="s">
        <v>140</v>
      </c>
      <c r="D23" s="28" t="s">
        <v>151</v>
      </c>
      <c r="E23" s="28">
        <v>5</v>
      </c>
      <c r="F23" s="28">
        <v>6</v>
      </c>
      <c r="G23" s="28">
        <v>7</v>
      </c>
      <c r="H23" s="28"/>
      <c r="I23" s="28"/>
      <c r="J23" s="89">
        <v>46216</v>
      </c>
    </row>
    <row r="24" spans="1:10" ht="18.75" customHeight="1" x14ac:dyDescent="0.25">
      <c r="A24" s="89">
        <v>46208</v>
      </c>
      <c r="B24" s="28">
        <v>3560</v>
      </c>
      <c r="C24" s="28" t="s">
        <v>140</v>
      </c>
      <c r="D24" s="28" t="s">
        <v>159</v>
      </c>
      <c r="E24" s="28">
        <v>5</v>
      </c>
      <c r="F24" s="28">
        <v>6</v>
      </c>
      <c r="G24" s="28">
        <v>7</v>
      </c>
      <c r="H24" s="28"/>
      <c r="I24" s="28"/>
      <c r="J24" s="89">
        <v>46216</v>
      </c>
    </row>
    <row r="25" spans="1:10" ht="18.75" customHeight="1" x14ac:dyDescent="0.25">
      <c r="A25" s="89">
        <v>46209</v>
      </c>
      <c r="B25" s="28">
        <v>3586</v>
      </c>
      <c r="C25" s="28" t="s">
        <v>156</v>
      </c>
      <c r="D25" s="28" t="s">
        <v>160</v>
      </c>
      <c r="E25" s="28">
        <v>6</v>
      </c>
      <c r="F25" s="28">
        <v>7</v>
      </c>
      <c r="G25" s="28">
        <v>8</v>
      </c>
      <c r="H25" s="28"/>
      <c r="I25" s="28"/>
      <c r="J25" s="89">
        <v>46214</v>
      </c>
    </row>
    <row r="26" spans="1:10" ht="18.75" customHeight="1" x14ac:dyDescent="0.25">
      <c r="A26" s="89">
        <v>46209</v>
      </c>
      <c r="B26" s="28">
        <v>5389</v>
      </c>
      <c r="C26" s="28" t="s">
        <v>140</v>
      </c>
      <c r="D26" s="28" t="s">
        <v>161</v>
      </c>
      <c r="E26" s="28">
        <v>6</v>
      </c>
      <c r="F26" s="28">
        <v>7</v>
      </c>
      <c r="G26" s="28">
        <v>8</v>
      </c>
      <c r="H26" s="28"/>
      <c r="I26" s="28"/>
      <c r="J26" s="89">
        <v>46215</v>
      </c>
    </row>
    <row r="27" spans="1:10" ht="18.75" customHeight="1" x14ac:dyDescent="0.25">
      <c r="A27" s="89">
        <v>46209</v>
      </c>
      <c r="B27" s="28">
        <v>5369</v>
      </c>
      <c r="C27" s="28" t="s">
        <v>140</v>
      </c>
      <c r="D27" s="28" t="s">
        <v>161</v>
      </c>
      <c r="E27" s="28">
        <v>6</v>
      </c>
      <c r="F27" s="28">
        <v>7</v>
      </c>
      <c r="G27" s="28">
        <v>8</v>
      </c>
      <c r="H27" s="28"/>
      <c r="I27" s="28"/>
      <c r="J27" s="89">
        <v>46215</v>
      </c>
    </row>
    <row r="28" spans="1:10" ht="18.75" customHeight="1" x14ac:dyDescent="0.25">
      <c r="A28" s="89">
        <v>46209</v>
      </c>
      <c r="B28" s="28">
        <v>3317</v>
      </c>
      <c r="C28" s="28" t="s">
        <v>149</v>
      </c>
      <c r="D28" s="28" t="s">
        <v>162</v>
      </c>
      <c r="E28" s="28">
        <v>6</v>
      </c>
      <c r="F28" s="28">
        <v>7</v>
      </c>
      <c r="G28" s="28">
        <v>8</v>
      </c>
      <c r="H28" s="28"/>
      <c r="I28" s="28"/>
      <c r="J28" s="89">
        <v>46217</v>
      </c>
    </row>
    <row r="29" spans="1:10" ht="18.75" customHeight="1" x14ac:dyDescent="0.25">
      <c r="A29" s="89">
        <v>46209</v>
      </c>
      <c r="B29" s="28">
        <v>3957</v>
      </c>
      <c r="C29" s="28" t="s">
        <v>163</v>
      </c>
      <c r="D29" s="28" t="s">
        <v>164</v>
      </c>
      <c r="E29" s="28">
        <v>6</v>
      </c>
      <c r="F29" s="28">
        <v>7</v>
      </c>
      <c r="G29" s="28">
        <v>8</v>
      </c>
      <c r="H29" s="28"/>
      <c r="I29" s="28"/>
      <c r="J29" s="89">
        <v>46217</v>
      </c>
    </row>
    <row r="30" spans="1:10" ht="18.75" customHeight="1" x14ac:dyDescent="0.25">
      <c r="A30" s="89">
        <v>46210</v>
      </c>
      <c r="B30" s="28">
        <v>4271</v>
      </c>
      <c r="C30" s="28" t="s">
        <v>140</v>
      </c>
      <c r="D30" s="28" t="s">
        <v>151</v>
      </c>
      <c r="E30" s="28">
        <v>7</v>
      </c>
      <c r="F30" s="28">
        <v>8</v>
      </c>
      <c r="G30" s="28">
        <v>9</v>
      </c>
      <c r="H30" s="28"/>
      <c r="I30" s="28"/>
      <c r="J30" s="89">
        <v>46218</v>
      </c>
    </row>
    <row r="31" spans="1:10" ht="18.75" customHeight="1" x14ac:dyDescent="0.25">
      <c r="A31" s="89">
        <v>46210</v>
      </c>
      <c r="B31" s="28">
        <v>2822</v>
      </c>
      <c r="C31" s="28" t="s">
        <v>140</v>
      </c>
      <c r="D31" s="28" t="s">
        <v>165</v>
      </c>
      <c r="E31" s="28">
        <v>7</v>
      </c>
      <c r="F31" s="28">
        <v>8</v>
      </c>
      <c r="G31" s="28">
        <v>9</v>
      </c>
      <c r="H31" s="28"/>
      <c r="I31" s="28"/>
      <c r="J31" s="89">
        <v>46235</v>
      </c>
    </row>
    <row r="32" spans="1:10" ht="18.75" customHeight="1" x14ac:dyDescent="0.25">
      <c r="A32" s="89">
        <v>46211</v>
      </c>
      <c r="B32" s="28">
        <v>4538</v>
      </c>
      <c r="C32" s="28" t="s">
        <v>140</v>
      </c>
      <c r="D32" s="28" t="s">
        <v>165</v>
      </c>
      <c r="E32" s="28">
        <v>8</v>
      </c>
      <c r="F32" s="28">
        <v>9</v>
      </c>
      <c r="G32" s="28">
        <v>10</v>
      </c>
      <c r="H32" s="28"/>
      <c r="I32" s="28"/>
      <c r="J32" s="89">
        <v>46236</v>
      </c>
    </row>
    <row r="33" spans="1:10" ht="18.75" customHeight="1" x14ac:dyDescent="0.25">
      <c r="A33" s="89">
        <v>46210</v>
      </c>
      <c r="B33" s="28">
        <v>3427</v>
      </c>
      <c r="C33" s="28" t="s">
        <v>149</v>
      </c>
      <c r="D33" s="28" t="s">
        <v>166</v>
      </c>
      <c r="E33" s="28">
        <v>7</v>
      </c>
      <c r="F33" s="28">
        <v>8</v>
      </c>
      <c r="G33" s="28">
        <v>9</v>
      </c>
      <c r="H33" s="28"/>
      <c r="I33" s="28"/>
      <c r="J33" s="89">
        <v>46218</v>
      </c>
    </row>
    <row r="34" spans="1:10" ht="18.75" customHeight="1" x14ac:dyDescent="0.25">
      <c r="A34" s="89">
        <v>46210</v>
      </c>
      <c r="B34" s="28">
        <v>4025</v>
      </c>
      <c r="C34" s="28" t="s">
        <v>167</v>
      </c>
      <c r="D34" s="28" t="s">
        <v>168</v>
      </c>
      <c r="E34" s="28">
        <v>7</v>
      </c>
      <c r="F34" s="28">
        <v>8</v>
      </c>
      <c r="G34" s="28">
        <v>9</v>
      </c>
      <c r="H34" s="28"/>
      <c r="I34" s="28"/>
      <c r="J34" s="89">
        <v>46219</v>
      </c>
    </row>
    <row r="35" spans="1:10" ht="18.75" customHeight="1" x14ac:dyDescent="0.25">
      <c r="A35" s="89">
        <v>46210</v>
      </c>
      <c r="B35" s="28">
        <v>3515</v>
      </c>
      <c r="C35" s="28" t="s">
        <v>140</v>
      </c>
      <c r="D35" s="28" t="s">
        <v>151</v>
      </c>
      <c r="E35" s="28">
        <v>7</v>
      </c>
      <c r="F35" s="28">
        <v>8</v>
      </c>
      <c r="G35" s="28">
        <v>9</v>
      </c>
      <c r="H35" s="28"/>
      <c r="I35" s="28"/>
      <c r="J35" s="89">
        <v>46219</v>
      </c>
    </row>
    <row r="36" spans="1:10" ht="18.75" customHeight="1" x14ac:dyDescent="0.25">
      <c r="A36" s="89">
        <v>46210</v>
      </c>
      <c r="B36" s="28">
        <v>3025</v>
      </c>
      <c r="C36" s="28" t="s">
        <v>140</v>
      </c>
      <c r="D36" s="28" t="s">
        <v>151</v>
      </c>
      <c r="E36" s="28">
        <v>7</v>
      </c>
      <c r="F36" s="28">
        <v>8</v>
      </c>
      <c r="G36" s="28">
        <v>9</v>
      </c>
      <c r="H36" s="28"/>
      <c r="I36" s="28"/>
      <c r="J36" s="89">
        <v>46219</v>
      </c>
    </row>
    <row r="37" spans="1:10" ht="18.75" customHeight="1" x14ac:dyDescent="0.25">
      <c r="A37" s="89">
        <v>46210</v>
      </c>
      <c r="B37" s="28">
        <v>4469</v>
      </c>
      <c r="C37" s="28" t="s">
        <v>140</v>
      </c>
      <c r="D37" s="28" t="s">
        <v>151</v>
      </c>
      <c r="E37" s="28">
        <v>7</v>
      </c>
      <c r="F37" s="28">
        <v>8</v>
      </c>
      <c r="G37" s="28">
        <v>9</v>
      </c>
      <c r="H37" s="28"/>
      <c r="I37" s="28"/>
      <c r="J37" s="89">
        <v>46219</v>
      </c>
    </row>
    <row r="38" spans="1:10" ht="18.75" customHeight="1" x14ac:dyDescent="0.25">
      <c r="A38" s="89">
        <v>46210</v>
      </c>
      <c r="B38" s="28">
        <v>4759</v>
      </c>
      <c r="C38" s="28" t="s">
        <v>140</v>
      </c>
      <c r="D38" s="28" t="s">
        <v>151</v>
      </c>
      <c r="E38" s="28">
        <v>7</v>
      </c>
      <c r="F38" s="28">
        <v>8</v>
      </c>
      <c r="G38" s="28">
        <v>9</v>
      </c>
      <c r="H38" s="28"/>
      <c r="I38" s="28"/>
      <c r="J38" s="89">
        <v>46219</v>
      </c>
    </row>
    <row r="39" spans="1:10" ht="18.75" customHeight="1" x14ac:dyDescent="0.25">
      <c r="A39" s="89">
        <v>46210</v>
      </c>
      <c r="B39" s="28">
        <v>5285</v>
      </c>
      <c r="C39" s="28" t="s">
        <v>140</v>
      </c>
      <c r="D39" s="28" t="s">
        <v>151</v>
      </c>
      <c r="E39" s="28">
        <v>7</v>
      </c>
      <c r="F39" s="28">
        <v>8</v>
      </c>
      <c r="G39" s="28">
        <v>9</v>
      </c>
      <c r="H39" s="28"/>
      <c r="I39" s="28"/>
      <c r="J39" s="89">
        <v>46219</v>
      </c>
    </row>
    <row r="40" spans="1:10" ht="18.75" customHeight="1" x14ac:dyDescent="0.25">
      <c r="A40" s="89">
        <v>46211</v>
      </c>
      <c r="B40" s="28">
        <v>2894</v>
      </c>
      <c r="C40" s="28" t="s">
        <v>149</v>
      </c>
      <c r="D40" s="28" t="s">
        <v>166</v>
      </c>
      <c r="E40" s="28">
        <v>8</v>
      </c>
      <c r="F40" s="28">
        <v>9</v>
      </c>
      <c r="G40" s="28">
        <v>10</v>
      </c>
      <c r="H40" s="28"/>
      <c r="I40" s="28"/>
      <c r="J40" s="89">
        <v>46220</v>
      </c>
    </row>
    <row r="41" spans="1:10" ht="18.75" customHeight="1" x14ac:dyDescent="0.25">
      <c r="A41" s="89">
        <v>46211</v>
      </c>
      <c r="B41" s="28">
        <v>5056</v>
      </c>
      <c r="C41" s="28" t="s">
        <v>140</v>
      </c>
      <c r="D41" s="28" t="s">
        <v>169</v>
      </c>
      <c r="E41" s="28">
        <v>8</v>
      </c>
      <c r="F41" s="28">
        <v>9</v>
      </c>
      <c r="G41" s="28">
        <v>10</v>
      </c>
      <c r="H41" s="28"/>
      <c r="I41" s="28"/>
      <c r="J41" s="89">
        <v>46220</v>
      </c>
    </row>
    <row r="42" spans="1:10" ht="18.75" customHeight="1" x14ac:dyDescent="0.25">
      <c r="A42" s="89">
        <v>46211</v>
      </c>
      <c r="B42" s="28">
        <v>3573</v>
      </c>
      <c r="C42" s="28" t="s">
        <v>140</v>
      </c>
      <c r="D42" s="28" t="s">
        <v>151</v>
      </c>
      <c r="E42" s="28">
        <v>8</v>
      </c>
      <c r="F42" s="28">
        <v>9</v>
      </c>
      <c r="G42" s="28">
        <v>10</v>
      </c>
      <c r="H42" s="28"/>
      <c r="I42" s="28"/>
      <c r="J42" s="89">
        <v>46220</v>
      </c>
    </row>
    <row r="43" spans="1:10" ht="18.75" customHeight="1" x14ac:dyDescent="0.25">
      <c r="A43" s="89">
        <v>46211</v>
      </c>
      <c r="B43" s="28">
        <v>3728</v>
      </c>
      <c r="C43" s="28" t="s">
        <v>140</v>
      </c>
      <c r="D43" s="28" t="s">
        <v>151</v>
      </c>
      <c r="E43" s="28">
        <v>8</v>
      </c>
      <c r="F43" s="28">
        <v>9</v>
      </c>
      <c r="G43" s="28">
        <v>10</v>
      </c>
      <c r="H43" s="28"/>
      <c r="I43" s="28"/>
      <c r="J43" s="89">
        <v>46220</v>
      </c>
    </row>
    <row r="44" spans="1:10" ht="18.75" customHeight="1" x14ac:dyDescent="0.25">
      <c r="A44" s="89">
        <v>46211</v>
      </c>
      <c r="B44" s="28">
        <v>4642</v>
      </c>
      <c r="C44" s="28" t="s">
        <v>170</v>
      </c>
      <c r="D44" s="28" t="s">
        <v>171</v>
      </c>
      <c r="E44" s="28">
        <v>8</v>
      </c>
      <c r="F44" s="28">
        <v>9</v>
      </c>
      <c r="G44" s="28">
        <v>10</v>
      </c>
      <c r="H44" s="28"/>
      <c r="I44" s="28"/>
      <c r="J44" s="89">
        <v>46220</v>
      </c>
    </row>
    <row r="45" spans="1:10" ht="18.75" customHeight="1" x14ac:dyDescent="0.25">
      <c r="A45" s="89">
        <v>46212</v>
      </c>
      <c r="B45" s="28">
        <v>4407</v>
      </c>
      <c r="C45" s="28" t="s">
        <v>170</v>
      </c>
      <c r="D45" s="28" t="s">
        <v>172</v>
      </c>
      <c r="E45" s="28">
        <v>9</v>
      </c>
      <c r="F45" s="28">
        <v>10</v>
      </c>
      <c r="G45" s="28">
        <v>11</v>
      </c>
      <c r="H45" s="28">
        <v>12</v>
      </c>
      <c r="I45" s="28"/>
      <c r="J45" s="89">
        <v>46221</v>
      </c>
    </row>
    <row r="46" spans="1:10" ht="18.75" customHeight="1" x14ac:dyDescent="0.25">
      <c r="A46" s="89">
        <v>46212</v>
      </c>
      <c r="B46" s="28">
        <v>4731</v>
      </c>
      <c r="C46" s="28" t="s">
        <v>145</v>
      </c>
      <c r="D46" s="28" t="s">
        <v>173</v>
      </c>
      <c r="E46" s="28">
        <v>9</v>
      </c>
      <c r="F46" s="28">
        <v>10</v>
      </c>
      <c r="G46" s="28">
        <v>11</v>
      </c>
      <c r="H46" s="28"/>
      <c r="I46" s="28"/>
      <c r="J46" s="89">
        <v>46221</v>
      </c>
    </row>
    <row r="47" spans="1:10" ht="18.75" customHeight="1" x14ac:dyDescent="0.25">
      <c r="A47" s="89">
        <v>46212</v>
      </c>
      <c r="B47" s="28">
        <v>4729</v>
      </c>
      <c r="C47" s="28" t="s">
        <v>145</v>
      </c>
      <c r="D47" s="28" t="s">
        <v>173</v>
      </c>
      <c r="E47" s="28">
        <v>9</v>
      </c>
      <c r="F47" s="28">
        <v>10</v>
      </c>
      <c r="G47" s="28">
        <v>11</v>
      </c>
      <c r="H47" s="28"/>
      <c r="I47" s="28"/>
      <c r="J47" s="89">
        <v>46221</v>
      </c>
    </row>
    <row r="48" spans="1:10" ht="18.75" customHeight="1" x14ac:dyDescent="0.25">
      <c r="A48" s="89">
        <v>46212</v>
      </c>
      <c r="B48" s="28">
        <v>4915</v>
      </c>
      <c r="C48" s="28" t="s">
        <v>149</v>
      </c>
      <c r="D48" s="28" t="s">
        <v>166</v>
      </c>
      <c r="E48" s="28">
        <v>9</v>
      </c>
      <c r="F48" s="28">
        <v>10</v>
      </c>
      <c r="G48" s="28">
        <v>11</v>
      </c>
      <c r="H48" s="28"/>
      <c r="I48" s="28"/>
      <c r="J48" s="89">
        <v>46221</v>
      </c>
    </row>
    <row r="49" spans="1:10" ht="18.75" customHeight="1" x14ac:dyDescent="0.25">
      <c r="A49" s="89">
        <v>46212</v>
      </c>
      <c r="B49" s="28">
        <v>3478</v>
      </c>
      <c r="C49" s="28" t="s">
        <v>140</v>
      </c>
      <c r="D49" s="28" t="s">
        <v>174</v>
      </c>
      <c r="E49" s="28">
        <v>9</v>
      </c>
      <c r="F49" s="28">
        <v>10</v>
      </c>
      <c r="G49" s="28">
        <v>11</v>
      </c>
      <c r="H49" s="28"/>
      <c r="I49" s="28"/>
      <c r="J49" s="89">
        <v>46221</v>
      </c>
    </row>
    <row r="50" spans="1:10" ht="18.75" customHeight="1" x14ac:dyDescent="0.25">
      <c r="A50" s="89">
        <v>46212</v>
      </c>
      <c r="B50" s="28">
        <v>4446</v>
      </c>
      <c r="C50" s="28" t="s">
        <v>140</v>
      </c>
      <c r="D50" s="28" t="s">
        <v>151</v>
      </c>
      <c r="E50" s="28">
        <v>9</v>
      </c>
      <c r="F50" s="28">
        <v>10</v>
      </c>
      <c r="G50" s="28">
        <v>11</v>
      </c>
      <c r="H50" s="28"/>
      <c r="I50" s="28"/>
      <c r="J50" s="89">
        <v>46221</v>
      </c>
    </row>
    <row r="51" spans="1:10" ht="18.75" customHeight="1" x14ac:dyDescent="0.25">
      <c r="A51" s="89">
        <v>46212</v>
      </c>
      <c r="B51" s="28">
        <v>3210</v>
      </c>
      <c r="C51" s="28" t="s">
        <v>140</v>
      </c>
      <c r="D51" s="28" t="s">
        <v>159</v>
      </c>
      <c r="E51" s="28">
        <v>9</v>
      </c>
      <c r="F51" s="28">
        <v>10</v>
      </c>
      <c r="G51" s="28">
        <v>11</v>
      </c>
      <c r="H51" s="28"/>
      <c r="I51" s="28"/>
      <c r="J51" s="89">
        <v>46219</v>
      </c>
    </row>
    <row r="52" spans="1:10" ht="18.75" customHeight="1" x14ac:dyDescent="0.25">
      <c r="A52" s="89">
        <v>46212</v>
      </c>
      <c r="B52" s="28">
        <v>5596</v>
      </c>
      <c r="C52" s="28" t="s">
        <v>140</v>
      </c>
      <c r="D52" s="28" t="s">
        <v>152</v>
      </c>
      <c r="E52" s="28">
        <v>9</v>
      </c>
      <c r="F52" s="28">
        <v>10</v>
      </c>
      <c r="G52" s="28">
        <v>11</v>
      </c>
      <c r="H52" s="28"/>
      <c r="I52" s="28"/>
      <c r="J52" s="89">
        <v>46237</v>
      </c>
    </row>
    <row r="53" spans="1:10" ht="18.75" customHeight="1" x14ac:dyDescent="0.25">
      <c r="A53" s="89">
        <v>46212</v>
      </c>
      <c r="B53" s="28">
        <v>3193</v>
      </c>
      <c r="C53" s="28" t="s">
        <v>149</v>
      </c>
      <c r="D53" s="28" t="s">
        <v>168</v>
      </c>
      <c r="E53" s="28">
        <v>9</v>
      </c>
      <c r="F53" s="28">
        <v>10</v>
      </c>
      <c r="G53" s="28">
        <v>11</v>
      </c>
      <c r="H53" s="28"/>
      <c r="I53" s="28"/>
      <c r="J53" s="89">
        <v>46221</v>
      </c>
    </row>
    <row r="54" spans="1:10" ht="18.75" customHeight="1" x14ac:dyDescent="0.25">
      <c r="A54" s="89">
        <v>46212</v>
      </c>
      <c r="B54" s="28">
        <v>2856</v>
      </c>
      <c r="C54" s="28" t="s">
        <v>149</v>
      </c>
      <c r="D54" s="28" t="s">
        <v>175</v>
      </c>
      <c r="E54" s="28">
        <v>9</v>
      </c>
      <c r="F54" s="28">
        <v>10</v>
      </c>
      <c r="G54" s="28">
        <v>11</v>
      </c>
      <c r="H54" s="28"/>
      <c r="I54" s="28"/>
      <c r="J54" s="89">
        <v>46221</v>
      </c>
    </row>
    <row r="55" spans="1:10" ht="18.75" customHeight="1" x14ac:dyDescent="0.25">
      <c r="A55" s="89">
        <v>46212</v>
      </c>
      <c r="B55" s="28">
        <v>4595</v>
      </c>
      <c r="C55" s="28" t="s">
        <v>143</v>
      </c>
      <c r="D55" s="28" t="s">
        <v>144</v>
      </c>
      <c r="E55" s="28">
        <v>9</v>
      </c>
      <c r="F55" s="28">
        <v>10</v>
      </c>
      <c r="G55" s="28">
        <v>11</v>
      </c>
      <c r="H55" s="28"/>
      <c r="I55" s="28"/>
      <c r="J55" s="89">
        <v>46237</v>
      </c>
    </row>
    <row r="56" spans="1:10" ht="18.75" customHeight="1" x14ac:dyDescent="0.25">
      <c r="A56" s="89">
        <v>46213</v>
      </c>
      <c r="B56" s="28">
        <v>3876</v>
      </c>
      <c r="C56" s="28" t="s">
        <v>156</v>
      </c>
      <c r="D56" s="28" t="s">
        <v>157</v>
      </c>
      <c r="E56" s="28">
        <v>10</v>
      </c>
      <c r="F56" s="28">
        <v>11</v>
      </c>
      <c r="G56" s="28">
        <v>12</v>
      </c>
      <c r="H56" s="28"/>
      <c r="I56" s="28"/>
      <c r="J56" s="89">
        <v>46218</v>
      </c>
    </row>
    <row r="57" spans="1:10" ht="18.75" customHeight="1" x14ac:dyDescent="0.25">
      <c r="A57" s="89">
        <v>46213</v>
      </c>
      <c r="B57" s="28">
        <v>4661</v>
      </c>
      <c r="C57" s="28" t="s">
        <v>149</v>
      </c>
      <c r="D57" s="28" t="s">
        <v>168</v>
      </c>
      <c r="E57" s="28">
        <v>10</v>
      </c>
      <c r="F57" s="28">
        <v>11</v>
      </c>
      <c r="G57" s="28">
        <v>12</v>
      </c>
      <c r="H57" s="28"/>
      <c r="I57" s="28"/>
      <c r="J57" s="89">
        <v>46222</v>
      </c>
    </row>
    <row r="58" spans="1:10" ht="18.75" customHeight="1" x14ac:dyDescent="0.25">
      <c r="A58" s="89">
        <v>46213</v>
      </c>
      <c r="B58" s="28">
        <v>4653</v>
      </c>
      <c r="C58" s="28" t="s">
        <v>156</v>
      </c>
      <c r="D58" s="28" t="s">
        <v>157</v>
      </c>
      <c r="E58" s="28">
        <v>10</v>
      </c>
      <c r="F58" s="28">
        <v>11</v>
      </c>
      <c r="G58" s="28">
        <v>12</v>
      </c>
      <c r="H58" s="28"/>
      <c r="I58" s="28"/>
      <c r="J58" s="89">
        <v>46218</v>
      </c>
    </row>
    <row r="59" spans="1:10" ht="18.75" customHeight="1" x14ac:dyDescent="0.25">
      <c r="A59" s="89">
        <v>46213</v>
      </c>
      <c r="B59" s="28">
        <v>4303</v>
      </c>
      <c r="C59" s="28" t="s">
        <v>140</v>
      </c>
      <c r="D59" s="28" t="s">
        <v>165</v>
      </c>
      <c r="E59" s="28">
        <v>10</v>
      </c>
      <c r="F59" s="28">
        <v>11</v>
      </c>
      <c r="G59" s="28">
        <v>12</v>
      </c>
      <c r="H59" s="28"/>
      <c r="I59" s="28"/>
      <c r="J59" s="89">
        <v>46237</v>
      </c>
    </row>
    <row r="60" spans="1:10" ht="18.75" customHeight="1" x14ac:dyDescent="0.25">
      <c r="A60" s="89">
        <v>46214</v>
      </c>
      <c r="B60" s="28">
        <v>4508</v>
      </c>
      <c r="C60" s="28" t="s">
        <v>140</v>
      </c>
      <c r="D60" s="28" t="s">
        <v>176</v>
      </c>
      <c r="E60" s="28">
        <v>11</v>
      </c>
      <c r="F60" s="28">
        <v>12</v>
      </c>
      <c r="G60" s="28">
        <v>13</v>
      </c>
      <c r="H60" s="28"/>
      <c r="I60" s="28"/>
      <c r="J60" s="89">
        <v>46222</v>
      </c>
    </row>
    <row r="61" spans="1:10" ht="18.75" customHeight="1" x14ac:dyDescent="0.25">
      <c r="A61" s="89">
        <v>46214</v>
      </c>
      <c r="B61" s="28">
        <v>4724</v>
      </c>
      <c r="C61" s="28" t="s">
        <v>149</v>
      </c>
      <c r="D61" s="28" t="s">
        <v>166</v>
      </c>
      <c r="E61" s="28">
        <v>11</v>
      </c>
      <c r="F61" s="28">
        <v>12</v>
      </c>
      <c r="G61" s="28">
        <v>13</v>
      </c>
      <c r="H61" s="28"/>
      <c r="I61" s="28"/>
      <c r="J61" s="89">
        <v>46223</v>
      </c>
    </row>
    <row r="62" spans="1:10" ht="18.75" customHeight="1" x14ac:dyDescent="0.25">
      <c r="A62" s="89">
        <v>46214</v>
      </c>
      <c r="B62" s="28">
        <v>4352</v>
      </c>
      <c r="C62" s="28" t="s">
        <v>149</v>
      </c>
      <c r="D62" s="28" t="s">
        <v>166</v>
      </c>
      <c r="E62" s="28">
        <v>11</v>
      </c>
      <c r="F62" s="28">
        <v>12</v>
      </c>
      <c r="G62" s="28">
        <v>13</v>
      </c>
      <c r="H62" s="28"/>
      <c r="I62" s="28"/>
      <c r="J62" s="89">
        <v>46223</v>
      </c>
    </row>
    <row r="63" spans="1:10" ht="18.75" customHeight="1" x14ac:dyDescent="0.25">
      <c r="A63" s="89">
        <v>46216</v>
      </c>
      <c r="B63" s="28">
        <v>4965</v>
      </c>
      <c r="C63" s="28" t="s">
        <v>145</v>
      </c>
      <c r="D63" s="28" t="s">
        <v>173</v>
      </c>
      <c r="E63" s="28">
        <v>13</v>
      </c>
      <c r="F63" s="28">
        <v>14</v>
      </c>
      <c r="G63" s="28">
        <v>15</v>
      </c>
      <c r="H63" s="28"/>
      <c r="I63" s="28"/>
      <c r="J63" s="89">
        <v>46224</v>
      </c>
    </row>
    <row r="64" spans="1:10" ht="18.75" customHeight="1" x14ac:dyDescent="0.25">
      <c r="A64" s="89">
        <v>46216</v>
      </c>
      <c r="B64" s="28">
        <v>4661</v>
      </c>
      <c r="C64" s="28" t="s">
        <v>170</v>
      </c>
      <c r="D64" s="28" t="s">
        <v>173</v>
      </c>
      <c r="E64" s="28">
        <v>13</v>
      </c>
      <c r="F64" s="28">
        <v>14</v>
      </c>
      <c r="G64" s="28">
        <v>15</v>
      </c>
      <c r="H64" s="28"/>
      <c r="I64" s="28"/>
      <c r="J64" s="89">
        <v>46224</v>
      </c>
    </row>
    <row r="65" spans="1:10" ht="18.75" customHeight="1" x14ac:dyDescent="0.25">
      <c r="A65" s="89">
        <v>46217</v>
      </c>
      <c r="B65" s="28">
        <v>3676</v>
      </c>
      <c r="C65" s="28" t="s">
        <v>177</v>
      </c>
      <c r="D65" s="28" t="s">
        <v>154</v>
      </c>
      <c r="E65" s="28">
        <v>14</v>
      </c>
      <c r="F65" s="28">
        <v>15</v>
      </c>
      <c r="G65" s="28">
        <v>16</v>
      </c>
      <c r="H65" s="28"/>
      <c r="I65" s="28"/>
      <c r="J65" s="89">
        <v>46225</v>
      </c>
    </row>
    <row r="66" spans="1:10" ht="18.75" customHeight="1" x14ac:dyDescent="0.25">
      <c r="A66" s="89">
        <v>46217</v>
      </c>
      <c r="B66" s="28">
        <v>3122</v>
      </c>
      <c r="C66" s="28" t="s">
        <v>140</v>
      </c>
      <c r="D66" s="28" t="s">
        <v>178</v>
      </c>
      <c r="E66" s="28">
        <v>14</v>
      </c>
      <c r="F66" s="28">
        <v>15</v>
      </c>
      <c r="G66" s="28">
        <v>16</v>
      </c>
      <c r="H66" s="28"/>
      <c r="I66" s="28"/>
      <c r="J66" s="89">
        <v>46225</v>
      </c>
    </row>
    <row r="67" spans="1:10" ht="18.75" customHeight="1" x14ac:dyDescent="0.25">
      <c r="A67" s="89">
        <v>46217</v>
      </c>
      <c r="B67" s="28">
        <v>3626</v>
      </c>
      <c r="C67" s="28" t="s">
        <v>149</v>
      </c>
      <c r="D67" s="28" t="s">
        <v>179</v>
      </c>
      <c r="E67" s="28">
        <v>14</v>
      </c>
      <c r="F67" s="28">
        <v>15</v>
      </c>
      <c r="G67" s="28">
        <v>16</v>
      </c>
      <c r="H67" s="28"/>
      <c r="I67" s="28"/>
      <c r="J67" s="89">
        <v>46225</v>
      </c>
    </row>
    <row r="68" spans="1:10" ht="18.75" customHeight="1" x14ac:dyDescent="0.25">
      <c r="A68" s="89">
        <v>46218</v>
      </c>
      <c r="B68" s="28">
        <v>4477</v>
      </c>
      <c r="C68" s="28" t="s">
        <v>156</v>
      </c>
      <c r="D68" s="28" t="s">
        <v>157</v>
      </c>
      <c r="E68" s="28">
        <v>15</v>
      </c>
      <c r="F68" s="28">
        <v>16</v>
      </c>
      <c r="G68" s="28">
        <v>17</v>
      </c>
      <c r="H68" s="28"/>
      <c r="I68" s="28"/>
      <c r="J68" s="89">
        <v>46223</v>
      </c>
    </row>
    <row r="69" spans="1:10" ht="18.75" customHeight="1" x14ac:dyDescent="0.25">
      <c r="A69" s="89">
        <v>46218</v>
      </c>
      <c r="B69" s="28">
        <v>4706</v>
      </c>
      <c r="C69" s="28" t="s">
        <v>180</v>
      </c>
      <c r="D69" s="28" t="s">
        <v>173</v>
      </c>
      <c r="E69" s="28">
        <v>15</v>
      </c>
      <c r="F69" s="28">
        <v>16</v>
      </c>
      <c r="G69" s="28">
        <v>17</v>
      </c>
      <c r="H69" s="28"/>
      <c r="I69" s="28"/>
      <c r="J69" s="89">
        <v>46226</v>
      </c>
    </row>
    <row r="70" spans="1:10" ht="18.75" customHeight="1" x14ac:dyDescent="0.25">
      <c r="A70" s="89">
        <v>46218</v>
      </c>
      <c r="B70" s="28">
        <v>5192</v>
      </c>
      <c r="C70" s="28" t="s">
        <v>181</v>
      </c>
      <c r="D70" s="28" t="s">
        <v>154</v>
      </c>
      <c r="E70" s="28">
        <v>15</v>
      </c>
      <c r="F70" s="28">
        <v>16</v>
      </c>
      <c r="G70" s="28">
        <v>17</v>
      </c>
      <c r="H70" s="28"/>
      <c r="I70" s="28"/>
      <c r="J70" s="89">
        <v>46226</v>
      </c>
    </row>
    <row r="71" spans="1:10" ht="18.75" customHeight="1" x14ac:dyDescent="0.25">
      <c r="A71" s="89">
        <v>46219</v>
      </c>
      <c r="B71" s="28">
        <v>3528</v>
      </c>
      <c r="C71" s="28" t="s">
        <v>140</v>
      </c>
      <c r="D71" s="28" t="s">
        <v>182</v>
      </c>
      <c r="E71" s="28">
        <v>16</v>
      </c>
      <c r="F71" s="28">
        <v>17</v>
      </c>
      <c r="G71" s="28">
        <v>18</v>
      </c>
      <c r="H71" s="28"/>
      <c r="I71" s="28"/>
      <c r="J71" s="89">
        <v>46227</v>
      </c>
    </row>
    <row r="72" spans="1:10" ht="18.75" customHeight="1" x14ac:dyDescent="0.25">
      <c r="A72" s="89">
        <v>46219</v>
      </c>
      <c r="B72" s="28">
        <v>3251</v>
      </c>
      <c r="C72" s="28" t="s">
        <v>140</v>
      </c>
      <c r="D72" s="28" t="s">
        <v>182</v>
      </c>
      <c r="E72" s="28">
        <v>16</v>
      </c>
      <c r="F72" s="28">
        <v>17</v>
      </c>
      <c r="G72" s="28">
        <v>18</v>
      </c>
      <c r="H72" s="28"/>
      <c r="I72" s="28"/>
      <c r="J72" s="89">
        <v>46227</v>
      </c>
    </row>
    <row r="73" spans="1:10" ht="18.75" customHeight="1" x14ac:dyDescent="0.25">
      <c r="A73" s="89">
        <v>46219</v>
      </c>
      <c r="B73" s="28">
        <v>3372</v>
      </c>
      <c r="C73" s="28" t="s">
        <v>140</v>
      </c>
      <c r="D73" s="28" t="s">
        <v>182</v>
      </c>
      <c r="E73" s="28">
        <v>16</v>
      </c>
      <c r="F73" s="28">
        <v>17</v>
      </c>
      <c r="G73" s="28">
        <v>18</v>
      </c>
      <c r="H73" s="28"/>
      <c r="I73" s="28"/>
      <c r="J73" s="89">
        <v>46227</v>
      </c>
    </row>
    <row r="74" spans="1:10" ht="18.75" customHeight="1" x14ac:dyDescent="0.25">
      <c r="A74" s="89">
        <v>46219</v>
      </c>
      <c r="B74" s="28">
        <v>2544</v>
      </c>
      <c r="C74" s="28" t="s">
        <v>156</v>
      </c>
      <c r="D74" s="28" t="s">
        <v>157</v>
      </c>
      <c r="E74" s="28">
        <v>16</v>
      </c>
      <c r="F74" s="28">
        <v>17</v>
      </c>
      <c r="G74" s="28">
        <v>18</v>
      </c>
      <c r="H74" s="28"/>
      <c r="I74" s="28"/>
      <c r="J74" s="89">
        <v>46224</v>
      </c>
    </row>
    <row r="75" spans="1:10" ht="18.75" customHeight="1" x14ac:dyDescent="0.25">
      <c r="A75" s="89">
        <v>46219</v>
      </c>
      <c r="B75" s="28">
        <v>5649</v>
      </c>
      <c r="C75" s="28" t="s">
        <v>143</v>
      </c>
      <c r="D75" s="28" t="s">
        <v>144</v>
      </c>
      <c r="E75" s="28">
        <v>16</v>
      </c>
      <c r="F75" s="28">
        <v>17</v>
      </c>
      <c r="G75" s="28">
        <v>18</v>
      </c>
      <c r="H75" s="28"/>
      <c r="I75" s="28"/>
      <c r="J75" s="89">
        <v>46241</v>
      </c>
    </row>
    <row r="76" spans="1:10" ht="18.75" customHeight="1" x14ac:dyDescent="0.25">
      <c r="A76" s="89">
        <v>46219</v>
      </c>
      <c r="B76" s="28">
        <v>3841</v>
      </c>
      <c r="C76" s="28" t="s">
        <v>143</v>
      </c>
      <c r="D76" s="28" t="s">
        <v>144</v>
      </c>
      <c r="E76" s="28">
        <v>16</v>
      </c>
      <c r="F76" s="28">
        <v>17</v>
      </c>
      <c r="G76" s="28">
        <v>18</v>
      </c>
      <c r="H76" s="28"/>
      <c r="I76" s="28"/>
      <c r="J76" s="89">
        <v>46241</v>
      </c>
    </row>
    <row r="77" spans="1:10" ht="18.75" customHeight="1" x14ac:dyDescent="0.25">
      <c r="A77" s="89">
        <v>46220</v>
      </c>
      <c r="B77" s="28">
        <v>3789</v>
      </c>
      <c r="C77" s="28" t="s">
        <v>149</v>
      </c>
      <c r="D77" s="28" t="s">
        <v>183</v>
      </c>
      <c r="E77" s="28">
        <v>17</v>
      </c>
      <c r="F77" s="28">
        <v>18</v>
      </c>
      <c r="G77" s="28">
        <v>19</v>
      </c>
      <c r="H77" s="28"/>
      <c r="I77" s="28"/>
      <c r="J77" s="89">
        <v>46227</v>
      </c>
    </row>
    <row r="78" spans="1:10" ht="18.75" customHeight="1" x14ac:dyDescent="0.25">
      <c r="A78" s="89">
        <v>46220</v>
      </c>
      <c r="B78" s="28">
        <v>4138</v>
      </c>
      <c r="C78" s="28" t="s">
        <v>156</v>
      </c>
      <c r="D78" s="28" t="s">
        <v>157</v>
      </c>
      <c r="E78" s="28">
        <v>17</v>
      </c>
      <c r="F78" s="28">
        <v>18</v>
      </c>
      <c r="G78" s="28">
        <v>19</v>
      </c>
      <c r="H78" s="28"/>
      <c r="I78" s="28"/>
      <c r="J78" s="89">
        <v>46226</v>
      </c>
    </row>
    <row r="79" spans="1:10" ht="18.75" customHeight="1" x14ac:dyDescent="0.25">
      <c r="A79" s="89">
        <v>46220</v>
      </c>
      <c r="B79" s="28">
        <v>4028</v>
      </c>
      <c r="C79" s="28" t="s">
        <v>140</v>
      </c>
      <c r="D79" s="28" t="s">
        <v>152</v>
      </c>
      <c r="E79" s="28">
        <v>17</v>
      </c>
      <c r="F79" s="28">
        <v>18</v>
      </c>
      <c r="G79" s="28">
        <v>19</v>
      </c>
      <c r="H79" s="28"/>
      <c r="I79" s="28"/>
      <c r="J79" s="89">
        <v>46242</v>
      </c>
    </row>
    <row r="80" spans="1:10" ht="18.75" customHeight="1" x14ac:dyDescent="0.25">
      <c r="A80" s="89">
        <v>46220</v>
      </c>
      <c r="B80" s="28">
        <v>4810</v>
      </c>
      <c r="C80" s="28" t="s">
        <v>156</v>
      </c>
      <c r="D80" s="28" t="s">
        <v>184</v>
      </c>
      <c r="E80" s="28">
        <v>17</v>
      </c>
      <c r="F80" s="28">
        <v>18</v>
      </c>
      <c r="G80" s="28">
        <v>19</v>
      </c>
      <c r="H80" s="28"/>
      <c r="I80" s="28"/>
      <c r="J80" s="89">
        <v>46229</v>
      </c>
    </row>
    <row r="81" spans="1:10" ht="18.75" customHeight="1" x14ac:dyDescent="0.25">
      <c r="A81" s="89">
        <v>46221</v>
      </c>
      <c r="B81" s="28">
        <v>4438</v>
      </c>
      <c r="C81" s="28" t="s">
        <v>156</v>
      </c>
      <c r="D81" s="28" t="s">
        <v>157</v>
      </c>
      <c r="E81" s="28">
        <v>18</v>
      </c>
      <c r="F81" s="28">
        <v>19</v>
      </c>
      <c r="G81" s="28">
        <v>20</v>
      </c>
      <c r="H81" s="28"/>
      <c r="I81" s="28"/>
      <c r="J81" s="89">
        <v>46227</v>
      </c>
    </row>
    <row r="82" spans="1:10" ht="18.75" customHeight="1" x14ac:dyDescent="0.25">
      <c r="A82" s="89">
        <v>46222</v>
      </c>
      <c r="B82" s="28">
        <v>5009</v>
      </c>
      <c r="C82" s="28" t="s">
        <v>149</v>
      </c>
      <c r="D82" s="28" t="s">
        <v>179</v>
      </c>
      <c r="E82" s="28">
        <v>19</v>
      </c>
      <c r="F82" s="28">
        <v>20</v>
      </c>
      <c r="G82" s="28">
        <v>21</v>
      </c>
      <c r="H82" s="28"/>
      <c r="I82" s="28"/>
      <c r="J82" s="89">
        <v>46231</v>
      </c>
    </row>
    <row r="83" spans="1:10" ht="18.75" customHeight="1" x14ac:dyDescent="0.25">
      <c r="A83" s="89">
        <v>46223</v>
      </c>
      <c r="B83" s="28">
        <v>5774</v>
      </c>
      <c r="C83" s="28" t="s">
        <v>170</v>
      </c>
      <c r="D83" s="28" t="s">
        <v>173</v>
      </c>
      <c r="E83" s="28">
        <v>20</v>
      </c>
      <c r="F83" s="28">
        <v>21</v>
      </c>
      <c r="G83" s="28">
        <v>22</v>
      </c>
      <c r="H83" s="28"/>
      <c r="I83" s="28"/>
      <c r="J83" s="89">
        <v>46231</v>
      </c>
    </row>
    <row r="84" spans="1:10" ht="18.75" customHeight="1" x14ac:dyDescent="0.25">
      <c r="A84" s="89">
        <v>46223</v>
      </c>
      <c r="B84" s="28">
        <v>5242</v>
      </c>
      <c r="C84" s="28" t="s">
        <v>170</v>
      </c>
      <c r="D84" s="28" t="s">
        <v>173</v>
      </c>
      <c r="E84" s="28">
        <v>20</v>
      </c>
      <c r="F84" s="28">
        <v>21</v>
      </c>
      <c r="G84" s="28">
        <v>22</v>
      </c>
      <c r="H84" s="28"/>
      <c r="I84" s="28"/>
      <c r="J84" s="89">
        <v>46231</v>
      </c>
    </row>
    <row r="85" spans="1:10" ht="18.75" customHeight="1" x14ac:dyDescent="0.25">
      <c r="A85" s="89">
        <v>46223</v>
      </c>
      <c r="B85" s="28">
        <v>3997</v>
      </c>
      <c r="C85" s="28" t="s">
        <v>170</v>
      </c>
      <c r="D85" s="28" t="s">
        <v>173</v>
      </c>
      <c r="E85" s="28">
        <v>20</v>
      </c>
      <c r="F85" s="28">
        <v>21</v>
      </c>
      <c r="G85" s="28">
        <v>22</v>
      </c>
      <c r="H85" s="28"/>
      <c r="I85" s="28"/>
      <c r="J85" s="89">
        <v>46231</v>
      </c>
    </row>
    <row r="86" spans="1:10" ht="18.75" customHeight="1" x14ac:dyDescent="0.25">
      <c r="A86" s="89">
        <v>46223</v>
      </c>
      <c r="B86" s="28" t="s">
        <v>143</v>
      </c>
      <c r="C86" s="28" t="s">
        <v>143</v>
      </c>
      <c r="D86" s="28" t="s">
        <v>144</v>
      </c>
      <c r="E86" s="28">
        <v>20</v>
      </c>
      <c r="F86" s="28">
        <v>21</v>
      </c>
      <c r="G86" s="28">
        <v>22</v>
      </c>
      <c r="H86" s="28"/>
      <c r="I86" s="28"/>
      <c r="J86" s="89">
        <v>46247</v>
      </c>
    </row>
    <row r="87" spans="1:10" ht="18.75" customHeight="1" x14ac:dyDescent="0.25">
      <c r="A87" s="89">
        <v>46224</v>
      </c>
      <c r="B87" s="28">
        <v>4823</v>
      </c>
      <c r="C87" s="28" t="s">
        <v>140</v>
      </c>
      <c r="D87" s="28" t="s">
        <v>178</v>
      </c>
      <c r="E87" s="28">
        <v>21</v>
      </c>
      <c r="F87" s="28">
        <v>22</v>
      </c>
      <c r="G87" s="28">
        <v>23</v>
      </c>
      <c r="H87" s="28"/>
      <c r="I87" s="28"/>
      <c r="J87" s="89">
        <v>46231</v>
      </c>
    </row>
    <row r="88" spans="1:10" ht="18.75" customHeight="1" x14ac:dyDescent="0.25">
      <c r="A88" s="89">
        <v>46224</v>
      </c>
      <c r="B88" s="28">
        <v>4928</v>
      </c>
      <c r="C88" s="28" t="s">
        <v>149</v>
      </c>
      <c r="D88" s="28" t="s">
        <v>166</v>
      </c>
      <c r="E88" s="28">
        <v>21</v>
      </c>
      <c r="F88" s="28">
        <v>22</v>
      </c>
      <c r="G88" s="28">
        <v>23</v>
      </c>
      <c r="H88" s="28"/>
      <c r="I88" s="28"/>
      <c r="J88" s="89">
        <v>46233</v>
      </c>
    </row>
    <row r="89" spans="1:10" ht="18.75" customHeight="1" x14ac:dyDescent="0.25">
      <c r="A89" s="89">
        <v>46224</v>
      </c>
      <c r="B89" s="28">
        <v>4456</v>
      </c>
      <c r="C89" s="28" t="s">
        <v>140</v>
      </c>
      <c r="D89" s="28" t="s">
        <v>152</v>
      </c>
      <c r="E89" s="28">
        <v>21</v>
      </c>
      <c r="F89" s="28">
        <v>22</v>
      </c>
      <c r="G89" s="28">
        <v>23</v>
      </c>
      <c r="H89" s="28"/>
      <c r="I89" s="28"/>
      <c r="J89" s="89">
        <v>46249</v>
      </c>
    </row>
    <row r="90" spans="1:10" ht="18.75" customHeight="1" x14ac:dyDescent="0.25">
      <c r="A90" s="89">
        <v>46225</v>
      </c>
      <c r="B90" s="28">
        <v>3225</v>
      </c>
      <c r="C90" s="28" t="s">
        <v>156</v>
      </c>
      <c r="D90" s="28" t="s">
        <v>157</v>
      </c>
      <c r="E90" s="28">
        <v>22</v>
      </c>
      <c r="F90" s="28">
        <v>23</v>
      </c>
      <c r="G90" s="28">
        <v>24</v>
      </c>
      <c r="H90" s="28"/>
      <c r="I90" s="28"/>
      <c r="J90" s="89">
        <v>46231</v>
      </c>
    </row>
    <row r="91" spans="1:10" ht="18.75" customHeight="1" x14ac:dyDescent="0.25">
      <c r="A91" s="89">
        <v>46225</v>
      </c>
      <c r="B91" s="28">
        <v>3164</v>
      </c>
      <c r="C91" s="28" t="s">
        <v>143</v>
      </c>
      <c r="D91" s="28" t="s">
        <v>144</v>
      </c>
      <c r="E91" s="28">
        <v>22</v>
      </c>
      <c r="F91" s="28">
        <v>23</v>
      </c>
      <c r="G91" s="28">
        <v>24</v>
      </c>
      <c r="H91" s="28"/>
      <c r="I91" s="28"/>
      <c r="J91" s="89">
        <v>46250</v>
      </c>
    </row>
    <row r="92" spans="1:10" ht="18.75" customHeight="1" x14ac:dyDescent="0.25">
      <c r="A92" s="89">
        <v>46225</v>
      </c>
      <c r="B92" s="28">
        <v>3556</v>
      </c>
      <c r="C92" s="28" t="s">
        <v>143</v>
      </c>
      <c r="D92" s="28" t="s">
        <v>144</v>
      </c>
      <c r="E92" s="28">
        <v>22</v>
      </c>
      <c r="F92" s="28">
        <v>23</v>
      </c>
      <c r="G92" s="28">
        <v>24</v>
      </c>
      <c r="H92" s="28"/>
      <c r="I92" s="28"/>
      <c r="J92" s="89">
        <v>46250</v>
      </c>
    </row>
    <row r="93" spans="1:10" ht="18.75" customHeight="1" x14ac:dyDescent="0.25">
      <c r="A93" s="89">
        <v>46226</v>
      </c>
      <c r="B93" s="28">
        <v>5447</v>
      </c>
      <c r="C93" s="28" t="s">
        <v>156</v>
      </c>
      <c r="D93" s="28" t="s">
        <v>157</v>
      </c>
      <c r="E93" s="28">
        <v>23</v>
      </c>
      <c r="F93" s="28">
        <v>24</v>
      </c>
      <c r="G93" s="28">
        <v>25</v>
      </c>
      <c r="H93" s="28"/>
      <c r="I93" s="28"/>
      <c r="J93" s="89">
        <v>46232</v>
      </c>
    </row>
    <row r="94" spans="1:10" ht="18.75" customHeight="1" x14ac:dyDescent="0.25">
      <c r="A94" s="89">
        <v>46226</v>
      </c>
      <c r="B94" s="28">
        <v>2925</v>
      </c>
      <c r="C94" s="28" t="s">
        <v>149</v>
      </c>
      <c r="D94" s="28" t="s">
        <v>160</v>
      </c>
      <c r="E94" s="28">
        <v>23</v>
      </c>
      <c r="F94" s="28">
        <v>24</v>
      </c>
      <c r="G94" s="28">
        <v>25</v>
      </c>
      <c r="H94" s="28"/>
      <c r="I94" s="28"/>
      <c r="J94" s="89">
        <v>46234</v>
      </c>
    </row>
    <row r="95" spans="1:10" ht="18.75" customHeight="1" x14ac:dyDescent="0.25">
      <c r="A95" s="89">
        <v>46227</v>
      </c>
      <c r="B95" s="28">
        <v>3263</v>
      </c>
      <c r="C95" s="28" t="s">
        <v>143</v>
      </c>
      <c r="D95" s="28" t="s">
        <v>185</v>
      </c>
      <c r="E95" s="28">
        <v>24</v>
      </c>
      <c r="F95" s="28">
        <v>25</v>
      </c>
      <c r="G95" s="28">
        <v>26</v>
      </c>
      <c r="H95" s="28"/>
      <c r="I95" s="28"/>
      <c r="J95" s="89">
        <v>46234</v>
      </c>
    </row>
    <row r="96" spans="1:10" ht="18.75" customHeight="1" x14ac:dyDescent="0.25">
      <c r="A96" s="89">
        <v>46227</v>
      </c>
      <c r="B96" s="28">
        <v>3816</v>
      </c>
      <c r="C96" s="28" t="s">
        <v>186</v>
      </c>
      <c r="D96" s="28" t="s">
        <v>160</v>
      </c>
      <c r="E96" s="28">
        <v>24</v>
      </c>
      <c r="F96" s="28">
        <v>25</v>
      </c>
      <c r="G96" s="28">
        <v>26</v>
      </c>
      <c r="H96" s="28"/>
      <c r="I96" s="28"/>
      <c r="J96" s="89">
        <v>46235</v>
      </c>
    </row>
    <row r="97" spans="1:10" ht="18.75" customHeight="1" x14ac:dyDescent="0.25">
      <c r="A97" s="89">
        <v>46228</v>
      </c>
      <c r="B97" s="28">
        <v>4732</v>
      </c>
      <c r="C97" s="28" t="s">
        <v>149</v>
      </c>
      <c r="D97" s="28" t="s">
        <v>187</v>
      </c>
      <c r="E97" s="28">
        <v>25</v>
      </c>
      <c r="F97" s="28">
        <v>26</v>
      </c>
      <c r="G97" s="28">
        <v>27</v>
      </c>
      <c r="H97" s="28"/>
      <c r="I97" s="28"/>
      <c r="J97" s="89">
        <v>46234</v>
      </c>
    </row>
    <row r="98" spans="1:10" ht="18.75" customHeight="1" x14ac:dyDescent="0.25">
      <c r="A98" s="89">
        <v>46228</v>
      </c>
      <c r="B98" s="28">
        <v>4855</v>
      </c>
      <c r="C98" s="28" t="s">
        <v>156</v>
      </c>
      <c r="D98" s="28" t="s">
        <v>157</v>
      </c>
      <c r="E98" s="28">
        <v>25</v>
      </c>
      <c r="F98" s="28">
        <v>26</v>
      </c>
      <c r="G98" s="28">
        <v>27</v>
      </c>
      <c r="H98" s="28"/>
      <c r="I98" s="28"/>
      <c r="J98" s="89">
        <v>46234</v>
      </c>
    </row>
    <row r="99" spans="1:10" ht="18.75" customHeight="1" x14ac:dyDescent="0.25">
      <c r="A99" s="89">
        <v>46229</v>
      </c>
      <c r="B99" s="28">
        <v>3306</v>
      </c>
      <c r="C99" s="28" t="s">
        <v>140</v>
      </c>
      <c r="D99" s="28" t="s">
        <v>151</v>
      </c>
      <c r="E99" s="28">
        <v>26</v>
      </c>
      <c r="F99" s="28">
        <v>27</v>
      </c>
      <c r="G99" s="28">
        <v>28</v>
      </c>
      <c r="H99" s="28"/>
      <c r="I99" s="28"/>
      <c r="J99" s="89">
        <v>46237</v>
      </c>
    </row>
    <row r="100" spans="1:10" ht="18.75" customHeight="1" x14ac:dyDescent="0.25">
      <c r="A100" s="89">
        <v>46229</v>
      </c>
      <c r="B100" s="28">
        <v>218</v>
      </c>
      <c r="C100" s="28" t="s">
        <v>140</v>
      </c>
      <c r="D100" s="28" t="s">
        <v>151</v>
      </c>
      <c r="E100" s="28">
        <v>26</v>
      </c>
      <c r="F100" s="28">
        <v>27</v>
      </c>
      <c r="G100" s="28">
        <v>28</v>
      </c>
      <c r="H100" s="28"/>
      <c r="I100" s="28"/>
      <c r="J100" s="89">
        <v>46237</v>
      </c>
    </row>
    <row r="101" spans="1:10" ht="18.75" customHeight="1" x14ac:dyDescent="0.25">
      <c r="A101" s="89">
        <v>46229</v>
      </c>
      <c r="B101" s="28">
        <v>4944</v>
      </c>
      <c r="C101" s="28" t="s">
        <v>140</v>
      </c>
      <c r="D101" s="28" t="s">
        <v>151</v>
      </c>
      <c r="E101" s="28">
        <v>26</v>
      </c>
      <c r="F101" s="28">
        <v>27</v>
      </c>
      <c r="G101" s="28">
        <v>28</v>
      </c>
      <c r="H101" s="28"/>
      <c r="I101" s="28"/>
      <c r="J101" s="89">
        <v>46237</v>
      </c>
    </row>
    <row r="102" spans="1:10" ht="18.75" customHeight="1" x14ac:dyDescent="0.25">
      <c r="A102" s="89">
        <v>46231</v>
      </c>
      <c r="B102" s="28">
        <v>4023</v>
      </c>
      <c r="C102" s="28" t="s">
        <v>156</v>
      </c>
      <c r="D102" s="28" t="s">
        <v>157</v>
      </c>
      <c r="E102" s="28">
        <v>28</v>
      </c>
      <c r="F102" s="28">
        <v>29</v>
      </c>
      <c r="G102" s="28">
        <v>30</v>
      </c>
      <c r="H102" s="28"/>
      <c r="I102" s="28"/>
      <c r="J102" s="89">
        <v>46237</v>
      </c>
    </row>
    <row r="103" spans="1:10" ht="18.75" customHeight="1" x14ac:dyDescent="0.25">
      <c r="A103" s="89">
        <v>46231</v>
      </c>
      <c r="B103" s="28">
        <v>3927</v>
      </c>
      <c r="C103" s="28" t="s">
        <v>140</v>
      </c>
      <c r="D103" s="28" t="s">
        <v>151</v>
      </c>
      <c r="E103" s="28">
        <v>28</v>
      </c>
      <c r="F103" s="28">
        <v>29</v>
      </c>
      <c r="G103" s="28">
        <v>30</v>
      </c>
      <c r="H103" s="28"/>
      <c r="I103" s="28"/>
      <c r="J103" s="89">
        <v>46239</v>
      </c>
    </row>
    <row r="104" spans="1:10" ht="18.75" customHeight="1" x14ac:dyDescent="0.25">
      <c r="A104" s="89">
        <v>46232</v>
      </c>
      <c r="B104" s="28">
        <v>4617</v>
      </c>
      <c r="C104" s="28" t="s">
        <v>156</v>
      </c>
      <c r="D104" s="28" t="s">
        <v>160</v>
      </c>
      <c r="E104" s="28">
        <v>29</v>
      </c>
      <c r="F104" s="28">
        <v>30</v>
      </c>
      <c r="G104" s="28">
        <v>31</v>
      </c>
      <c r="H104" s="28"/>
      <c r="I104" s="28"/>
      <c r="J104" s="89">
        <v>46240</v>
      </c>
    </row>
    <row r="105" spans="1:10" ht="18.75" customHeight="1" x14ac:dyDescent="0.25">
      <c r="A105" s="89">
        <v>46233</v>
      </c>
      <c r="B105" s="28">
        <v>5141</v>
      </c>
      <c r="C105" s="28" t="s">
        <v>140</v>
      </c>
      <c r="D105" s="28" t="s">
        <v>182</v>
      </c>
      <c r="E105" s="28">
        <v>30</v>
      </c>
      <c r="F105" s="28">
        <v>31</v>
      </c>
      <c r="G105" s="28">
        <v>1</v>
      </c>
      <c r="H105" s="28"/>
      <c r="I105" s="28"/>
      <c r="J105" s="89">
        <v>46240</v>
      </c>
    </row>
    <row r="106" spans="1:10" ht="18.75" customHeight="1" x14ac:dyDescent="0.25">
      <c r="A106" s="89">
        <v>46233</v>
      </c>
      <c r="B106" s="28">
        <v>2643</v>
      </c>
      <c r="C106" s="28" t="s">
        <v>140</v>
      </c>
      <c r="D106" s="28" t="s">
        <v>165</v>
      </c>
      <c r="E106" s="28">
        <v>30</v>
      </c>
      <c r="F106" s="28">
        <v>31</v>
      </c>
      <c r="G106" s="28">
        <v>1</v>
      </c>
      <c r="H106" s="28"/>
      <c r="I106" s="28"/>
      <c r="J106" s="89">
        <v>46257</v>
      </c>
    </row>
    <row r="107" spans="1:10" ht="18.75" customHeight="1" x14ac:dyDescent="0.25">
      <c r="A107" s="89">
        <v>46233</v>
      </c>
      <c r="B107" s="28">
        <v>3822</v>
      </c>
      <c r="C107" s="28" t="s">
        <v>188</v>
      </c>
      <c r="D107" s="28" t="s">
        <v>189</v>
      </c>
      <c r="E107" s="28">
        <v>30</v>
      </c>
      <c r="F107" s="28">
        <v>31</v>
      </c>
      <c r="G107" s="28">
        <v>1</v>
      </c>
      <c r="H107" s="28"/>
      <c r="I107" s="28"/>
      <c r="J107" s="89">
        <v>46238</v>
      </c>
    </row>
    <row r="108" spans="1:10" ht="18.75" customHeight="1" x14ac:dyDescent="0.25">
      <c r="A108" s="89">
        <v>46234</v>
      </c>
      <c r="B108" s="28">
        <v>4601</v>
      </c>
      <c r="C108" s="28" t="s">
        <v>140</v>
      </c>
      <c r="D108" s="28" t="s">
        <v>151</v>
      </c>
      <c r="E108" s="28">
        <v>31</v>
      </c>
      <c r="F108" s="28">
        <v>1</v>
      </c>
      <c r="G108" s="28">
        <v>2</v>
      </c>
      <c r="H108" s="28"/>
      <c r="I108" s="28"/>
      <c r="J108" s="89">
        <v>46242</v>
      </c>
    </row>
    <row r="109" spans="1:10" ht="18.75" customHeight="1" x14ac:dyDescent="0.25">
      <c r="A109" s="89">
        <v>46234</v>
      </c>
      <c r="B109" s="28">
        <v>4126</v>
      </c>
      <c r="C109" s="28" t="s">
        <v>140</v>
      </c>
      <c r="D109" s="28" t="s">
        <v>190</v>
      </c>
      <c r="E109" s="28">
        <v>31</v>
      </c>
      <c r="F109" s="28">
        <v>1</v>
      </c>
      <c r="G109" s="28">
        <v>2</v>
      </c>
      <c r="H109" s="28"/>
      <c r="I109" s="28"/>
      <c r="J109" s="89">
        <v>46242</v>
      </c>
    </row>
    <row r="110" spans="1:10" ht="18.75" customHeight="1" x14ac:dyDescent="0.25">
      <c r="A110" s="89">
        <v>46235</v>
      </c>
      <c r="B110" s="28">
        <v>4255</v>
      </c>
      <c r="C110" s="28" t="s">
        <v>156</v>
      </c>
      <c r="D110" s="28" t="s">
        <v>157</v>
      </c>
      <c r="E110" s="28">
        <v>1</v>
      </c>
      <c r="F110" s="28">
        <v>2</v>
      </c>
      <c r="G110" s="28">
        <v>3</v>
      </c>
      <c r="H110" s="28"/>
      <c r="I110" s="28"/>
      <c r="J110" s="89">
        <v>46240</v>
      </c>
    </row>
    <row r="111" spans="1:10" ht="18.75" customHeight="1" x14ac:dyDescent="0.25">
      <c r="A111" s="89">
        <v>46235</v>
      </c>
      <c r="B111" s="28">
        <v>5172</v>
      </c>
      <c r="C111" s="28" t="s">
        <v>149</v>
      </c>
      <c r="D111" s="28" t="s">
        <v>191</v>
      </c>
      <c r="E111" s="28">
        <v>1</v>
      </c>
      <c r="F111" s="28">
        <v>2</v>
      </c>
      <c r="G111" s="28">
        <v>3</v>
      </c>
      <c r="H111" s="28"/>
      <c r="I111" s="28"/>
      <c r="J111" s="89">
        <v>46243</v>
      </c>
    </row>
    <row r="112" spans="1:10" ht="18.75" customHeight="1" x14ac:dyDescent="0.25">
      <c r="A112" s="89">
        <v>46236</v>
      </c>
      <c r="B112" s="28">
        <v>5518</v>
      </c>
      <c r="C112" s="28" t="s">
        <v>156</v>
      </c>
      <c r="D112" s="28" t="s">
        <v>160</v>
      </c>
      <c r="E112" s="28">
        <v>2</v>
      </c>
      <c r="F112" s="28">
        <v>3</v>
      </c>
      <c r="G112" s="28">
        <v>4</v>
      </c>
      <c r="H112" s="28"/>
      <c r="I112" s="28"/>
      <c r="J112" s="89">
        <v>46243</v>
      </c>
    </row>
    <row r="113" spans="1:10" ht="18.75" customHeight="1" x14ac:dyDescent="0.25">
      <c r="A113" s="89">
        <v>46236</v>
      </c>
      <c r="B113" s="28">
        <v>4646</v>
      </c>
      <c r="C113" s="28" t="s">
        <v>140</v>
      </c>
      <c r="D113" s="28" t="s">
        <v>192</v>
      </c>
      <c r="E113" s="28">
        <v>2</v>
      </c>
      <c r="F113" s="28">
        <v>3</v>
      </c>
      <c r="G113" s="28">
        <v>4</v>
      </c>
      <c r="H113" s="28"/>
      <c r="I113" s="28"/>
      <c r="J113" s="89">
        <v>46242</v>
      </c>
    </row>
    <row r="114" spans="1:10" ht="18.75" customHeight="1" x14ac:dyDescent="0.25">
      <c r="A114" s="89">
        <v>46237</v>
      </c>
      <c r="B114" s="28">
        <v>4978</v>
      </c>
      <c r="C114" s="28" t="s">
        <v>149</v>
      </c>
      <c r="D114" s="28" t="s">
        <v>183</v>
      </c>
      <c r="E114" s="28">
        <v>3</v>
      </c>
      <c r="F114" s="28">
        <v>4</v>
      </c>
      <c r="G114" s="28">
        <v>5</v>
      </c>
      <c r="H114" s="28"/>
      <c r="I114" s="28"/>
      <c r="J114" s="89">
        <v>46244</v>
      </c>
    </row>
    <row r="115" spans="1:10" ht="18.75" customHeight="1" x14ac:dyDescent="0.25">
      <c r="A115" s="89">
        <v>46237</v>
      </c>
      <c r="B115" s="28">
        <v>2825</v>
      </c>
      <c r="C115" s="28" t="s">
        <v>149</v>
      </c>
      <c r="D115" s="28" t="s">
        <v>183</v>
      </c>
      <c r="E115" s="28">
        <v>3</v>
      </c>
      <c r="F115" s="28">
        <v>4</v>
      </c>
      <c r="G115" s="28">
        <v>5</v>
      </c>
      <c r="H115" s="28"/>
      <c r="I115" s="28"/>
      <c r="J115" s="89">
        <v>46244</v>
      </c>
    </row>
    <row r="116" spans="1:10" ht="18.75" customHeight="1" x14ac:dyDescent="0.25">
      <c r="A116" s="89">
        <v>46238</v>
      </c>
      <c r="B116" s="28">
        <v>5509</v>
      </c>
      <c r="C116" s="28" t="s">
        <v>149</v>
      </c>
      <c r="D116" s="28" t="s">
        <v>183</v>
      </c>
      <c r="E116" s="28">
        <v>4</v>
      </c>
      <c r="F116" s="28">
        <v>5</v>
      </c>
      <c r="G116" s="28">
        <v>6</v>
      </c>
      <c r="H116" s="28"/>
      <c r="I116" s="28"/>
      <c r="J116" s="89">
        <v>46245</v>
      </c>
    </row>
    <row r="117" spans="1:10" ht="18.75" customHeight="1" x14ac:dyDescent="0.25">
      <c r="A117" s="89">
        <v>46238</v>
      </c>
      <c r="B117" s="28">
        <v>3740</v>
      </c>
      <c r="C117" s="28" t="s">
        <v>140</v>
      </c>
      <c r="D117" s="28" t="s">
        <v>169</v>
      </c>
      <c r="E117" s="28">
        <v>4</v>
      </c>
      <c r="F117" s="28">
        <v>5</v>
      </c>
      <c r="G117" s="28">
        <v>6</v>
      </c>
      <c r="H117" s="28"/>
      <c r="I117" s="28"/>
      <c r="J117" s="89">
        <v>46246</v>
      </c>
    </row>
    <row r="118" spans="1:10" ht="18.75" customHeight="1" x14ac:dyDescent="0.25">
      <c r="A118" s="89">
        <v>46239</v>
      </c>
      <c r="B118" s="28">
        <v>5140</v>
      </c>
      <c r="C118" s="28" t="s">
        <v>140</v>
      </c>
      <c r="D118" s="28" t="s">
        <v>165</v>
      </c>
      <c r="E118" s="28">
        <v>5</v>
      </c>
      <c r="F118" s="28">
        <v>6</v>
      </c>
      <c r="G118" s="28">
        <v>7</v>
      </c>
      <c r="H118" s="28"/>
      <c r="I118" s="28"/>
      <c r="J118" s="89">
        <v>46263</v>
      </c>
    </row>
    <row r="119" spans="1:10" ht="18.75" customHeight="1" x14ac:dyDescent="0.25">
      <c r="A119" s="89">
        <v>46239</v>
      </c>
      <c r="B119" s="28">
        <v>4002</v>
      </c>
      <c r="C119" s="28" t="s">
        <v>140</v>
      </c>
      <c r="D119" s="28" t="s">
        <v>192</v>
      </c>
      <c r="E119" s="28">
        <v>5</v>
      </c>
      <c r="F119" s="28">
        <v>6</v>
      </c>
      <c r="G119" s="28">
        <v>7</v>
      </c>
      <c r="H119" s="28"/>
      <c r="I119" s="28"/>
      <c r="J119" s="89">
        <v>46246</v>
      </c>
    </row>
    <row r="120" spans="1:10" ht="18.75" customHeight="1" x14ac:dyDescent="0.25">
      <c r="A120" s="89">
        <v>46240</v>
      </c>
      <c r="B120" s="28">
        <v>3586</v>
      </c>
      <c r="C120" s="28" t="s">
        <v>156</v>
      </c>
      <c r="D120" s="28" t="s">
        <v>157</v>
      </c>
      <c r="E120" s="28">
        <v>6</v>
      </c>
      <c r="F120" s="28">
        <v>7</v>
      </c>
      <c r="G120" s="28">
        <v>8</v>
      </c>
      <c r="H120" s="28"/>
      <c r="I120" s="28"/>
      <c r="J120" s="89">
        <v>46245</v>
      </c>
    </row>
    <row r="121" spans="1:10" ht="18.75" customHeight="1" x14ac:dyDescent="0.25">
      <c r="A121" s="89">
        <v>46240</v>
      </c>
      <c r="B121" s="28">
        <v>4860</v>
      </c>
      <c r="C121" s="28" t="s">
        <v>140</v>
      </c>
      <c r="D121" s="28" t="s">
        <v>159</v>
      </c>
      <c r="E121" s="28">
        <v>6</v>
      </c>
      <c r="F121" s="28">
        <v>7</v>
      </c>
      <c r="G121" s="28">
        <v>8</v>
      </c>
      <c r="H121" s="28"/>
      <c r="I121" s="28"/>
      <c r="J121" s="89">
        <v>46246</v>
      </c>
    </row>
    <row r="122" spans="1:10" ht="18.75" customHeight="1" x14ac:dyDescent="0.25">
      <c r="A122" s="89">
        <v>46240</v>
      </c>
      <c r="B122" s="28">
        <v>4730</v>
      </c>
      <c r="C122" s="28" t="s">
        <v>149</v>
      </c>
      <c r="D122" s="28" t="s">
        <v>183</v>
      </c>
      <c r="E122" s="28">
        <v>6</v>
      </c>
      <c r="F122" s="28">
        <v>7</v>
      </c>
      <c r="G122" s="28">
        <v>8</v>
      </c>
      <c r="H122" s="28"/>
      <c r="I122" s="28"/>
      <c r="J122" s="89">
        <v>46247</v>
      </c>
    </row>
    <row r="123" spans="1:10" ht="18.75" customHeight="1" x14ac:dyDescent="0.25">
      <c r="A123" s="89">
        <v>46240</v>
      </c>
      <c r="B123" s="28">
        <v>3800</v>
      </c>
      <c r="C123" s="28" t="s">
        <v>143</v>
      </c>
      <c r="D123" s="28" t="s">
        <v>144</v>
      </c>
      <c r="E123" s="28">
        <v>6</v>
      </c>
      <c r="F123" s="28">
        <v>7</v>
      </c>
      <c r="G123" s="28">
        <v>8</v>
      </c>
      <c r="H123" s="28"/>
      <c r="I123" s="28"/>
      <c r="J123" s="89">
        <v>46264</v>
      </c>
    </row>
    <row r="124" spans="1:10" ht="18.75" customHeight="1" x14ac:dyDescent="0.25">
      <c r="A124" s="89">
        <v>46241</v>
      </c>
      <c r="B124" s="28">
        <v>4977</v>
      </c>
      <c r="C124" s="28" t="s">
        <v>145</v>
      </c>
      <c r="D124" s="28" t="s">
        <v>173</v>
      </c>
      <c r="E124" s="28">
        <v>7</v>
      </c>
      <c r="F124" s="28">
        <v>8</v>
      </c>
      <c r="G124" s="28">
        <v>9</v>
      </c>
      <c r="H124" s="28"/>
      <c r="I124" s="28"/>
      <c r="J124" s="89">
        <v>46248</v>
      </c>
    </row>
    <row r="125" spans="1:10" ht="18.75" customHeight="1" x14ac:dyDescent="0.25">
      <c r="A125" s="89">
        <v>46241</v>
      </c>
      <c r="B125" s="28">
        <v>4067</v>
      </c>
      <c r="C125" s="28" t="s">
        <v>156</v>
      </c>
      <c r="D125" s="28" t="s">
        <v>157</v>
      </c>
      <c r="E125" s="28">
        <v>7</v>
      </c>
      <c r="F125" s="28">
        <v>8</v>
      </c>
      <c r="G125" s="28">
        <v>9</v>
      </c>
      <c r="H125" s="28"/>
      <c r="I125" s="28"/>
      <c r="J125" s="89">
        <v>46246</v>
      </c>
    </row>
    <row r="126" spans="1:10" ht="18.75" customHeight="1" x14ac:dyDescent="0.25">
      <c r="A126" s="89">
        <v>46241</v>
      </c>
      <c r="B126" s="28">
        <v>4899</v>
      </c>
      <c r="C126" s="28" t="s">
        <v>156</v>
      </c>
      <c r="D126" s="28" t="s">
        <v>157</v>
      </c>
      <c r="E126" s="28">
        <v>7</v>
      </c>
      <c r="F126" s="28">
        <v>8</v>
      </c>
      <c r="G126" s="28">
        <v>9</v>
      </c>
      <c r="H126" s="28"/>
      <c r="I126" s="28"/>
      <c r="J126" s="89">
        <v>46246</v>
      </c>
    </row>
    <row r="127" spans="1:10" ht="18.75" customHeight="1" x14ac:dyDescent="0.25">
      <c r="A127" s="89">
        <v>46242</v>
      </c>
      <c r="B127" s="28">
        <v>5566</v>
      </c>
      <c r="C127" s="28" t="s">
        <v>140</v>
      </c>
      <c r="D127" s="28" t="s">
        <v>172</v>
      </c>
      <c r="E127" s="28">
        <v>8</v>
      </c>
      <c r="F127" s="28">
        <v>9</v>
      </c>
      <c r="G127" s="28">
        <v>10</v>
      </c>
      <c r="H127" s="28"/>
      <c r="J127" s="89">
        <v>46250</v>
      </c>
    </row>
    <row r="128" spans="1:10" ht="18.75" customHeight="1" x14ac:dyDescent="0.25">
      <c r="A128" s="89">
        <v>46242</v>
      </c>
      <c r="B128" s="28">
        <v>4420</v>
      </c>
      <c r="C128" s="28" t="s">
        <v>156</v>
      </c>
      <c r="D128" s="28" t="s">
        <v>157</v>
      </c>
      <c r="E128" s="28">
        <v>8</v>
      </c>
      <c r="F128" s="28">
        <v>9</v>
      </c>
      <c r="G128" s="28">
        <v>10</v>
      </c>
      <c r="H128" s="28"/>
      <c r="I128" s="28"/>
      <c r="J128" s="89">
        <v>46248</v>
      </c>
    </row>
    <row r="129" spans="1:10" ht="18.75" customHeight="1" x14ac:dyDescent="0.25">
      <c r="A129" s="89">
        <v>46242</v>
      </c>
      <c r="B129" s="28">
        <v>4395</v>
      </c>
      <c r="C129" s="28" t="s">
        <v>140</v>
      </c>
      <c r="D129" s="28" t="s">
        <v>169</v>
      </c>
      <c r="E129" s="28">
        <v>8</v>
      </c>
      <c r="F129" s="28">
        <v>9</v>
      </c>
      <c r="G129" s="28">
        <v>10</v>
      </c>
      <c r="H129" s="28"/>
      <c r="I129" s="28"/>
      <c r="J129" s="89">
        <v>46260</v>
      </c>
    </row>
    <row r="130" spans="1:10" ht="18.75" customHeight="1" x14ac:dyDescent="0.25">
      <c r="A130" s="89">
        <v>46243</v>
      </c>
      <c r="B130" s="28">
        <v>2971</v>
      </c>
      <c r="C130" s="28" t="s">
        <v>156</v>
      </c>
      <c r="D130" s="28" t="s">
        <v>157</v>
      </c>
      <c r="E130" s="28">
        <v>9</v>
      </c>
      <c r="F130" s="28">
        <v>10</v>
      </c>
      <c r="G130" s="28">
        <v>11</v>
      </c>
      <c r="H130" s="28"/>
      <c r="I130" s="28"/>
      <c r="J130" s="89">
        <v>46249</v>
      </c>
    </row>
    <row r="131" spans="1:10" ht="18.75" customHeight="1" x14ac:dyDescent="0.25">
      <c r="A131" s="89">
        <v>46243</v>
      </c>
      <c r="B131" s="28">
        <v>4697</v>
      </c>
      <c r="C131" s="28" t="s">
        <v>143</v>
      </c>
      <c r="D131" s="28" t="s">
        <v>183</v>
      </c>
      <c r="E131" s="28">
        <v>9</v>
      </c>
      <c r="F131" s="28">
        <v>10</v>
      </c>
      <c r="G131" s="28">
        <v>11</v>
      </c>
      <c r="H131" s="28"/>
      <c r="I131" s="28"/>
      <c r="J131" s="89">
        <v>46250</v>
      </c>
    </row>
    <row r="132" spans="1:10" ht="18.75" customHeight="1" x14ac:dyDescent="0.25">
      <c r="A132" s="89">
        <v>46243</v>
      </c>
      <c r="B132" s="28">
        <v>4033</v>
      </c>
      <c r="C132" s="28" t="s">
        <v>140</v>
      </c>
      <c r="D132" s="28" t="s">
        <v>185</v>
      </c>
      <c r="E132" s="28">
        <v>9</v>
      </c>
      <c r="F132" s="28">
        <v>10</v>
      </c>
      <c r="G132" s="28">
        <v>11</v>
      </c>
      <c r="H132" s="28"/>
      <c r="I132" s="28"/>
      <c r="J132" s="89">
        <v>46250</v>
      </c>
    </row>
    <row r="133" spans="1:10" ht="18.75" customHeight="1" x14ac:dyDescent="0.25">
      <c r="A133" s="89">
        <v>46244</v>
      </c>
      <c r="B133" s="28">
        <v>4138</v>
      </c>
      <c r="C133" s="28" t="s">
        <v>156</v>
      </c>
      <c r="D133" s="28" t="s">
        <v>157</v>
      </c>
      <c r="E133" s="28">
        <v>10</v>
      </c>
      <c r="F133" s="28">
        <v>11</v>
      </c>
      <c r="G133" s="28">
        <v>12</v>
      </c>
      <c r="H133" s="28"/>
      <c r="I133" s="28"/>
      <c r="J133" s="89">
        <v>46250</v>
      </c>
    </row>
    <row r="134" spans="1:10" ht="18.75" customHeight="1" x14ac:dyDescent="0.25">
      <c r="A134" s="89">
        <v>46244</v>
      </c>
      <c r="B134" s="28">
        <v>5699</v>
      </c>
      <c r="C134" s="28" t="s">
        <v>156</v>
      </c>
      <c r="D134" s="28" t="s">
        <v>157</v>
      </c>
      <c r="E134" s="28">
        <v>10</v>
      </c>
      <c r="F134" s="28">
        <v>11</v>
      </c>
      <c r="G134" s="28">
        <v>12</v>
      </c>
      <c r="H134" s="28"/>
      <c r="I134" s="28"/>
      <c r="J134" s="89">
        <v>46250</v>
      </c>
    </row>
    <row r="135" spans="1:10" ht="18.75" customHeight="1" x14ac:dyDescent="0.25">
      <c r="A135" s="89">
        <v>46244</v>
      </c>
      <c r="B135" s="28">
        <v>3169</v>
      </c>
      <c r="C135" s="28" t="s">
        <v>140</v>
      </c>
      <c r="D135" s="28" t="s">
        <v>152</v>
      </c>
      <c r="E135" s="28">
        <v>10</v>
      </c>
      <c r="F135" s="28">
        <v>11</v>
      </c>
      <c r="G135" s="28">
        <v>12</v>
      </c>
      <c r="H135" s="28"/>
      <c r="I135" s="28"/>
      <c r="J135" s="89">
        <v>46269</v>
      </c>
    </row>
    <row r="136" spans="1:10" ht="18.75" customHeight="1" x14ac:dyDescent="0.25">
      <c r="A136" s="89">
        <v>46245</v>
      </c>
      <c r="B136" s="28">
        <v>4482</v>
      </c>
      <c r="C136" s="28" t="s">
        <v>156</v>
      </c>
      <c r="D136" s="28" t="s">
        <v>157</v>
      </c>
      <c r="E136" s="28">
        <v>11</v>
      </c>
      <c r="F136" s="28">
        <v>12</v>
      </c>
      <c r="G136" s="28">
        <v>13</v>
      </c>
      <c r="H136" s="28"/>
      <c r="I136" s="28"/>
      <c r="J136" s="89">
        <v>46251</v>
      </c>
    </row>
    <row r="137" spans="1:10" ht="18.75" customHeight="1" x14ac:dyDescent="0.25">
      <c r="A137" s="89">
        <v>46245</v>
      </c>
      <c r="B137" s="28">
        <v>4439</v>
      </c>
      <c r="C137" s="28" t="s">
        <v>140</v>
      </c>
      <c r="D137" s="28" t="s">
        <v>151</v>
      </c>
      <c r="E137" s="28">
        <v>11</v>
      </c>
      <c r="F137" s="28">
        <v>12</v>
      </c>
      <c r="G137" s="28">
        <v>13</v>
      </c>
      <c r="H137" s="28"/>
      <c r="I137" s="28"/>
      <c r="J137" s="89">
        <v>46251</v>
      </c>
    </row>
    <row r="138" spans="1:10" ht="18.75" customHeight="1" x14ac:dyDescent="0.25">
      <c r="A138" s="89">
        <v>46245</v>
      </c>
      <c r="B138" s="28">
        <v>4708</v>
      </c>
      <c r="C138" s="28" t="s">
        <v>193</v>
      </c>
      <c r="D138" s="28" t="s">
        <v>157</v>
      </c>
      <c r="E138" s="28">
        <v>11</v>
      </c>
      <c r="F138" s="28">
        <v>12</v>
      </c>
      <c r="G138" s="28">
        <v>13</v>
      </c>
      <c r="H138" s="28"/>
      <c r="I138" s="28"/>
      <c r="J138" s="89">
        <v>46252</v>
      </c>
    </row>
    <row r="139" spans="1:10" ht="18.75" customHeight="1" x14ac:dyDescent="0.25">
      <c r="A139" s="89">
        <v>46245</v>
      </c>
      <c r="B139" s="28">
        <v>4509</v>
      </c>
      <c r="C139" s="28" t="s">
        <v>194</v>
      </c>
      <c r="D139" s="28" t="s">
        <v>183</v>
      </c>
      <c r="E139" s="28">
        <v>11</v>
      </c>
      <c r="F139" s="28">
        <v>12</v>
      </c>
      <c r="G139" s="28">
        <v>13</v>
      </c>
      <c r="H139" s="28"/>
      <c r="I139" s="28"/>
      <c r="J139" s="89">
        <v>46252</v>
      </c>
    </row>
    <row r="140" spans="1:10" ht="18.75" customHeight="1" x14ac:dyDescent="0.25">
      <c r="A140" s="89">
        <v>46245</v>
      </c>
      <c r="B140" s="28">
        <v>4269</v>
      </c>
      <c r="C140" s="28" t="s">
        <v>195</v>
      </c>
      <c r="D140" s="28" t="s">
        <v>160</v>
      </c>
      <c r="E140" s="28">
        <v>11</v>
      </c>
      <c r="F140" s="28">
        <v>12</v>
      </c>
      <c r="G140" s="28">
        <v>13</v>
      </c>
      <c r="H140" s="28"/>
      <c r="I140" s="28"/>
      <c r="J140" s="89">
        <v>46250</v>
      </c>
    </row>
    <row r="141" spans="1:10" ht="18.75" customHeight="1" x14ac:dyDescent="0.25">
      <c r="A141" s="89">
        <v>46246</v>
      </c>
      <c r="B141" s="28">
        <v>4059</v>
      </c>
      <c r="C141" s="28" t="s">
        <v>149</v>
      </c>
      <c r="D141" s="28" t="s">
        <v>183</v>
      </c>
      <c r="E141" s="28">
        <v>12</v>
      </c>
      <c r="F141" s="28">
        <v>13</v>
      </c>
      <c r="G141" s="28">
        <v>14</v>
      </c>
      <c r="H141" s="28"/>
      <c r="I141" s="28"/>
      <c r="J141" s="89">
        <v>46252</v>
      </c>
    </row>
    <row r="142" spans="1:10" ht="18.75" customHeight="1" x14ac:dyDescent="0.25">
      <c r="A142" s="89">
        <v>46246</v>
      </c>
      <c r="B142" s="28">
        <v>4379</v>
      </c>
      <c r="C142" s="28" t="s">
        <v>156</v>
      </c>
      <c r="D142" s="28" t="s">
        <v>157</v>
      </c>
      <c r="E142" s="28">
        <v>12</v>
      </c>
      <c r="F142" s="28">
        <v>13</v>
      </c>
      <c r="G142" s="28">
        <v>14</v>
      </c>
      <c r="H142" s="28"/>
      <c r="I142" s="28"/>
      <c r="J142" s="89">
        <v>46252</v>
      </c>
    </row>
    <row r="143" spans="1:10" ht="18.75" customHeight="1" x14ac:dyDescent="0.25">
      <c r="A143" s="89">
        <v>46246</v>
      </c>
      <c r="B143" s="28">
        <v>4832</v>
      </c>
      <c r="C143" s="28" t="s">
        <v>140</v>
      </c>
      <c r="D143" s="28" t="s">
        <v>151</v>
      </c>
      <c r="E143" s="28">
        <v>12</v>
      </c>
      <c r="F143" s="28">
        <v>13</v>
      </c>
      <c r="G143" s="28">
        <v>14</v>
      </c>
      <c r="H143" s="28"/>
      <c r="I143" s="28"/>
      <c r="J143" s="89">
        <v>46253</v>
      </c>
    </row>
    <row r="144" spans="1:10" ht="18.75" customHeight="1" x14ac:dyDescent="0.25">
      <c r="A144" s="89">
        <v>46246</v>
      </c>
      <c r="B144" s="28">
        <v>4970</v>
      </c>
      <c r="C144" s="28" t="s">
        <v>156</v>
      </c>
      <c r="D144" s="28" t="s">
        <v>160</v>
      </c>
      <c r="E144" s="28">
        <v>12</v>
      </c>
      <c r="F144" s="28">
        <v>13</v>
      </c>
      <c r="G144" s="28">
        <v>14</v>
      </c>
      <c r="H144" s="28"/>
      <c r="I144" s="28"/>
      <c r="J144" s="89">
        <v>46254</v>
      </c>
    </row>
    <row r="145" spans="1:10" ht="18.75" customHeight="1" x14ac:dyDescent="0.25">
      <c r="A145" s="89">
        <v>46247</v>
      </c>
      <c r="B145" s="28">
        <v>2634</v>
      </c>
      <c r="C145" s="28" t="s">
        <v>149</v>
      </c>
      <c r="D145" s="28" t="s">
        <v>157</v>
      </c>
      <c r="E145" s="28">
        <v>13</v>
      </c>
      <c r="F145" s="28">
        <v>14</v>
      </c>
      <c r="G145" s="28">
        <v>15</v>
      </c>
      <c r="H145" s="28"/>
      <c r="I145" s="28"/>
      <c r="J145" s="89">
        <v>46252</v>
      </c>
    </row>
    <row r="146" spans="1:10" ht="18.75" customHeight="1" x14ac:dyDescent="0.25">
      <c r="A146" s="89">
        <v>46247</v>
      </c>
      <c r="B146" s="28">
        <v>3824</v>
      </c>
      <c r="C146" s="28" t="s">
        <v>149</v>
      </c>
      <c r="D146" s="28" t="s">
        <v>179</v>
      </c>
      <c r="E146" s="28">
        <v>13</v>
      </c>
      <c r="F146" s="28">
        <v>14</v>
      </c>
      <c r="G146" s="28">
        <v>15</v>
      </c>
      <c r="H146" s="28"/>
      <c r="I146" s="28"/>
      <c r="J146" s="89">
        <v>46254</v>
      </c>
    </row>
    <row r="147" spans="1:10" ht="18.75" customHeight="1" x14ac:dyDescent="0.25">
      <c r="A147" s="89">
        <v>46248</v>
      </c>
      <c r="B147" s="28">
        <v>3938</v>
      </c>
      <c r="C147" s="28" t="s">
        <v>140</v>
      </c>
      <c r="D147" s="28" t="s">
        <v>152</v>
      </c>
      <c r="E147" s="28">
        <v>14</v>
      </c>
      <c r="F147" s="28">
        <v>15</v>
      </c>
      <c r="G147" s="28">
        <v>16</v>
      </c>
      <c r="H147" s="28"/>
      <c r="I147" s="28"/>
      <c r="J147" s="89">
        <v>46273</v>
      </c>
    </row>
    <row r="148" spans="1:10" ht="18.75" customHeight="1" x14ac:dyDescent="0.25">
      <c r="A148" s="89">
        <v>46248</v>
      </c>
      <c r="B148" s="28">
        <v>3802</v>
      </c>
      <c r="C148" s="28" t="s">
        <v>177</v>
      </c>
      <c r="D148" s="28" t="s">
        <v>157</v>
      </c>
      <c r="E148" s="28">
        <v>14</v>
      </c>
      <c r="F148" s="28">
        <v>15</v>
      </c>
      <c r="G148" s="28">
        <v>16</v>
      </c>
      <c r="H148" s="28"/>
      <c r="I148" s="28"/>
      <c r="J148" s="89">
        <v>46254</v>
      </c>
    </row>
    <row r="149" spans="1:10" ht="18.75" customHeight="1" x14ac:dyDescent="0.25">
      <c r="A149" s="89">
        <v>46248</v>
      </c>
      <c r="B149" s="28">
        <v>6086</v>
      </c>
      <c r="C149" s="28" t="s">
        <v>145</v>
      </c>
      <c r="D149" s="28" t="s">
        <v>173</v>
      </c>
      <c r="E149" s="28">
        <v>14</v>
      </c>
      <c r="F149" s="28">
        <v>15</v>
      </c>
      <c r="G149" s="28">
        <v>16</v>
      </c>
      <c r="H149" s="28"/>
      <c r="I149" s="28"/>
      <c r="J149" s="89">
        <v>46256</v>
      </c>
    </row>
    <row r="150" spans="1:10" ht="18.75" customHeight="1" x14ac:dyDescent="0.25">
      <c r="A150" s="89">
        <v>46248</v>
      </c>
      <c r="B150" s="28">
        <v>4659</v>
      </c>
      <c r="C150" s="28" t="s">
        <v>140</v>
      </c>
      <c r="D150" s="28" t="s">
        <v>169</v>
      </c>
      <c r="E150" s="28">
        <v>14</v>
      </c>
      <c r="F150" s="28">
        <v>15</v>
      </c>
      <c r="G150" s="28">
        <v>16</v>
      </c>
      <c r="H150" s="28"/>
      <c r="I150" s="28"/>
      <c r="J150" s="89">
        <v>46259</v>
      </c>
    </row>
    <row r="151" spans="1:10" ht="18.75" customHeight="1" x14ac:dyDescent="0.25">
      <c r="A151" s="89">
        <v>46248</v>
      </c>
      <c r="B151" s="28">
        <v>4747</v>
      </c>
      <c r="C151" s="28" t="s">
        <v>143</v>
      </c>
      <c r="D151" s="28" t="s">
        <v>144</v>
      </c>
      <c r="E151" s="28">
        <v>14</v>
      </c>
      <c r="F151" s="28">
        <v>15</v>
      </c>
      <c r="G151" s="28">
        <v>16</v>
      </c>
      <c r="H151" s="28"/>
      <c r="I151" s="28"/>
      <c r="J151" s="89">
        <v>46273</v>
      </c>
    </row>
    <row r="152" spans="1:10" ht="18.75" customHeight="1" x14ac:dyDescent="0.25">
      <c r="A152" s="89">
        <v>46249</v>
      </c>
      <c r="B152" s="28">
        <v>5879</v>
      </c>
      <c r="C152" s="28" t="s">
        <v>149</v>
      </c>
      <c r="D152" s="28" t="s">
        <v>185</v>
      </c>
      <c r="E152" s="28">
        <v>15</v>
      </c>
      <c r="F152" s="28">
        <v>16</v>
      </c>
      <c r="G152" s="28">
        <v>17</v>
      </c>
      <c r="H152" s="28"/>
      <c r="I152" s="28"/>
      <c r="J152" s="89">
        <v>46256</v>
      </c>
    </row>
    <row r="153" spans="1:10" ht="18.75" customHeight="1" x14ac:dyDescent="0.25">
      <c r="A153" s="89">
        <v>46249</v>
      </c>
      <c r="B153" s="28">
        <v>5206</v>
      </c>
      <c r="C153" s="28" t="s">
        <v>156</v>
      </c>
      <c r="D153" s="28" t="s">
        <v>160</v>
      </c>
      <c r="E153" s="28">
        <v>15</v>
      </c>
      <c r="F153" s="28">
        <v>16</v>
      </c>
      <c r="G153" s="28">
        <v>17</v>
      </c>
      <c r="H153" s="28"/>
      <c r="I153" s="28"/>
      <c r="J153" s="89">
        <v>46254</v>
      </c>
    </row>
    <row r="154" spans="1:10" ht="18.75" customHeight="1" x14ac:dyDescent="0.25">
      <c r="A154" s="89">
        <v>46249</v>
      </c>
      <c r="B154" s="28">
        <v>5334</v>
      </c>
      <c r="C154" s="28" t="s">
        <v>196</v>
      </c>
      <c r="D154" s="28" t="s">
        <v>160</v>
      </c>
      <c r="E154" s="28">
        <v>15</v>
      </c>
      <c r="F154" s="28">
        <v>16</v>
      </c>
      <c r="G154" s="28">
        <v>17</v>
      </c>
      <c r="H154" s="28"/>
      <c r="I154" s="28"/>
      <c r="J154" s="89">
        <v>46254</v>
      </c>
    </row>
    <row r="155" spans="1:10" ht="18.75" customHeight="1" x14ac:dyDescent="0.25">
      <c r="A155" s="89">
        <v>46249</v>
      </c>
      <c r="B155" s="28">
        <v>4940</v>
      </c>
      <c r="C155" s="28" t="s">
        <v>149</v>
      </c>
      <c r="D155" s="28" t="s">
        <v>179</v>
      </c>
      <c r="E155" s="28">
        <v>15</v>
      </c>
      <c r="F155" s="28">
        <v>16</v>
      </c>
      <c r="G155" s="28">
        <v>17</v>
      </c>
      <c r="H155" s="28"/>
      <c r="I155" s="28"/>
      <c r="J155" s="89">
        <v>46256</v>
      </c>
    </row>
    <row r="156" spans="1:10" ht="18.75" customHeight="1" x14ac:dyDescent="0.25">
      <c r="A156" s="89">
        <v>46250</v>
      </c>
      <c r="B156" s="28">
        <v>4780</v>
      </c>
      <c r="C156" s="28" t="s">
        <v>149</v>
      </c>
      <c r="D156" s="28" t="s">
        <v>179</v>
      </c>
      <c r="E156" s="28">
        <v>16</v>
      </c>
      <c r="F156" s="28">
        <v>17</v>
      </c>
      <c r="G156" s="28">
        <v>18</v>
      </c>
      <c r="H156" s="28"/>
      <c r="I156" s="28"/>
      <c r="J156" s="89">
        <v>46257</v>
      </c>
    </row>
    <row r="157" spans="1:10" ht="18.75" customHeight="1" x14ac:dyDescent="0.25">
      <c r="A157" s="89">
        <v>46250</v>
      </c>
      <c r="B157" s="28">
        <v>4620</v>
      </c>
      <c r="C157" s="28" t="s">
        <v>156</v>
      </c>
      <c r="D157" s="28" t="s">
        <v>160</v>
      </c>
      <c r="E157" s="28">
        <v>16</v>
      </c>
      <c r="F157" s="28">
        <v>17</v>
      </c>
      <c r="G157" s="28">
        <v>18</v>
      </c>
      <c r="H157" s="28"/>
      <c r="I157" s="28"/>
      <c r="J157" s="89">
        <v>46255</v>
      </c>
    </row>
    <row r="158" spans="1:10" ht="18.75" customHeight="1" x14ac:dyDescent="0.25">
      <c r="A158" s="89">
        <v>46251</v>
      </c>
      <c r="B158" s="28">
        <v>5401</v>
      </c>
      <c r="C158" s="28" t="s">
        <v>140</v>
      </c>
      <c r="D158" s="28" t="s">
        <v>178</v>
      </c>
      <c r="E158" s="28">
        <v>17</v>
      </c>
      <c r="F158" s="28">
        <v>18</v>
      </c>
      <c r="G158" s="28">
        <v>19</v>
      </c>
      <c r="H158" s="28"/>
      <c r="I158" s="28"/>
      <c r="J158" s="89">
        <v>46258</v>
      </c>
    </row>
    <row r="159" spans="1:10" ht="18.75" customHeight="1" x14ac:dyDescent="0.25">
      <c r="A159" s="89">
        <v>46251</v>
      </c>
      <c r="B159" s="28">
        <v>4455</v>
      </c>
      <c r="C159" s="28" t="s">
        <v>156</v>
      </c>
      <c r="D159" s="28" t="s">
        <v>197</v>
      </c>
      <c r="E159" s="28">
        <v>17</v>
      </c>
      <c r="F159" s="28">
        <v>18</v>
      </c>
      <c r="G159" s="28">
        <v>19</v>
      </c>
      <c r="H159" s="28"/>
      <c r="I159" s="28"/>
      <c r="J159" s="89">
        <v>46257</v>
      </c>
    </row>
    <row r="160" spans="1:10" ht="18.75" customHeight="1" x14ac:dyDescent="0.25">
      <c r="A160" s="89">
        <v>46251</v>
      </c>
      <c r="B160" s="28">
        <v>5089</v>
      </c>
      <c r="C160" s="28" t="s">
        <v>145</v>
      </c>
      <c r="D160" s="28" t="s">
        <v>173</v>
      </c>
      <c r="E160" s="28">
        <v>17</v>
      </c>
      <c r="F160" s="28">
        <v>18</v>
      </c>
      <c r="G160" s="28">
        <v>19</v>
      </c>
      <c r="H160" s="28"/>
      <c r="I160" s="28"/>
      <c r="J160" s="89">
        <v>46258</v>
      </c>
    </row>
    <row r="161" spans="1:10" ht="18.75" customHeight="1" x14ac:dyDescent="0.25">
      <c r="A161" s="89">
        <v>46251</v>
      </c>
      <c r="B161" s="28">
        <v>3370</v>
      </c>
      <c r="C161" s="28" t="s">
        <v>140</v>
      </c>
      <c r="D161" s="28" t="s">
        <v>176</v>
      </c>
      <c r="E161" s="28">
        <v>17</v>
      </c>
      <c r="F161" s="28">
        <v>18</v>
      </c>
      <c r="G161" s="28">
        <v>19</v>
      </c>
      <c r="H161" s="28"/>
      <c r="I161" s="28"/>
      <c r="J161" s="89">
        <v>46258</v>
      </c>
    </row>
    <row r="162" spans="1:10" ht="18.75" customHeight="1" x14ac:dyDescent="0.25">
      <c r="A162" s="89">
        <v>46251</v>
      </c>
      <c r="B162" s="28">
        <v>4399</v>
      </c>
      <c r="C162" s="28" t="s">
        <v>149</v>
      </c>
      <c r="D162" s="28" t="s">
        <v>179</v>
      </c>
      <c r="E162" s="28">
        <v>17</v>
      </c>
      <c r="F162" s="28">
        <v>18</v>
      </c>
      <c r="G162" s="28">
        <v>19</v>
      </c>
      <c r="H162" s="28"/>
      <c r="I162" s="28"/>
      <c r="J162" s="89">
        <v>46258</v>
      </c>
    </row>
    <row r="163" spans="1:10" ht="18.75" customHeight="1" x14ac:dyDescent="0.25">
      <c r="A163" s="89">
        <v>46251</v>
      </c>
      <c r="B163" s="28">
        <v>4435</v>
      </c>
      <c r="C163" s="28" t="s">
        <v>149</v>
      </c>
      <c r="D163" s="28" t="s">
        <v>173</v>
      </c>
      <c r="E163" s="28">
        <v>17</v>
      </c>
      <c r="F163" s="28">
        <v>18</v>
      </c>
      <c r="G163" s="28">
        <v>19</v>
      </c>
      <c r="H163" s="28"/>
      <c r="I163" s="28"/>
      <c r="J163" s="89">
        <v>46260</v>
      </c>
    </row>
    <row r="164" spans="1:10" ht="18.75" customHeight="1" x14ac:dyDescent="0.25">
      <c r="A164" s="89">
        <v>46251</v>
      </c>
      <c r="B164" s="28" t="s">
        <v>198</v>
      </c>
      <c r="C164" s="28" t="s">
        <v>149</v>
      </c>
      <c r="D164" s="28" t="s">
        <v>199</v>
      </c>
      <c r="E164" s="28">
        <v>17</v>
      </c>
      <c r="F164" s="28">
        <v>18</v>
      </c>
      <c r="G164" s="28">
        <v>19</v>
      </c>
      <c r="H164" s="28"/>
      <c r="I164" s="28"/>
      <c r="J164" s="28"/>
    </row>
    <row r="165" spans="1:10" ht="18.75" customHeight="1" x14ac:dyDescent="0.25">
      <c r="A165" s="89">
        <v>46253</v>
      </c>
      <c r="B165" s="28">
        <v>2279</v>
      </c>
      <c r="C165" s="28" t="s">
        <v>140</v>
      </c>
      <c r="D165" s="28" t="s">
        <v>178</v>
      </c>
      <c r="E165" s="28">
        <v>19</v>
      </c>
      <c r="F165" s="28">
        <v>20</v>
      </c>
      <c r="G165" s="28">
        <v>21</v>
      </c>
      <c r="H165" s="28"/>
      <c r="I165" s="28"/>
      <c r="J165" s="89">
        <v>46259</v>
      </c>
    </row>
    <row r="166" spans="1:10" ht="18.75" customHeight="1" x14ac:dyDescent="0.25">
      <c r="A166" s="89">
        <v>46253</v>
      </c>
      <c r="B166" s="28">
        <v>4226</v>
      </c>
      <c r="C166" s="28" t="s">
        <v>163</v>
      </c>
      <c r="D166" s="28" t="s">
        <v>184</v>
      </c>
      <c r="E166" s="28">
        <v>19</v>
      </c>
      <c r="F166" s="28">
        <v>20</v>
      </c>
      <c r="G166" s="28">
        <v>21</v>
      </c>
      <c r="H166" s="28"/>
      <c r="I166" s="28"/>
      <c r="J166" s="89">
        <v>46260</v>
      </c>
    </row>
    <row r="167" spans="1:10" ht="18.75" customHeight="1" x14ac:dyDescent="0.25">
      <c r="A167" s="89">
        <v>46253</v>
      </c>
      <c r="B167" s="28">
        <v>5009</v>
      </c>
      <c r="C167" s="28" t="s">
        <v>163</v>
      </c>
      <c r="D167" s="28" t="s">
        <v>184</v>
      </c>
      <c r="E167" s="28">
        <v>19</v>
      </c>
      <c r="F167" s="28">
        <v>20</v>
      </c>
      <c r="G167" s="28">
        <v>31</v>
      </c>
      <c r="H167" s="28"/>
      <c r="I167" s="28"/>
      <c r="J167" s="89">
        <v>46260</v>
      </c>
    </row>
    <row r="168" spans="1:10" ht="18.75" customHeight="1" x14ac:dyDescent="0.25">
      <c r="A168" s="89">
        <v>46253</v>
      </c>
      <c r="B168" s="28">
        <v>5032</v>
      </c>
      <c r="C168" s="28" t="s">
        <v>143</v>
      </c>
      <c r="D168" s="28" t="s">
        <v>144</v>
      </c>
      <c r="E168" s="28">
        <v>19</v>
      </c>
      <c r="F168" s="28">
        <v>20</v>
      </c>
      <c r="G168" s="28">
        <v>21</v>
      </c>
      <c r="H168" s="28"/>
      <c r="I168" s="28"/>
      <c r="J168" s="89">
        <v>46278</v>
      </c>
    </row>
    <row r="169" spans="1:10" ht="18.75" customHeight="1" x14ac:dyDescent="0.25">
      <c r="A169" s="89">
        <v>46254</v>
      </c>
      <c r="B169" s="28">
        <v>3188</v>
      </c>
      <c r="C169" s="28" t="s">
        <v>140</v>
      </c>
      <c r="D169" s="28" t="s">
        <v>176</v>
      </c>
      <c r="E169" s="28">
        <v>20</v>
      </c>
      <c r="F169" s="28">
        <v>21</v>
      </c>
      <c r="G169" s="28">
        <v>22</v>
      </c>
      <c r="H169" s="28"/>
      <c r="I169" s="28"/>
      <c r="J169" s="28"/>
    </row>
    <row r="170" spans="1:10" ht="18.75" customHeight="1" x14ac:dyDescent="0.25">
      <c r="A170" s="89">
        <v>46254</v>
      </c>
      <c r="B170" s="28">
        <v>4072</v>
      </c>
      <c r="C170" s="28" t="s">
        <v>140</v>
      </c>
      <c r="D170" s="28" t="s">
        <v>200</v>
      </c>
      <c r="E170" s="28">
        <v>20</v>
      </c>
      <c r="F170" s="28">
        <v>21</v>
      </c>
      <c r="G170" s="28">
        <v>22</v>
      </c>
      <c r="H170" s="28"/>
      <c r="I170" s="28"/>
      <c r="J170" s="28"/>
    </row>
    <row r="171" spans="1:10" ht="18.75" customHeight="1" x14ac:dyDescent="0.25">
      <c r="A171" s="89">
        <v>46254</v>
      </c>
      <c r="B171" s="28">
        <v>4196</v>
      </c>
      <c r="C171" s="28" t="s">
        <v>140</v>
      </c>
      <c r="D171" s="28" t="s">
        <v>165</v>
      </c>
      <c r="E171" s="28">
        <v>20</v>
      </c>
      <c r="F171" s="28">
        <v>21</v>
      </c>
      <c r="G171" s="28">
        <v>22</v>
      </c>
      <c r="H171" s="28"/>
      <c r="I171" s="28"/>
      <c r="J171" s="28"/>
    </row>
    <row r="172" spans="1:10" ht="18.75" customHeight="1" x14ac:dyDescent="0.25">
      <c r="A172" s="89">
        <v>46254</v>
      </c>
      <c r="B172" s="28">
        <v>4769</v>
      </c>
      <c r="C172" s="28" t="s">
        <v>156</v>
      </c>
      <c r="D172" s="28" t="s">
        <v>197</v>
      </c>
      <c r="E172" s="28">
        <v>20</v>
      </c>
      <c r="F172" s="28">
        <v>21</v>
      </c>
      <c r="G172" s="28">
        <v>22</v>
      </c>
      <c r="H172" s="28"/>
      <c r="I172" s="28"/>
      <c r="J172" s="28"/>
    </row>
    <row r="173" spans="1:10" ht="18.75" customHeight="1" x14ac:dyDescent="0.25">
      <c r="A173" s="89">
        <v>46254</v>
      </c>
      <c r="B173" s="28">
        <v>5777</v>
      </c>
      <c r="C173" s="28" t="s">
        <v>145</v>
      </c>
      <c r="D173" s="28" t="s">
        <v>173</v>
      </c>
      <c r="E173" s="28">
        <v>21</v>
      </c>
      <c r="F173" s="28">
        <v>22</v>
      </c>
      <c r="G173" s="28">
        <v>23</v>
      </c>
      <c r="H173" s="28"/>
      <c r="I173" s="28"/>
      <c r="J173" s="28"/>
    </row>
    <row r="174" spans="1:10" ht="18.75" customHeight="1" x14ac:dyDescent="0.25">
      <c r="A174" s="89">
        <v>46255</v>
      </c>
      <c r="B174" s="28">
        <v>4488</v>
      </c>
      <c r="C174" s="28" t="s">
        <v>140</v>
      </c>
      <c r="D174" s="28" t="s">
        <v>151</v>
      </c>
      <c r="E174" s="28">
        <v>21</v>
      </c>
      <c r="F174" s="28">
        <v>22</v>
      </c>
      <c r="G174" s="28">
        <v>23</v>
      </c>
      <c r="H174" s="28"/>
      <c r="I174" s="28"/>
      <c r="J174" s="28"/>
    </row>
    <row r="175" spans="1:10" ht="18.75" customHeight="1" x14ac:dyDescent="0.25">
      <c r="A175" s="89">
        <v>46255</v>
      </c>
      <c r="B175" s="28">
        <v>5068</v>
      </c>
      <c r="C175" s="28" t="s">
        <v>156</v>
      </c>
      <c r="D175" s="28" t="s">
        <v>160</v>
      </c>
      <c r="E175" s="28">
        <v>21</v>
      </c>
      <c r="F175" s="28">
        <v>22</v>
      </c>
      <c r="G175" s="28">
        <v>23</v>
      </c>
      <c r="H175" s="28"/>
      <c r="I175" s="28"/>
      <c r="J175" s="28"/>
    </row>
    <row r="176" spans="1:10" ht="18.75" customHeight="1" x14ac:dyDescent="0.25">
      <c r="A176" s="89">
        <v>46256</v>
      </c>
      <c r="B176" s="28">
        <v>4240</v>
      </c>
      <c r="C176" s="28" t="s">
        <v>140</v>
      </c>
      <c r="D176" s="28" t="s">
        <v>151</v>
      </c>
      <c r="E176" s="28">
        <v>22</v>
      </c>
      <c r="F176" s="28">
        <v>23</v>
      </c>
      <c r="G176" s="28">
        <v>24</v>
      </c>
      <c r="H176" s="28"/>
      <c r="I176" s="28"/>
      <c r="J176" s="28"/>
    </row>
    <row r="177" spans="1:10" ht="18.75" customHeight="1" x14ac:dyDescent="0.25">
      <c r="A177" s="89">
        <v>46256</v>
      </c>
      <c r="B177" s="28">
        <v>3845</v>
      </c>
      <c r="C177" s="28" t="s">
        <v>149</v>
      </c>
      <c r="D177" s="28" t="s">
        <v>183</v>
      </c>
      <c r="E177" s="28">
        <v>22</v>
      </c>
      <c r="F177" s="28">
        <v>23</v>
      </c>
      <c r="G177" s="28">
        <v>24</v>
      </c>
      <c r="H177" s="28"/>
      <c r="I177" s="28"/>
      <c r="J177" s="28"/>
    </row>
    <row r="178" spans="1:10" ht="18.75" customHeight="1" x14ac:dyDescent="0.25">
      <c r="A178" s="89">
        <v>46256</v>
      </c>
      <c r="B178" s="28">
        <v>4433</v>
      </c>
      <c r="C178" s="28" t="s">
        <v>149</v>
      </c>
      <c r="D178" s="28" t="s">
        <v>179</v>
      </c>
      <c r="E178" s="28">
        <v>22</v>
      </c>
      <c r="F178" s="28">
        <v>23</v>
      </c>
      <c r="G178" s="28">
        <v>24</v>
      </c>
      <c r="H178" s="28"/>
      <c r="I178" s="28"/>
      <c r="J178" s="28"/>
    </row>
    <row r="179" spans="1:10" ht="18.75" customHeight="1" x14ac:dyDescent="0.25">
      <c r="A179" s="89">
        <v>46256</v>
      </c>
      <c r="B179" s="28">
        <v>2943</v>
      </c>
      <c r="C179" s="28" t="s">
        <v>177</v>
      </c>
      <c r="D179" s="28" t="s">
        <v>197</v>
      </c>
      <c r="E179" s="28">
        <v>22</v>
      </c>
      <c r="F179" s="28">
        <v>23</v>
      </c>
      <c r="G179" s="28">
        <v>24</v>
      </c>
      <c r="H179" s="28"/>
      <c r="I179" s="28"/>
      <c r="J179" s="28"/>
    </row>
    <row r="180" spans="1:10" ht="18.75" customHeight="1" x14ac:dyDescent="0.25">
      <c r="A180" s="89">
        <v>46257</v>
      </c>
      <c r="B180" s="28">
        <v>4906</v>
      </c>
      <c r="C180" s="28" t="s">
        <v>177</v>
      </c>
      <c r="D180" s="28" t="s">
        <v>173</v>
      </c>
      <c r="E180" s="28">
        <v>23</v>
      </c>
      <c r="F180" s="28">
        <v>24</v>
      </c>
      <c r="G180" s="28">
        <v>25</v>
      </c>
      <c r="H180" s="28"/>
      <c r="I180" s="28"/>
      <c r="J180" s="28"/>
    </row>
    <row r="181" spans="1:10" ht="18.75" customHeight="1" x14ac:dyDescent="0.25">
      <c r="A181" s="89">
        <v>46257</v>
      </c>
      <c r="B181" s="28">
        <v>1203</v>
      </c>
      <c r="C181" s="28" t="s">
        <v>201</v>
      </c>
      <c r="D181" s="28" t="s">
        <v>202</v>
      </c>
      <c r="E181" s="28">
        <v>23</v>
      </c>
      <c r="F181" s="28">
        <v>24</v>
      </c>
      <c r="G181" s="28">
        <v>25</v>
      </c>
      <c r="H181" s="28"/>
      <c r="I181" s="28"/>
      <c r="J181" s="28"/>
    </row>
    <row r="182" spans="1:10" ht="18.75" customHeight="1" x14ac:dyDescent="0.25">
      <c r="A182" s="89">
        <v>46258</v>
      </c>
      <c r="B182" s="28">
        <v>5879</v>
      </c>
      <c r="C182" s="28" t="s">
        <v>177</v>
      </c>
      <c r="D182" s="28" t="s">
        <v>173</v>
      </c>
      <c r="E182" s="28">
        <v>24</v>
      </c>
      <c r="F182" s="28">
        <v>25</v>
      </c>
      <c r="G182" s="28">
        <v>26</v>
      </c>
      <c r="H182" s="28"/>
      <c r="I182" s="28"/>
      <c r="J182" s="28"/>
    </row>
    <row r="183" spans="1:10" ht="18.75" customHeight="1" x14ac:dyDescent="0.25">
      <c r="A183" s="89">
        <v>46258</v>
      </c>
      <c r="B183" s="28">
        <v>4607</v>
      </c>
      <c r="C183" s="28" t="s">
        <v>156</v>
      </c>
      <c r="D183" s="28" t="s">
        <v>160</v>
      </c>
      <c r="E183" s="28">
        <v>24</v>
      </c>
      <c r="F183" s="28">
        <v>252</v>
      </c>
      <c r="G183" s="28">
        <v>26</v>
      </c>
      <c r="H183" s="28"/>
      <c r="I183" s="28"/>
      <c r="J183" s="28"/>
    </row>
    <row r="184" spans="1:10" ht="18.75" customHeight="1" x14ac:dyDescent="0.25">
      <c r="A184" s="89">
        <v>46258</v>
      </c>
      <c r="B184" s="28">
        <v>3510</v>
      </c>
      <c r="C184" s="28" t="s">
        <v>177</v>
      </c>
      <c r="D184" s="28" t="s">
        <v>173</v>
      </c>
      <c r="E184" s="28">
        <v>24</v>
      </c>
      <c r="F184" s="28">
        <v>25</v>
      </c>
      <c r="G184" s="28">
        <v>26</v>
      </c>
      <c r="H184" s="28"/>
      <c r="I184" s="28"/>
      <c r="J184" s="28"/>
    </row>
    <row r="185" spans="1:10" ht="18.75" customHeight="1" x14ac:dyDescent="0.25">
      <c r="A185" s="89">
        <v>46258</v>
      </c>
      <c r="B185" s="28">
        <v>5879</v>
      </c>
      <c r="C185" s="28" t="s">
        <v>149</v>
      </c>
      <c r="D185" s="28" t="s">
        <v>179</v>
      </c>
      <c r="E185" s="28">
        <v>24</v>
      </c>
      <c r="F185" s="28">
        <v>25</v>
      </c>
      <c r="G185" s="28">
        <v>26</v>
      </c>
      <c r="H185" s="28"/>
      <c r="I185" s="28"/>
      <c r="J185" s="28"/>
    </row>
    <row r="186" spans="1:10" ht="18.75" customHeight="1" x14ac:dyDescent="0.25">
      <c r="A186" s="89">
        <v>46258</v>
      </c>
      <c r="B186" s="28">
        <v>5516</v>
      </c>
      <c r="C186" s="28" t="s">
        <v>140</v>
      </c>
      <c r="D186" s="28" t="s">
        <v>178</v>
      </c>
      <c r="E186" s="28">
        <v>24</v>
      </c>
      <c r="F186" s="28">
        <v>25</v>
      </c>
      <c r="G186" s="28">
        <v>26</v>
      </c>
      <c r="H186" s="28"/>
      <c r="I186" s="28"/>
      <c r="J186" s="28"/>
    </row>
    <row r="187" spans="1:10" ht="18.75" customHeight="1" x14ac:dyDescent="0.25">
      <c r="A187" s="89">
        <v>46258</v>
      </c>
      <c r="B187" s="28">
        <v>5698</v>
      </c>
      <c r="C187" s="28" t="s">
        <v>156</v>
      </c>
      <c r="D187" s="28" t="s">
        <v>157</v>
      </c>
      <c r="E187" s="28">
        <v>24</v>
      </c>
      <c r="F187" s="28">
        <v>25</v>
      </c>
      <c r="G187" s="28">
        <v>26</v>
      </c>
      <c r="H187" s="28"/>
      <c r="I187" s="28"/>
      <c r="J187" s="28"/>
    </row>
    <row r="188" spans="1:10" ht="18.75" customHeight="1" x14ac:dyDescent="0.25">
      <c r="A188" s="89">
        <v>46259</v>
      </c>
      <c r="B188" s="28">
        <v>4343</v>
      </c>
      <c r="C188" s="28" t="s">
        <v>143</v>
      </c>
      <c r="D188" s="28" t="s">
        <v>203</v>
      </c>
      <c r="E188" s="28">
        <v>25</v>
      </c>
      <c r="F188" s="28">
        <v>26</v>
      </c>
      <c r="G188" s="28">
        <v>27</v>
      </c>
      <c r="H188" s="28"/>
      <c r="I188" s="28"/>
      <c r="J188" s="28"/>
    </row>
    <row r="189" spans="1:10" ht="18.75" customHeight="1" x14ac:dyDescent="0.25">
      <c r="A189" s="89"/>
      <c r="B189" s="28"/>
      <c r="C189" s="28"/>
      <c r="D189" s="28"/>
      <c r="E189" s="28"/>
      <c r="F189" s="28"/>
      <c r="G189" s="28"/>
      <c r="H189" s="28"/>
      <c r="I189" s="28"/>
      <c r="J189" s="28"/>
    </row>
    <row r="190" spans="1:10" ht="18.75" customHeight="1" x14ac:dyDescent="0.25">
      <c r="A190" s="28"/>
      <c r="B190" s="28"/>
      <c r="C190" s="28"/>
      <c r="D190" s="28"/>
      <c r="E190" s="28"/>
      <c r="F190" s="28"/>
      <c r="G190" s="28"/>
      <c r="H190" s="28"/>
      <c r="I190" s="28"/>
      <c r="J190" s="28"/>
    </row>
    <row r="191" spans="1:10" ht="18.75" customHeight="1" x14ac:dyDescent="0.25">
      <c r="A191" s="28"/>
      <c r="B191" s="28"/>
      <c r="C191" s="28"/>
      <c r="D191" s="28"/>
      <c r="E191" s="28"/>
      <c r="F191" s="28"/>
      <c r="G191" s="28"/>
      <c r="H191" s="28"/>
      <c r="I191" s="28"/>
      <c r="J191" s="28"/>
    </row>
    <row r="192" spans="1:10" ht="18.75" customHeight="1" x14ac:dyDescent="0.25">
      <c r="A192" s="28"/>
      <c r="B192" s="28"/>
      <c r="C192" s="28"/>
      <c r="D192" s="28"/>
      <c r="E192" s="28"/>
      <c r="F192" s="28"/>
      <c r="G192" s="28"/>
      <c r="H192" s="28"/>
      <c r="I192" s="28"/>
      <c r="J192" s="28"/>
    </row>
    <row r="193" spans="1:10" ht="18.75" customHeight="1" x14ac:dyDescent="0.25">
      <c r="A193" s="28"/>
      <c r="B193" s="28"/>
      <c r="C193" s="28"/>
      <c r="D193" s="28"/>
      <c r="E193" s="28"/>
      <c r="F193" s="28"/>
      <c r="G193" s="28"/>
      <c r="H193" s="28"/>
      <c r="I193" s="28"/>
      <c r="J193" s="28"/>
    </row>
    <row r="194" spans="1:10" ht="18.75" customHeight="1" x14ac:dyDescent="0.25">
      <c r="A194" s="28"/>
      <c r="B194" s="28"/>
      <c r="C194" s="28"/>
      <c r="D194" s="28"/>
      <c r="E194" s="28"/>
      <c r="F194" s="28"/>
      <c r="G194" s="28"/>
      <c r="H194" s="28"/>
      <c r="I194" s="28"/>
      <c r="J194" s="28"/>
    </row>
    <row r="195" spans="1:10" ht="18.75" customHeight="1" x14ac:dyDescent="0.25">
      <c r="A195" s="28"/>
      <c r="B195" s="28"/>
      <c r="C195" s="28"/>
      <c r="D195" s="28"/>
      <c r="E195" s="28"/>
      <c r="F195" s="28"/>
      <c r="G195" s="28"/>
      <c r="H195" s="28"/>
      <c r="I195" s="28"/>
      <c r="J195" s="28"/>
    </row>
    <row r="196" spans="1:10" ht="18.75" customHeight="1" x14ac:dyDescent="0.25">
      <c r="A196" s="28"/>
      <c r="B196" s="28"/>
      <c r="C196" s="28"/>
      <c r="D196" s="28"/>
      <c r="E196" s="28"/>
      <c r="F196" s="28"/>
      <c r="G196" s="28"/>
      <c r="H196" s="28"/>
      <c r="I196" s="28"/>
      <c r="J196" s="28"/>
    </row>
    <row r="197" spans="1:10" ht="18.75" customHeight="1" x14ac:dyDescent="0.25">
      <c r="A197" s="28"/>
      <c r="B197" s="28"/>
      <c r="C197" s="28"/>
      <c r="D197" s="28"/>
      <c r="E197" s="28"/>
      <c r="F197" s="28"/>
      <c r="G197" s="28"/>
      <c r="H197" s="28"/>
      <c r="I197" s="28"/>
      <c r="J197" s="28"/>
    </row>
    <row r="198" spans="1:10" ht="18.75" customHeight="1" x14ac:dyDescent="0.25">
      <c r="A198" s="28"/>
      <c r="B198" s="28"/>
      <c r="C198" s="28"/>
      <c r="D198" s="28"/>
      <c r="E198" s="28"/>
      <c r="F198" s="28"/>
      <c r="G198" s="28"/>
      <c r="H198" s="28"/>
      <c r="I198" s="28"/>
      <c r="J198" s="28"/>
    </row>
    <row r="199" spans="1:10" ht="18.75" customHeight="1" x14ac:dyDescent="0.25">
      <c r="A199" s="28"/>
      <c r="B199" s="28"/>
      <c r="C199" s="28"/>
      <c r="D199" s="28"/>
      <c r="E199" s="28"/>
      <c r="F199" s="28"/>
      <c r="G199" s="28"/>
      <c r="H199" s="28"/>
      <c r="I199" s="28"/>
      <c r="J199" s="28"/>
    </row>
    <row r="200" spans="1:10" ht="18.75" customHeight="1" x14ac:dyDescent="0.25">
      <c r="A200" s="28"/>
      <c r="B200" s="28"/>
      <c r="C200" s="28"/>
      <c r="D200" s="28"/>
      <c r="E200" s="28"/>
      <c r="F200" s="28"/>
      <c r="G200" s="28"/>
      <c r="H200" s="28"/>
      <c r="I200" s="28"/>
      <c r="J200" s="28"/>
    </row>
    <row r="201" spans="1:10" ht="18.75" customHeight="1" x14ac:dyDescent="0.25">
      <c r="A201" s="28"/>
      <c r="B201" s="28"/>
      <c r="C201" s="28"/>
      <c r="D201" s="28"/>
      <c r="E201" s="28"/>
      <c r="F201" s="28"/>
      <c r="G201" s="28"/>
      <c r="H201" s="28"/>
      <c r="I201" s="28"/>
      <c r="J201" s="28"/>
    </row>
    <row r="202" spans="1:10" ht="18.75" customHeight="1" x14ac:dyDescent="0.25">
      <c r="A202" s="28"/>
      <c r="B202" s="28"/>
      <c r="C202" s="28"/>
      <c r="D202" s="28"/>
      <c r="E202" s="28"/>
      <c r="F202" s="28"/>
      <c r="G202" s="28"/>
      <c r="H202" s="28"/>
      <c r="I202" s="28"/>
      <c r="J202" s="28"/>
    </row>
    <row r="203" spans="1:10" ht="18.75" customHeight="1" x14ac:dyDescent="0.25">
      <c r="A203" s="28"/>
      <c r="B203" s="28"/>
      <c r="C203" s="28"/>
      <c r="D203" s="28"/>
      <c r="E203" s="28"/>
      <c r="F203" s="28"/>
      <c r="G203" s="28"/>
      <c r="H203" s="28"/>
      <c r="I203" s="28"/>
      <c r="J203" s="28"/>
    </row>
    <row r="204" spans="1:10" ht="18.75" customHeight="1" x14ac:dyDescent="0.25">
      <c r="A204" s="28"/>
      <c r="B204" s="28"/>
      <c r="C204" s="28"/>
      <c r="D204" s="28"/>
      <c r="E204" s="28"/>
      <c r="F204" s="28"/>
      <c r="G204" s="28"/>
      <c r="H204" s="28"/>
      <c r="I204" s="28"/>
      <c r="J204" s="28"/>
    </row>
    <row r="205" spans="1:10" ht="18.75" customHeight="1" x14ac:dyDescent="0.25">
      <c r="A205" s="28"/>
      <c r="B205" s="28"/>
      <c r="C205" s="28"/>
      <c r="D205" s="28"/>
      <c r="E205" s="28"/>
      <c r="F205" s="28"/>
      <c r="G205" s="28"/>
      <c r="H205" s="28"/>
      <c r="I205" s="28"/>
      <c r="J205" s="28"/>
    </row>
    <row r="206" spans="1:10" ht="18.75" customHeight="1" x14ac:dyDescent="0.25">
      <c r="A206" s="28"/>
      <c r="B206" s="28"/>
      <c r="C206" s="28"/>
      <c r="D206" s="28"/>
      <c r="E206" s="28"/>
      <c r="F206" s="28"/>
      <c r="G206" s="28"/>
      <c r="H206" s="28"/>
      <c r="I206" s="28"/>
      <c r="J206" s="28"/>
    </row>
    <row r="207" spans="1:10" ht="18.75" customHeight="1" x14ac:dyDescent="0.25">
      <c r="A207" s="28"/>
      <c r="B207" s="28"/>
      <c r="C207" s="28"/>
      <c r="D207" s="28"/>
      <c r="E207" s="28"/>
      <c r="F207" s="28"/>
      <c r="G207" s="28"/>
      <c r="H207" s="28"/>
      <c r="I207" s="28"/>
      <c r="J207" s="28"/>
    </row>
    <row r="208" spans="1:10" ht="18.75" customHeight="1" x14ac:dyDescent="0.25">
      <c r="A208" s="28"/>
      <c r="B208" s="28"/>
      <c r="C208" s="28"/>
      <c r="D208" s="28"/>
      <c r="E208" s="28"/>
      <c r="F208" s="28"/>
      <c r="G208" s="28"/>
      <c r="H208" s="28"/>
      <c r="I208" s="28"/>
      <c r="J208" s="28"/>
    </row>
    <row r="209" spans="1:10" ht="18.75" customHeight="1" x14ac:dyDescent="0.25">
      <c r="A209" s="28"/>
      <c r="B209" s="28"/>
      <c r="C209" s="28"/>
      <c r="D209" s="28"/>
      <c r="E209" s="28"/>
      <c r="F209" s="28"/>
      <c r="G209" s="28"/>
      <c r="H209" s="28"/>
      <c r="I209" s="28"/>
      <c r="J209" s="28"/>
    </row>
    <row r="210" spans="1:10" ht="18.75" customHeight="1" x14ac:dyDescent="0.25">
      <c r="A210" s="28"/>
      <c r="B210" s="28"/>
      <c r="C210" s="28"/>
      <c r="D210" s="28"/>
      <c r="E210" s="28"/>
      <c r="F210" s="28"/>
      <c r="G210" s="28"/>
      <c r="H210" s="28"/>
      <c r="I210" s="28"/>
      <c r="J210" s="28"/>
    </row>
    <row r="211" spans="1:10" ht="18.75" customHeight="1" x14ac:dyDescent="0.25">
      <c r="A211" s="28"/>
      <c r="B211" s="28"/>
      <c r="C211" s="28"/>
      <c r="D211" s="28"/>
      <c r="E211" s="28"/>
      <c r="F211" s="28"/>
      <c r="G211" s="28"/>
      <c r="H211" s="28"/>
      <c r="I211" s="28"/>
      <c r="J211" s="28"/>
    </row>
    <row r="212" spans="1:10" ht="18.75" customHeight="1" x14ac:dyDescent="0.25">
      <c r="A212" s="28"/>
      <c r="B212" s="28"/>
      <c r="C212" s="28"/>
      <c r="D212" s="28"/>
      <c r="E212" s="28"/>
      <c r="F212" s="28"/>
      <c r="G212" s="28"/>
      <c r="H212" s="28"/>
      <c r="I212" s="28"/>
      <c r="J212" s="28"/>
    </row>
    <row r="213" spans="1:10" ht="18.75" customHeight="1" x14ac:dyDescent="0.25">
      <c r="A213" s="28"/>
      <c r="B213" s="28"/>
      <c r="C213" s="28"/>
      <c r="D213" s="28"/>
      <c r="E213" s="28"/>
      <c r="F213" s="28"/>
      <c r="G213" s="28"/>
      <c r="H213" s="28"/>
      <c r="I213" s="28"/>
      <c r="J213" s="28"/>
    </row>
    <row r="214" spans="1:10" ht="18.75" customHeight="1" x14ac:dyDescent="0.25">
      <c r="A214" s="28"/>
      <c r="B214" s="28"/>
      <c r="C214" s="28"/>
      <c r="D214" s="28"/>
      <c r="E214" s="28"/>
      <c r="F214" s="28"/>
      <c r="G214" s="28"/>
      <c r="H214" s="28"/>
      <c r="I214" s="28"/>
      <c r="J214" s="28"/>
    </row>
    <row r="215" spans="1:10" ht="18.75" customHeight="1" x14ac:dyDescent="0.25">
      <c r="A215" s="28"/>
      <c r="B215" s="28"/>
      <c r="C215" s="28"/>
      <c r="D215" s="28"/>
      <c r="E215" s="28"/>
      <c r="F215" s="28"/>
      <c r="G215" s="28"/>
      <c r="H215" s="28"/>
      <c r="I215" s="28"/>
      <c r="J215" s="28"/>
    </row>
    <row r="216" spans="1:10" ht="18.75" customHeight="1" x14ac:dyDescent="0.25">
      <c r="A216" s="28"/>
      <c r="B216" s="28"/>
      <c r="C216" s="28"/>
      <c r="D216" s="28"/>
      <c r="E216" s="28"/>
      <c r="F216" s="28"/>
      <c r="G216" s="28"/>
      <c r="H216" s="28"/>
      <c r="I216" s="28"/>
      <c r="J216" s="28"/>
    </row>
    <row r="217" spans="1:10" ht="18.75" customHeight="1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</row>
    <row r="218" spans="1:10" ht="18.75" customHeight="1" x14ac:dyDescent="0.25">
      <c r="A218" s="28"/>
      <c r="B218" s="28"/>
      <c r="C218" s="28"/>
      <c r="D218" s="28"/>
      <c r="E218" s="28"/>
      <c r="F218" s="28"/>
      <c r="G218" s="28"/>
      <c r="H218" s="28"/>
      <c r="I218" s="28"/>
      <c r="J218" s="28"/>
    </row>
    <row r="219" spans="1:10" ht="18.75" customHeight="1" x14ac:dyDescent="0.25">
      <c r="A219" s="28"/>
      <c r="B219" s="28"/>
      <c r="C219" s="28"/>
      <c r="D219" s="28"/>
      <c r="E219" s="28"/>
      <c r="F219" s="28"/>
      <c r="G219" s="28"/>
      <c r="H219" s="28"/>
      <c r="I219" s="28"/>
      <c r="J219" s="28"/>
    </row>
    <row r="220" spans="1:10" ht="18.75" customHeight="1" x14ac:dyDescent="0.25">
      <c r="A220" s="28"/>
      <c r="B220" s="28"/>
      <c r="C220" s="28"/>
      <c r="D220" s="28"/>
      <c r="E220" s="28"/>
      <c r="F220" s="28"/>
      <c r="G220" s="28"/>
      <c r="H220" s="28"/>
      <c r="I220" s="28"/>
      <c r="J220" s="28"/>
    </row>
    <row r="221" spans="1:10" ht="18.75" customHeight="1" x14ac:dyDescent="0.25">
      <c r="A221" s="28"/>
      <c r="B221" s="28"/>
      <c r="C221" s="28"/>
      <c r="D221" s="28"/>
      <c r="E221" s="28"/>
      <c r="F221" s="28"/>
      <c r="G221" s="28"/>
      <c r="H221" s="28"/>
      <c r="I221" s="28"/>
      <c r="J221" s="28"/>
    </row>
    <row r="222" spans="1:10" ht="18.75" customHeight="1" x14ac:dyDescent="0.25">
      <c r="A222" s="28"/>
      <c r="B222" s="28"/>
      <c r="C222" s="28"/>
      <c r="D222" s="28"/>
      <c r="E222" s="28"/>
      <c r="F222" s="28"/>
      <c r="G222" s="28"/>
      <c r="H222" s="28"/>
      <c r="I222" s="28"/>
      <c r="J222" s="28"/>
    </row>
    <row r="223" spans="1:10" ht="18.75" customHeight="1" x14ac:dyDescent="0.25">
      <c r="A223" s="28"/>
      <c r="B223" s="28"/>
      <c r="C223" s="28"/>
      <c r="D223" s="28"/>
      <c r="E223" s="28"/>
      <c r="F223" s="28"/>
      <c r="G223" s="28"/>
      <c r="H223" s="28"/>
      <c r="I223" s="28"/>
      <c r="J223" s="28"/>
    </row>
    <row r="224" spans="1:10" ht="18.75" customHeight="1" x14ac:dyDescent="0.25">
      <c r="A224" s="28"/>
      <c r="B224" s="28"/>
      <c r="C224" s="28"/>
      <c r="D224" s="28"/>
      <c r="E224" s="28"/>
      <c r="F224" s="28"/>
      <c r="G224" s="28"/>
      <c r="H224" s="28"/>
      <c r="I224" s="28"/>
      <c r="J224" s="28"/>
    </row>
    <row r="225" spans="1:10" ht="18.75" customHeight="1" x14ac:dyDescent="0.25">
      <c r="A225" s="28"/>
      <c r="B225" s="28"/>
      <c r="C225" s="28"/>
      <c r="D225" s="28"/>
      <c r="E225" s="28"/>
      <c r="F225" s="28"/>
      <c r="G225" s="28"/>
      <c r="H225" s="28"/>
      <c r="I225" s="28"/>
      <c r="J225" s="28"/>
    </row>
    <row r="226" spans="1:10" ht="18.75" customHeight="1" x14ac:dyDescent="0.25">
      <c r="A226" s="28"/>
      <c r="B226" s="28"/>
      <c r="C226" s="28"/>
      <c r="D226" s="28"/>
      <c r="E226" s="28"/>
      <c r="F226" s="28"/>
      <c r="G226" s="28"/>
      <c r="H226" s="28"/>
      <c r="I226" s="28"/>
      <c r="J226" s="28"/>
    </row>
    <row r="227" spans="1:10" ht="18.75" customHeight="1" x14ac:dyDescent="0.25">
      <c r="A227" s="28"/>
      <c r="B227" s="28"/>
      <c r="C227" s="28"/>
      <c r="D227" s="28"/>
      <c r="E227" s="28"/>
      <c r="F227" s="28"/>
      <c r="G227" s="28"/>
      <c r="H227" s="28"/>
      <c r="I227" s="28"/>
      <c r="J227" s="28"/>
    </row>
    <row r="228" spans="1:10" ht="18.75" customHeight="1" x14ac:dyDescent="0.25">
      <c r="A228" s="28"/>
      <c r="B228" s="28"/>
      <c r="C228" s="28"/>
      <c r="D228" s="28"/>
      <c r="E228" s="28"/>
      <c r="F228" s="28"/>
      <c r="G228" s="28"/>
      <c r="H228" s="28"/>
      <c r="I228" s="28"/>
      <c r="J228" s="28"/>
    </row>
    <row r="229" spans="1:10" ht="18.75" customHeight="1" x14ac:dyDescent="0.25">
      <c r="A229" s="28"/>
      <c r="B229" s="28"/>
      <c r="C229" s="28"/>
      <c r="D229" s="28"/>
      <c r="E229" s="28"/>
      <c r="F229" s="28"/>
      <c r="G229" s="28"/>
      <c r="H229" s="28"/>
      <c r="I229" s="28"/>
      <c r="J229" s="28"/>
    </row>
    <row r="230" spans="1:10" ht="18.75" customHeight="1" x14ac:dyDescent="0.25">
      <c r="A230" s="28"/>
      <c r="B230" s="28"/>
      <c r="C230" s="28"/>
      <c r="D230" s="28"/>
      <c r="E230" s="28"/>
      <c r="F230" s="28"/>
      <c r="G230" s="28"/>
      <c r="H230" s="28"/>
      <c r="I230" s="28"/>
      <c r="J230" s="28"/>
    </row>
    <row r="231" spans="1:10" ht="18.75" customHeight="1" x14ac:dyDescent="0.25">
      <c r="A231" s="28"/>
      <c r="B231" s="28"/>
      <c r="C231" s="28"/>
      <c r="D231" s="28"/>
      <c r="E231" s="28"/>
      <c r="F231" s="28"/>
      <c r="G231" s="28"/>
      <c r="H231" s="28"/>
      <c r="I231" s="28"/>
      <c r="J231" s="28"/>
    </row>
    <row r="232" spans="1:10" ht="18.75" customHeight="1" x14ac:dyDescent="0.25">
      <c r="A232" s="28"/>
      <c r="B232" s="28"/>
      <c r="C232" s="28"/>
      <c r="D232" s="28"/>
      <c r="E232" s="28"/>
      <c r="F232" s="28"/>
      <c r="G232" s="28"/>
      <c r="H232" s="28"/>
      <c r="I232" s="28"/>
      <c r="J232" s="28"/>
    </row>
    <row r="233" spans="1:10" ht="18.75" customHeight="1" x14ac:dyDescent="0.25">
      <c r="A233" s="28"/>
      <c r="B233" s="28"/>
      <c r="C233" s="28"/>
      <c r="D233" s="28"/>
      <c r="E233" s="28"/>
      <c r="F233" s="28"/>
      <c r="G233" s="28"/>
      <c r="H233" s="28"/>
      <c r="I233" s="28"/>
      <c r="J233" s="28"/>
    </row>
    <row r="234" spans="1:10" ht="18.75" customHeight="1" x14ac:dyDescent="0.25">
      <c r="A234" s="28"/>
      <c r="B234" s="28"/>
      <c r="C234" s="28"/>
      <c r="D234" s="28"/>
      <c r="E234" s="28"/>
      <c r="F234" s="28"/>
      <c r="G234" s="28"/>
      <c r="H234" s="28"/>
      <c r="I234" s="28"/>
      <c r="J234" s="28"/>
    </row>
    <row r="235" spans="1:10" ht="18.75" customHeight="1" x14ac:dyDescent="0.25">
      <c r="A235" s="28"/>
      <c r="B235" s="28"/>
      <c r="C235" s="28"/>
      <c r="D235" s="28"/>
      <c r="E235" s="28"/>
      <c r="F235" s="28"/>
      <c r="G235" s="28"/>
      <c r="H235" s="28"/>
      <c r="I235" s="28"/>
      <c r="J235" s="28"/>
    </row>
    <row r="236" spans="1:10" ht="18.75" customHeight="1" x14ac:dyDescent="0.25">
      <c r="A236" s="28"/>
      <c r="B236" s="28"/>
      <c r="C236" s="28"/>
      <c r="D236" s="28"/>
      <c r="E236" s="28"/>
      <c r="F236" s="28"/>
      <c r="G236" s="28"/>
      <c r="H236" s="28"/>
      <c r="I236" s="28"/>
      <c r="J236" s="28"/>
    </row>
    <row r="237" spans="1:10" ht="18.75" customHeight="1" x14ac:dyDescent="0.25">
      <c r="A237" s="28"/>
      <c r="B237" s="28"/>
      <c r="C237" s="28"/>
      <c r="D237" s="28"/>
      <c r="E237" s="28"/>
      <c r="F237" s="28"/>
      <c r="G237" s="28"/>
      <c r="H237" s="28"/>
      <c r="I237" s="28"/>
      <c r="J237" s="28"/>
    </row>
    <row r="238" spans="1:10" ht="18.75" customHeight="1" x14ac:dyDescent="0.25">
      <c r="A238" s="28"/>
      <c r="B238" s="28"/>
      <c r="C238" s="28"/>
      <c r="D238" s="28"/>
      <c r="E238" s="28"/>
      <c r="F238" s="28"/>
      <c r="G238" s="28"/>
      <c r="H238" s="28"/>
      <c r="I238" s="28"/>
      <c r="J238" s="28"/>
    </row>
    <row r="239" spans="1:10" ht="18.75" customHeight="1" x14ac:dyDescent="0.25">
      <c r="A239" s="28"/>
      <c r="B239" s="28"/>
      <c r="C239" s="28"/>
      <c r="D239" s="28"/>
      <c r="E239" s="28"/>
      <c r="F239" s="28"/>
      <c r="G239" s="28"/>
      <c r="H239" s="28"/>
      <c r="I239" s="28"/>
      <c r="J239" s="28"/>
    </row>
    <row r="240" spans="1:10" ht="18.75" customHeight="1" x14ac:dyDescent="0.25">
      <c r="A240" s="28"/>
      <c r="B240" s="28"/>
      <c r="C240" s="28"/>
      <c r="D240" s="28"/>
      <c r="E240" s="28"/>
      <c r="F240" s="28"/>
      <c r="G240" s="28"/>
      <c r="H240" s="28"/>
      <c r="I240" s="28"/>
      <c r="J240" s="28"/>
    </row>
    <row r="241" spans="1:10" ht="18.75" customHeight="1" x14ac:dyDescent="0.25">
      <c r="A241" s="28"/>
      <c r="B241" s="28"/>
      <c r="C241" s="28"/>
      <c r="D241" s="28"/>
      <c r="E241" s="28"/>
      <c r="F241" s="28"/>
      <c r="G241" s="28"/>
      <c r="H241" s="28"/>
      <c r="I241" s="28"/>
      <c r="J241" s="28"/>
    </row>
    <row r="242" spans="1:10" ht="18.75" customHeight="1" x14ac:dyDescent="0.25">
      <c r="A242" s="28"/>
      <c r="B242" s="28"/>
      <c r="C242" s="28"/>
      <c r="D242" s="28"/>
      <c r="E242" s="28"/>
      <c r="F242" s="28"/>
      <c r="G242" s="28"/>
      <c r="H242" s="28"/>
      <c r="I242" s="28"/>
      <c r="J242" s="28"/>
    </row>
    <row r="243" spans="1:10" ht="18.75" customHeight="1" x14ac:dyDescent="0.25">
      <c r="A243" s="28"/>
      <c r="B243" s="28"/>
      <c r="C243" s="28"/>
      <c r="D243" s="28"/>
      <c r="E243" s="28"/>
      <c r="F243" s="28"/>
      <c r="G243" s="28"/>
      <c r="H243" s="28"/>
      <c r="I243" s="28"/>
      <c r="J243" s="28"/>
    </row>
    <row r="244" spans="1:10" ht="18.75" customHeight="1" x14ac:dyDescent="0.25">
      <c r="A244" s="28"/>
      <c r="B244" s="28"/>
      <c r="C244" s="28"/>
      <c r="D244" s="28"/>
      <c r="E244" s="28"/>
      <c r="F244" s="28"/>
      <c r="G244" s="28"/>
      <c r="H244" s="28"/>
      <c r="I244" s="28"/>
      <c r="J244" s="28"/>
    </row>
    <row r="245" spans="1:10" ht="18.75" customHeight="1" x14ac:dyDescent="0.25">
      <c r="A245" s="28"/>
      <c r="B245" s="28"/>
      <c r="C245" s="28"/>
      <c r="D245" s="28"/>
      <c r="E245" s="28"/>
      <c r="F245" s="28"/>
      <c r="G245" s="28"/>
      <c r="H245" s="28"/>
      <c r="I245" s="28"/>
      <c r="J245" s="28"/>
    </row>
    <row r="246" spans="1:10" ht="18.75" customHeight="1" x14ac:dyDescent="0.25">
      <c r="A246" s="28"/>
      <c r="B246" s="28"/>
      <c r="C246" s="28"/>
      <c r="D246" s="28"/>
      <c r="E246" s="28"/>
      <c r="F246" s="28"/>
      <c r="G246" s="28"/>
      <c r="H246" s="28"/>
      <c r="I246" s="28"/>
      <c r="J246" s="28"/>
    </row>
    <row r="247" spans="1:10" ht="18.75" customHeight="1" x14ac:dyDescent="0.25">
      <c r="A247" s="28"/>
      <c r="B247" s="28"/>
      <c r="C247" s="28"/>
      <c r="D247" s="28"/>
      <c r="E247" s="28"/>
      <c r="F247" s="28"/>
      <c r="G247" s="28"/>
      <c r="H247" s="28"/>
      <c r="I247" s="28"/>
      <c r="J247" s="28"/>
    </row>
    <row r="248" spans="1:10" ht="18.75" customHeight="1" x14ac:dyDescent="0.25">
      <c r="A248" s="28"/>
      <c r="B248" s="28"/>
      <c r="C248" s="28"/>
      <c r="D248" s="28"/>
      <c r="E248" s="28"/>
      <c r="F248" s="28"/>
      <c r="G248" s="28"/>
      <c r="H248" s="28"/>
      <c r="I248" s="28"/>
      <c r="J248" s="28"/>
    </row>
    <row r="249" spans="1:10" ht="18.75" customHeight="1" x14ac:dyDescent="0.25">
      <c r="A249" s="28"/>
      <c r="B249" s="28"/>
      <c r="C249" s="28"/>
      <c r="D249" s="28"/>
      <c r="E249" s="28"/>
      <c r="F249" s="28"/>
      <c r="G249" s="28"/>
      <c r="H249" s="28"/>
      <c r="I249" s="28"/>
      <c r="J249" s="28"/>
    </row>
    <row r="250" spans="1:10" ht="18.75" customHeight="1" x14ac:dyDescent="0.25">
      <c r="A250" s="28"/>
      <c r="B250" s="28"/>
      <c r="C250" s="28"/>
      <c r="D250" s="28"/>
      <c r="E250" s="28"/>
      <c r="F250" s="28"/>
      <c r="G250" s="28"/>
      <c r="H250" s="28"/>
      <c r="I250" s="28"/>
      <c r="J250" s="28"/>
    </row>
    <row r="251" spans="1:10" ht="18.75" customHeight="1" x14ac:dyDescent="0.25">
      <c r="A251" s="28"/>
      <c r="B251" s="28"/>
      <c r="C251" s="28"/>
      <c r="D251" s="28"/>
      <c r="E251" s="28"/>
      <c r="F251" s="28"/>
      <c r="G251" s="28"/>
      <c r="H251" s="28"/>
      <c r="I251" s="28"/>
      <c r="J251" s="28"/>
    </row>
    <row r="252" spans="1:10" ht="18.75" customHeight="1" x14ac:dyDescent="0.25">
      <c r="A252" s="28"/>
      <c r="B252" s="28"/>
      <c r="C252" s="28"/>
      <c r="D252" s="28"/>
      <c r="E252" s="28"/>
      <c r="F252" s="28"/>
      <c r="G252" s="28"/>
      <c r="H252" s="28"/>
      <c r="I252" s="28"/>
      <c r="J252" s="28"/>
    </row>
    <row r="253" spans="1:10" ht="18.75" customHeight="1" x14ac:dyDescent="0.25">
      <c r="A253" s="28"/>
      <c r="B253" s="28"/>
      <c r="C253" s="28"/>
      <c r="D253" s="28"/>
      <c r="E253" s="28"/>
      <c r="F253" s="28"/>
      <c r="G253" s="28"/>
      <c r="H253" s="28"/>
      <c r="I253" s="28"/>
      <c r="J253" s="28"/>
    </row>
    <row r="254" spans="1:10" ht="18.75" customHeight="1" x14ac:dyDescent="0.25">
      <c r="A254" s="28"/>
      <c r="B254" s="28"/>
      <c r="C254" s="28"/>
      <c r="D254" s="28"/>
      <c r="E254" s="28"/>
      <c r="F254" s="28"/>
      <c r="G254" s="28"/>
      <c r="H254" s="28"/>
      <c r="I254" s="28"/>
      <c r="J254" s="28"/>
    </row>
    <row r="255" spans="1:10" ht="18.75" customHeight="1" x14ac:dyDescent="0.25">
      <c r="A255" s="28"/>
      <c r="B255" s="28"/>
      <c r="C255" s="28"/>
      <c r="D255" s="28"/>
      <c r="E255" s="28"/>
      <c r="F255" s="28"/>
      <c r="G255" s="28"/>
      <c r="H255" s="28"/>
      <c r="I255" s="28"/>
      <c r="J255" s="28"/>
    </row>
    <row r="256" spans="1:10" ht="18.75" customHeight="1" x14ac:dyDescent="0.25">
      <c r="A256" s="28"/>
      <c r="B256" s="28"/>
      <c r="C256" s="28"/>
      <c r="D256" s="28"/>
      <c r="E256" s="28"/>
      <c r="F256" s="28"/>
      <c r="G256" s="28"/>
      <c r="H256" s="28"/>
      <c r="I256" s="28"/>
      <c r="J256" s="28"/>
    </row>
    <row r="257" spans="1:10" ht="18.75" customHeight="1" x14ac:dyDescent="0.25">
      <c r="A257" s="28"/>
      <c r="B257" s="28"/>
      <c r="C257" s="28"/>
      <c r="D257" s="28"/>
      <c r="E257" s="28"/>
      <c r="F257" s="28"/>
      <c r="G257" s="28"/>
      <c r="H257" s="28"/>
      <c r="I257" s="28"/>
      <c r="J257" s="28"/>
    </row>
    <row r="258" spans="1:10" ht="18.75" customHeight="1" x14ac:dyDescent="0.25">
      <c r="A258" s="28"/>
      <c r="B258" s="28"/>
      <c r="C258" s="28"/>
      <c r="D258" s="28"/>
      <c r="E258" s="28"/>
      <c r="F258" s="28"/>
      <c r="G258" s="28"/>
      <c r="H258" s="28"/>
      <c r="I258" s="28"/>
      <c r="J258" s="28"/>
    </row>
    <row r="259" spans="1:10" ht="18.75" customHeight="1" x14ac:dyDescent="0.25">
      <c r="A259" s="28"/>
      <c r="B259" s="28"/>
      <c r="C259" s="28"/>
      <c r="D259" s="28"/>
      <c r="E259" s="28"/>
      <c r="F259" s="28"/>
      <c r="G259" s="28"/>
      <c r="H259" s="28"/>
      <c r="I259" s="28"/>
      <c r="J259" s="28"/>
    </row>
    <row r="260" spans="1:10" ht="18.75" customHeight="1" x14ac:dyDescent="0.25">
      <c r="A260" s="28"/>
      <c r="B260" s="28"/>
      <c r="C260" s="28"/>
      <c r="D260" s="28"/>
      <c r="E260" s="28"/>
      <c r="F260" s="28"/>
      <c r="G260" s="28"/>
      <c r="H260" s="28"/>
      <c r="I260" s="28"/>
      <c r="J260" s="28"/>
    </row>
    <row r="261" spans="1:10" ht="18.75" customHeight="1" x14ac:dyDescent="0.25">
      <c r="A261" s="28"/>
      <c r="B261" s="28"/>
      <c r="C261" s="28"/>
      <c r="D261" s="28"/>
      <c r="E261" s="28"/>
      <c r="F261" s="28"/>
      <c r="G261" s="28"/>
      <c r="H261" s="28"/>
      <c r="I261" s="28"/>
      <c r="J261" s="28"/>
    </row>
    <row r="262" spans="1:10" ht="18.75" customHeight="1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</row>
    <row r="263" spans="1:10" ht="18.75" customHeight="1" x14ac:dyDescent="0.25">
      <c r="A263" s="28"/>
      <c r="B263" s="28"/>
      <c r="C263" s="28"/>
      <c r="D263" s="28"/>
      <c r="E263" s="28"/>
      <c r="F263" s="28"/>
      <c r="G263" s="28"/>
      <c r="H263" s="28"/>
      <c r="I263" s="28"/>
      <c r="J263" s="28"/>
    </row>
    <row r="264" spans="1:10" ht="18.75" customHeight="1" x14ac:dyDescent="0.25">
      <c r="A264" s="28"/>
      <c r="B264" s="28"/>
      <c r="C264" s="28"/>
      <c r="D264" s="28"/>
      <c r="E264" s="28"/>
      <c r="F264" s="28"/>
      <c r="G264" s="28"/>
      <c r="H264" s="28"/>
      <c r="I264" s="28"/>
      <c r="J264" s="28"/>
    </row>
    <row r="265" spans="1:10" ht="18.75" customHeight="1" x14ac:dyDescent="0.25">
      <c r="A265" s="28"/>
      <c r="B265" s="28"/>
      <c r="C265" s="28"/>
      <c r="D265" s="28"/>
      <c r="E265" s="28"/>
      <c r="F265" s="28"/>
      <c r="G265" s="28"/>
      <c r="H265" s="28"/>
      <c r="I265" s="28"/>
      <c r="J265" s="28"/>
    </row>
    <row r="266" spans="1:10" ht="18.75" customHeight="1" x14ac:dyDescent="0.25">
      <c r="A266" s="28"/>
      <c r="B266" s="28"/>
      <c r="C266" s="28"/>
      <c r="D266" s="28"/>
      <c r="E266" s="28"/>
      <c r="F266" s="28"/>
      <c r="G266" s="28"/>
      <c r="H266" s="28"/>
      <c r="I266" s="28"/>
      <c r="J266" s="28"/>
    </row>
    <row r="267" spans="1:10" ht="18.75" customHeight="1" x14ac:dyDescent="0.25">
      <c r="A267" s="28"/>
      <c r="B267" s="28"/>
      <c r="C267" s="28"/>
      <c r="D267" s="28"/>
      <c r="E267" s="28"/>
      <c r="F267" s="28"/>
      <c r="G267" s="28"/>
      <c r="H267" s="28"/>
      <c r="I267" s="28"/>
      <c r="J267" s="28"/>
    </row>
    <row r="268" spans="1:10" ht="18.75" customHeight="1" x14ac:dyDescent="0.25">
      <c r="A268" s="28"/>
      <c r="B268" s="28"/>
      <c r="C268" s="28"/>
      <c r="D268" s="28"/>
      <c r="E268" s="28"/>
      <c r="F268" s="28"/>
      <c r="G268" s="28"/>
      <c r="H268" s="28"/>
      <c r="I268" s="28"/>
      <c r="J268" s="28"/>
    </row>
    <row r="269" spans="1:10" ht="18.75" customHeight="1" x14ac:dyDescent="0.25">
      <c r="A269" s="28"/>
      <c r="B269" s="28"/>
      <c r="C269" s="28"/>
      <c r="D269" s="28"/>
      <c r="E269" s="28"/>
      <c r="F269" s="28"/>
      <c r="G269" s="28"/>
      <c r="H269" s="28"/>
      <c r="I269" s="28"/>
      <c r="J269" s="28"/>
    </row>
    <row r="270" spans="1:10" ht="18.75" customHeight="1" x14ac:dyDescent="0.25">
      <c r="A270" s="28"/>
      <c r="B270" s="28"/>
      <c r="C270" s="28"/>
      <c r="D270" s="28"/>
      <c r="E270" s="28"/>
      <c r="F270" s="28"/>
      <c r="G270" s="28"/>
      <c r="H270" s="28"/>
      <c r="I270" s="28"/>
      <c r="J270" s="28"/>
    </row>
    <row r="271" spans="1:10" ht="18.75" customHeight="1" x14ac:dyDescent="0.25">
      <c r="A271" s="28"/>
      <c r="B271" s="28"/>
      <c r="C271" s="28"/>
      <c r="D271" s="28"/>
      <c r="E271" s="28"/>
      <c r="F271" s="28"/>
      <c r="G271" s="28"/>
      <c r="H271" s="28"/>
      <c r="I271" s="28"/>
      <c r="J271" s="28"/>
    </row>
    <row r="272" spans="1:10" ht="18.75" customHeight="1" x14ac:dyDescent="0.25">
      <c r="A272" s="28"/>
      <c r="B272" s="28"/>
      <c r="C272" s="28"/>
      <c r="D272" s="28"/>
      <c r="E272" s="28"/>
      <c r="F272" s="28"/>
      <c r="G272" s="28"/>
      <c r="H272" s="28"/>
      <c r="I272" s="28"/>
      <c r="J272" s="28"/>
    </row>
    <row r="273" spans="1:10" ht="18.75" customHeight="1" x14ac:dyDescent="0.25">
      <c r="A273" s="28"/>
      <c r="B273" s="28"/>
      <c r="C273" s="28"/>
      <c r="D273" s="28"/>
      <c r="E273" s="28"/>
      <c r="F273" s="28"/>
      <c r="G273" s="28"/>
      <c r="H273" s="28"/>
      <c r="I273" s="28"/>
      <c r="J273" s="28"/>
    </row>
    <row r="274" spans="1:10" ht="18.75" customHeight="1" x14ac:dyDescent="0.25">
      <c r="A274" s="28"/>
      <c r="B274" s="28"/>
      <c r="C274" s="28"/>
      <c r="D274" s="28"/>
      <c r="E274" s="28"/>
      <c r="F274" s="28"/>
      <c r="G274" s="28"/>
      <c r="H274" s="28"/>
      <c r="I274" s="28"/>
      <c r="J274" s="28"/>
    </row>
    <row r="275" spans="1:10" ht="18.75" customHeight="1" x14ac:dyDescent="0.25">
      <c r="A275" s="28"/>
      <c r="B275" s="28"/>
      <c r="C275" s="28"/>
      <c r="D275" s="28"/>
      <c r="E275" s="28"/>
      <c r="F275" s="28"/>
      <c r="G275" s="28"/>
      <c r="H275" s="28"/>
      <c r="I275" s="28"/>
      <c r="J275" s="28"/>
    </row>
    <row r="276" spans="1:10" ht="18.75" customHeight="1" x14ac:dyDescent="0.25">
      <c r="A276" s="28"/>
      <c r="B276" s="28"/>
      <c r="C276" s="28"/>
      <c r="D276" s="28"/>
      <c r="E276" s="28"/>
      <c r="F276" s="28"/>
      <c r="G276" s="28"/>
      <c r="H276" s="28"/>
      <c r="I276" s="28"/>
      <c r="J276" s="28"/>
    </row>
    <row r="277" spans="1:10" ht="18.75" customHeight="1" x14ac:dyDescent="0.25">
      <c r="A277" s="28"/>
      <c r="B277" s="28"/>
      <c r="C277" s="28"/>
      <c r="D277" s="28"/>
      <c r="E277" s="28"/>
      <c r="F277" s="28"/>
      <c r="G277" s="28"/>
      <c r="H277" s="28"/>
      <c r="I277" s="28"/>
      <c r="J277" s="28"/>
    </row>
    <row r="278" spans="1:10" ht="18.75" customHeight="1" x14ac:dyDescent="0.25">
      <c r="A278" s="28"/>
      <c r="B278" s="28"/>
      <c r="C278" s="28"/>
      <c r="D278" s="28"/>
      <c r="E278" s="28"/>
      <c r="F278" s="28"/>
      <c r="G278" s="28"/>
      <c r="H278" s="28"/>
      <c r="I278" s="28"/>
      <c r="J278" s="28"/>
    </row>
    <row r="279" spans="1:10" ht="18.75" customHeight="1" x14ac:dyDescent="0.25">
      <c r="A279" s="28"/>
      <c r="B279" s="28"/>
      <c r="C279" s="28"/>
      <c r="D279" s="28"/>
      <c r="E279" s="28"/>
      <c r="F279" s="28"/>
      <c r="G279" s="28"/>
      <c r="H279" s="28"/>
      <c r="I279" s="28"/>
      <c r="J279" s="28"/>
    </row>
    <row r="280" spans="1:10" ht="18.75" customHeight="1" x14ac:dyDescent="0.25">
      <c r="A280" s="28"/>
      <c r="B280" s="28"/>
      <c r="C280" s="28"/>
      <c r="D280" s="28"/>
      <c r="E280" s="28"/>
      <c r="F280" s="28"/>
      <c r="G280" s="28"/>
      <c r="H280" s="28"/>
      <c r="I280" s="28"/>
      <c r="J280" s="28"/>
    </row>
    <row r="281" spans="1:10" ht="18.75" customHeight="1" x14ac:dyDescent="0.25">
      <c r="A281" s="28"/>
      <c r="B281" s="28"/>
      <c r="C281" s="28"/>
      <c r="D281" s="28"/>
      <c r="E281" s="28"/>
      <c r="F281" s="28"/>
      <c r="G281" s="28"/>
      <c r="H281" s="28"/>
      <c r="I281" s="28"/>
      <c r="J281" s="28"/>
    </row>
    <row r="282" spans="1:10" ht="18.75" customHeight="1" x14ac:dyDescent="0.25">
      <c r="A282" s="28"/>
      <c r="B282" s="28"/>
      <c r="C282" s="28"/>
      <c r="D282" s="28"/>
      <c r="E282" s="28"/>
      <c r="F282" s="28"/>
      <c r="G282" s="28"/>
      <c r="H282" s="28"/>
      <c r="I282" s="28"/>
      <c r="J282" s="28"/>
    </row>
    <row r="283" spans="1:10" ht="18.75" customHeight="1" x14ac:dyDescent="0.25">
      <c r="A283" s="28"/>
      <c r="B283" s="28"/>
      <c r="C283" s="28"/>
      <c r="D283" s="28"/>
      <c r="E283" s="28"/>
      <c r="F283" s="28"/>
      <c r="G283" s="28"/>
      <c r="H283" s="28"/>
      <c r="I283" s="28"/>
      <c r="J283" s="28"/>
    </row>
    <row r="284" spans="1:10" ht="18.75" customHeight="1" x14ac:dyDescent="0.25">
      <c r="A284" s="28"/>
      <c r="B284" s="28"/>
      <c r="C284" s="28"/>
      <c r="D284" s="28"/>
      <c r="E284" s="28"/>
      <c r="F284" s="28"/>
      <c r="G284" s="28"/>
      <c r="H284" s="28"/>
      <c r="I284" s="28"/>
      <c r="J284" s="28"/>
    </row>
    <row r="285" spans="1:10" ht="18.75" customHeight="1" x14ac:dyDescent="0.25">
      <c r="A285" s="28"/>
      <c r="B285" s="28"/>
      <c r="C285" s="28"/>
      <c r="D285" s="28"/>
      <c r="E285" s="28"/>
      <c r="F285" s="28"/>
      <c r="G285" s="28"/>
      <c r="H285" s="28"/>
      <c r="I285" s="28"/>
      <c r="J285" s="28"/>
    </row>
    <row r="286" spans="1:10" ht="18.75" customHeight="1" x14ac:dyDescent="0.25">
      <c r="A286" s="28"/>
      <c r="B286" s="28"/>
      <c r="C286" s="28"/>
      <c r="D286" s="28"/>
      <c r="E286" s="28"/>
      <c r="F286" s="28"/>
      <c r="G286" s="28"/>
      <c r="H286" s="28"/>
      <c r="I286" s="28"/>
      <c r="J286" s="28"/>
    </row>
    <row r="287" spans="1:10" ht="18.75" customHeight="1" x14ac:dyDescent="0.25">
      <c r="A287" s="28"/>
      <c r="B287" s="28"/>
      <c r="C287" s="28"/>
      <c r="D287" s="28"/>
      <c r="E287" s="28"/>
      <c r="F287" s="28"/>
      <c r="G287" s="28"/>
      <c r="H287" s="28"/>
      <c r="I287" s="28"/>
      <c r="J287" s="28"/>
    </row>
    <row r="288" spans="1:10" ht="18.75" customHeight="1" x14ac:dyDescent="0.25">
      <c r="A288" s="28"/>
      <c r="B288" s="28"/>
      <c r="C288" s="28"/>
      <c r="D288" s="28"/>
      <c r="E288" s="28"/>
      <c r="F288" s="28"/>
      <c r="G288" s="28"/>
      <c r="H288" s="28"/>
      <c r="I288" s="28"/>
      <c r="J288" s="28"/>
    </row>
    <row r="289" spans="1:10" ht="18.75" customHeight="1" x14ac:dyDescent="0.25">
      <c r="A289" s="28"/>
      <c r="B289" s="28"/>
      <c r="C289" s="28"/>
      <c r="D289" s="28"/>
      <c r="E289" s="28"/>
      <c r="F289" s="28"/>
      <c r="G289" s="28"/>
      <c r="H289" s="28"/>
      <c r="I289" s="28"/>
      <c r="J289" s="28"/>
    </row>
    <row r="290" spans="1:10" ht="18.75" customHeight="1" x14ac:dyDescent="0.25">
      <c r="A290" s="28"/>
      <c r="B290" s="28"/>
      <c r="C290" s="28"/>
      <c r="D290" s="28"/>
      <c r="E290" s="28"/>
      <c r="F290" s="28"/>
      <c r="G290" s="28"/>
      <c r="H290" s="28"/>
      <c r="I290" s="28"/>
      <c r="J290" s="28"/>
    </row>
    <row r="291" spans="1:10" ht="18.75" customHeight="1" x14ac:dyDescent="0.25">
      <c r="A291" s="28"/>
      <c r="B291" s="28"/>
      <c r="C291" s="28"/>
      <c r="D291" s="28"/>
      <c r="E291" s="28"/>
      <c r="F291" s="28"/>
      <c r="G291" s="28"/>
      <c r="H291" s="28"/>
      <c r="I291" s="28"/>
      <c r="J291" s="28"/>
    </row>
    <row r="292" spans="1:10" ht="18.75" customHeight="1" x14ac:dyDescent="0.25">
      <c r="A292" s="28"/>
      <c r="B292" s="28"/>
      <c r="C292" s="28"/>
      <c r="D292" s="28"/>
      <c r="E292" s="28"/>
      <c r="F292" s="28"/>
      <c r="G292" s="28"/>
      <c r="H292" s="28"/>
      <c r="I292" s="28"/>
      <c r="J292" s="28"/>
    </row>
    <row r="293" spans="1:10" ht="18.75" customHeight="1" x14ac:dyDescent="0.25">
      <c r="A293" s="28"/>
      <c r="B293" s="28"/>
      <c r="C293" s="28"/>
      <c r="D293" s="28"/>
      <c r="E293" s="28"/>
      <c r="F293" s="28"/>
      <c r="G293" s="28"/>
      <c r="H293" s="28"/>
      <c r="I293" s="28"/>
      <c r="J293" s="28"/>
    </row>
    <row r="294" spans="1:10" ht="18.75" customHeight="1" x14ac:dyDescent="0.25">
      <c r="A294" s="28"/>
      <c r="B294" s="28"/>
      <c r="C294" s="28"/>
      <c r="D294" s="28"/>
      <c r="E294" s="28"/>
      <c r="F294" s="28"/>
      <c r="G294" s="28"/>
      <c r="H294" s="28"/>
      <c r="I294" s="28"/>
      <c r="J294" s="28"/>
    </row>
    <row r="295" spans="1:10" ht="18.75" customHeight="1" x14ac:dyDescent="0.25">
      <c r="A295" s="28"/>
      <c r="B295" s="28"/>
      <c r="C295" s="28"/>
      <c r="D295" s="28"/>
      <c r="E295" s="28"/>
      <c r="F295" s="28"/>
      <c r="G295" s="28"/>
      <c r="H295" s="28"/>
      <c r="I295" s="28"/>
      <c r="J295" s="28"/>
    </row>
    <row r="296" spans="1:10" ht="18.75" customHeight="1" x14ac:dyDescent="0.25">
      <c r="A296" s="28"/>
      <c r="B296" s="28"/>
      <c r="C296" s="28"/>
      <c r="D296" s="28"/>
      <c r="E296" s="28"/>
      <c r="F296" s="28"/>
      <c r="G296" s="28"/>
      <c r="H296" s="28"/>
      <c r="I296" s="28"/>
      <c r="J296" s="28"/>
    </row>
    <row r="297" spans="1:10" ht="18.75" customHeight="1" x14ac:dyDescent="0.25">
      <c r="A297" s="28"/>
      <c r="B297" s="28"/>
      <c r="C297" s="28"/>
      <c r="D297" s="28"/>
      <c r="E297" s="28"/>
      <c r="F297" s="28"/>
      <c r="G297" s="28"/>
      <c r="H297" s="28"/>
      <c r="I297" s="28"/>
      <c r="J297" s="28"/>
    </row>
    <row r="298" spans="1:10" ht="18.75" customHeight="1" x14ac:dyDescent="0.25">
      <c r="A298" s="28"/>
      <c r="B298" s="28"/>
      <c r="C298" s="28"/>
      <c r="D298" s="28"/>
      <c r="E298" s="28"/>
      <c r="F298" s="28"/>
      <c r="G298" s="28"/>
      <c r="H298" s="28"/>
      <c r="I298" s="28"/>
      <c r="J298" s="28"/>
    </row>
    <row r="299" spans="1:10" ht="18.75" customHeight="1" x14ac:dyDescent="0.25">
      <c r="A299" s="28"/>
      <c r="B299" s="28"/>
      <c r="C299" s="28"/>
      <c r="D299" s="28"/>
      <c r="E299" s="28"/>
      <c r="F299" s="28"/>
      <c r="G299" s="28"/>
      <c r="H299" s="28"/>
      <c r="I299" s="28"/>
      <c r="J299" s="28"/>
    </row>
    <row r="300" spans="1:10" ht="18.75" customHeight="1" x14ac:dyDescent="0.25">
      <c r="A300" s="28"/>
      <c r="B300" s="28"/>
      <c r="C300" s="28"/>
      <c r="D300" s="28"/>
      <c r="E300" s="28"/>
      <c r="F300" s="28"/>
      <c r="G300" s="28"/>
      <c r="H300" s="28"/>
      <c r="I300" s="28"/>
      <c r="J300" s="28"/>
    </row>
    <row r="301" spans="1:10" ht="18.75" customHeight="1" x14ac:dyDescent="0.25">
      <c r="A301" s="28"/>
      <c r="B301" s="28"/>
      <c r="C301" s="28"/>
      <c r="D301" s="28"/>
      <c r="E301" s="28"/>
      <c r="F301" s="28"/>
      <c r="G301" s="28"/>
      <c r="H301" s="28"/>
      <c r="I301" s="28"/>
      <c r="J301" s="28"/>
    </row>
    <row r="302" spans="1:10" ht="18.75" customHeight="1" x14ac:dyDescent="0.25">
      <c r="A302" s="28"/>
      <c r="B302" s="28"/>
      <c r="C302" s="28"/>
      <c r="D302" s="28"/>
      <c r="E302" s="28"/>
      <c r="F302" s="28"/>
      <c r="G302" s="28"/>
      <c r="H302" s="28"/>
      <c r="I302" s="28"/>
      <c r="J302" s="28"/>
    </row>
    <row r="303" spans="1:10" ht="18.75" customHeight="1" x14ac:dyDescent="0.25">
      <c r="A303" s="28"/>
      <c r="B303" s="28"/>
      <c r="C303" s="28"/>
      <c r="D303" s="28"/>
      <c r="E303" s="28"/>
      <c r="F303" s="28"/>
      <c r="G303" s="28"/>
      <c r="H303" s="28"/>
      <c r="I303" s="28"/>
      <c r="J303" s="28"/>
    </row>
    <row r="304" spans="1:10" ht="18.75" customHeight="1" x14ac:dyDescent="0.25">
      <c r="A304" s="28"/>
      <c r="B304" s="28"/>
      <c r="C304" s="28"/>
      <c r="D304" s="28"/>
      <c r="E304" s="28"/>
      <c r="F304" s="28"/>
      <c r="G304" s="28"/>
      <c r="H304" s="28"/>
      <c r="I304" s="28"/>
      <c r="J304" s="28"/>
    </row>
    <row r="305" spans="1:10" ht="18.75" customHeight="1" x14ac:dyDescent="0.25">
      <c r="A305" s="28"/>
      <c r="B305" s="28"/>
      <c r="C305" s="28"/>
      <c r="D305" s="28"/>
      <c r="E305" s="28"/>
      <c r="F305" s="28"/>
      <c r="G305" s="28"/>
      <c r="H305" s="28"/>
      <c r="I305" s="28"/>
      <c r="J305" s="28"/>
    </row>
    <row r="306" spans="1:10" ht="18.75" customHeight="1" x14ac:dyDescent="0.25">
      <c r="A306" s="28"/>
      <c r="B306" s="28"/>
      <c r="C306" s="28"/>
      <c r="D306" s="28"/>
      <c r="E306" s="28"/>
      <c r="F306" s="28"/>
      <c r="G306" s="28"/>
      <c r="H306" s="28"/>
      <c r="I306" s="28"/>
      <c r="J306" s="28"/>
    </row>
    <row r="307" spans="1:10" ht="18.75" customHeight="1" x14ac:dyDescent="0.25">
      <c r="A307" s="28"/>
      <c r="B307" s="28"/>
      <c r="C307" s="28"/>
      <c r="D307" s="28"/>
      <c r="E307" s="28"/>
      <c r="F307" s="28"/>
      <c r="G307" s="28"/>
      <c r="H307" s="28"/>
      <c r="I307" s="28"/>
      <c r="J307" s="28"/>
    </row>
    <row r="308" spans="1:10" ht="18.75" customHeight="1" x14ac:dyDescent="0.25">
      <c r="A308" s="28"/>
      <c r="B308" s="28"/>
      <c r="C308" s="28"/>
      <c r="D308" s="28"/>
      <c r="E308" s="28"/>
      <c r="F308" s="28"/>
      <c r="G308" s="28"/>
      <c r="H308" s="28"/>
      <c r="I308" s="28"/>
      <c r="J308" s="28"/>
    </row>
    <row r="309" spans="1:10" ht="18.75" customHeight="1" x14ac:dyDescent="0.25">
      <c r="A309" s="28"/>
      <c r="B309" s="28"/>
      <c r="C309" s="28"/>
      <c r="D309" s="28"/>
      <c r="E309" s="28"/>
      <c r="F309" s="28"/>
      <c r="G309" s="28"/>
      <c r="H309" s="28"/>
      <c r="I309" s="28"/>
      <c r="J309" s="28"/>
    </row>
    <row r="310" spans="1:10" ht="18.75" customHeight="1" x14ac:dyDescent="0.25">
      <c r="A310" s="28"/>
      <c r="B310" s="28"/>
      <c r="C310" s="28"/>
      <c r="D310" s="28"/>
      <c r="E310" s="28"/>
      <c r="F310" s="28"/>
      <c r="G310" s="28"/>
      <c r="H310" s="28"/>
      <c r="I310" s="28"/>
      <c r="J310" s="28"/>
    </row>
    <row r="311" spans="1:10" ht="18.75" customHeight="1" x14ac:dyDescent="0.25">
      <c r="A311" s="28"/>
      <c r="B311" s="28"/>
      <c r="C311" s="28"/>
      <c r="D311" s="28"/>
      <c r="E311" s="28"/>
      <c r="F311" s="28"/>
      <c r="G311" s="28"/>
      <c r="H311" s="28"/>
      <c r="I311" s="28"/>
      <c r="J311" s="28"/>
    </row>
    <row r="312" spans="1:10" ht="18.75" customHeight="1" x14ac:dyDescent="0.25">
      <c r="A312" s="28"/>
      <c r="B312" s="28"/>
      <c r="C312" s="28"/>
      <c r="D312" s="28"/>
      <c r="E312" s="28"/>
      <c r="F312" s="28"/>
      <c r="G312" s="28"/>
      <c r="H312" s="28"/>
      <c r="I312" s="28"/>
      <c r="J312" s="28"/>
    </row>
    <row r="313" spans="1:10" ht="18.75" customHeight="1" x14ac:dyDescent="0.25">
      <c r="A313" s="28"/>
      <c r="B313" s="28"/>
      <c r="C313" s="28"/>
      <c r="D313" s="28"/>
      <c r="E313" s="28"/>
      <c r="F313" s="28"/>
      <c r="G313" s="28"/>
      <c r="H313" s="28"/>
      <c r="I313" s="28"/>
      <c r="J313" s="28"/>
    </row>
    <row r="314" spans="1:10" ht="18.75" customHeight="1" x14ac:dyDescent="0.25">
      <c r="A314" s="28"/>
      <c r="B314" s="28"/>
      <c r="C314" s="28"/>
      <c r="D314" s="28"/>
      <c r="E314" s="28"/>
      <c r="F314" s="28"/>
      <c r="G314" s="28"/>
      <c r="H314" s="28"/>
      <c r="I314" s="28"/>
      <c r="J314" s="28"/>
    </row>
    <row r="315" spans="1:10" ht="18.75" customHeight="1" x14ac:dyDescent="0.25">
      <c r="A315" s="28"/>
      <c r="B315" s="28"/>
      <c r="C315" s="28"/>
      <c r="D315" s="28"/>
      <c r="E315" s="28"/>
      <c r="F315" s="28"/>
      <c r="G315" s="28"/>
      <c r="H315" s="28"/>
      <c r="I315" s="28"/>
      <c r="J315" s="28"/>
    </row>
    <row r="316" spans="1:10" ht="18.75" customHeight="1" x14ac:dyDescent="0.25">
      <c r="A316" s="28"/>
      <c r="B316" s="28"/>
      <c r="C316" s="28"/>
      <c r="D316" s="28"/>
      <c r="E316" s="28"/>
      <c r="F316" s="28"/>
      <c r="G316" s="28"/>
      <c r="H316" s="28"/>
      <c r="I316" s="28"/>
      <c r="J316" s="28"/>
    </row>
    <row r="317" spans="1:10" ht="18.75" customHeight="1" x14ac:dyDescent="0.25">
      <c r="A317" s="28"/>
      <c r="B317" s="28"/>
      <c r="C317" s="28"/>
      <c r="D317" s="28"/>
      <c r="E317" s="28"/>
      <c r="F317" s="28"/>
      <c r="G317" s="28"/>
      <c r="H317" s="28"/>
      <c r="I317" s="28"/>
      <c r="J317" s="28"/>
    </row>
    <row r="318" spans="1:10" ht="18.75" customHeight="1" x14ac:dyDescent="0.25">
      <c r="A318" s="28"/>
      <c r="B318" s="28"/>
      <c r="C318" s="28"/>
      <c r="D318" s="28"/>
      <c r="E318" s="28"/>
      <c r="F318" s="28"/>
      <c r="G318" s="28"/>
      <c r="H318" s="28"/>
      <c r="I318" s="28"/>
      <c r="J318" s="28"/>
    </row>
    <row r="319" spans="1:10" ht="18.75" customHeight="1" x14ac:dyDescent="0.25">
      <c r="A319" s="28"/>
      <c r="B319" s="28"/>
      <c r="C319" s="28"/>
      <c r="D319" s="28"/>
      <c r="E319" s="28"/>
      <c r="F319" s="28"/>
      <c r="G319" s="28"/>
      <c r="H319" s="28"/>
      <c r="I319" s="28"/>
      <c r="J319" s="28"/>
    </row>
    <row r="320" spans="1:10" ht="18.75" customHeight="1" x14ac:dyDescent="0.25">
      <c r="A320" s="28"/>
      <c r="B320" s="28"/>
      <c r="C320" s="28"/>
      <c r="D320" s="28"/>
      <c r="E320" s="28"/>
      <c r="F320" s="28"/>
      <c r="G320" s="28"/>
      <c r="H320" s="28"/>
      <c r="I320" s="28"/>
      <c r="J320" s="28"/>
    </row>
    <row r="321" spans="1:10" ht="18.75" customHeight="1" x14ac:dyDescent="0.25">
      <c r="A321" s="28"/>
      <c r="B321" s="28"/>
      <c r="C321" s="28"/>
      <c r="D321" s="28"/>
      <c r="E321" s="28"/>
      <c r="F321" s="28"/>
      <c r="G321" s="28"/>
      <c r="H321" s="28"/>
      <c r="I321" s="28"/>
      <c r="J321" s="28"/>
    </row>
    <row r="322" spans="1:10" ht="18.75" customHeight="1" x14ac:dyDescent="0.25">
      <c r="A322" s="28"/>
      <c r="B322" s="28"/>
      <c r="C322" s="28"/>
      <c r="D322" s="28"/>
      <c r="E322" s="28"/>
      <c r="F322" s="28"/>
      <c r="G322" s="28"/>
      <c r="H322" s="28"/>
      <c r="I322" s="28"/>
      <c r="J322" s="28"/>
    </row>
    <row r="323" spans="1:10" ht="18.75" customHeight="1" x14ac:dyDescent="0.25">
      <c r="A323" s="28"/>
      <c r="B323" s="28"/>
      <c r="C323" s="28"/>
      <c r="D323" s="28"/>
      <c r="E323" s="28"/>
      <c r="F323" s="28"/>
      <c r="G323" s="28"/>
      <c r="H323" s="28"/>
      <c r="I323" s="28"/>
      <c r="J323" s="28"/>
    </row>
    <row r="324" spans="1:10" ht="18.75" customHeight="1" x14ac:dyDescent="0.25">
      <c r="A324" s="28"/>
      <c r="B324" s="28"/>
      <c r="C324" s="28"/>
      <c r="D324" s="28"/>
      <c r="E324" s="28"/>
      <c r="F324" s="28"/>
      <c r="G324" s="28"/>
      <c r="H324" s="28"/>
      <c r="I324" s="28"/>
      <c r="J324" s="28"/>
    </row>
    <row r="325" spans="1:10" ht="18.75" customHeight="1" x14ac:dyDescent="0.25">
      <c r="A325" s="28"/>
      <c r="B325" s="28"/>
      <c r="C325" s="28"/>
      <c r="D325" s="28"/>
      <c r="E325" s="28"/>
      <c r="F325" s="28"/>
      <c r="G325" s="28"/>
      <c r="H325" s="28"/>
      <c r="I325" s="28"/>
      <c r="J325" s="28"/>
    </row>
    <row r="326" spans="1:10" ht="18.75" customHeight="1" x14ac:dyDescent="0.25">
      <c r="A326" s="28"/>
      <c r="B326" s="28"/>
      <c r="C326" s="28"/>
      <c r="D326" s="28"/>
      <c r="E326" s="28"/>
      <c r="F326" s="28"/>
      <c r="G326" s="28"/>
      <c r="H326" s="28"/>
      <c r="I326" s="28"/>
      <c r="J326" s="28"/>
    </row>
    <row r="327" spans="1:10" ht="18.75" customHeight="1" x14ac:dyDescent="0.25">
      <c r="A327" s="28"/>
      <c r="B327" s="28"/>
      <c r="C327" s="28"/>
      <c r="D327" s="28"/>
      <c r="E327" s="28"/>
      <c r="F327" s="28"/>
      <c r="G327" s="28"/>
      <c r="H327" s="28"/>
      <c r="I327" s="28"/>
      <c r="J327" s="28"/>
    </row>
    <row r="328" spans="1:10" ht="18.75" customHeight="1" x14ac:dyDescent="0.25">
      <c r="A328" s="28"/>
      <c r="B328" s="28"/>
      <c r="C328" s="28"/>
      <c r="D328" s="28"/>
      <c r="E328" s="28"/>
      <c r="F328" s="28"/>
      <c r="G328" s="28"/>
      <c r="H328" s="28"/>
      <c r="I328" s="28"/>
      <c r="J328" s="28"/>
    </row>
    <row r="329" spans="1:10" ht="18.75" customHeight="1" x14ac:dyDescent="0.25">
      <c r="A329" s="28"/>
      <c r="B329" s="28"/>
      <c r="C329" s="28"/>
      <c r="D329" s="28"/>
      <c r="E329" s="28"/>
      <c r="F329" s="28"/>
      <c r="G329" s="28"/>
      <c r="H329" s="28"/>
      <c r="I329" s="28"/>
      <c r="J329" s="28"/>
    </row>
    <row r="330" spans="1:10" ht="18.75" customHeight="1" x14ac:dyDescent="0.25">
      <c r="A330" s="28"/>
      <c r="B330" s="28"/>
      <c r="C330" s="28"/>
      <c r="D330" s="28"/>
      <c r="E330" s="28"/>
      <c r="F330" s="28"/>
      <c r="G330" s="28"/>
      <c r="H330" s="28"/>
      <c r="I330" s="28"/>
      <c r="J330" s="28"/>
    </row>
    <row r="331" spans="1:10" ht="18.75" customHeight="1" x14ac:dyDescent="0.25">
      <c r="A331" s="28"/>
      <c r="B331" s="28"/>
      <c r="C331" s="28"/>
      <c r="D331" s="28"/>
      <c r="E331" s="28"/>
      <c r="F331" s="28"/>
      <c r="G331" s="28"/>
      <c r="H331" s="28"/>
      <c r="I331" s="28"/>
      <c r="J331" s="28"/>
    </row>
    <row r="332" spans="1:10" ht="18.75" customHeight="1" x14ac:dyDescent="0.25">
      <c r="A332" s="28"/>
      <c r="B332" s="28"/>
      <c r="C332" s="28"/>
      <c r="D332" s="28"/>
      <c r="E332" s="28"/>
      <c r="F332" s="28"/>
      <c r="G332" s="28"/>
      <c r="H332" s="28"/>
      <c r="I332" s="28"/>
      <c r="J332" s="28"/>
    </row>
    <row r="333" spans="1:10" ht="18.75" customHeight="1" x14ac:dyDescent="0.25">
      <c r="A333" s="28"/>
      <c r="B333" s="28"/>
      <c r="C333" s="28"/>
      <c r="D333" s="28"/>
      <c r="E333" s="28"/>
      <c r="F333" s="28"/>
      <c r="G333" s="28"/>
      <c r="H333" s="28"/>
      <c r="I333" s="28"/>
      <c r="J333" s="28"/>
    </row>
    <row r="334" spans="1:10" ht="18.75" customHeight="1" x14ac:dyDescent="0.25">
      <c r="A334" s="28"/>
      <c r="B334" s="28"/>
      <c r="C334" s="28"/>
      <c r="D334" s="28"/>
      <c r="E334" s="28"/>
      <c r="F334" s="28"/>
      <c r="G334" s="28"/>
      <c r="H334" s="28"/>
      <c r="I334" s="28"/>
      <c r="J334" s="28"/>
    </row>
    <row r="335" spans="1:10" ht="18.75" customHeight="1" x14ac:dyDescent="0.25">
      <c r="A335" s="28"/>
      <c r="B335" s="28"/>
      <c r="C335" s="28"/>
      <c r="D335" s="28"/>
      <c r="E335" s="28"/>
      <c r="F335" s="28"/>
      <c r="G335" s="28"/>
      <c r="H335" s="28"/>
      <c r="I335" s="28"/>
      <c r="J335" s="28"/>
    </row>
    <row r="336" spans="1:10" ht="18.75" customHeight="1" x14ac:dyDescent="0.25">
      <c r="A336" s="28"/>
      <c r="B336" s="28"/>
      <c r="C336" s="28"/>
      <c r="D336" s="28"/>
      <c r="E336" s="28"/>
      <c r="F336" s="28"/>
      <c r="G336" s="28"/>
      <c r="H336" s="28"/>
      <c r="I336" s="28"/>
      <c r="J336" s="28"/>
    </row>
    <row r="337" spans="1:10" ht="18.75" customHeight="1" x14ac:dyDescent="0.25">
      <c r="A337" s="28"/>
      <c r="B337" s="28"/>
      <c r="C337" s="28"/>
      <c r="D337" s="28"/>
      <c r="E337" s="28"/>
      <c r="F337" s="28"/>
      <c r="G337" s="28"/>
      <c r="H337" s="28"/>
      <c r="I337" s="28"/>
      <c r="J337" s="28"/>
    </row>
    <row r="338" spans="1:10" ht="18.75" customHeight="1" x14ac:dyDescent="0.25">
      <c r="A338" s="28"/>
      <c r="B338" s="28"/>
      <c r="C338" s="28"/>
      <c r="D338" s="28"/>
      <c r="E338" s="28"/>
      <c r="F338" s="28"/>
      <c r="G338" s="28"/>
      <c r="H338" s="28"/>
      <c r="I338" s="28"/>
      <c r="J338" s="28"/>
    </row>
    <row r="339" spans="1:10" ht="18.75" customHeight="1" x14ac:dyDescent="0.25">
      <c r="A339" s="28"/>
      <c r="B339" s="28"/>
      <c r="C339" s="28"/>
      <c r="D339" s="28"/>
      <c r="E339" s="28"/>
      <c r="F339" s="28"/>
      <c r="G339" s="28"/>
      <c r="H339" s="28"/>
      <c r="I339" s="28"/>
      <c r="J339" s="28"/>
    </row>
    <row r="340" spans="1:10" ht="18.75" customHeight="1" x14ac:dyDescent="0.25">
      <c r="A340" s="28"/>
      <c r="B340" s="28"/>
      <c r="C340" s="28"/>
      <c r="D340" s="28"/>
      <c r="E340" s="28"/>
      <c r="F340" s="28"/>
      <c r="G340" s="28"/>
      <c r="H340" s="28"/>
      <c r="I340" s="28"/>
      <c r="J340" s="28"/>
    </row>
    <row r="341" spans="1:10" ht="18.75" customHeight="1" x14ac:dyDescent="0.25">
      <c r="A341" s="28"/>
      <c r="B341" s="28"/>
      <c r="C341" s="28"/>
      <c r="D341" s="28"/>
      <c r="E341" s="28"/>
      <c r="F341" s="28"/>
      <c r="G341" s="28"/>
      <c r="H341" s="28"/>
      <c r="I341" s="28"/>
      <c r="J341" s="28"/>
    </row>
    <row r="342" spans="1:10" ht="18.75" customHeight="1" x14ac:dyDescent="0.25">
      <c r="A342" s="28"/>
      <c r="B342" s="28"/>
      <c r="C342" s="28"/>
      <c r="D342" s="28"/>
      <c r="E342" s="28"/>
      <c r="F342" s="28"/>
      <c r="G342" s="28"/>
      <c r="H342" s="28"/>
      <c r="I342" s="28"/>
      <c r="J342" s="28"/>
    </row>
    <row r="343" spans="1:10" ht="18.75" customHeight="1" x14ac:dyDescent="0.25">
      <c r="A343" s="28"/>
      <c r="B343" s="28"/>
      <c r="C343" s="28"/>
      <c r="D343" s="28"/>
      <c r="E343" s="28"/>
      <c r="F343" s="28"/>
      <c r="G343" s="28"/>
      <c r="H343" s="28"/>
      <c r="I343" s="28"/>
      <c r="J343" s="28"/>
    </row>
    <row r="344" spans="1:10" ht="18.75" customHeight="1" x14ac:dyDescent="0.25">
      <c r="A344" s="28"/>
      <c r="B344" s="28"/>
      <c r="C344" s="28"/>
      <c r="D344" s="28"/>
      <c r="E344" s="28"/>
      <c r="F344" s="28"/>
      <c r="G344" s="28"/>
      <c r="H344" s="28"/>
      <c r="I344" s="28"/>
      <c r="J344" s="28"/>
    </row>
    <row r="345" spans="1:10" ht="18.75" customHeight="1" x14ac:dyDescent="0.25">
      <c r="A345" s="28"/>
      <c r="B345" s="28"/>
      <c r="C345" s="28"/>
      <c r="D345" s="28"/>
      <c r="E345" s="28"/>
      <c r="F345" s="28"/>
      <c r="G345" s="28"/>
      <c r="H345" s="28"/>
      <c r="I345" s="28"/>
      <c r="J345" s="28"/>
    </row>
    <row r="346" spans="1:10" ht="18.75" customHeight="1" x14ac:dyDescent="0.25">
      <c r="A346" s="28"/>
      <c r="B346" s="28"/>
      <c r="C346" s="28"/>
      <c r="D346" s="28"/>
      <c r="E346" s="28"/>
      <c r="F346" s="28"/>
      <c r="G346" s="28"/>
      <c r="H346" s="28"/>
      <c r="I346" s="28"/>
      <c r="J346" s="28"/>
    </row>
    <row r="347" spans="1:10" ht="18.75" customHeight="1" x14ac:dyDescent="0.25">
      <c r="A347" s="28"/>
      <c r="B347" s="28"/>
      <c r="C347" s="28"/>
      <c r="D347" s="28"/>
      <c r="E347" s="28"/>
      <c r="F347" s="28"/>
      <c r="G347" s="28"/>
      <c r="H347" s="28"/>
      <c r="I347" s="28"/>
      <c r="J347" s="28"/>
    </row>
    <row r="348" spans="1:10" ht="18.75" customHeight="1" x14ac:dyDescent="0.25">
      <c r="A348" s="28"/>
      <c r="B348" s="28"/>
      <c r="C348" s="28"/>
      <c r="D348" s="28"/>
      <c r="E348" s="28"/>
      <c r="F348" s="28"/>
      <c r="G348" s="28"/>
      <c r="H348" s="28"/>
      <c r="I348" s="28"/>
      <c r="J348" s="28"/>
    </row>
    <row r="349" spans="1:10" ht="18.75" customHeight="1" x14ac:dyDescent="0.25">
      <c r="A349" s="28"/>
      <c r="B349" s="28"/>
      <c r="C349" s="28"/>
      <c r="D349" s="28"/>
      <c r="E349" s="28"/>
      <c r="F349" s="28"/>
      <c r="G349" s="28"/>
      <c r="H349" s="28"/>
      <c r="I349" s="28"/>
      <c r="J349" s="28"/>
    </row>
    <row r="350" spans="1:10" ht="18.75" customHeight="1" x14ac:dyDescent="0.25">
      <c r="A350" s="28"/>
      <c r="B350" s="28"/>
      <c r="C350" s="28"/>
      <c r="D350" s="28"/>
      <c r="E350" s="28"/>
      <c r="F350" s="28"/>
      <c r="G350" s="28"/>
      <c r="H350" s="28"/>
      <c r="I350" s="28"/>
      <c r="J350" s="28"/>
    </row>
    <row r="351" spans="1:10" ht="18.75" customHeight="1" x14ac:dyDescent="0.25">
      <c r="A351" s="28"/>
      <c r="B351" s="28"/>
      <c r="C351" s="28"/>
      <c r="D351" s="28"/>
      <c r="E351" s="28"/>
      <c r="F351" s="28"/>
      <c r="G351" s="28"/>
      <c r="H351" s="28"/>
      <c r="I351" s="28"/>
      <c r="J351" s="28"/>
    </row>
    <row r="352" spans="1:10" ht="18.75" customHeight="1" x14ac:dyDescent="0.25">
      <c r="A352" s="28"/>
      <c r="B352" s="28"/>
      <c r="C352" s="28"/>
      <c r="D352" s="28"/>
      <c r="E352" s="28"/>
      <c r="F352" s="28"/>
      <c r="G352" s="28"/>
      <c r="H352" s="28"/>
      <c r="I352" s="28"/>
      <c r="J352" s="28"/>
    </row>
    <row r="353" spans="1:10" ht="18.75" customHeight="1" x14ac:dyDescent="0.25">
      <c r="A353" s="28"/>
      <c r="B353" s="28"/>
      <c r="C353" s="28"/>
      <c r="D353" s="28"/>
      <c r="E353" s="28"/>
      <c r="F353" s="28"/>
      <c r="G353" s="28"/>
      <c r="H353" s="28"/>
      <c r="I353" s="28"/>
      <c r="J353" s="28"/>
    </row>
    <row r="354" spans="1:10" ht="18.75" customHeight="1" x14ac:dyDescent="0.25">
      <c r="A354" s="28"/>
      <c r="B354" s="28"/>
      <c r="C354" s="28"/>
      <c r="D354" s="28"/>
      <c r="E354" s="28"/>
      <c r="F354" s="28"/>
      <c r="G354" s="28"/>
      <c r="H354" s="28"/>
      <c r="I354" s="28"/>
      <c r="J354" s="28"/>
    </row>
    <row r="355" spans="1:10" ht="18.75" customHeight="1" x14ac:dyDescent="0.25">
      <c r="A355" s="28"/>
      <c r="B355" s="28"/>
      <c r="C355" s="28"/>
      <c r="D355" s="28"/>
      <c r="E355" s="28"/>
      <c r="F355" s="28"/>
      <c r="G355" s="28"/>
      <c r="H355" s="28"/>
      <c r="I355" s="28"/>
      <c r="J355" s="28"/>
    </row>
    <row r="356" spans="1:10" ht="18.75" customHeight="1" x14ac:dyDescent="0.25">
      <c r="A356" s="28"/>
      <c r="B356" s="28"/>
      <c r="C356" s="28"/>
      <c r="D356" s="28"/>
      <c r="E356" s="28"/>
      <c r="F356" s="28"/>
      <c r="G356" s="28"/>
      <c r="H356" s="28"/>
      <c r="I356" s="28"/>
      <c r="J356" s="28"/>
    </row>
    <row r="357" spans="1:10" ht="18.75" customHeight="1" x14ac:dyDescent="0.25">
      <c r="A357" s="28"/>
      <c r="B357" s="28"/>
      <c r="C357" s="28"/>
      <c r="D357" s="28"/>
      <c r="E357" s="28"/>
      <c r="F357" s="28"/>
      <c r="G357" s="28"/>
      <c r="H357" s="28"/>
      <c r="I357" s="28"/>
      <c r="J357" s="28"/>
    </row>
    <row r="358" spans="1:10" ht="18.75" customHeight="1" x14ac:dyDescent="0.25">
      <c r="A358" s="28"/>
      <c r="B358" s="28"/>
      <c r="C358" s="28"/>
      <c r="D358" s="28"/>
      <c r="E358" s="28"/>
      <c r="F358" s="28"/>
      <c r="G358" s="28"/>
      <c r="H358" s="28"/>
      <c r="I358" s="28"/>
      <c r="J358" s="28"/>
    </row>
    <row r="359" spans="1:10" ht="18.75" customHeight="1" x14ac:dyDescent="0.25">
      <c r="A359" s="28"/>
      <c r="B359" s="28"/>
      <c r="C359" s="28"/>
      <c r="D359" s="28"/>
      <c r="E359" s="28"/>
      <c r="F359" s="28"/>
      <c r="G359" s="28"/>
      <c r="H359" s="28"/>
      <c r="I359" s="28"/>
      <c r="J359" s="28"/>
    </row>
    <row r="360" spans="1:10" ht="18.75" customHeight="1" x14ac:dyDescent="0.25">
      <c r="A360" s="28"/>
      <c r="B360" s="28"/>
      <c r="C360" s="28"/>
      <c r="D360" s="28"/>
      <c r="E360" s="28"/>
      <c r="F360" s="28"/>
      <c r="G360" s="28"/>
      <c r="H360" s="28"/>
      <c r="I360" s="28"/>
      <c r="J360" s="28"/>
    </row>
    <row r="361" spans="1:10" ht="18.75" customHeight="1" x14ac:dyDescent="0.25">
      <c r="A361" s="28"/>
      <c r="B361" s="28"/>
      <c r="C361" s="28"/>
      <c r="D361" s="28"/>
      <c r="E361" s="28"/>
      <c r="F361" s="28"/>
      <c r="G361" s="28"/>
      <c r="H361" s="28"/>
      <c r="I361" s="28"/>
      <c r="J361" s="28"/>
    </row>
    <row r="362" spans="1:10" ht="18.75" customHeight="1" x14ac:dyDescent="0.25">
      <c r="A362" s="28"/>
      <c r="B362" s="28"/>
      <c r="C362" s="28"/>
      <c r="D362" s="28"/>
      <c r="E362" s="28"/>
      <c r="F362" s="28"/>
      <c r="G362" s="28"/>
      <c r="H362" s="28"/>
      <c r="I362" s="28"/>
      <c r="J362" s="28"/>
    </row>
    <row r="363" spans="1:10" ht="18.75" customHeight="1" x14ac:dyDescent="0.25">
      <c r="A363" s="28"/>
      <c r="B363" s="28"/>
      <c r="C363" s="28"/>
      <c r="D363" s="28"/>
      <c r="E363" s="28"/>
      <c r="F363" s="28"/>
      <c r="G363" s="28"/>
      <c r="H363" s="28"/>
      <c r="I363" s="28"/>
      <c r="J363" s="28"/>
    </row>
    <row r="364" spans="1:10" ht="18.75" customHeight="1" x14ac:dyDescent="0.25">
      <c r="A364" s="28"/>
      <c r="B364" s="28"/>
      <c r="C364" s="28"/>
      <c r="D364" s="28"/>
      <c r="E364" s="28"/>
      <c r="F364" s="28"/>
      <c r="G364" s="28"/>
      <c r="H364" s="28"/>
      <c r="I364" s="28"/>
      <c r="J364" s="28"/>
    </row>
    <row r="365" spans="1:10" ht="18.75" customHeight="1" x14ac:dyDescent="0.25">
      <c r="A365" s="28"/>
      <c r="B365" s="28"/>
      <c r="C365" s="28"/>
      <c r="D365" s="28"/>
      <c r="E365" s="28"/>
      <c r="F365" s="28"/>
      <c r="G365" s="28"/>
      <c r="H365" s="28"/>
      <c r="I365" s="28"/>
      <c r="J365" s="28"/>
    </row>
    <row r="366" spans="1:10" ht="18.75" customHeight="1" x14ac:dyDescent="0.25">
      <c r="A366" s="28"/>
      <c r="B366" s="28"/>
      <c r="C366" s="28"/>
      <c r="D366" s="28"/>
      <c r="E366" s="28"/>
      <c r="F366" s="28"/>
      <c r="G366" s="28"/>
      <c r="H366" s="28"/>
      <c r="I366" s="28"/>
      <c r="J366" s="28"/>
    </row>
    <row r="367" spans="1:10" ht="18.75" customHeight="1" x14ac:dyDescent="0.25">
      <c r="A367" s="28"/>
      <c r="B367" s="28"/>
      <c r="C367" s="28"/>
      <c r="D367" s="28"/>
      <c r="E367" s="28"/>
      <c r="F367" s="28"/>
      <c r="G367" s="28"/>
      <c r="H367" s="28"/>
      <c r="I367" s="28"/>
      <c r="J367" s="28"/>
    </row>
    <row r="368" spans="1:10" ht="18.75" customHeight="1" x14ac:dyDescent="0.25">
      <c r="A368" s="28"/>
      <c r="B368" s="28"/>
      <c r="C368" s="28"/>
      <c r="D368" s="28"/>
      <c r="E368" s="28"/>
      <c r="F368" s="28"/>
      <c r="G368" s="28"/>
      <c r="H368" s="28"/>
      <c r="I368" s="28"/>
      <c r="J368" s="28"/>
    </row>
    <row r="369" spans="1:10" ht="18.75" customHeight="1" x14ac:dyDescent="0.25">
      <c r="A369" s="28"/>
      <c r="B369" s="28"/>
      <c r="C369" s="28"/>
      <c r="D369" s="28"/>
      <c r="E369" s="28"/>
      <c r="F369" s="28"/>
      <c r="G369" s="28"/>
      <c r="H369" s="28"/>
      <c r="I369" s="28"/>
      <c r="J369" s="28"/>
    </row>
    <row r="370" spans="1:10" ht="18.75" customHeight="1" x14ac:dyDescent="0.25">
      <c r="A370" s="28"/>
      <c r="B370" s="28"/>
      <c r="C370" s="28"/>
      <c r="D370" s="28"/>
      <c r="E370" s="28"/>
      <c r="F370" s="28"/>
      <c r="G370" s="28"/>
      <c r="H370" s="28"/>
      <c r="I370" s="28"/>
      <c r="J370" s="28"/>
    </row>
    <row r="371" spans="1:10" ht="18.75" customHeight="1" x14ac:dyDescent="0.25">
      <c r="A371" s="28"/>
      <c r="B371" s="28"/>
      <c r="C371" s="28"/>
      <c r="D371" s="28"/>
      <c r="E371" s="28"/>
      <c r="F371" s="28"/>
      <c r="G371" s="28"/>
      <c r="H371" s="28"/>
      <c r="I371" s="28"/>
      <c r="J371" s="28"/>
    </row>
    <row r="372" spans="1:10" ht="18.75" customHeight="1" x14ac:dyDescent="0.25">
      <c r="A372" s="28"/>
      <c r="B372" s="28"/>
      <c r="C372" s="28"/>
      <c r="D372" s="28"/>
      <c r="E372" s="28"/>
      <c r="F372" s="28"/>
      <c r="G372" s="28"/>
      <c r="H372" s="28"/>
      <c r="I372" s="28"/>
      <c r="J372" s="28"/>
    </row>
    <row r="373" spans="1:10" ht="18.75" customHeight="1" x14ac:dyDescent="0.25">
      <c r="A373" s="28"/>
      <c r="B373" s="28"/>
      <c r="C373" s="28"/>
      <c r="D373" s="28"/>
      <c r="E373" s="28"/>
      <c r="F373" s="28"/>
      <c r="G373" s="28"/>
      <c r="H373" s="28"/>
      <c r="I373" s="28"/>
      <c r="J373" s="28"/>
    </row>
    <row r="374" spans="1:10" ht="18.75" customHeight="1" x14ac:dyDescent="0.25">
      <c r="A374" s="28"/>
      <c r="B374" s="28"/>
      <c r="C374" s="28"/>
      <c r="D374" s="28"/>
      <c r="E374" s="28"/>
      <c r="F374" s="28"/>
      <c r="G374" s="28"/>
      <c r="H374" s="28"/>
      <c r="I374" s="28"/>
      <c r="J374" s="28"/>
    </row>
    <row r="375" spans="1:10" ht="18.75" customHeight="1" x14ac:dyDescent="0.25">
      <c r="A375" s="26"/>
      <c r="B375" s="26"/>
      <c r="C375" s="26"/>
      <c r="D375" s="26"/>
      <c r="E375" s="26"/>
      <c r="F375" s="26"/>
      <c r="G375" s="26"/>
      <c r="H375" s="26"/>
      <c r="I375" s="26"/>
      <c r="J375" s="26"/>
    </row>
    <row r="376" spans="1:10" ht="18.75" customHeight="1" x14ac:dyDescent="0.25">
      <c r="A376" s="26"/>
      <c r="B376" s="26"/>
      <c r="C376" s="26"/>
      <c r="D376" s="26"/>
      <c r="E376" s="26"/>
      <c r="F376" s="26"/>
      <c r="G376" s="26"/>
      <c r="H376" s="26"/>
      <c r="I376" s="26"/>
      <c r="J376" s="26"/>
    </row>
    <row r="377" spans="1:10" ht="18.75" customHeight="1" x14ac:dyDescent="0.25">
      <c r="A377" s="26"/>
      <c r="B377" s="26"/>
      <c r="C377" s="26"/>
      <c r="D377" s="26"/>
      <c r="E377" s="26"/>
      <c r="F377" s="26"/>
      <c r="G377" s="26"/>
      <c r="H377" s="26"/>
      <c r="I377" s="26"/>
      <c r="J377" s="26"/>
    </row>
    <row r="378" spans="1:10" ht="18.75" customHeight="1" x14ac:dyDescent="0.25">
      <c r="A378" s="26"/>
      <c r="B378" s="26"/>
      <c r="C378" s="26"/>
      <c r="D378" s="26"/>
      <c r="E378" s="26"/>
      <c r="F378" s="26"/>
      <c r="G378" s="26"/>
      <c r="H378" s="26"/>
      <c r="I378" s="26"/>
      <c r="J378" s="26"/>
    </row>
    <row r="379" spans="1:10" ht="18.75" customHeight="1" x14ac:dyDescent="0.25">
      <c r="A379" s="26"/>
      <c r="B379" s="26"/>
      <c r="C379" s="26"/>
      <c r="D379" s="26"/>
      <c r="E379" s="26"/>
      <c r="F379" s="26"/>
      <c r="G379" s="26"/>
      <c r="H379" s="26"/>
      <c r="I379" s="26"/>
      <c r="J379" s="26"/>
    </row>
    <row r="380" spans="1:10" ht="18.75" customHeight="1" x14ac:dyDescent="0.25">
      <c r="A380" s="26"/>
      <c r="B380" s="26"/>
      <c r="C380" s="26"/>
      <c r="D380" s="26"/>
      <c r="E380" s="26"/>
      <c r="F380" s="26"/>
      <c r="G380" s="26"/>
      <c r="H380" s="26"/>
      <c r="I380" s="26"/>
      <c r="J380" s="26"/>
    </row>
  </sheetData>
  <mergeCells count="1">
    <mergeCell ref="E1:I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Plan1</vt:lpstr>
      <vt:lpstr>2023</vt:lpstr>
      <vt:lpstr>2024</vt:lpstr>
      <vt:lpstr>2025</vt:lpstr>
      <vt:lpstr>HIPERQUERATOSE 26</vt:lpstr>
      <vt:lpstr>2026</vt:lpstr>
      <vt:lpstr>Planilha1</vt:lpstr>
      <vt:lpstr>SECAGEM</vt:lpstr>
      <vt:lpstr>DOENÇAS GERAL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helem caroline</dc:creator>
  <cp:keywords/>
  <dc:description/>
  <cp:lastModifiedBy>fazenda fundamento</cp:lastModifiedBy>
  <cp:revision/>
  <dcterms:created xsi:type="dcterms:W3CDTF">2025-01-17T12:06:55Z</dcterms:created>
  <dcterms:modified xsi:type="dcterms:W3CDTF">2026-09-28T13:44:24Z</dcterms:modified>
  <cp:category/>
  <cp:contentStatus/>
</cp:coreProperties>
</file>